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stuteelectronics-my.sharepoint.com/personal/jake_harris_astutegroup_com/Documents/Desktop/"/>
    </mc:Choice>
  </mc:AlternateContent>
  <xr:revisionPtr revIDLastSave="0" documentId="8_{798645DE-1FF4-482C-BA73-0EB6504BAC3D}" xr6:coauthVersionLast="47" xr6:coauthVersionMax="47" xr10:uidLastSave="{00000000-0000-0000-0000-000000000000}"/>
  <bookViews>
    <workbookView xWindow="-120" yWindow="-120" windowWidth="29040" windowHeight="15990" xr2:uid="{FC4FD05F-6A1D-4261-B276-3F7BA1122220}"/>
  </bookViews>
  <sheets>
    <sheet name="INVENTORY" sheetId="1" r:id="rId1"/>
    <sheet name="RE_ORDER REQUESTS" sheetId="4" r:id="rId2"/>
    <sheet name="CM Orders" sheetId="7" r:id="rId3"/>
    <sheet name="MIN" sheetId="3" r:id="rId4"/>
    <sheet name="Lam_DB" sheetId="8" r:id="rId5"/>
  </sheets>
  <externalReferences>
    <externalReference r:id="rId6"/>
    <externalReference r:id="rId7"/>
  </externalReferences>
  <definedNames>
    <definedName name="_xlnm._FilterDatabase" localSheetId="2" hidden="1">'CM Orders'!$A$1:$Q$1631</definedName>
    <definedName name="_xlnm._FilterDatabase" localSheetId="0" hidden="1">INVENTORY!$A$1:$M$946</definedName>
    <definedName name="_xlnm._FilterDatabase" localSheetId="1" hidden="1">'RE_ORDER REQUESTS'!$A$1:$K$18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2" i="1"/>
  <c r="B650" i="1"/>
  <c r="D650" i="1"/>
  <c r="G650" i="1"/>
  <c r="H650" i="1"/>
  <c r="I650" i="1"/>
  <c r="K650" i="1"/>
  <c r="M650" i="1"/>
  <c r="G906" i="1"/>
  <c r="H906" i="1"/>
  <c r="I906" i="1"/>
  <c r="J906" i="1" s="1"/>
  <c r="K906" i="1"/>
  <c r="M906" i="1"/>
  <c r="D906" i="1"/>
  <c r="B906" i="1"/>
  <c r="G880" i="1"/>
  <c r="H880" i="1"/>
  <c r="I880" i="1"/>
  <c r="K880" i="1"/>
  <c r="M880" i="1"/>
  <c r="B880" i="1"/>
  <c r="D880" i="1"/>
  <c r="G870" i="1"/>
  <c r="H870" i="1"/>
  <c r="I870" i="1"/>
  <c r="J870" i="1" s="1"/>
  <c r="K870" i="1"/>
  <c r="M870" i="1"/>
  <c r="B870" i="1"/>
  <c r="D870" i="1"/>
  <c r="G282" i="1"/>
  <c r="H282" i="1"/>
  <c r="I282" i="1"/>
  <c r="J282" i="1" s="1"/>
  <c r="K282" i="1"/>
  <c r="G281" i="1"/>
  <c r="B282" i="1"/>
  <c r="D282" i="1"/>
  <c r="G803" i="1"/>
  <c r="H803" i="1"/>
  <c r="I803" i="1"/>
  <c r="K803" i="1"/>
  <c r="M803" i="1"/>
  <c r="B803" i="1"/>
  <c r="D803" i="1"/>
  <c r="B804" i="1"/>
  <c r="F804" i="1" s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1" i="1"/>
  <c r="M872" i="1"/>
  <c r="M873" i="1"/>
  <c r="M874" i="1"/>
  <c r="M875" i="1"/>
  <c r="M876" i="1"/>
  <c r="M877" i="1"/>
  <c r="M878" i="1"/>
  <c r="M879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1" i="1"/>
  <c r="K872" i="1"/>
  <c r="K873" i="1"/>
  <c r="K874" i="1"/>
  <c r="K875" i="1"/>
  <c r="K876" i="1"/>
  <c r="K877" i="1"/>
  <c r="K878" i="1"/>
  <c r="K879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G94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1" i="1"/>
  <c r="I872" i="1"/>
  <c r="I873" i="1"/>
  <c r="I874" i="1"/>
  <c r="I875" i="1"/>
  <c r="I876" i="1"/>
  <c r="I877" i="1"/>
  <c r="I878" i="1"/>
  <c r="I879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1" i="1"/>
  <c r="D872" i="1"/>
  <c r="D873" i="1"/>
  <c r="D874" i="1"/>
  <c r="D875" i="1"/>
  <c r="D876" i="1"/>
  <c r="D877" i="1"/>
  <c r="D878" i="1"/>
  <c r="D879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2" i="1"/>
  <c r="B3" i="1"/>
  <c r="F3" i="1" s="1"/>
  <c r="B4" i="1"/>
  <c r="F4" i="1" s="1"/>
  <c r="B5" i="1"/>
  <c r="F5" i="1" s="1"/>
  <c r="B6" i="1"/>
  <c r="F6" i="1" s="1"/>
  <c r="B7" i="1"/>
  <c r="F7" i="1" s="1"/>
  <c r="B8" i="1"/>
  <c r="F8" i="1" s="1"/>
  <c r="B9" i="1"/>
  <c r="F9" i="1" s="1"/>
  <c r="B10" i="1"/>
  <c r="F10" i="1" s="1"/>
  <c r="B11" i="1"/>
  <c r="F11" i="1" s="1"/>
  <c r="B12" i="1"/>
  <c r="F12" i="1" s="1"/>
  <c r="B13" i="1"/>
  <c r="F13" i="1" s="1"/>
  <c r="B14" i="1"/>
  <c r="F14" i="1" s="1"/>
  <c r="B15" i="1"/>
  <c r="F15" i="1" s="1"/>
  <c r="B16" i="1"/>
  <c r="F16" i="1" s="1"/>
  <c r="B17" i="1"/>
  <c r="F17" i="1" s="1"/>
  <c r="B18" i="1"/>
  <c r="F18" i="1" s="1"/>
  <c r="B19" i="1"/>
  <c r="F19" i="1" s="1"/>
  <c r="B20" i="1"/>
  <c r="F20" i="1" s="1"/>
  <c r="B21" i="1"/>
  <c r="F21" i="1" s="1"/>
  <c r="B22" i="1"/>
  <c r="F22" i="1" s="1"/>
  <c r="B23" i="1"/>
  <c r="F23" i="1" s="1"/>
  <c r="B24" i="1"/>
  <c r="F24" i="1" s="1"/>
  <c r="B25" i="1"/>
  <c r="F25" i="1" s="1"/>
  <c r="B26" i="1"/>
  <c r="F26" i="1" s="1"/>
  <c r="B27" i="1"/>
  <c r="F27" i="1" s="1"/>
  <c r="B28" i="1"/>
  <c r="F28" i="1" s="1"/>
  <c r="B29" i="1"/>
  <c r="F29" i="1" s="1"/>
  <c r="B30" i="1"/>
  <c r="F30" i="1" s="1"/>
  <c r="B31" i="1"/>
  <c r="F31" i="1" s="1"/>
  <c r="B32" i="1"/>
  <c r="F32" i="1" s="1"/>
  <c r="B33" i="1"/>
  <c r="F33" i="1" s="1"/>
  <c r="B34" i="1"/>
  <c r="F34" i="1" s="1"/>
  <c r="B35" i="1"/>
  <c r="F35" i="1" s="1"/>
  <c r="B36" i="1"/>
  <c r="F36" i="1" s="1"/>
  <c r="B37" i="1"/>
  <c r="F37" i="1" s="1"/>
  <c r="B38" i="1"/>
  <c r="B39" i="1"/>
  <c r="F39" i="1" s="1"/>
  <c r="B40" i="1"/>
  <c r="F40" i="1" s="1"/>
  <c r="B41" i="1"/>
  <c r="F41" i="1" s="1"/>
  <c r="B42" i="1"/>
  <c r="F42" i="1" s="1"/>
  <c r="B43" i="1"/>
  <c r="F43" i="1" s="1"/>
  <c r="B44" i="1"/>
  <c r="F44" i="1" s="1"/>
  <c r="B45" i="1"/>
  <c r="F45" i="1" s="1"/>
  <c r="B46" i="1"/>
  <c r="F46" i="1" s="1"/>
  <c r="B47" i="1"/>
  <c r="F47" i="1" s="1"/>
  <c r="B48" i="1"/>
  <c r="F48" i="1" s="1"/>
  <c r="B49" i="1"/>
  <c r="F49" i="1" s="1"/>
  <c r="B50" i="1"/>
  <c r="F50" i="1" s="1"/>
  <c r="B51" i="1"/>
  <c r="F51" i="1" s="1"/>
  <c r="B52" i="1"/>
  <c r="F52" i="1" s="1"/>
  <c r="B53" i="1"/>
  <c r="F53" i="1" s="1"/>
  <c r="B54" i="1"/>
  <c r="F54" i="1" s="1"/>
  <c r="B55" i="1"/>
  <c r="F55" i="1" s="1"/>
  <c r="B56" i="1"/>
  <c r="F56" i="1" s="1"/>
  <c r="B57" i="1"/>
  <c r="F57" i="1" s="1"/>
  <c r="B58" i="1"/>
  <c r="F58" i="1" s="1"/>
  <c r="B59" i="1"/>
  <c r="F59" i="1" s="1"/>
  <c r="B60" i="1"/>
  <c r="F60" i="1" s="1"/>
  <c r="B61" i="1"/>
  <c r="F61" i="1" s="1"/>
  <c r="B62" i="1"/>
  <c r="F62" i="1" s="1"/>
  <c r="B63" i="1"/>
  <c r="F63" i="1" s="1"/>
  <c r="B64" i="1"/>
  <c r="F64" i="1" s="1"/>
  <c r="B65" i="1"/>
  <c r="F65" i="1" s="1"/>
  <c r="B66" i="1"/>
  <c r="F66" i="1" s="1"/>
  <c r="B67" i="1"/>
  <c r="F67" i="1" s="1"/>
  <c r="B68" i="1"/>
  <c r="F68" i="1" s="1"/>
  <c r="B69" i="1"/>
  <c r="F69" i="1" s="1"/>
  <c r="B70" i="1"/>
  <c r="F70" i="1" s="1"/>
  <c r="B71" i="1"/>
  <c r="F71" i="1" s="1"/>
  <c r="B72" i="1"/>
  <c r="F72" i="1" s="1"/>
  <c r="B73" i="1"/>
  <c r="F73" i="1" s="1"/>
  <c r="B74" i="1"/>
  <c r="F74" i="1" s="1"/>
  <c r="B75" i="1"/>
  <c r="F75" i="1" s="1"/>
  <c r="B76" i="1"/>
  <c r="F76" i="1" s="1"/>
  <c r="B77" i="1"/>
  <c r="F77" i="1" s="1"/>
  <c r="B78" i="1"/>
  <c r="F78" i="1" s="1"/>
  <c r="B79" i="1"/>
  <c r="F79" i="1" s="1"/>
  <c r="B80" i="1"/>
  <c r="F80" i="1" s="1"/>
  <c r="B81" i="1"/>
  <c r="F81" i="1" s="1"/>
  <c r="B82" i="1"/>
  <c r="F82" i="1" s="1"/>
  <c r="B83" i="1"/>
  <c r="F83" i="1" s="1"/>
  <c r="B84" i="1"/>
  <c r="F84" i="1" s="1"/>
  <c r="B85" i="1"/>
  <c r="F85" i="1" s="1"/>
  <c r="B86" i="1"/>
  <c r="F86" i="1" s="1"/>
  <c r="B87" i="1"/>
  <c r="F87" i="1" s="1"/>
  <c r="B88" i="1"/>
  <c r="F88" i="1" s="1"/>
  <c r="B89" i="1"/>
  <c r="F89" i="1" s="1"/>
  <c r="B90" i="1"/>
  <c r="F90" i="1" s="1"/>
  <c r="B91" i="1"/>
  <c r="F91" i="1" s="1"/>
  <c r="B92" i="1"/>
  <c r="F92" i="1" s="1"/>
  <c r="B93" i="1"/>
  <c r="F93" i="1" s="1"/>
  <c r="B94" i="1"/>
  <c r="F94" i="1" s="1"/>
  <c r="B95" i="1"/>
  <c r="F95" i="1" s="1"/>
  <c r="B96" i="1"/>
  <c r="F96" i="1" s="1"/>
  <c r="B97" i="1"/>
  <c r="F97" i="1" s="1"/>
  <c r="B98" i="1"/>
  <c r="F98" i="1" s="1"/>
  <c r="B99" i="1"/>
  <c r="F99" i="1" s="1"/>
  <c r="B100" i="1"/>
  <c r="F100" i="1" s="1"/>
  <c r="B101" i="1"/>
  <c r="F101" i="1" s="1"/>
  <c r="B102" i="1"/>
  <c r="F102" i="1" s="1"/>
  <c r="B103" i="1"/>
  <c r="F103" i="1" s="1"/>
  <c r="B104" i="1"/>
  <c r="F104" i="1" s="1"/>
  <c r="B105" i="1"/>
  <c r="F105" i="1" s="1"/>
  <c r="B106" i="1"/>
  <c r="F106" i="1" s="1"/>
  <c r="B107" i="1"/>
  <c r="F107" i="1" s="1"/>
  <c r="B108" i="1"/>
  <c r="F108" i="1" s="1"/>
  <c r="B109" i="1"/>
  <c r="F109" i="1" s="1"/>
  <c r="B110" i="1"/>
  <c r="F110" i="1" s="1"/>
  <c r="B111" i="1"/>
  <c r="F111" i="1" s="1"/>
  <c r="B112" i="1"/>
  <c r="F112" i="1" s="1"/>
  <c r="B113" i="1"/>
  <c r="F113" i="1" s="1"/>
  <c r="B114" i="1"/>
  <c r="F114" i="1" s="1"/>
  <c r="B115" i="1"/>
  <c r="F115" i="1" s="1"/>
  <c r="B116" i="1"/>
  <c r="F116" i="1" s="1"/>
  <c r="B117" i="1"/>
  <c r="F117" i="1" s="1"/>
  <c r="B118" i="1"/>
  <c r="F118" i="1" s="1"/>
  <c r="B119" i="1"/>
  <c r="F119" i="1" s="1"/>
  <c r="B120" i="1"/>
  <c r="F120" i="1" s="1"/>
  <c r="B121" i="1"/>
  <c r="F121" i="1" s="1"/>
  <c r="B122" i="1"/>
  <c r="F122" i="1" s="1"/>
  <c r="B123" i="1"/>
  <c r="F123" i="1" s="1"/>
  <c r="B124" i="1"/>
  <c r="F124" i="1" s="1"/>
  <c r="B125" i="1"/>
  <c r="F125" i="1" s="1"/>
  <c r="B126" i="1"/>
  <c r="F126" i="1" s="1"/>
  <c r="B127" i="1"/>
  <c r="F127" i="1" s="1"/>
  <c r="B128" i="1"/>
  <c r="F128" i="1" s="1"/>
  <c r="B129" i="1"/>
  <c r="F129" i="1" s="1"/>
  <c r="B130" i="1"/>
  <c r="F130" i="1" s="1"/>
  <c r="B131" i="1"/>
  <c r="F131" i="1" s="1"/>
  <c r="B132" i="1"/>
  <c r="F132" i="1" s="1"/>
  <c r="B133" i="1"/>
  <c r="F133" i="1" s="1"/>
  <c r="B134" i="1"/>
  <c r="F134" i="1" s="1"/>
  <c r="B135" i="1"/>
  <c r="F135" i="1" s="1"/>
  <c r="B136" i="1"/>
  <c r="F136" i="1" s="1"/>
  <c r="B137" i="1"/>
  <c r="F137" i="1" s="1"/>
  <c r="B138" i="1"/>
  <c r="F138" i="1" s="1"/>
  <c r="B139" i="1"/>
  <c r="F139" i="1" s="1"/>
  <c r="B140" i="1"/>
  <c r="F140" i="1" s="1"/>
  <c r="B141" i="1"/>
  <c r="F141" i="1" s="1"/>
  <c r="B142" i="1"/>
  <c r="F142" i="1" s="1"/>
  <c r="B143" i="1"/>
  <c r="F143" i="1" s="1"/>
  <c r="B144" i="1"/>
  <c r="F144" i="1" s="1"/>
  <c r="B145" i="1"/>
  <c r="F145" i="1" s="1"/>
  <c r="B146" i="1"/>
  <c r="F146" i="1" s="1"/>
  <c r="B147" i="1"/>
  <c r="F147" i="1" s="1"/>
  <c r="B148" i="1"/>
  <c r="F148" i="1" s="1"/>
  <c r="B149" i="1"/>
  <c r="F149" i="1" s="1"/>
  <c r="B150" i="1"/>
  <c r="F150" i="1" s="1"/>
  <c r="B151" i="1"/>
  <c r="F151" i="1" s="1"/>
  <c r="B152" i="1"/>
  <c r="F152" i="1" s="1"/>
  <c r="B153" i="1"/>
  <c r="F153" i="1" s="1"/>
  <c r="B154" i="1"/>
  <c r="F154" i="1" s="1"/>
  <c r="B155" i="1"/>
  <c r="F155" i="1" s="1"/>
  <c r="B156" i="1"/>
  <c r="F156" i="1" s="1"/>
  <c r="B157" i="1"/>
  <c r="F157" i="1" s="1"/>
  <c r="B158" i="1"/>
  <c r="F158" i="1" s="1"/>
  <c r="B159" i="1"/>
  <c r="F159" i="1" s="1"/>
  <c r="B160" i="1"/>
  <c r="F160" i="1" s="1"/>
  <c r="B161" i="1"/>
  <c r="F161" i="1" s="1"/>
  <c r="B162" i="1"/>
  <c r="F162" i="1" s="1"/>
  <c r="B163" i="1"/>
  <c r="F163" i="1" s="1"/>
  <c r="B164" i="1"/>
  <c r="F164" i="1" s="1"/>
  <c r="B165" i="1"/>
  <c r="F165" i="1" s="1"/>
  <c r="B166" i="1"/>
  <c r="F166" i="1" s="1"/>
  <c r="B167" i="1"/>
  <c r="F167" i="1" s="1"/>
  <c r="B168" i="1"/>
  <c r="F168" i="1" s="1"/>
  <c r="B169" i="1"/>
  <c r="F169" i="1" s="1"/>
  <c r="B170" i="1"/>
  <c r="F170" i="1" s="1"/>
  <c r="B171" i="1"/>
  <c r="F171" i="1" s="1"/>
  <c r="B172" i="1"/>
  <c r="F172" i="1" s="1"/>
  <c r="B173" i="1"/>
  <c r="F173" i="1" s="1"/>
  <c r="B174" i="1"/>
  <c r="F174" i="1" s="1"/>
  <c r="B175" i="1"/>
  <c r="F175" i="1" s="1"/>
  <c r="B176" i="1"/>
  <c r="F176" i="1" s="1"/>
  <c r="B177" i="1"/>
  <c r="F177" i="1" s="1"/>
  <c r="B178" i="1"/>
  <c r="F178" i="1" s="1"/>
  <c r="B179" i="1"/>
  <c r="F179" i="1" s="1"/>
  <c r="B180" i="1"/>
  <c r="F180" i="1" s="1"/>
  <c r="B181" i="1"/>
  <c r="F181" i="1" s="1"/>
  <c r="B182" i="1"/>
  <c r="F182" i="1" s="1"/>
  <c r="B183" i="1"/>
  <c r="B184" i="1"/>
  <c r="F184" i="1" s="1"/>
  <c r="B185" i="1"/>
  <c r="F185" i="1" s="1"/>
  <c r="B186" i="1"/>
  <c r="F186" i="1" s="1"/>
  <c r="B187" i="1"/>
  <c r="F187" i="1" s="1"/>
  <c r="B188" i="1"/>
  <c r="F188" i="1" s="1"/>
  <c r="B189" i="1"/>
  <c r="F189" i="1" s="1"/>
  <c r="B190" i="1"/>
  <c r="F190" i="1" s="1"/>
  <c r="B191" i="1"/>
  <c r="F191" i="1" s="1"/>
  <c r="B192" i="1"/>
  <c r="F192" i="1" s="1"/>
  <c r="B193" i="1"/>
  <c r="F193" i="1" s="1"/>
  <c r="B194" i="1"/>
  <c r="F194" i="1" s="1"/>
  <c r="B195" i="1"/>
  <c r="F195" i="1" s="1"/>
  <c r="B196" i="1"/>
  <c r="F196" i="1" s="1"/>
  <c r="B197" i="1"/>
  <c r="F197" i="1" s="1"/>
  <c r="B198" i="1"/>
  <c r="F198" i="1" s="1"/>
  <c r="B199" i="1"/>
  <c r="F199" i="1" s="1"/>
  <c r="B200" i="1"/>
  <c r="F200" i="1" s="1"/>
  <c r="B201" i="1"/>
  <c r="B202" i="1"/>
  <c r="F202" i="1" s="1"/>
  <c r="B203" i="1"/>
  <c r="B204" i="1"/>
  <c r="F204" i="1" s="1"/>
  <c r="B205" i="1"/>
  <c r="F205" i="1" s="1"/>
  <c r="B206" i="1"/>
  <c r="F206" i="1" s="1"/>
  <c r="B207" i="1"/>
  <c r="F207" i="1" s="1"/>
  <c r="B208" i="1"/>
  <c r="F208" i="1" s="1"/>
  <c r="B209" i="1"/>
  <c r="F209" i="1" s="1"/>
  <c r="B210" i="1"/>
  <c r="F210" i="1" s="1"/>
  <c r="B211" i="1"/>
  <c r="F211" i="1" s="1"/>
  <c r="B212" i="1"/>
  <c r="F212" i="1" s="1"/>
  <c r="B213" i="1"/>
  <c r="F213" i="1" s="1"/>
  <c r="B214" i="1"/>
  <c r="F214" i="1" s="1"/>
  <c r="B215" i="1"/>
  <c r="F215" i="1" s="1"/>
  <c r="B216" i="1"/>
  <c r="F216" i="1" s="1"/>
  <c r="B217" i="1"/>
  <c r="F217" i="1" s="1"/>
  <c r="B218" i="1"/>
  <c r="F218" i="1" s="1"/>
  <c r="B219" i="1"/>
  <c r="F219" i="1" s="1"/>
  <c r="B220" i="1"/>
  <c r="F220" i="1" s="1"/>
  <c r="B221" i="1"/>
  <c r="F221" i="1" s="1"/>
  <c r="B222" i="1"/>
  <c r="F222" i="1" s="1"/>
  <c r="B223" i="1"/>
  <c r="F223" i="1" s="1"/>
  <c r="B224" i="1"/>
  <c r="F224" i="1" s="1"/>
  <c r="B225" i="1"/>
  <c r="F225" i="1" s="1"/>
  <c r="B226" i="1"/>
  <c r="F226" i="1" s="1"/>
  <c r="B227" i="1"/>
  <c r="F227" i="1" s="1"/>
  <c r="B228" i="1"/>
  <c r="F228" i="1" s="1"/>
  <c r="B229" i="1"/>
  <c r="F229" i="1" s="1"/>
  <c r="B230" i="1"/>
  <c r="F230" i="1" s="1"/>
  <c r="B231" i="1"/>
  <c r="F231" i="1" s="1"/>
  <c r="B232" i="1"/>
  <c r="F232" i="1" s="1"/>
  <c r="B233" i="1"/>
  <c r="F233" i="1" s="1"/>
  <c r="B234" i="1"/>
  <c r="B235" i="1"/>
  <c r="F235" i="1" s="1"/>
  <c r="B236" i="1"/>
  <c r="F236" i="1" s="1"/>
  <c r="B237" i="1"/>
  <c r="F237" i="1" s="1"/>
  <c r="B238" i="1"/>
  <c r="F238" i="1" s="1"/>
  <c r="B239" i="1"/>
  <c r="F239" i="1" s="1"/>
  <c r="B240" i="1"/>
  <c r="F240" i="1" s="1"/>
  <c r="B241" i="1"/>
  <c r="F241" i="1" s="1"/>
  <c r="B242" i="1"/>
  <c r="F242" i="1" s="1"/>
  <c r="B243" i="1"/>
  <c r="F243" i="1" s="1"/>
  <c r="B244" i="1"/>
  <c r="F244" i="1" s="1"/>
  <c r="B245" i="1"/>
  <c r="F245" i="1" s="1"/>
  <c r="B246" i="1"/>
  <c r="F246" i="1" s="1"/>
  <c r="B247" i="1"/>
  <c r="F247" i="1" s="1"/>
  <c r="B248" i="1"/>
  <c r="F248" i="1" s="1"/>
  <c r="B249" i="1"/>
  <c r="F249" i="1" s="1"/>
  <c r="B250" i="1"/>
  <c r="F250" i="1" s="1"/>
  <c r="B251" i="1"/>
  <c r="F251" i="1" s="1"/>
  <c r="B252" i="1"/>
  <c r="F252" i="1" s="1"/>
  <c r="B253" i="1"/>
  <c r="F253" i="1" s="1"/>
  <c r="B254" i="1"/>
  <c r="F254" i="1" s="1"/>
  <c r="B255" i="1"/>
  <c r="F255" i="1" s="1"/>
  <c r="B256" i="1"/>
  <c r="F256" i="1" s="1"/>
  <c r="B257" i="1"/>
  <c r="F257" i="1" s="1"/>
  <c r="B258" i="1"/>
  <c r="F258" i="1" s="1"/>
  <c r="B259" i="1"/>
  <c r="F259" i="1" s="1"/>
  <c r="B260" i="1"/>
  <c r="F260" i="1" s="1"/>
  <c r="B261" i="1"/>
  <c r="F261" i="1" s="1"/>
  <c r="B262" i="1"/>
  <c r="F262" i="1" s="1"/>
  <c r="B263" i="1"/>
  <c r="F263" i="1" s="1"/>
  <c r="B264" i="1"/>
  <c r="F264" i="1" s="1"/>
  <c r="B265" i="1"/>
  <c r="F265" i="1" s="1"/>
  <c r="B266" i="1"/>
  <c r="F266" i="1" s="1"/>
  <c r="B267" i="1"/>
  <c r="F267" i="1" s="1"/>
  <c r="B268" i="1"/>
  <c r="F268" i="1" s="1"/>
  <c r="B269" i="1"/>
  <c r="F269" i="1" s="1"/>
  <c r="B270" i="1"/>
  <c r="F270" i="1" s="1"/>
  <c r="B271" i="1"/>
  <c r="F271" i="1" s="1"/>
  <c r="B272" i="1"/>
  <c r="F272" i="1" s="1"/>
  <c r="B273" i="1"/>
  <c r="F273" i="1" s="1"/>
  <c r="B274" i="1"/>
  <c r="F274" i="1" s="1"/>
  <c r="B275" i="1"/>
  <c r="F275" i="1" s="1"/>
  <c r="B276" i="1"/>
  <c r="F276" i="1" s="1"/>
  <c r="B277" i="1"/>
  <c r="F277" i="1" s="1"/>
  <c r="B278" i="1"/>
  <c r="F278" i="1" s="1"/>
  <c r="B279" i="1"/>
  <c r="F279" i="1" s="1"/>
  <c r="B280" i="1"/>
  <c r="F280" i="1" s="1"/>
  <c r="B281" i="1"/>
  <c r="F281" i="1" s="1"/>
  <c r="B283" i="1"/>
  <c r="F283" i="1" s="1"/>
  <c r="B284" i="1"/>
  <c r="F284" i="1" s="1"/>
  <c r="B285" i="1"/>
  <c r="F285" i="1" s="1"/>
  <c r="B286" i="1"/>
  <c r="F286" i="1" s="1"/>
  <c r="B287" i="1"/>
  <c r="F287" i="1" s="1"/>
  <c r="B288" i="1"/>
  <c r="F288" i="1" s="1"/>
  <c r="B289" i="1"/>
  <c r="F289" i="1" s="1"/>
  <c r="B290" i="1"/>
  <c r="F290" i="1" s="1"/>
  <c r="B291" i="1"/>
  <c r="F291" i="1" s="1"/>
  <c r="B292" i="1"/>
  <c r="F292" i="1" s="1"/>
  <c r="B293" i="1"/>
  <c r="F293" i="1" s="1"/>
  <c r="B294" i="1"/>
  <c r="F294" i="1" s="1"/>
  <c r="B295" i="1"/>
  <c r="F295" i="1" s="1"/>
  <c r="B296" i="1"/>
  <c r="F296" i="1" s="1"/>
  <c r="B297" i="1"/>
  <c r="F297" i="1" s="1"/>
  <c r="B298" i="1"/>
  <c r="F298" i="1" s="1"/>
  <c r="B299" i="1"/>
  <c r="F299" i="1" s="1"/>
  <c r="B300" i="1"/>
  <c r="F300" i="1" s="1"/>
  <c r="B301" i="1"/>
  <c r="F301" i="1" s="1"/>
  <c r="B302" i="1"/>
  <c r="F302" i="1" s="1"/>
  <c r="B303" i="1"/>
  <c r="F303" i="1" s="1"/>
  <c r="B304" i="1"/>
  <c r="F304" i="1" s="1"/>
  <c r="B305" i="1"/>
  <c r="F305" i="1" s="1"/>
  <c r="B306" i="1"/>
  <c r="F306" i="1" s="1"/>
  <c r="B307" i="1"/>
  <c r="F307" i="1" s="1"/>
  <c r="B308" i="1"/>
  <c r="F308" i="1" s="1"/>
  <c r="B309" i="1"/>
  <c r="F309" i="1" s="1"/>
  <c r="B310" i="1"/>
  <c r="F310" i="1" s="1"/>
  <c r="B311" i="1"/>
  <c r="F311" i="1" s="1"/>
  <c r="B312" i="1"/>
  <c r="F312" i="1" s="1"/>
  <c r="B313" i="1"/>
  <c r="F313" i="1" s="1"/>
  <c r="B314" i="1"/>
  <c r="F314" i="1" s="1"/>
  <c r="B315" i="1"/>
  <c r="F315" i="1" s="1"/>
  <c r="B316" i="1"/>
  <c r="F316" i="1" s="1"/>
  <c r="B317" i="1"/>
  <c r="F317" i="1" s="1"/>
  <c r="B318" i="1"/>
  <c r="F318" i="1" s="1"/>
  <c r="B319" i="1"/>
  <c r="F319" i="1" s="1"/>
  <c r="B320" i="1"/>
  <c r="F320" i="1" s="1"/>
  <c r="B321" i="1"/>
  <c r="F321" i="1" s="1"/>
  <c r="B322" i="1"/>
  <c r="F322" i="1" s="1"/>
  <c r="B323" i="1"/>
  <c r="F323" i="1" s="1"/>
  <c r="B324" i="1"/>
  <c r="F324" i="1" s="1"/>
  <c r="B325" i="1"/>
  <c r="F325" i="1" s="1"/>
  <c r="B326" i="1"/>
  <c r="F326" i="1" s="1"/>
  <c r="B327" i="1"/>
  <c r="F327" i="1" s="1"/>
  <c r="B328" i="1"/>
  <c r="F328" i="1" s="1"/>
  <c r="B329" i="1"/>
  <c r="F329" i="1" s="1"/>
  <c r="B330" i="1"/>
  <c r="F330" i="1" s="1"/>
  <c r="B331" i="1"/>
  <c r="F331" i="1" s="1"/>
  <c r="B332" i="1"/>
  <c r="F332" i="1" s="1"/>
  <c r="B333" i="1"/>
  <c r="F333" i="1" s="1"/>
  <c r="B334" i="1"/>
  <c r="F334" i="1" s="1"/>
  <c r="B335" i="1"/>
  <c r="F335" i="1" s="1"/>
  <c r="B336" i="1"/>
  <c r="F336" i="1" s="1"/>
  <c r="B337" i="1"/>
  <c r="F337" i="1" s="1"/>
  <c r="B338" i="1"/>
  <c r="B339" i="1"/>
  <c r="F339" i="1" s="1"/>
  <c r="B340" i="1"/>
  <c r="F340" i="1" s="1"/>
  <c r="B341" i="1"/>
  <c r="F341" i="1" s="1"/>
  <c r="B342" i="1"/>
  <c r="F342" i="1" s="1"/>
  <c r="B343" i="1"/>
  <c r="F343" i="1" s="1"/>
  <c r="B344" i="1"/>
  <c r="F344" i="1" s="1"/>
  <c r="B345" i="1"/>
  <c r="F345" i="1" s="1"/>
  <c r="B346" i="1"/>
  <c r="F346" i="1" s="1"/>
  <c r="B347" i="1"/>
  <c r="F347" i="1" s="1"/>
  <c r="B348" i="1"/>
  <c r="F348" i="1" s="1"/>
  <c r="B349" i="1"/>
  <c r="F349" i="1" s="1"/>
  <c r="B350" i="1"/>
  <c r="F350" i="1" s="1"/>
  <c r="B351" i="1"/>
  <c r="F351" i="1" s="1"/>
  <c r="B352" i="1"/>
  <c r="F352" i="1" s="1"/>
  <c r="B353" i="1"/>
  <c r="F353" i="1" s="1"/>
  <c r="B354" i="1"/>
  <c r="F354" i="1" s="1"/>
  <c r="B355" i="1"/>
  <c r="F355" i="1" s="1"/>
  <c r="B356" i="1"/>
  <c r="F356" i="1" s="1"/>
  <c r="B357" i="1"/>
  <c r="F357" i="1" s="1"/>
  <c r="B358" i="1"/>
  <c r="F358" i="1" s="1"/>
  <c r="B359" i="1"/>
  <c r="F359" i="1" s="1"/>
  <c r="B360" i="1"/>
  <c r="F360" i="1" s="1"/>
  <c r="B361" i="1"/>
  <c r="F361" i="1" s="1"/>
  <c r="B362" i="1"/>
  <c r="F362" i="1" s="1"/>
  <c r="B363" i="1"/>
  <c r="F363" i="1" s="1"/>
  <c r="B364" i="1"/>
  <c r="F364" i="1" s="1"/>
  <c r="B365" i="1"/>
  <c r="F365" i="1" s="1"/>
  <c r="B366" i="1"/>
  <c r="F366" i="1" s="1"/>
  <c r="B367" i="1"/>
  <c r="F367" i="1" s="1"/>
  <c r="B368" i="1"/>
  <c r="F368" i="1" s="1"/>
  <c r="B369" i="1"/>
  <c r="B370" i="1"/>
  <c r="F370" i="1" s="1"/>
  <c r="B371" i="1"/>
  <c r="F371" i="1" s="1"/>
  <c r="B372" i="1"/>
  <c r="F372" i="1" s="1"/>
  <c r="B373" i="1"/>
  <c r="F373" i="1" s="1"/>
  <c r="B374" i="1"/>
  <c r="B375" i="1"/>
  <c r="F375" i="1" s="1"/>
  <c r="B376" i="1"/>
  <c r="F376" i="1" s="1"/>
  <c r="B377" i="1"/>
  <c r="F377" i="1" s="1"/>
  <c r="B378" i="1"/>
  <c r="F378" i="1" s="1"/>
  <c r="B379" i="1"/>
  <c r="F379" i="1" s="1"/>
  <c r="B380" i="1"/>
  <c r="F380" i="1" s="1"/>
  <c r="B381" i="1"/>
  <c r="F381" i="1" s="1"/>
  <c r="B382" i="1"/>
  <c r="F382" i="1" s="1"/>
  <c r="B383" i="1"/>
  <c r="F383" i="1" s="1"/>
  <c r="B384" i="1"/>
  <c r="F384" i="1" s="1"/>
  <c r="B385" i="1"/>
  <c r="F385" i="1" s="1"/>
  <c r="B386" i="1"/>
  <c r="F386" i="1" s="1"/>
  <c r="B387" i="1"/>
  <c r="F387" i="1" s="1"/>
  <c r="B388" i="1"/>
  <c r="F388" i="1" s="1"/>
  <c r="B389" i="1"/>
  <c r="F389" i="1" s="1"/>
  <c r="B390" i="1"/>
  <c r="F390" i="1" s="1"/>
  <c r="B391" i="1"/>
  <c r="F391" i="1" s="1"/>
  <c r="B392" i="1"/>
  <c r="F392" i="1" s="1"/>
  <c r="B393" i="1"/>
  <c r="F393" i="1" s="1"/>
  <c r="B394" i="1"/>
  <c r="F394" i="1" s="1"/>
  <c r="B395" i="1"/>
  <c r="F395" i="1" s="1"/>
  <c r="B396" i="1"/>
  <c r="F396" i="1" s="1"/>
  <c r="B397" i="1"/>
  <c r="F397" i="1" s="1"/>
  <c r="B398" i="1"/>
  <c r="F398" i="1" s="1"/>
  <c r="B399" i="1"/>
  <c r="F399" i="1" s="1"/>
  <c r="B400" i="1"/>
  <c r="F400" i="1" s="1"/>
  <c r="B401" i="1"/>
  <c r="F401" i="1" s="1"/>
  <c r="B402" i="1"/>
  <c r="F402" i="1" s="1"/>
  <c r="B403" i="1"/>
  <c r="F403" i="1" s="1"/>
  <c r="B404" i="1"/>
  <c r="F404" i="1" s="1"/>
  <c r="B405" i="1"/>
  <c r="F405" i="1" s="1"/>
  <c r="B406" i="1"/>
  <c r="F406" i="1" s="1"/>
  <c r="B407" i="1"/>
  <c r="F407" i="1" s="1"/>
  <c r="B408" i="1"/>
  <c r="F408" i="1" s="1"/>
  <c r="B409" i="1"/>
  <c r="F409" i="1" s="1"/>
  <c r="B410" i="1"/>
  <c r="F410" i="1" s="1"/>
  <c r="B411" i="1"/>
  <c r="F411" i="1" s="1"/>
  <c r="B412" i="1"/>
  <c r="F412" i="1" s="1"/>
  <c r="B413" i="1"/>
  <c r="F413" i="1" s="1"/>
  <c r="B414" i="1"/>
  <c r="F414" i="1" s="1"/>
  <c r="B415" i="1"/>
  <c r="F415" i="1" s="1"/>
  <c r="B416" i="1"/>
  <c r="F416" i="1" s="1"/>
  <c r="B417" i="1"/>
  <c r="F417" i="1" s="1"/>
  <c r="B418" i="1"/>
  <c r="F418" i="1" s="1"/>
  <c r="B419" i="1"/>
  <c r="F419" i="1" s="1"/>
  <c r="B420" i="1"/>
  <c r="F420" i="1" s="1"/>
  <c r="B421" i="1"/>
  <c r="F421" i="1" s="1"/>
  <c r="B422" i="1"/>
  <c r="F422" i="1" s="1"/>
  <c r="B423" i="1"/>
  <c r="F423" i="1" s="1"/>
  <c r="B424" i="1"/>
  <c r="F424" i="1" s="1"/>
  <c r="B425" i="1"/>
  <c r="F425" i="1" s="1"/>
  <c r="B426" i="1"/>
  <c r="F426" i="1" s="1"/>
  <c r="B427" i="1"/>
  <c r="F427" i="1" s="1"/>
  <c r="B428" i="1"/>
  <c r="F428" i="1" s="1"/>
  <c r="B429" i="1"/>
  <c r="F429" i="1" s="1"/>
  <c r="B430" i="1"/>
  <c r="F430" i="1" s="1"/>
  <c r="B431" i="1"/>
  <c r="F431" i="1" s="1"/>
  <c r="B432" i="1"/>
  <c r="F432" i="1" s="1"/>
  <c r="B433" i="1"/>
  <c r="F433" i="1" s="1"/>
  <c r="B434" i="1"/>
  <c r="F434" i="1" s="1"/>
  <c r="B435" i="1"/>
  <c r="F435" i="1" s="1"/>
  <c r="B436" i="1"/>
  <c r="F436" i="1" s="1"/>
  <c r="B437" i="1"/>
  <c r="F437" i="1" s="1"/>
  <c r="B438" i="1"/>
  <c r="F438" i="1" s="1"/>
  <c r="B439" i="1"/>
  <c r="F439" i="1" s="1"/>
  <c r="B440" i="1"/>
  <c r="F440" i="1" s="1"/>
  <c r="B441" i="1"/>
  <c r="F441" i="1" s="1"/>
  <c r="B442" i="1"/>
  <c r="F442" i="1" s="1"/>
  <c r="B443" i="1"/>
  <c r="F443" i="1" s="1"/>
  <c r="B444" i="1"/>
  <c r="F444" i="1" s="1"/>
  <c r="B445" i="1"/>
  <c r="F445" i="1" s="1"/>
  <c r="B446" i="1"/>
  <c r="F446" i="1" s="1"/>
  <c r="B447" i="1"/>
  <c r="F447" i="1" s="1"/>
  <c r="B448" i="1"/>
  <c r="F448" i="1" s="1"/>
  <c r="B449" i="1"/>
  <c r="F449" i="1" s="1"/>
  <c r="B450" i="1"/>
  <c r="F450" i="1" s="1"/>
  <c r="B451" i="1"/>
  <c r="F451" i="1" s="1"/>
  <c r="B452" i="1"/>
  <c r="F452" i="1" s="1"/>
  <c r="B453" i="1"/>
  <c r="F453" i="1" s="1"/>
  <c r="B454" i="1"/>
  <c r="F454" i="1" s="1"/>
  <c r="B455" i="1"/>
  <c r="F455" i="1" s="1"/>
  <c r="B456" i="1"/>
  <c r="F456" i="1" s="1"/>
  <c r="B457" i="1"/>
  <c r="F457" i="1" s="1"/>
  <c r="B458" i="1"/>
  <c r="F458" i="1" s="1"/>
  <c r="B459" i="1"/>
  <c r="F459" i="1" s="1"/>
  <c r="B460" i="1"/>
  <c r="F460" i="1" s="1"/>
  <c r="B461" i="1"/>
  <c r="B462" i="1"/>
  <c r="F462" i="1" s="1"/>
  <c r="B463" i="1"/>
  <c r="F463" i="1" s="1"/>
  <c r="B464" i="1"/>
  <c r="F464" i="1" s="1"/>
  <c r="B465" i="1"/>
  <c r="F465" i="1" s="1"/>
  <c r="B466" i="1"/>
  <c r="F466" i="1" s="1"/>
  <c r="B467" i="1"/>
  <c r="F467" i="1" s="1"/>
  <c r="B468" i="1"/>
  <c r="F468" i="1" s="1"/>
  <c r="B469" i="1"/>
  <c r="F469" i="1" s="1"/>
  <c r="B470" i="1"/>
  <c r="F470" i="1" s="1"/>
  <c r="B471" i="1"/>
  <c r="F471" i="1" s="1"/>
  <c r="B472" i="1"/>
  <c r="F472" i="1" s="1"/>
  <c r="B473" i="1"/>
  <c r="F473" i="1" s="1"/>
  <c r="B474" i="1"/>
  <c r="F474" i="1" s="1"/>
  <c r="B475" i="1"/>
  <c r="F475" i="1" s="1"/>
  <c r="B476" i="1"/>
  <c r="F476" i="1" s="1"/>
  <c r="B477" i="1"/>
  <c r="F477" i="1" s="1"/>
  <c r="B478" i="1"/>
  <c r="F478" i="1" s="1"/>
  <c r="B479" i="1"/>
  <c r="F479" i="1" s="1"/>
  <c r="B480" i="1"/>
  <c r="F480" i="1" s="1"/>
  <c r="B481" i="1"/>
  <c r="F481" i="1" s="1"/>
  <c r="B482" i="1"/>
  <c r="F482" i="1" s="1"/>
  <c r="B483" i="1"/>
  <c r="F483" i="1" s="1"/>
  <c r="B484" i="1"/>
  <c r="F484" i="1" s="1"/>
  <c r="B485" i="1"/>
  <c r="F485" i="1" s="1"/>
  <c r="B486" i="1"/>
  <c r="F486" i="1" s="1"/>
  <c r="B487" i="1"/>
  <c r="F487" i="1" s="1"/>
  <c r="B488" i="1"/>
  <c r="F488" i="1" s="1"/>
  <c r="B489" i="1"/>
  <c r="F489" i="1" s="1"/>
  <c r="B490" i="1"/>
  <c r="F490" i="1" s="1"/>
  <c r="B491" i="1"/>
  <c r="F491" i="1" s="1"/>
  <c r="B492" i="1"/>
  <c r="F492" i="1" s="1"/>
  <c r="B493" i="1"/>
  <c r="F493" i="1" s="1"/>
  <c r="B494" i="1"/>
  <c r="F494" i="1" s="1"/>
  <c r="B495" i="1"/>
  <c r="F495" i="1" s="1"/>
  <c r="B496" i="1"/>
  <c r="F496" i="1" s="1"/>
  <c r="B497" i="1"/>
  <c r="F497" i="1" s="1"/>
  <c r="B498" i="1"/>
  <c r="F498" i="1" s="1"/>
  <c r="B499" i="1"/>
  <c r="F499" i="1" s="1"/>
  <c r="B500" i="1"/>
  <c r="F500" i="1" s="1"/>
  <c r="B501" i="1"/>
  <c r="F501" i="1" s="1"/>
  <c r="B502" i="1"/>
  <c r="F502" i="1" s="1"/>
  <c r="B503" i="1"/>
  <c r="F503" i="1" s="1"/>
  <c r="B504" i="1"/>
  <c r="F504" i="1" s="1"/>
  <c r="B505" i="1"/>
  <c r="F505" i="1" s="1"/>
  <c r="B506" i="1"/>
  <c r="F506" i="1" s="1"/>
  <c r="B507" i="1"/>
  <c r="F507" i="1" s="1"/>
  <c r="B508" i="1"/>
  <c r="F508" i="1" s="1"/>
  <c r="B509" i="1"/>
  <c r="F509" i="1" s="1"/>
  <c r="B510" i="1"/>
  <c r="F510" i="1" s="1"/>
  <c r="B511" i="1"/>
  <c r="F511" i="1" s="1"/>
  <c r="B512" i="1"/>
  <c r="F512" i="1" s="1"/>
  <c r="B513" i="1"/>
  <c r="F513" i="1" s="1"/>
  <c r="B514" i="1"/>
  <c r="F514" i="1" s="1"/>
  <c r="B515" i="1"/>
  <c r="F515" i="1" s="1"/>
  <c r="B516" i="1"/>
  <c r="F516" i="1" s="1"/>
  <c r="B517" i="1"/>
  <c r="F517" i="1" s="1"/>
  <c r="B518" i="1"/>
  <c r="F518" i="1" s="1"/>
  <c r="B519" i="1"/>
  <c r="F519" i="1" s="1"/>
  <c r="B520" i="1"/>
  <c r="F520" i="1" s="1"/>
  <c r="B521" i="1"/>
  <c r="F521" i="1" s="1"/>
  <c r="B522" i="1"/>
  <c r="F522" i="1" s="1"/>
  <c r="B523" i="1"/>
  <c r="F523" i="1" s="1"/>
  <c r="B524" i="1"/>
  <c r="F524" i="1" s="1"/>
  <c r="B525" i="1"/>
  <c r="F525" i="1" s="1"/>
  <c r="B526" i="1"/>
  <c r="F526" i="1" s="1"/>
  <c r="B527" i="1"/>
  <c r="F527" i="1" s="1"/>
  <c r="B528" i="1"/>
  <c r="F528" i="1" s="1"/>
  <c r="B529" i="1"/>
  <c r="F529" i="1" s="1"/>
  <c r="B530" i="1"/>
  <c r="F530" i="1" s="1"/>
  <c r="B531" i="1"/>
  <c r="F531" i="1" s="1"/>
  <c r="B532" i="1"/>
  <c r="F532" i="1" s="1"/>
  <c r="B533" i="1"/>
  <c r="F533" i="1" s="1"/>
  <c r="B534" i="1"/>
  <c r="F534" i="1" s="1"/>
  <c r="B535" i="1"/>
  <c r="F535" i="1" s="1"/>
  <c r="B536" i="1"/>
  <c r="F536" i="1" s="1"/>
  <c r="B537" i="1"/>
  <c r="F537" i="1" s="1"/>
  <c r="B538" i="1"/>
  <c r="F538" i="1" s="1"/>
  <c r="B539" i="1"/>
  <c r="F539" i="1" s="1"/>
  <c r="B540" i="1"/>
  <c r="F540" i="1" s="1"/>
  <c r="B541" i="1"/>
  <c r="F541" i="1" s="1"/>
  <c r="B542" i="1"/>
  <c r="F542" i="1" s="1"/>
  <c r="B543" i="1"/>
  <c r="F543" i="1" s="1"/>
  <c r="B544" i="1"/>
  <c r="F544" i="1" s="1"/>
  <c r="B545" i="1"/>
  <c r="F545" i="1" s="1"/>
  <c r="B546" i="1"/>
  <c r="F546" i="1" s="1"/>
  <c r="B547" i="1"/>
  <c r="F547" i="1" s="1"/>
  <c r="B548" i="1"/>
  <c r="F548" i="1" s="1"/>
  <c r="B549" i="1"/>
  <c r="F549" i="1" s="1"/>
  <c r="B550" i="1"/>
  <c r="F550" i="1" s="1"/>
  <c r="B551" i="1"/>
  <c r="F551" i="1" s="1"/>
  <c r="B552" i="1"/>
  <c r="F552" i="1" s="1"/>
  <c r="B553" i="1"/>
  <c r="F553" i="1" s="1"/>
  <c r="B554" i="1"/>
  <c r="F554" i="1" s="1"/>
  <c r="B555" i="1"/>
  <c r="F555" i="1" s="1"/>
  <c r="B556" i="1"/>
  <c r="F556" i="1" s="1"/>
  <c r="B557" i="1"/>
  <c r="F557" i="1" s="1"/>
  <c r="B558" i="1"/>
  <c r="F558" i="1" s="1"/>
  <c r="B559" i="1"/>
  <c r="F559" i="1" s="1"/>
  <c r="B560" i="1"/>
  <c r="F560" i="1" s="1"/>
  <c r="B561" i="1"/>
  <c r="F561" i="1" s="1"/>
  <c r="B562" i="1"/>
  <c r="F562" i="1" s="1"/>
  <c r="B563" i="1"/>
  <c r="F563" i="1" s="1"/>
  <c r="B564" i="1"/>
  <c r="F564" i="1" s="1"/>
  <c r="B565" i="1"/>
  <c r="F565" i="1" s="1"/>
  <c r="B566" i="1"/>
  <c r="F566" i="1" s="1"/>
  <c r="B567" i="1"/>
  <c r="F567" i="1" s="1"/>
  <c r="B568" i="1"/>
  <c r="F568" i="1" s="1"/>
  <c r="B569" i="1"/>
  <c r="F569" i="1" s="1"/>
  <c r="B570" i="1"/>
  <c r="F570" i="1" s="1"/>
  <c r="B571" i="1"/>
  <c r="F571" i="1" s="1"/>
  <c r="B572" i="1"/>
  <c r="F572" i="1" s="1"/>
  <c r="B573" i="1"/>
  <c r="F573" i="1" s="1"/>
  <c r="B574" i="1"/>
  <c r="F574" i="1" s="1"/>
  <c r="B575" i="1"/>
  <c r="F575" i="1" s="1"/>
  <c r="B576" i="1"/>
  <c r="F576" i="1" s="1"/>
  <c r="B577" i="1"/>
  <c r="F577" i="1" s="1"/>
  <c r="B578" i="1"/>
  <c r="F578" i="1" s="1"/>
  <c r="B579" i="1"/>
  <c r="F579" i="1" s="1"/>
  <c r="B580" i="1"/>
  <c r="B581" i="1"/>
  <c r="F581" i="1" s="1"/>
  <c r="B582" i="1"/>
  <c r="F582" i="1" s="1"/>
  <c r="B583" i="1"/>
  <c r="F583" i="1" s="1"/>
  <c r="B584" i="1"/>
  <c r="F584" i="1" s="1"/>
  <c r="B585" i="1"/>
  <c r="F585" i="1" s="1"/>
  <c r="B586" i="1"/>
  <c r="F586" i="1" s="1"/>
  <c r="B587" i="1"/>
  <c r="F587" i="1" s="1"/>
  <c r="B588" i="1"/>
  <c r="F588" i="1" s="1"/>
  <c r="B589" i="1"/>
  <c r="F589" i="1" s="1"/>
  <c r="B590" i="1"/>
  <c r="F590" i="1" s="1"/>
  <c r="B591" i="1"/>
  <c r="F591" i="1" s="1"/>
  <c r="B592" i="1"/>
  <c r="F592" i="1" s="1"/>
  <c r="B593" i="1"/>
  <c r="F593" i="1" s="1"/>
  <c r="B594" i="1"/>
  <c r="F594" i="1" s="1"/>
  <c r="B595" i="1"/>
  <c r="F595" i="1" s="1"/>
  <c r="B596" i="1"/>
  <c r="F596" i="1" s="1"/>
  <c r="B597" i="1"/>
  <c r="F597" i="1" s="1"/>
  <c r="B598" i="1"/>
  <c r="F598" i="1" s="1"/>
  <c r="B599" i="1"/>
  <c r="F599" i="1" s="1"/>
  <c r="B600" i="1"/>
  <c r="F600" i="1" s="1"/>
  <c r="B601" i="1"/>
  <c r="F601" i="1" s="1"/>
  <c r="B602" i="1"/>
  <c r="F602" i="1" s="1"/>
  <c r="B603" i="1"/>
  <c r="F603" i="1" s="1"/>
  <c r="B604" i="1"/>
  <c r="B605" i="1"/>
  <c r="F605" i="1" s="1"/>
  <c r="B606" i="1"/>
  <c r="F606" i="1" s="1"/>
  <c r="B607" i="1"/>
  <c r="F607" i="1" s="1"/>
  <c r="B608" i="1"/>
  <c r="F608" i="1" s="1"/>
  <c r="B609" i="1"/>
  <c r="F609" i="1" s="1"/>
  <c r="B610" i="1"/>
  <c r="F610" i="1" s="1"/>
  <c r="B611" i="1"/>
  <c r="F611" i="1" s="1"/>
  <c r="B612" i="1"/>
  <c r="F612" i="1" s="1"/>
  <c r="B613" i="1"/>
  <c r="F613" i="1" s="1"/>
  <c r="B614" i="1"/>
  <c r="F614" i="1" s="1"/>
  <c r="B615" i="1"/>
  <c r="F615" i="1" s="1"/>
  <c r="B616" i="1"/>
  <c r="F616" i="1" s="1"/>
  <c r="B617" i="1"/>
  <c r="F617" i="1" s="1"/>
  <c r="B618" i="1"/>
  <c r="F618" i="1" s="1"/>
  <c r="B619" i="1"/>
  <c r="F619" i="1" s="1"/>
  <c r="B620" i="1"/>
  <c r="F620" i="1" s="1"/>
  <c r="B621" i="1"/>
  <c r="F621" i="1" s="1"/>
  <c r="B622" i="1"/>
  <c r="F622" i="1" s="1"/>
  <c r="B623" i="1"/>
  <c r="F623" i="1" s="1"/>
  <c r="B624" i="1"/>
  <c r="F624" i="1" s="1"/>
  <c r="B625" i="1"/>
  <c r="F625" i="1" s="1"/>
  <c r="B626" i="1"/>
  <c r="F626" i="1" s="1"/>
  <c r="B627" i="1"/>
  <c r="B628" i="1"/>
  <c r="F628" i="1" s="1"/>
  <c r="B629" i="1"/>
  <c r="B630" i="1"/>
  <c r="F630" i="1" s="1"/>
  <c r="B631" i="1"/>
  <c r="F631" i="1" s="1"/>
  <c r="B632" i="1"/>
  <c r="F632" i="1" s="1"/>
  <c r="B633" i="1"/>
  <c r="B634" i="1"/>
  <c r="F634" i="1" s="1"/>
  <c r="B635" i="1"/>
  <c r="F635" i="1" s="1"/>
  <c r="B636" i="1"/>
  <c r="F636" i="1" s="1"/>
  <c r="B637" i="1"/>
  <c r="F637" i="1" s="1"/>
  <c r="B638" i="1"/>
  <c r="F638" i="1" s="1"/>
  <c r="B639" i="1"/>
  <c r="F639" i="1" s="1"/>
  <c r="B640" i="1"/>
  <c r="F640" i="1" s="1"/>
  <c r="B641" i="1"/>
  <c r="F641" i="1" s="1"/>
  <c r="B642" i="1"/>
  <c r="F642" i="1" s="1"/>
  <c r="B643" i="1"/>
  <c r="F643" i="1" s="1"/>
  <c r="B644" i="1"/>
  <c r="F644" i="1" s="1"/>
  <c r="B645" i="1"/>
  <c r="F645" i="1" s="1"/>
  <c r="B646" i="1"/>
  <c r="F646" i="1" s="1"/>
  <c r="B647" i="1"/>
  <c r="F647" i="1" s="1"/>
  <c r="B648" i="1"/>
  <c r="F648" i="1" s="1"/>
  <c r="B649" i="1"/>
  <c r="F649" i="1" s="1"/>
  <c r="B651" i="1"/>
  <c r="F651" i="1" s="1"/>
  <c r="B652" i="1"/>
  <c r="F652" i="1" s="1"/>
  <c r="B653" i="1"/>
  <c r="B654" i="1"/>
  <c r="B655" i="1"/>
  <c r="F655" i="1" s="1"/>
  <c r="B656" i="1"/>
  <c r="F656" i="1" s="1"/>
  <c r="B657" i="1"/>
  <c r="F657" i="1" s="1"/>
  <c r="B658" i="1"/>
  <c r="F658" i="1" s="1"/>
  <c r="B659" i="1"/>
  <c r="F659" i="1" s="1"/>
  <c r="B660" i="1"/>
  <c r="F660" i="1" s="1"/>
  <c r="B661" i="1"/>
  <c r="F661" i="1" s="1"/>
  <c r="B662" i="1"/>
  <c r="F662" i="1" s="1"/>
  <c r="B663" i="1"/>
  <c r="F663" i="1" s="1"/>
  <c r="B664" i="1"/>
  <c r="F664" i="1" s="1"/>
  <c r="B665" i="1"/>
  <c r="F665" i="1" s="1"/>
  <c r="B666" i="1"/>
  <c r="F666" i="1" s="1"/>
  <c r="B667" i="1"/>
  <c r="F667" i="1" s="1"/>
  <c r="B668" i="1"/>
  <c r="F668" i="1" s="1"/>
  <c r="B669" i="1"/>
  <c r="F669" i="1" s="1"/>
  <c r="B670" i="1"/>
  <c r="F670" i="1" s="1"/>
  <c r="B671" i="1"/>
  <c r="F671" i="1" s="1"/>
  <c r="B672" i="1"/>
  <c r="F672" i="1" s="1"/>
  <c r="B673" i="1"/>
  <c r="F673" i="1" s="1"/>
  <c r="B674" i="1"/>
  <c r="F674" i="1" s="1"/>
  <c r="B675" i="1"/>
  <c r="F675" i="1" s="1"/>
  <c r="B676" i="1"/>
  <c r="F676" i="1" s="1"/>
  <c r="B677" i="1"/>
  <c r="F677" i="1" s="1"/>
  <c r="B678" i="1"/>
  <c r="F678" i="1" s="1"/>
  <c r="B679" i="1"/>
  <c r="F679" i="1" s="1"/>
  <c r="B680" i="1"/>
  <c r="F680" i="1" s="1"/>
  <c r="B681" i="1"/>
  <c r="F681" i="1" s="1"/>
  <c r="B682" i="1"/>
  <c r="F682" i="1" s="1"/>
  <c r="B683" i="1"/>
  <c r="F683" i="1" s="1"/>
  <c r="B684" i="1"/>
  <c r="F684" i="1" s="1"/>
  <c r="B685" i="1"/>
  <c r="F685" i="1" s="1"/>
  <c r="B686" i="1"/>
  <c r="F686" i="1" s="1"/>
  <c r="B687" i="1"/>
  <c r="F687" i="1" s="1"/>
  <c r="B688" i="1"/>
  <c r="F688" i="1" s="1"/>
  <c r="B689" i="1"/>
  <c r="F689" i="1" s="1"/>
  <c r="B690" i="1"/>
  <c r="F690" i="1" s="1"/>
  <c r="B691" i="1"/>
  <c r="F691" i="1" s="1"/>
  <c r="B692" i="1"/>
  <c r="F692" i="1" s="1"/>
  <c r="B693" i="1"/>
  <c r="F693" i="1" s="1"/>
  <c r="B694" i="1"/>
  <c r="F694" i="1" s="1"/>
  <c r="B695" i="1"/>
  <c r="F695" i="1" s="1"/>
  <c r="B696" i="1"/>
  <c r="F696" i="1" s="1"/>
  <c r="B697" i="1"/>
  <c r="F697" i="1" s="1"/>
  <c r="B698" i="1"/>
  <c r="F698" i="1" s="1"/>
  <c r="B699" i="1"/>
  <c r="F699" i="1" s="1"/>
  <c r="B700" i="1"/>
  <c r="F700" i="1" s="1"/>
  <c r="B701" i="1"/>
  <c r="F701" i="1" s="1"/>
  <c r="B702" i="1"/>
  <c r="F702" i="1" s="1"/>
  <c r="B703" i="1"/>
  <c r="F703" i="1" s="1"/>
  <c r="B704" i="1"/>
  <c r="F704" i="1" s="1"/>
  <c r="B705" i="1"/>
  <c r="F705" i="1" s="1"/>
  <c r="B706" i="1"/>
  <c r="F706" i="1" s="1"/>
  <c r="B707" i="1"/>
  <c r="F707" i="1" s="1"/>
  <c r="B708" i="1"/>
  <c r="F708" i="1" s="1"/>
  <c r="B709" i="1"/>
  <c r="F709" i="1" s="1"/>
  <c r="B710" i="1"/>
  <c r="F710" i="1" s="1"/>
  <c r="B711" i="1"/>
  <c r="F711" i="1" s="1"/>
  <c r="B712" i="1"/>
  <c r="F712" i="1" s="1"/>
  <c r="B713" i="1"/>
  <c r="F713" i="1" s="1"/>
  <c r="B714" i="1"/>
  <c r="F714" i="1" s="1"/>
  <c r="B715" i="1"/>
  <c r="F715" i="1" s="1"/>
  <c r="B716" i="1"/>
  <c r="F716" i="1" s="1"/>
  <c r="B717" i="1"/>
  <c r="F717" i="1" s="1"/>
  <c r="B718" i="1"/>
  <c r="F718" i="1" s="1"/>
  <c r="B719" i="1"/>
  <c r="F719" i="1" s="1"/>
  <c r="B720" i="1"/>
  <c r="F720" i="1" s="1"/>
  <c r="B721" i="1"/>
  <c r="F721" i="1" s="1"/>
  <c r="B722" i="1"/>
  <c r="F722" i="1" s="1"/>
  <c r="B723" i="1"/>
  <c r="F723" i="1" s="1"/>
  <c r="B724" i="1"/>
  <c r="F724" i="1" s="1"/>
  <c r="B725" i="1"/>
  <c r="F725" i="1" s="1"/>
  <c r="B726" i="1"/>
  <c r="F726" i="1" s="1"/>
  <c r="B727" i="1"/>
  <c r="F727" i="1" s="1"/>
  <c r="B728" i="1"/>
  <c r="F728" i="1" s="1"/>
  <c r="B729" i="1"/>
  <c r="F729" i="1" s="1"/>
  <c r="B730" i="1"/>
  <c r="F730" i="1" s="1"/>
  <c r="B731" i="1"/>
  <c r="F731" i="1" s="1"/>
  <c r="B732" i="1"/>
  <c r="F732" i="1" s="1"/>
  <c r="B733" i="1"/>
  <c r="F733" i="1" s="1"/>
  <c r="B734" i="1"/>
  <c r="F734" i="1" s="1"/>
  <c r="B735" i="1"/>
  <c r="F735" i="1" s="1"/>
  <c r="B736" i="1"/>
  <c r="F736" i="1" s="1"/>
  <c r="B737" i="1"/>
  <c r="F737" i="1" s="1"/>
  <c r="B738" i="1"/>
  <c r="F738" i="1" s="1"/>
  <c r="B739" i="1"/>
  <c r="F739" i="1" s="1"/>
  <c r="B740" i="1"/>
  <c r="F740" i="1" s="1"/>
  <c r="B741" i="1"/>
  <c r="F741" i="1" s="1"/>
  <c r="B742" i="1"/>
  <c r="F742" i="1" s="1"/>
  <c r="B743" i="1"/>
  <c r="F743" i="1" s="1"/>
  <c r="B744" i="1"/>
  <c r="F744" i="1" s="1"/>
  <c r="B745" i="1"/>
  <c r="F745" i="1" s="1"/>
  <c r="B746" i="1"/>
  <c r="F746" i="1" s="1"/>
  <c r="B747" i="1"/>
  <c r="F747" i="1" s="1"/>
  <c r="B748" i="1"/>
  <c r="F748" i="1" s="1"/>
  <c r="B749" i="1"/>
  <c r="F749" i="1" s="1"/>
  <c r="B750" i="1"/>
  <c r="F750" i="1" s="1"/>
  <c r="B751" i="1"/>
  <c r="F751" i="1" s="1"/>
  <c r="B752" i="1"/>
  <c r="F752" i="1" s="1"/>
  <c r="B753" i="1"/>
  <c r="F753" i="1" s="1"/>
  <c r="B754" i="1"/>
  <c r="F754" i="1" s="1"/>
  <c r="B755" i="1"/>
  <c r="F755" i="1" s="1"/>
  <c r="B756" i="1"/>
  <c r="F756" i="1" s="1"/>
  <c r="B757" i="1"/>
  <c r="F757" i="1" s="1"/>
  <c r="B758" i="1"/>
  <c r="F758" i="1" s="1"/>
  <c r="B759" i="1"/>
  <c r="F759" i="1" s="1"/>
  <c r="B760" i="1"/>
  <c r="F760" i="1" s="1"/>
  <c r="B761" i="1"/>
  <c r="F761" i="1" s="1"/>
  <c r="B762" i="1"/>
  <c r="F762" i="1" s="1"/>
  <c r="B763" i="1"/>
  <c r="F763" i="1" s="1"/>
  <c r="B764" i="1"/>
  <c r="F764" i="1" s="1"/>
  <c r="B765" i="1"/>
  <c r="F765" i="1" s="1"/>
  <c r="B766" i="1"/>
  <c r="F766" i="1" s="1"/>
  <c r="B767" i="1"/>
  <c r="F767" i="1" s="1"/>
  <c r="B768" i="1"/>
  <c r="F768" i="1" s="1"/>
  <c r="B769" i="1"/>
  <c r="F769" i="1" s="1"/>
  <c r="B770" i="1"/>
  <c r="F770" i="1" s="1"/>
  <c r="B771" i="1"/>
  <c r="F771" i="1" s="1"/>
  <c r="B772" i="1"/>
  <c r="F772" i="1" s="1"/>
  <c r="B773" i="1"/>
  <c r="F773" i="1" s="1"/>
  <c r="B774" i="1"/>
  <c r="F774" i="1" s="1"/>
  <c r="B775" i="1"/>
  <c r="F775" i="1" s="1"/>
  <c r="B776" i="1"/>
  <c r="F776" i="1" s="1"/>
  <c r="B777" i="1"/>
  <c r="F777" i="1" s="1"/>
  <c r="B778" i="1"/>
  <c r="F778" i="1" s="1"/>
  <c r="B779" i="1"/>
  <c r="F779" i="1" s="1"/>
  <c r="B780" i="1"/>
  <c r="F780" i="1" s="1"/>
  <c r="B781" i="1"/>
  <c r="F781" i="1" s="1"/>
  <c r="B782" i="1"/>
  <c r="F782" i="1" s="1"/>
  <c r="B783" i="1"/>
  <c r="F783" i="1" s="1"/>
  <c r="B784" i="1"/>
  <c r="F784" i="1" s="1"/>
  <c r="B785" i="1"/>
  <c r="F785" i="1" s="1"/>
  <c r="B786" i="1"/>
  <c r="F786" i="1" s="1"/>
  <c r="B787" i="1"/>
  <c r="F787" i="1" s="1"/>
  <c r="B788" i="1"/>
  <c r="F788" i="1" s="1"/>
  <c r="B789" i="1"/>
  <c r="F789" i="1" s="1"/>
  <c r="B790" i="1"/>
  <c r="F790" i="1" s="1"/>
  <c r="B791" i="1"/>
  <c r="F791" i="1" s="1"/>
  <c r="B792" i="1"/>
  <c r="F792" i="1" s="1"/>
  <c r="B793" i="1"/>
  <c r="F793" i="1" s="1"/>
  <c r="B794" i="1"/>
  <c r="F794" i="1" s="1"/>
  <c r="B795" i="1"/>
  <c r="F795" i="1" s="1"/>
  <c r="B796" i="1"/>
  <c r="F796" i="1" s="1"/>
  <c r="B797" i="1"/>
  <c r="F797" i="1" s="1"/>
  <c r="B798" i="1"/>
  <c r="F798" i="1" s="1"/>
  <c r="B799" i="1"/>
  <c r="F799" i="1" s="1"/>
  <c r="B800" i="1"/>
  <c r="F800" i="1" s="1"/>
  <c r="B801" i="1"/>
  <c r="F801" i="1" s="1"/>
  <c r="B802" i="1"/>
  <c r="F802" i="1" s="1"/>
  <c r="B805" i="1"/>
  <c r="F805" i="1" s="1"/>
  <c r="B806" i="1"/>
  <c r="F806" i="1" s="1"/>
  <c r="B807" i="1"/>
  <c r="F807" i="1" s="1"/>
  <c r="B808" i="1"/>
  <c r="F808" i="1" s="1"/>
  <c r="B809" i="1"/>
  <c r="F809" i="1" s="1"/>
  <c r="B810" i="1"/>
  <c r="F810" i="1" s="1"/>
  <c r="B811" i="1"/>
  <c r="F811" i="1" s="1"/>
  <c r="B812" i="1"/>
  <c r="F812" i="1" s="1"/>
  <c r="B813" i="1"/>
  <c r="F813" i="1" s="1"/>
  <c r="B814" i="1"/>
  <c r="F814" i="1" s="1"/>
  <c r="B815" i="1"/>
  <c r="F815" i="1" s="1"/>
  <c r="B816" i="1"/>
  <c r="F816" i="1" s="1"/>
  <c r="B817" i="1"/>
  <c r="F817" i="1" s="1"/>
  <c r="B818" i="1"/>
  <c r="F818" i="1" s="1"/>
  <c r="B819" i="1"/>
  <c r="F819" i="1" s="1"/>
  <c r="B820" i="1"/>
  <c r="F820" i="1" s="1"/>
  <c r="B821" i="1"/>
  <c r="F821" i="1" s="1"/>
  <c r="B822" i="1"/>
  <c r="F822" i="1" s="1"/>
  <c r="B823" i="1"/>
  <c r="F823" i="1" s="1"/>
  <c r="B824" i="1"/>
  <c r="F824" i="1" s="1"/>
  <c r="B825" i="1"/>
  <c r="F825" i="1" s="1"/>
  <c r="B826" i="1"/>
  <c r="F826" i="1" s="1"/>
  <c r="B827" i="1"/>
  <c r="F827" i="1" s="1"/>
  <c r="B828" i="1"/>
  <c r="F828" i="1" s="1"/>
  <c r="B829" i="1"/>
  <c r="F829" i="1" s="1"/>
  <c r="B830" i="1"/>
  <c r="F830" i="1" s="1"/>
  <c r="B831" i="1"/>
  <c r="F831" i="1" s="1"/>
  <c r="B832" i="1"/>
  <c r="F832" i="1" s="1"/>
  <c r="B833" i="1"/>
  <c r="F833" i="1" s="1"/>
  <c r="B834" i="1"/>
  <c r="F834" i="1" s="1"/>
  <c r="B835" i="1"/>
  <c r="F835" i="1" s="1"/>
  <c r="B836" i="1"/>
  <c r="F836" i="1" s="1"/>
  <c r="B837" i="1"/>
  <c r="F837" i="1" s="1"/>
  <c r="B838" i="1"/>
  <c r="F838" i="1" s="1"/>
  <c r="B839" i="1"/>
  <c r="F839" i="1" s="1"/>
  <c r="B840" i="1"/>
  <c r="F840" i="1" s="1"/>
  <c r="B841" i="1"/>
  <c r="F841" i="1" s="1"/>
  <c r="B842" i="1"/>
  <c r="F842" i="1" s="1"/>
  <c r="B843" i="1"/>
  <c r="F843" i="1" s="1"/>
  <c r="B844" i="1"/>
  <c r="F844" i="1" s="1"/>
  <c r="B845" i="1"/>
  <c r="F845" i="1" s="1"/>
  <c r="B846" i="1"/>
  <c r="F846" i="1" s="1"/>
  <c r="B847" i="1"/>
  <c r="B848" i="1"/>
  <c r="F848" i="1" s="1"/>
  <c r="B849" i="1"/>
  <c r="F849" i="1" s="1"/>
  <c r="B850" i="1"/>
  <c r="F850" i="1" s="1"/>
  <c r="B851" i="1"/>
  <c r="F851" i="1" s="1"/>
  <c r="B852" i="1"/>
  <c r="F852" i="1" s="1"/>
  <c r="B853" i="1"/>
  <c r="F853" i="1" s="1"/>
  <c r="B854" i="1"/>
  <c r="F854" i="1" s="1"/>
  <c r="B855" i="1"/>
  <c r="F855" i="1" s="1"/>
  <c r="B856" i="1"/>
  <c r="F856" i="1" s="1"/>
  <c r="B857" i="1"/>
  <c r="F857" i="1" s="1"/>
  <c r="B858" i="1"/>
  <c r="F858" i="1" s="1"/>
  <c r="B859" i="1"/>
  <c r="F859" i="1" s="1"/>
  <c r="B860" i="1"/>
  <c r="F860" i="1" s="1"/>
  <c r="B861" i="1"/>
  <c r="F861" i="1" s="1"/>
  <c r="B862" i="1"/>
  <c r="F862" i="1" s="1"/>
  <c r="B863" i="1"/>
  <c r="F863" i="1" s="1"/>
  <c r="B864" i="1"/>
  <c r="F864" i="1" s="1"/>
  <c r="B865" i="1"/>
  <c r="F865" i="1" s="1"/>
  <c r="B866" i="1"/>
  <c r="F866" i="1" s="1"/>
  <c r="B867" i="1"/>
  <c r="F867" i="1" s="1"/>
  <c r="B868" i="1"/>
  <c r="F868" i="1" s="1"/>
  <c r="B869" i="1"/>
  <c r="F869" i="1" s="1"/>
  <c r="B871" i="1"/>
  <c r="B872" i="1"/>
  <c r="B873" i="1"/>
  <c r="F873" i="1" s="1"/>
  <c r="B874" i="1"/>
  <c r="F874" i="1" s="1"/>
  <c r="B875" i="1"/>
  <c r="F875" i="1" s="1"/>
  <c r="B876" i="1"/>
  <c r="F876" i="1" s="1"/>
  <c r="B877" i="1"/>
  <c r="F877" i="1" s="1"/>
  <c r="B878" i="1"/>
  <c r="F878" i="1" s="1"/>
  <c r="B879" i="1"/>
  <c r="F879" i="1" s="1"/>
  <c r="B881" i="1"/>
  <c r="F881" i="1" s="1"/>
  <c r="B882" i="1"/>
  <c r="F882" i="1" s="1"/>
  <c r="B883" i="1"/>
  <c r="F883" i="1" s="1"/>
  <c r="B884" i="1"/>
  <c r="F884" i="1" s="1"/>
  <c r="B885" i="1"/>
  <c r="F885" i="1" s="1"/>
  <c r="B886" i="1"/>
  <c r="F886" i="1" s="1"/>
  <c r="B887" i="1"/>
  <c r="F887" i="1" s="1"/>
  <c r="B888" i="1"/>
  <c r="F888" i="1" s="1"/>
  <c r="B889" i="1"/>
  <c r="B890" i="1"/>
  <c r="B891" i="1"/>
  <c r="B892" i="1"/>
  <c r="F892" i="1" s="1"/>
  <c r="B893" i="1"/>
  <c r="F893" i="1" s="1"/>
  <c r="B894" i="1"/>
  <c r="F894" i="1" s="1"/>
  <c r="B895" i="1"/>
  <c r="F895" i="1" s="1"/>
  <c r="B896" i="1"/>
  <c r="F896" i="1" s="1"/>
  <c r="B897" i="1"/>
  <c r="F897" i="1" s="1"/>
  <c r="B898" i="1"/>
  <c r="F898" i="1" s="1"/>
  <c r="B899" i="1"/>
  <c r="F899" i="1" s="1"/>
  <c r="B900" i="1"/>
  <c r="F900" i="1" s="1"/>
  <c r="B901" i="1"/>
  <c r="F901" i="1" s="1"/>
  <c r="B902" i="1"/>
  <c r="F902" i="1" s="1"/>
  <c r="B903" i="1"/>
  <c r="B904" i="1"/>
  <c r="F904" i="1" s="1"/>
  <c r="B905" i="1"/>
  <c r="F905" i="1" s="1"/>
  <c r="B907" i="1"/>
  <c r="F907" i="1" s="1"/>
  <c r="B908" i="1"/>
  <c r="B909" i="1"/>
  <c r="F909" i="1" s="1"/>
  <c r="B910" i="1"/>
  <c r="F910" i="1" s="1"/>
  <c r="B911" i="1"/>
  <c r="F911" i="1" s="1"/>
  <c r="B912" i="1"/>
  <c r="F912" i="1" s="1"/>
  <c r="B913" i="1"/>
  <c r="F913" i="1" s="1"/>
  <c r="B914" i="1"/>
  <c r="F914" i="1" s="1"/>
  <c r="B915" i="1"/>
  <c r="F915" i="1" s="1"/>
  <c r="B916" i="1"/>
  <c r="F916" i="1" s="1"/>
  <c r="B917" i="1"/>
  <c r="F917" i="1" s="1"/>
  <c r="B918" i="1"/>
  <c r="F918" i="1" s="1"/>
  <c r="B919" i="1"/>
  <c r="F919" i="1" s="1"/>
  <c r="B920" i="1"/>
  <c r="F920" i="1" s="1"/>
  <c r="B921" i="1"/>
  <c r="F921" i="1" s="1"/>
  <c r="B922" i="1"/>
  <c r="F922" i="1" s="1"/>
  <c r="B923" i="1"/>
  <c r="F923" i="1" s="1"/>
  <c r="B924" i="1"/>
  <c r="F924" i="1" s="1"/>
  <c r="B925" i="1"/>
  <c r="F925" i="1" s="1"/>
  <c r="B926" i="1"/>
  <c r="F926" i="1" s="1"/>
  <c r="B927" i="1"/>
  <c r="F927" i="1" s="1"/>
  <c r="B928" i="1"/>
  <c r="F928" i="1" s="1"/>
  <c r="B929" i="1"/>
  <c r="F929" i="1" s="1"/>
  <c r="B930" i="1"/>
  <c r="B931" i="1"/>
  <c r="F931" i="1" s="1"/>
  <c r="B932" i="1"/>
  <c r="F932" i="1" s="1"/>
  <c r="B933" i="1"/>
  <c r="F933" i="1" s="1"/>
  <c r="B934" i="1"/>
  <c r="F934" i="1" s="1"/>
  <c r="B935" i="1"/>
  <c r="F935" i="1" s="1"/>
  <c r="B936" i="1"/>
  <c r="F936" i="1" s="1"/>
  <c r="B937" i="1"/>
  <c r="F937" i="1" s="1"/>
  <c r="B938" i="1"/>
  <c r="F938" i="1" s="1"/>
  <c r="B939" i="1"/>
  <c r="F939" i="1" s="1"/>
  <c r="B940" i="1"/>
  <c r="F940" i="1" s="1"/>
  <c r="B941" i="1"/>
  <c r="F941" i="1" s="1"/>
  <c r="B942" i="1"/>
  <c r="F942" i="1" s="1"/>
  <c r="B943" i="1"/>
  <c r="F943" i="1" s="1"/>
  <c r="B944" i="1"/>
  <c r="F944" i="1" s="1"/>
  <c r="B945" i="1"/>
  <c r="F945" i="1" s="1"/>
  <c r="B946" i="1"/>
  <c r="F946" i="1" s="1"/>
  <c r="B2" i="1"/>
  <c r="F2" i="1" s="1"/>
  <c r="J946" i="1" l="1"/>
  <c r="K12" i="4" l="1"/>
  <c r="K15" i="4"/>
  <c r="K7" i="4"/>
  <c r="K8" i="4"/>
  <c r="K16" i="4"/>
  <c r="K9" i="4"/>
  <c r="K5" i="4"/>
  <c r="K3" i="4"/>
  <c r="K4" i="4"/>
  <c r="K13" i="4"/>
  <c r="K10" i="4"/>
  <c r="K14" i="4"/>
  <c r="K11" i="4"/>
  <c r="K2" i="4"/>
  <c r="K17" i="4"/>
  <c r="K18" i="4"/>
  <c r="K6" i="4"/>
  <c r="J12" i="4"/>
  <c r="J15" i="4"/>
  <c r="J7" i="4"/>
  <c r="J8" i="4"/>
  <c r="J16" i="4"/>
  <c r="J9" i="4"/>
  <c r="J5" i="4"/>
  <c r="J3" i="4"/>
  <c r="J4" i="4"/>
  <c r="J13" i="4"/>
  <c r="J10" i="4"/>
  <c r="J14" i="4"/>
  <c r="J11" i="4"/>
  <c r="J2" i="4"/>
  <c r="J17" i="4"/>
  <c r="J18" i="4"/>
  <c r="J6" i="4"/>
  <c r="I12" i="4"/>
  <c r="I15" i="4"/>
  <c r="I7" i="4"/>
  <c r="I8" i="4"/>
  <c r="I16" i="4"/>
  <c r="I9" i="4"/>
  <c r="I5" i="4"/>
  <c r="I3" i="4"/>
  <c r="I4" i="4"/>
  <c r="I13" i="4"/>
  <c r="I10" i="4"/>
  <c r="I14" i="4"/>
  <c r="I11" i="4"/>
  <c r="I2" i="4"/>
  <c r="I17" i="4"/>
  <c r="I18" i="4"/>
  <c r="I6" i="4"/>
  <c r="H12" i="4"/>
  <c r="H15" i="4"/>
  <c r="H7" i="4"/>
  <c r="H8" i="4"/>
  <c r="H16" i="4"/>
  <c r="H9" i="4"/>
  <c r="H5" i="4"/>
  <c r="H3" i="4"/>
  <c r="H4" i="4"/>
  <c r="H13" i="4"/>
  <c r="H10" i="4"/>
  <c r="H14" i="4"/>
  <c r="H11" i="4"/>
  <c r="H2" i="4"/>
  <c r="H17" i="4"/>
  <c r="H18" i="4"/>
  <c r="H6" i="4"/>
  <c r="F12" i="4"/>
  <c r="F15" i="4"/>
  <c r="F7" i="4"/>
  <c r="F8" i="4"/>
  <c r="F16" i="4"/>
  <c r="F9" i="4"/>
  <c r="F5" i="4"/>
  <c r="F3" i="4"/>
  <c r="F4" i="4"/>
  <c r="F13" i="4"/>
  <c r="F10" i="4"/>
  <c r="F14" i="4"/>
  <c r="F11" i="4"/>
  <c r="F2" i="4"/>
  <c r="F17" i="4"/>
  <c r="F18" i="4"/>
  <c r="F6" i="4"/>
  <c r="J11" i="1" l="1"/>
  <c r="J12" i="1"/>
  <c r="J13" i="1"/>
  <c r="J14" i="1"/>
  <c r="J23" i="1"/>
  <c r="J24" i="1"/>
  <c r="J25" i="1"/>
  <c r="J26" i="1"/>
  <c r="J36" i="1"/>
  <c r="J38" i="1"/>
  <c r="J48" i="1"/>
  <c r="J50" i="1"/>
  <c r="J59" i="1"/>
  <c r="J61" i="1"/>
  <c r="J62" i="1"/>
  <c r="J71" i="1"/>
  <c r="J73" i="1"/>
  <c r="J74" i="1"/>
  <c r="J83" i="1"/>
  <c r="J84" i="1"/>
  <c r="J85" i="1"/>
  <c r="J86" i="1"/>
  <c r="J95" i="1"/>
  <c r="J96" i="1"/>
  <c r="J97" i="1"/>
  <c r="J98" i="1"/>
  <c r="J107" i="1"/>
  <c r="J108" i="1"/>
  <c r="J109" i="1"/>
  <c r="J110" i="1"/>
  <c r="J119" i="1"/>
  <c r="J120" i="1"/>
  <c r="J121" i="1"/>
  <c r="J122" i="1"/>
  <c r="J131" i="1"/>
  <c r="J132" i="1"/>
  <c r="J133" i="1"/>
  <c r="J134" i="1"/>
  <c r="J142" i="1"/>
  <c r="J143" i="1"/>
  <c r="J145" i="1"/>
  <c r="J146" i="1"/>
  <c r="J154" i="1"/>
  <c r="J155" i="1"/>
  <c r="J156" i="1"/>
  <c r="J157" i="1"/>
  <c r="J158" i="1"/>
  <c r="J166" i="1"/>
  <c r="J167" i="1"/>
  <c r="J168" i="1"/>
  <c r="J169" i="1"/>
  <c r="J170" i="1"/>
  <c r="J179" i="1"/>
  <c r="J181" i="1"/>
  <c r="J182" i="1"/>
  <c r="J186" i="1"/>
  <c r="J190" i="1"/>
  <c r="J191" i="1"/>
  <c r="J192" i="1"/>
  <c r="J193" i="1"/>
  <c r="J194" i="1"/>
  <c r="J198" i="1"/>
  <c r="J202" i="1"/>
  <c r="J203" i="1"/>
  <c r="J204" i="1"/>
  <c r="J205" i="1"/>
  <c r="J206" i="1"/>
  <c r="J215" i="1"/>
  <c r="J216" i="1"/>
  <c r="J218" i="1"/>
  <c r="J226" i="1"/>
  <c r="J227" i="1"/>
  <c r="J229" i="1"/>
  <c r="J230" i="1"/>
  <c r="J234" i="1"/>
  <c r="J238" i="1"/>
  <c r="J239" i="1"/>
  <c r="J240" i="1"/>
  <c r="J241" i="1"/>
  <c r="J242" i="1"/>
  <c r="J246" i="1"/>
  <c r="J250" i="1"/>
  <c r="J251" i="1"/>
  <c r="J252" i="1"/>
  <c r="J253" i="1"/>
  <c r="J254" i="1"/>
  <c r="J258" i="1"/>
  <c r="J262" i="1"/>
  <c r="J263" i="1"/>
  <c r="J264" i="1"/>
  <c r="J265" i="1"/>
  <c r="J266" i="1"/>
  <c r="J275" i="1"/>
  <c r="J276" i="1"/>
  <c r="J277" i="1"/>
  <c r="J278" i="1"/>
  <c r="J287" i="1"/>
  <c r="J288" i="1"/>
  <c r="J289" i="1"/>
  <c r="J290" i="1"/>
  <c r="J291" i="1"/>
  <c r="J295" i="1"/>
  <c r="J299" i="1"/>
  <c r="J300" i="1"/>
  <c r="J301" i="1"/>
  <c r="J302" i="1"/>
  <c r="J303" i="1"/>
  <c r="J307" i="1"/>
  <c r="J312" i="1"/>
  <c r="J314" i="1"/>
  <c r="J315" i="1"/>
  <c r="J319" i="1"/>
  <c r="J324" i="1"/>
  <c r="J325" i="1"/>
  <c r="J326" i="1"/>
  <c r="J327" i="1"/>
  <c r="J335" i="1"/>
  <c r="J336" i="1"/>
  <c r="J337" i="1"/>
  <c r="J338" i="1"/>
  <c r="J339" i="1"/>
  <c r="J343" i="1"/>
  <c r="J347" i="1"/>
  <c r="J348" i="1"/>
  <c r="J349" i="1"/>
  <c r="J350" i="1"/>
  <c r="J351" i="1"/>
  <c r="J355" i="1"/>
  <c r="J359" i="1"/>
  <c r="J360" i="1"/>
  <c r="J361" i="1"/>
  <c r="J362" i="1"/>
  <c r="J363" i="1"/>
  <c r="J367" i="1"/>
  <c r="J371" i="1"/>
  <c r="J372" i="1"/>
  <c r="J373" i="1"/>
  <c r="J374" i="1"/>
  <c r="J375" i="1"/>
  <c r="J383" i="1"/>
  <c r="J384" i="1"/>
  <c r="J385" i="1"/>
  <c r="J387" i="1"/>
  <c r="J391" i="1"/>
  <c r="J396" i="1"/>
  <c r="J398" i="1"/>
  <c r="J399" i="1"/>
  <c r="J403" i="1"/>
  <c r="J407" i="1"/>
  <c r="J408" i="1"/>
  <c r="J409" i="1"/>
  <c r="J410" i="1"/>
  <c r="J411" i="1"/>
  <c r="J415" i="1"/>
  <c r="J419" i="1"/>
  <c r="J420" i="1"/>
  <c r="J421" i="1"/>
  <c r="J422" i="1"/>
  <c r="J423" i="1"/>
  <c r="J427" i="1"/>
  <c r="J431" i="1"/>
  <c r="J432" i="1"/>
  <c r="J433" i="1"/>
  <c r="J434" i="1"/>
  <c r="J435" i="1"/>
  <c r="J439" i="1"/>
  <c r="J443" i="1"/>
  <c r="J444" i="1"/>
  <c r="J445" i="1"/>
  <c r="J446" i="1"/>
  <c r="J447" i="1"/>
  <c r="J451" i="1"/>
  <c r="J455" i="1"/>
  <c r="J456" i="1"/>
  <c r="J458" i="1"/>
  <c r="J459" i="1"/>
  <c r="J463" i="1"/>
  <c r="J468" i="1"/>
  <c r="J469" i="1"/>
  <c r="J470" i="1"/>
  <c r="J471" i="1"/>
  <c r="J475" i="1"/>
  <c r="J479" i="1"/>
  <c r="J480" i="1"/>
  <c r="J481" i="1"/>
  <c r="J482" i="1"/>
  <c r="J483" i="1"/>
  <c r="J487" i="1"/>
  <c r="J491" i="1"/>
  <c r="J492" i="1"/>
  <c r="J493" i="1"/>
  <c r="J494" i="1"/>
  <c r="J495" i="1"/>
  <c r="J499" i="1"/>
  <c r="J503" i="1"/>
  <c r="J504" i="1"/>
  <c r="J505" i="1"/>
  <c r="J507" i="1"/>
  <c r="J511" i="1"/>
  <c r="J515" i="1"/>
  <c r="J516" i="1"/>
  <c r="J517" i="1"/>
  <c r="J518" i="1"/>
  <c r="J519" i="1"/>
  <c r="J523" i="1"/>
  <c r="J527" i="1"/>
  <c r="J528" i="1"/>
  <c r="J529" i="1"/>
  <c r="J530" i="1"/>
  <c r="J531" i="1"/>
  <c r="J535" i="1"/>
  <c r="J539" i="1"/>
  <c r="J540" i="1"/>
  <c r="J541" i="1"/>
  <c r="J542" i="1"/>
  <c r="J543" i="1"/>
  <c r="J547" i="1"/>
  <c r="J551" i="1"/>
  <c r="J552" i="1"/>
  <c r="J553" i="1"/>
  <c r="J554" i="1"/>
  <c r="J555" i="1"/>
  <c r="J559" i="1"/>
  <c r="J563" i="1"/>
  <c r="J564" i="1"/>
  <c r="J565" i="1"/>
  <c r="J566" i="1"/>
  <c r="J567" i="1"/>
  <c r="J571" i="1"/>
  <c r="J575" i="1"/>
  <c r="J576" i="1"/>
  <c r="J577" i="1"/>
  <c r="J578" i="1"/>
  <c r="J579" i="1"/>
  <c r="J583" i="1"/>
  <c r="J588" i="1"/>
  <c r="J589" i="1"/>
  <c r="J590" i="1"/>
  <c r="J591" i="1"/>
  <c r="J595" i="1"/>
  <c r="J599" i="1"/>
  <c r="J600" i="1"/>
  <c r="J601" i="1"/>
  <c r="J602" i="1"/>
  <c r="J603" i="1"/>
  <c r="J607" i="1"/>
  <c r="J611" i="1"/>
  <c r="J612" i="1"/>
  <c r="J613" i="1"/>
  <c r="J614" i="1"/>
  <c r="J615" i="1"/>
  <c r="J619" i="1"/>
  <c r="J623" i="1"/>
  <c r="J624" i="1"/>
  <c r="J625" i="1"/>
  <c r="J626" i="1"/>
  <c r="J627" i="1"/>
  <c r="J631" i="1"/>
  <c r="J635" i="1"/>
  <c r="J636" i="1"/>
  <c r="J637" i="1"/>
  <c r="J638" i="1"/>
  <c r="J639" i="1"/>
  <c r="J643" i="1"/>
  <c r="J647" i="1"/>
  <c r="J648" i="1"/>
  <c r="J649" i="1"/>
  <c r="J651" i="1"/>
  <c r="J652" i="1"/>
  <c r="J656" i="1"/>
  <c r="J660" i="1"/>
  <c r="J661" i="1"/>
  <c r="J662" i="1"/>
  <c r="J663" i="1"/>
  <c r="J664" i="1"/>
  <c r="J668" i="1"/>
  <c r="J671" i="1"/>
  <c r="J672" i="1"/>
  <c r="J673" i="1"/>
  <c r="J674" i="1"/>
  <c r="J675" i="1"/>
  <c r="J676" i="1"/>
  <c r="J679" i="1"/>
  <c r="J680" i="1"/>
  <c r="J683" i="1"/>
  <c r="J684" i="1"/>
  <c r="J685" i="1"/>
  <c r="J686" i="1"/>
  <c r="J687" i="1"/>
  <c r="J688" i="1"/>
  <c r="J690" i="1"/>
  <c r="J691" i="1"/>
  <c r="J692" i="1"/>
  <c r="J695" i="1"/>
  <c r="J696" i="1"/>
  <c r="J697" i="1"/>
  <c r="J698" i="1"/>
  <c r="J699" i="1"/>
  <c r="J700" i="1"/>
  <c r="J703" i="1"/>
  <c r="J704" i="1"/>
  <c r="J707" i="1"/>
  <c r="J708" i="1"/>
  <c r="J709" i="1"/>
  <c r="J710" i="1"/>
  <c r="J711" i="1"/>
  <c r="J712" i="1"/>
  <c r="J715" i="1"/>
  <c r="J716" i="1"/>
  <c r="J719" i="1"/>
  <c r="J720" i="1"/>
  <c r="J721" i="1"/>
  <c r="J723" i="1"/>
  <c r="J724" i="1"/>
  <c r="J727" i="1"/>
  <c r="J728" i="1"/>
  <c r="J731" i="1"/>
  <c r="J732" i="1"/>
  <c r="J733" i="1"/>
  <c r="J734" i="1"/>
  <c r="J735" i="1"/>
  <c r="J736" i="1"/>
  <c r="J738" i="1"/>
  <c r="J739" i="1"/>
  <c r="J740" i="1"/>
  <c r="J742" i="1"/>
  <c r="J743" i="1"/>
  <c r="J744" i="1"/>
  <c r="J745" i="1"/>
  <c r="J746" i="1"/>
  <c r="J747" i="1"/>
  <c r="J748" i="1"/>
  <c r="J751" i="1"/>
  <c r="J752" i="1"/>
  <c r="J754" i="1"/>
  <c r="J755" i="1"/>
  <c r="J756" i="1"/>
  <c r="J757" i="1"/>
  <c r="J758" i="1"/>
  <c r="J759" i="1"/>
  <c r="J760" i="1"/>
  <c r="J762" i="1"/>
  <c r="J763" i="1"/>
  <c r="J764" i="1"/>
  <c r="J766" i="1"/>
  <c r="J767" i="1"/>
  <c r="J768" i="1"/>
  <c r="J769" i="1"/>
  <c r="J770" i="1"/>
  <c r="J771" i="1"/>
  <c r="J772" i="1"/>
  <c r="J773" i="1"/>
  <c r="J775" i="1"/>
  <c r="J776" i="1"/>
  <c r="J778" i="1"/>
  <c r="J779" i="1"/>
  <c r="J780" i="1"/>
  <c r="J781" i="1"/>
  <c r="J782" i="1"/>
  <c r="J783" i="1"/>
  <c r="J784" i="1"/>
  <c r="J785" i="1"/>
  <c r="J787" i="1"/>
  <c r="J788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4" i="1"/>
  <c r="J805" i="1"/>
  <c r="J806" i="1"/>
  <c r="J807" i="1"/>
  <c r="J808" i="1"/>
  <c r="J809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7" i="1"/>
  <c r="J848" i="1"/>
  <c r="J849" i="1"/>
  <c r="J850" i="1"/>
  <c r="J851" i="1"/>
  <c r="J852" i="1"/>
  <c r="J853" i="1"/>
  <c r="J854" i="1"/>
  <c r="J855" i="1"/>
  <c r="J856" i="1"/>
  <c r="J857" i="1"/>
  <c r="J859" i="1"/>
  <c r="J860" i="1"/>
  <c r="J861" i="1"/>
  <c r="J862" i="1"/>
  <c r="J863" i="1"/>
  <c r="J864" i="1"/>
  <c r="J865" i="1"/>
  <c r="J866" i="1"/>
  <c r="J867" i="1"/>
  <c r="J868" i="1"/>
  <c r="J871" i="1"/>
  <c r="J872" i="1"/>
  <c r="J873" i="1"/>
  <c r="J874" i="1"/>
  <c r="J875" i="1"/>
  <c r="J876" i="1"/>
  <c r="J877" i="1"/>
  <c r="J878" i="1"/>
  <c r="J879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1" i="1"/>
  <c r="J902" i="1"/>
  <c r="J903" i="1"/>
  <c r="J904" i="1"/>
  <c r="J905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2" i="1"/>
  <c r="J900" i="1"/>
  <c r="J858" i="1"/>
  <c r="J846" i="1"/>
  <c r="J810" i="1"/>
  <c r="J789" i="1"/>
  <c r="J786" i="1"/>
  <c r="J777" i="1"/>
  <c r="J774" i="1"/>
  <c r="J765" i="1"/>
  <c r="J761" i="1"/>
  <c r="J753" i="1"/>
  <c r="J750" i="1"/>
  <c r="J749" i="1"/>
  <c r="J741" i="1"/>
  <c r="J737" i="1"/>
  <c r="J730" i="1"/>
  <c r="J729" i="1"/>
  <c r="J726" i="1"/>
  <c r="J725" i="1"/>
  <c r="J722" i="1"/>
  <c r="J718" i="1"/>
  <c r="J717" i="1"/>
  <c r="J714" i="1"/>
  <c r="J713" i="1"/>
  <c r="J706" i="1"/>
  <c r="J705" i="1"/>
  <c r="J702" i="1"/>
  <c r="J701" i="1"/>
  <c r="J694" i="1"/>
  <c r="J693" i="1"/>
  <c r="J689" i="1"/>
  <c r="J682" i="1"/>
  <c r="J681" i="1"/>
  <c r="J678" i="1"/>
  <c r="J677" i="1"/>
  <c r="J670" i="1"/>
  <c r="J669" i="1"/>
  <c r="J667" i="1"/>
  <c r="J666" i="1"/>
  <c r="J665" i="1"/>
  <c r="J659" i="1"/>
  <c r="J658" i="1"/>
  <c r="J657" i="1"/>
  <c r="J655" i="1"/>
  <c r="J654" i="1"/>
  <c r="J653" i="1"/>
  <c r="J646" i="1"/>
  <c r="J645" i="1"/>
  <c r="J644" i="1"/>
  <c r="J642" i="1"/>
  <c r="J641" i="1"/>
  <c r="J640" i="1"/>
  <c r="J634" i="1"/>
  <c r="J633" i="1"/>
  <c r="J632" i="1"/>
  <c r="J630" i="1"/>
  <c r="J629" i="1"/>
  <c r="J628" i="1"/>
  <c r="J622" i="1"/>
  <c r="J621" i="1"/>
  <c r="J620" i="1"/>
  <c r="J618" i="1"/>
  <c r="J617" i="1"/>
  <c r="J616" i="1"/>
  <c r="J610" i="1"/>
  <c r="J609" i="1"/>
  <c r="J608" i="1"/>
  <c r="J606" i="1"/>
  <c r="J605" i="1"/>
  <c r="J604" i="1"/>
  <c r="J598" i="1"/>
  <c r="J597" i="1"/>
  <c r="J596" i="1"/>
  <c r="J594" i="1"/>
  <c r="J593" i="1"/>
  <c r="J592" i="1"/>
  <c r="J587" i="1"/>
  <c r="J586" i="1"/>
  <c r="J585" i="1"/>
  <c r="J584" i="1"/>
  <c r="J582" i="1"/>
  <c r="J581" i="1"/>
  <c r="J580" i="1"/>
  <c r="J574" i="1"/>
  <c r="J573" i="1"/>
  <c r="J572" i="1"/>
  <c r="J570" i="1"/>
  <c r="J569" i="1"/>
  <c r="J568" i="1"/>
  <c r="J562" i="1"/>
  <c r="J561" i="1"/>
  <c r="J560" i="1"/>
  <c r="J558" i="1"/>
  <c r="J557" i="1"/>
  <c r="J556" i="1"/>
  <c r="J550" i="1"/>
  <c r="J549" i="1"/>
  <c r="J548" i="1"/>
  <c r="J546" i="1"/>
  <c r="J545" i="1"/>
  <c r="J544" i="1"/>
  <c r="J538" i="1"/>
  <c r="J537" i="1"/>
  <c r="J536" i="1"/>
  <c r="J534" i="1"/>
  <c r="J533" i="1"/>
  <c r="J532" i="1"/>
  <c r="J526" i="1"/>
  <c r="J525" i="1"/>
  <c r="J524" i="1"/>
  <c r="J522" i="1"/>
  <c r="J521" i="1"/>
  <c r="J520" i="1"/>
  <c r="J514" i="1"/>
  <c r="J513" i="1"/>
  <c r="J512" i="1"/>
  <c r="J510" i="1"/>
  <c r="J509" i="1"/>
  <c r="J508" i="1"/>
  <c r="J506" i="1"/>
  <c r="J502" i="1"/>
  <c r="J501" i="1"/>
  <c r="J500" i="1"/>
  <c r="J498" i="1"/>
  <c r="J497" i="1"/>
  <c r="J496" i="1"/>
  <c r="J490" i="1"/>
  <c r="J489" i="1"/>
  <c r="J488" i="1"/>
  <c r="J486" i="1"/>
  <c r="J485" i="1"/>
  <c r="J484" i="1"/>
  <c r="J478" i="1"/>
  <c r="J477" i="1"/>
  <c r="J476" i="1"/>
  <c r="J474" i="1"/>
  <c r="J473" i="1"/>
  <c r="J472" i="1"/>
  <c r="J467" i="1"/>
  <c r="J466" i="1"/>
  <c r="J465" i="1"/>
  <c r="J464" i="1"/>
  <c r="J462" i="1"/>
  <c r="J461" i="1"/>
  <c r="J460" i="1"/>
  <c r="J457" i="1"/>
  <c r="J454" i="1"/>
  <c r="J453" i="1"/>
  <c r="J452" i="1"/>
  <c r="J450" i="1"/>
  <c r="J449" i="1"/>
  <c r="J448" i="1"/>
  <c r="J442" i="1"/>
  <c r="J441" i="1"/>
  <c r="J440" i="1"/>
  <c r="J438" i="1"/>
  <c r="J437" i="1"/>
  <c r="J436" i="1"/>
  <c r="J430" i="1"/>
  <c r="J429" i="1"/>
  <c r="J428" i="1"/>
  <c r="J426" i="1"/>
  <c r="J425" i="1"/>
  <c r="J424" i="1"/>
  <c r="J418" i="1"/>
  <c r="J417" i="1"/>
  <c r="J416" i="1"/>
  <c r="J414" i="1"/>
  <c r="J413" i="1"/>
  <c r="J412" i="1"/>
  <c r="J406" i="1"/>
  <c r="J405" i="1"/>
  <c r="J404" i="1"/>
  <c r="J402" i="1"/>
  <c r="J401" i="1"/>
  <c r="J400" i="1"/>
  <c r="J397" i="1"/>
  <c r="J395" i="1"/>
  <c r="J394" i="1"/>
  <c r="J393" i="1"/>
  <c r="J392" i="1"/>
  <c r="J390" i="1"/>
  <c r="J389" i="1"/>
  <c r="J388" i="1"/>
  <c r="J386" i="1"/>
  <c r="J382" i="1"/>
  <c r="J381" i="1"/>
  <c r="J380" i="1"/>
  <c r="J379" i="1"/>
  <c r="J378" i="1"/>
  <c r="J377" i="1"/>
  <c r="J376" i="1"/>
  <c r="J370" i="1"/>
  <c r="J369" i="1"/>
  <c r="J368" i="1"/>
  <c r="J366" i="1"/>
  <c r="J365" i="1"/>
  <c r="J364" i="1"/>
  <c r="J358" i="1"/>
  <c r="J357" i="1"/>
  <c r="J356" i="1"/>
  <c r="J354" i="1"/>
  <c r="J353" i="1"/>
  <c r="J352" i="1"/>
  <c r="J346" i="1"/>
  <c r="J345" i="1"/>
  <c r="J344" i="1"/>
  <c r="J342" i="1"/>
  <c r="J341" i="1"/>
  <c r="J340" i="1"/>
  <c r="J334" i="1"/>
  <c r="J333" i="1"/>
  <c r="J332" i="1"/>
  <c r="J331" i="1"/>
  <c r="J330" i="1"/>
  <c r="J329" i="1"/>
  <c r="J328" i="1"/>
  <c r="J323" i="1"/>
  <c r="J322" i="1"/>
  <c r="J321" i="1"/>
  <c r="J320" i="1"/>
  <c r="J318" i="1"/>
  <c r="J317" i="1"/>
  <c r="J316" i="1"/>
  <c r="J313" i="1"/>
  <c r="J311" i="1"/>
  <c r="J310" i="1"/>
  <c r="J309" i="1"/>
  <c r="J308" i="1"/>
  <c r="J306" i="1"/>
  <c r="J305" i="1"/>
  <c r="J304" i="1"/>
  <c r="J298" i="1"/>
  <c r="J297" i="1"/>
  <c r="J296" i="1"/>
  <c r="J294" i="1"/>
  <c r="J293" i="1"/>
  <c r="J292" i="1"/>
  <c r="J286" i="1"/>
  <c r="J285" i="1"/>
  <c r="J284" i="1"/>
  <c r="J283" i="1"/>
  <c r="J280" i="1"/>
  <c r="J279" i="1"/>
  <c r="J274" i="1"/>
  <c r="J273" i="1"/>
  <c r="J272" i="1"/>
  <c r="J271" i="1"/>
  <c r="J270" i="1"/>
  <c r="J269" i="1"/>
  <c r="J268" i="1"/>
  <c r="J267" i="1"/>
  <c r="J261" i="1"/>
  <c r="J260" i="1"/>
  <c r="J259" i="1"/>
  <c r="J257" i="1"/>
  <c r="J256" i="1"/>
  <c r="J255" i="1"/>
  <c r="J249" i="1"/>
  <c r="J248" i="1"/>
  <c r="J247" i="1"/>
  <c r="J245" i="1"/>
  <c r="J244" i="1"/>
  <c r="J243" i="1"/>
  <c r="J237" i="1"/>
  <c r="J236" i="1"/>
  <c r="J235" i="1"/>
  <c r="J233" i="1"/>
  <c r="J232" i="1"/>
  <c r="J231" i="1"/>
  <c r="J228" i="1"/>
  <c r="J225" i="1"/>
  <c r="J224" i="1"/>
  <c r="J223" i="1"/>
  <c r="J222" i="1"/>
  <c r="J221" i="1"/>
  <c r="J220" i="1"/>
  <c r="J219" i="1"/>
  <c r="J217" i="1"/>
  <c r="J214" i="1"/>
  <c r="J213" i="1"/>
  <c r="J212" i="1"/>
  <c r="J211" i="1"/>
  <c r="J210" i="1"/>
  <c r="J209" i="1"/>
  <c r="J208" i="1"/>
  <c r="J207" i="1"/>
  <c r="J201" i="1"/>
  <c r="J200" i="1"/>
  <c r="J199" i="1"/>
  <c r="J197" i="1"/>
  <c r="J196" i="1"/>
  <c r="J195" i="1"/>
  <c r="J189" i="1"/>
  <c r="J188" i="1"/>
  <c r="J187" i="1"/>
  <c r="J185" i="1"/>
  <c r="J184" i="1"/>
  <c r="J183" i="1"/>
  <c r="J180" i="1"/>
  <c r="J178" i="1"/>
  <c r="J177" i="1"/>
  <c r="J176" i="1"/>
  <c r="J175" i="1"/>
  <c r="J174" i="1"/>
  <c r="J173" i="1"/>
  <c r="J172" i="1"/>
  <c r="J171" i="1"/>
  <c r="J165" i="1"/>
  <c r="J164" i="1"/>
  <c r="J163" i="1"/>
  <c r="J162" i="1"/>
  <c r="J161" i="1"/>
  <c r="J160" i="1"/>
  <c r="J159" i="1"/>
  <c r="J153" i="1"/>
  <c r="J152" i="1"/>
  <c r="J151" i="1"/>
  <c r="J150" i="1"/>
  <c r="J149" i="1"/>
  <c r="J148" i="1"/>
  <c r="J147" i="1"/>
  <c r="J144" i="1"/>
  <c r="J141" i="1"/>
  <c r="J140" i="1"/>
  <c r="J139" i="1"/>
  <c r="J138" i="1"/>
  <c r="J137" i="1"/>
  <c r="J136" i="1"/>
  <c r="J135" i="1"/>
  <c r="J130" i="1"/>
  <c r="J129" i="1"/>
  <c r="J128" i="1"/>
  <c r="J127" i="1"/>
  <c r="J126" i="1"/>
  <c r="J125" i="1"/>
  <c r="J124" i="1"/>
  <c r="J123" i="1"/>
  <c r="J118" i="1"/>
  <c r="J117" i="1"/>
  <c r="J116" i="1"/>
  <c r="J115" i="1"/>
  <c r="J114" i="1"/>
  <c r="J113" i="1"/>
  <c r="J112" i="1"/>
  <c r="J111" i="1"/>
  <c r="J106" i="1"/>
  <c r="J105" i="1"/>
  <c r="J104" i="1"/>
  <c r="J103" i="1"/>
  <c r="J102" i="1"/>
  <c r="J101" i="1"/>
  <c r="J100" i="1"/>
  <c r="J99" i="1"/>
  <c r="J94" i="1"/>
  <c r="J93" i="1"/>
  <c r="J92" i="1"/>
  <c r="J91" i="1"/>
  <c r="J90" i="1"/>
  <c r="J89" i="1"/>
  <c r="J88" i="1"/>
  <c r="J87" i="1"/>
  <c r="J82" i="1"/>
  <c r="J81" i="1"/>
  <c r="J80" i="1"/>
  <c r="J79" i="1"/>
  <c r="J78" i="1"/>
  <c r="J77" i="1"/>
  <c r="J76" i="1"/>
  <c r="J75" i="1"/>
  <c r="J72" i="1"/>
  <c r="J70" i="1"/>
  <c r="J69" i="1"/>
  <c r="J68" i="1"/>
  <c r="J67" i="1"/>
  <c r="J66" i="1"/>
  <c r="J65" i="1"/>
  <c r="J64" i="1"/>
  <c r="J63" i="1"/>
  <c r="J60" i="1"/>
  <c r="J58" i="1"/>
  <c r="J57" i="1"/>
  <c r="J56" i="1"/>
  <c r="J55" i="1"/>
  <c r="J54" i="1"/>
  <c r="J53" i="1"/>
  <c r="J52" i="1"/>
  <c r="J51" i="1"/>
  <c r="J49" i="1"/>
  <c r="J47" i="1"/>
  <c r="J46" i="1"/>
  <c r="J45" i="1"/>
  <c r="J44" i="1"/>
  <c r="J43" i="1"/>
  <c r="J42" i="1"/>
  <c r="J41" i="1"/>
  <c r="J40" i="1"/>
  <c r="J39" i="1"/>
  <c r="J37" i="1"/>
  <c r="J35" i="1"/>
  <c r="J34" i="1"/>
  <c r="J33" i="1"/>
  <c r="J32" i="1"/>
  <c r="J31" i="1"/>
  <c r="J30" i="1"/>
  <c r="J29" i="1"/>
  <c r="J28" i="1"/>
  <c r="J27" i="1"/>
  <c r="J22" i="1"/>
  <c r="J21" i="1"/>
  <c r="J20" i="1"/>
  <c r="J19" i="1"/>
  <c r="J18" i="1"/>
  <c r="J17" i="1"/>
  <c r="J16" i="1"/>
  <c r="J15" i="1"/>
  <c r="J10" i="1"/>
  <c r="J9" i="1"/>
  <c r="J8" i="1"/>
  <c r="J7" i="1"/>
  <c r="J6" i="1"/>
  <c r="J5" i="1"/>
  <c r="J4" i="1"/>
  <c r="J3" i="1"/>
  <c r="K2" i="1"/>
</calcChain>
</file>

<file path=xl/sharedStrings.xml><?xml version="1.0" encoding="utf-8"?>
<sst xmlns="http://schemas.openxmlformats.org/spreadsheetml/2006/main" count="14414" uniqueCount="2757">
  <si>
    <t>Lam P/N</t>
  </si>
  <si>
    <t>MPN</t>
  </si>
  <si>
    <t>Manufacturer</t>
  </si>
  <si>
    <t>Item Description</t>
  </si>
  <si>
    <t>QTY ON HAND</t>
  </si>
  <si>
    <t>682-138807-003</t>
  </si>
  <si>
    <t>0452002.MRL</t>
  </si>
  <si>
    <t>29-409701-00</t>
  </si>
  <si>
    <t>06035C104JAT2A</t>
  </si>
  <si>
    <t>670-A07635-022</t>
  </si>
  <si>
    <t>0650R9120-13</t>
  </si>
  <si>
    <t>682-343485-200</t>
  </si>
  <si>
    <t>0686F2000-01</t>
  </si>
  <si>
    <t>682-343485-500</t>
  </si>
  <si>
    <t>0686F5000-01</t>
  </si>
  <si>
    <t>648-082229-151</t>
  </si>
  <si>
    <t>08051A151JAT2A</t>
  </si>
  <si>
    <t>648-157397-220</t>
  </si>
  <si>
    <t>08051A220FAT2A</t>
  </si>
  <si>
    <t>645-A87739-001</t>
  </si>
  <si>
    <t>09.03290.01</t>
  </si>
  <si>
    <t>668-A09548-015</t>
  </si>
  <si>
    <t>609-099412-180</t>
  </si>
  <si>
    <t>1.5SMC18A</t>
  </si>
  <si>
    <t>609-099412-300</t>
  </si>
  <si>
    <t>1.5SMC30A</t>
  </si>
  <si>
    <t>609-099412-360</t>
  </si>
  <si>
    <t>‎1.5SMC36A‎</t>
  </si>
  <si>
    <t>668-130332-001</t>
  </si>
  <si>
    <t>10080054-079LF</t>
  </si>
  <si>
    <t>668-A20995-044</t>
  </si>
  <si>
    <t>10090926-P444VLF</t>
  </si>
  <si>
    <t>668-335595-002</t>
  </si>
  <si>
    <t>10090929-S154XLF</t>
  </si>
  <si>
    <t>668-335595-001</t>
  </si>
  <si>
    <t>10090929-S264XLF</t>
  </si>
  <si>
    <t>668-335595-003</t>
  </si>
  <si>
    <t>10090929-S444XLF</t>
  </si>
  <si>
    <t>669-238096-001</t>
  </si>
  <si>
    <t>101247-001</t>
  </si>
  <si>
    <t>667-A20844-002</t>
  </si>
  <si>
    <t>10139085-124402LF</t>
  </si>
  <si>
    <t>669-116934-001</t>
  </si>
  <si>
    <t>101628-000</t>
  </si>
  <si>
    <t>Interconnect</t>
  </si>
  <si>
    <t>CONT,PIN,SPRING PROBE</t>
  </si>
  <si>
    <t>648-108237-001</t>
  </si>
  <si>
    <t>101X15N220MV4E</t>
  </si>
  <si>
    <t>668-092917-036</t>
  </si>
  <si>
    <t>10236-6212PC</t>
  </si>
  <si>
    <t>3M</t>
  </si>
  <si>
    <t>668-005463-006</t>
  </si>
  <si>
    <t>10-89-7060</t>
  </si>
  <si>
    <t>Molex LLC</t>
  </si>
  <si>
    <t>648-097891-473</t>
  </si>
  <si>
    <t>12065C473KAT2A</t>
  </si>
  <si>
    <t>39-164229-07</t>
  </si>
  <si>
    <t>13-000121</t>
  </si>
  <si>
    <t>CONEC Elektronische Bauelemente GmbH</t>
  </si>
  <si>
    <t>668-290744-001</t>
  </si>
  <si>
    <t>670-265857-007</t>
  </si>
  <si>
    <t>1410-G110-L2F1-S01-4A</t>
  </si>
  <si>
    <t>34-295469-00</t>
  </si>
  <si>
    <t>1410-G110-L2F1-S01-6.3A</t>
  </si>
  <si>
    <t>34-267566-00</t>
  </si>
  <si>
    <t>1410-L110-L1F1-S01-6.3A</t>
  </si>
  <si>
    <t>34-143740-08</t>
  </si>
  <si>
    <t>1410-L110-L1F1-S01-8A</t>
  </si>
  <si>
    <t>668-339894-001</t>
  </si>
  <si>
    <t>142-0701-501</t>
  </si>
  <si>
    <t>668-322137-001</t>
  </si>
  <si>
    <t>660-B26903-001</t>
  </si>
  <si>
    <t>15A24-N15-I10-1</t>
  </si>
  <si>
    <t>660-B26902-001</t>
  </si>
  <si>
    <t>15A24-P15-I10-1</t>
  </si>
  <si>
    <t>668-277308-003</t>
  </si>
  <si>
    <t>163A16169X</t>
  </si>
  <si>
    <t>668-132368-025</t>
  </si>
  <si>
    <t>164A16589X</t>
  </si>
  <si>
    <t>668-A51501-015</t>
  </si>
  <si>
    <t>164A17359X</t>
  </si>
  <si>
    <t>CONN,RCPT,D-SUB,H DENSITY,15POSN,3A,60V</t>
  </si>
  <si>
    <t>668-A51501-026</t>
  </si>
  <si>
    <t>164A17369X</t>
  </si>
  <si>
    <t>668-A51501-044</t>
  </si>
  <si>
    <t>164A17379X</t>
  </si>
  <si>
    <t>668-134704-009</t>
  </si>
  <si>
    <t>171-009-213R051</t>
  </si>
  <si>
    <t>668-134704-015</t>
  </si>
  <si>
    <t>171-015-213R051</t>
  </si>
  <si>
    <t>668-311384-008</t>
  </si>
  <si>
    <t>668-311384-002</t>
  </si>
  <si>
    <t>668-311384-009</t>
  </si>
  <si>
    <t>668-311384-007</t>
  </si>
  <si>
    <t>668-334356-002</t>
  </si>
  <si>
    <t>172043-0206</t>
  </si>
  <si>
    <t>668-307551-026</t>
  </si>
  <si>
    <t>173113-0154</t>
  </si>
  <si>
    <t>668-307568-026</t>
  </si>
  <si>
    <t>173113-0157</t>
  </si>
  <si>
    <t>668-061260-004</t>
  </si>
  <si>
    <t>1-770174-1</t>
  </si>
  <si>
    <t>TE Connectivity Ltd</t>
  </si>
  <si>
    <t>668-061260-006</t>
  </si>
  <si>
    <t>1-770178-1</t>
  </si>
  <si>
    <t>668-061260-009</t>
  </si>
  <si>
    <t>1-770182-1</t>
  </si>
  <si>
    <t>668-097964-002</t>
  </si>
  <si>
    <t>1-770966-0</t>
  </si>
  <si>
    <t>668-097964-004</t>
  </si>
  <si>
    <t>1-770968-0</t>
  </si>
  <si>
    <t>668-097964-006</t>
  </si>
  <si>
    <t>1-770969-0</t>
  </si>
  <si>
    <t>668-024901-004</t>
  </si>
  <si>
    <t>178-009-313R571</t>
  </si>
  <si>
    <t>668-034058-004</t>
  </si>
  <si>
    <t>178-015-313R571</t>
  </si>
  <si>
    <t>668-024902-004</t>
  </si>
  <si>
    <t>178-025-313R571</t>
  </si>
  <si>
    <t>668-061260-008</t>
  </si>
  <si>
    <t>1-794065-1</t>
  </si>
  <si>
    <t>668-061260-112</t>
  </si>
  <si>
    <t>1-794066-1</t>
  </si>
  <si>
    <t>668-A26900-078</t>
  </si>
  <si>
    <t>180-078-113R001</t>
  </si>
  <si>
    <t>668-A26901-078</t>
  </si>
  <si>
    <t>180-078-213R001</t>
  </si>
  <si>
    <t>668-A26896-015</t>
  </si>
  <si>
    <t>181-015-113R531</t>
  </si>
  <si>
    <t>668-A26902-062</t>
  </si>
  <si>
    <t>181-062-113R561</t>
  </si>
  <si>
    <t>682-020656-015</t>
  </si>
  <si>
    <t>1812L075/33DR</t>
  </si>
  <si>
    <t>682-020656-007</t>
  </si>
  <si>
    <t>1812L110PR</t>
  </si>
  <si>
    <t>682-020656-011</t>
  </si>
  <si>
    <t>1812L160PR</t>
  </si>
  <si>
    <t>682-020656-012</t>
  </si>
  <si>
    <t>1812L200THPR</t>
  </si>
  <si>
    <t>645-182367-006</t>
  </si>
  <si>
    <t>1825910-6</t>
  </si>
  <si>
    <t>668-234157-002</t>
  </si>
  <si>
    <t>668-234157-001</t>
  </si>
  <si>
    <t>609-049039-001</t>
  </si>
  <si>
    <t>1N4148W-TP</t>
  </si>
  <si>
    <t>610-208000-001</t>
  </si>
  <si>
    <t>1N914ATR</t>
  </si>
  <si>
    <t>609-273843-001</t>
  </si>
  <si>
    <t>1SMB5914BT3G</t>
  </si>
  <si>
    <t>667-A26335-015</t>
  </si>
  <si>
    <t>200-015-263R001</t>
  </si>
  <si>
    <t>667-A56052-001</t>
  </si>
  <si>
    <t>31-10099-00</t>
  </si>
  <si>
    <t>206509-1</t>
  </si>
  <si>
    <t>KEYING PLUG,D CONN</t>
  </si>
  <si>
    <t>648-A35848-056</t>
  </si>
  <si>
    <t>20SVPF56MX</t>
  </si>
  <si>
    <t>648-237639-001</t>
  </si>
  <si>
    <t>20TQC100MYF</t>
  </si>
  <si>
    <t>668-007385-011</t>
  </si>
  <si>
    <t>22-28-4110</t>
  </si>
  <si>
    <t>630-231505-001</t>
  </si>
  <si>
    <t>24FC512-I/SN</t>
  </si>
  <si>
    <t>648-304520-001</t>
  </si>
  <si>
    <t>251R14S3R3BV4T</t>
  </si>
  <si>
    <t>648-082038-101</t>
  </si>
  <si>
    <t>251R15S101JV4E</t>
  </si>
  <si>
    <t>648-082038-300</t>
  </si>
  <si>
    <t>251R15S300JV4E</t>
  </si>
  <si>
    <t>39-164230-09</t>
  </si>
  <si>
    <t>2-5747706-0</t>
  </si>
  <si>
    <t>39-164230-15</t>
  </si>
  <si>
    <t>2-5747707-0</t>
  </si>
  <si>
    <t>39-130655-25</t>
  </si>
  <si>
    <t>2-747708-0</t>
  </si>
  <si>
    <t>ITT Interconnect Solutions</t>
  </si>
  <si>
    <t>CONN,DSUB,25F,PCB STRT,0.25"</t>
  </si>
  <si>
    <t>673-348843-002</t>
  </si>
  <si>
    <t>282834-2</t>
  </si>
  <si>
    <t>673-348843-003</t>
  </si>
  <si>
    <t>282834-3</t>
  </si>
  <si>
    <t>673-348843-005</t>
  </si>
  <si>
    <t>282834-5</t>
  </si>
  <si>
    <t>682-117131-002</t>
  </si>
  <si>
    <t>2920L050DR</t>
  </si>
  <si>
    <t>682-117131-003</t>
  </si>
  <si>
    <t>2920L075DR</t>
  </si>
  <si>
    <t>682-A91737-005</t>
  </si>
  <si>
    <t>2920L500/24SLDR</t>
  </si>
  <si>
    <t>682-A91737-006</t>
  </si>
  <si>
    <t>2920L600/24SLER</t>
  </si>
  <si>
    <t>626-B25312-001</t>
  </si>
  <si>
    <t>2SA1416S-TD-E</t>
  </si>
  <si>
    <t>668-B07818-001</t>
  </si>
  <si>
    <t>3003W3SXX56N40X</t>
  </si>
  <si>
    <t>668-111554-003</t>
  </si>
  <si>
    <t>3003W3SXX69E40X</t>
  </si>
  <si>
    <t>668-109164-001</t>
  </si>
  <si>
    <t>3005W5PXX49E40X</t>
  </si>
  <si>
    <t>668-111554-005</t>
  </si>
  <si>
    <t>3005W5SXX69E40X</t>
  </si>
  <si>
    <t>668-276715-001</t>
  </si>
  <si>
    <t>3007W2SCR50E20X</t>
  </si>
  <si>
    <t>668-294939-001</t>
  </si>
  <si>
    <t>3007W2SCT56N40X</t>
  </si>
  <si>
    <t>668-111554-008</t>
  </si>
  <si>
    <t>3008W8SXX69E40X</t>
  </si>
  <si>
    <t>667-335433-020</t>
  </si>
  <si>
    <t>3020-20-0300-00</t>
  </si>
  <si>
    <t>668-336426-001</t>
  </si>
  <si>
    <t>302W2CPXX51E40X</t>
  </si>
  <si>
    <t>668-326042-001</t>
  </si>
  <si>
    <t>302W2CPXX71E40X</t>
  </si>
  <si>
    <t>CONN, PLUG, COMBO DSUB, M/F 30A, ST</t>
  </si>
  <si>
    <t>668-105495-007</t>
  </si>
  <si>
    <t>302W2CSXX55N40X</t>
  </si>
  <si>
    <t>668-105495-005</t>
  </si>
  <si>
    <t>302W2CSXX56N40X</t>
  </si>
  <si>
    <t>668-320315-001</t>
  </si>
  <si>
    <t>302W2CSXX71E40X</t>
  </si>
  <si>
    <t>668-111553-003</t>
  </si>
  <si>
    <t>303W3CSXX69E40X</t>
  </si>
  <si>
    <t>723-308078-031</t>
  </si>
  <si>
    <t>3048-B-632-B-16</t>
  </si>
  <si>
    <t>34-00131-00</t>
  </si>
  <si>
    <t>670-006780-024</t>
  </si>
  <si>
    <t>31201.5P</t>
  </si>
  <si>
    <t>670-006780-037</t>
  </si>
  <si>
    <t>632-A91703-001</t>
  </si>
  <si>
    <t>3-1462039-7</t>
  </si>
  <si>
    <t>666-A51363-001</t>
  </si>
  <si>
    <t>621-095110-104</t>
  </si>
  <si>
    <t>3296W-1-104LF</t>
  </si>
  <si>
    <t>621-095110-254</t>
  </si>
  <si>
    <t>3296W-1-254LF</t>
  </si>
  <si>
    <t>621-095110-302</t>
  </si>
  <si>
    <t>3296W-1-302LF</t>
  </si>
  <si>
    <t>621-095110-505</t>
  </si>
  <si>
    <t>3296W-1-505LF</t>
  </si>
  <si>
    <t>621-000682-100</t>
  </si>
  <si>
    <t>3299W-1-100LF</t>
  </si>
  <si>
    <t>621-000682-101</t>
  </si>
  <si>
    <t>3299W-1-101LF</t>
  </si>
  <si>
    <t>621-000682-253</t>
  </si>
  <si>
    <t>3299W-1-253LF</t>
  </si>
  <si>
    <t>668-A97216-001</t>
  </si>
  <si>
    <t>32K101-400L5</t>
  </si>
  <si>
    <t>644-347685-024</t>
  </si>
  <si>
    <t>34.81.7.024.9024</t>
  </si>
  <si>
    <t>668-A96422-010</t>
  </si>
  <si>
    <t>345-010-521-201</t>
  </si>
  <si>
    <t>668-A96865-060</t>
  </si>
  <si>
    <t>345-060-521-202</t>
  </si>
  <si>
    <t>668-007087-006</t>
  </si>
  <si>
    <t>350711-4</t>
  </si>
  <si>
    <t>668-133631-002</t>
  </si>
  <si>
    <t>350759-4</t>
  </si>
  <si>
    <t>668-161363-001</t>
  </si>
  <si>
    <t>350786-1</t>
  </si>
  <si>
    <t>668-007087-004</t>
  </si>
  <si>
    <t>350792-3</t>
  </si>
  <si>
    <t>668-161365-001</t>
  </si>
  <si>
    <t>350824-1</t>
  </si>
  <si>
    <t>39-357073-00</t>
  </si>
  <si>
    <t>350825-1</t>
  </si>
  <si>
    <t>668-008858-004</t>
  </si>
  <si>
    <t>3518-BLACK</t>
  </si>
  <si>
    <t>639-076946-001</t>
  </si>
  <si>
    <t>35F0121-1SR-10</t>
  </si>
  <si>
    <t>39-357513-00</t>
  </si>
  <si>
    <t>3-794620-6</t>
  </si>
  <si>
    <t>668-293080-002</t>
  </si>
  <si>
    <t>43045-0200</t>
  </si>
  <si>
    <t>668-293080-006</t>
  </si>
  <si>
    <t>43045-0600</t>
  </si>
  <si>
    <t>668-293080-010</t>
  </si>
  <si>
    <t>43045-1000</t>
  </si>
  <si>
    <t>668-293080-012</t>
  </si>
  <si>
    <t>43045-1200</t>
  </si>
  <si>
    <t>668-A66066-005</t>
  </si>
  <si>
    <t>43160-0105</t>
  </si>
  <si>
    <t>668-A66066-006</t>
  </si>
  <si>
    <t>43160-0106</t>
  </si>
  <si>
    <t>668-324407-004</t>
  </si>
  <si>
    <t>43160-6302</t>
  </si>
  <si>
    <t>20-056427-00</t>
  </si>
  <si>
    <t>4750-2-28</t>
  </si>
  <si>
    <t>723-B11534-003</t>
  </si>
  <si>
    <t>660-A23835-001</t>
  </si>
  <si>
    <t>729-036913-002</t>
  </si>
  <si>
    <t>4NSLWPP</t>
  </si>
  <si>
    <t>671-219755-001</t>
  </si>
  <si>
    <t>671-219755-004</t>
  </si>
  <si>
    <t>668-342267-080</t>
  </si>
  <si>
    <t>501864-8090</t>
  </si>
  <si>
    <t>667-A73672-003</t>
  </si>
  <si>
    <t>669-B08291-001</t>
  </si>
  <si>
    <t>668-A75034-005</t>
  </si>
  <si>
    <t>667-A00288-001</t>
  </si>
  <si>
    <t>503398-1892</t>
  </si>
  <si>
    <t>Conn Micro SD Card SKT 8 POS 1.1mm Solde</t>
  </si>
  <si>
    <t>668-A40315-040</t>
  </si>
  <si>
    <t>669-047358-001</t>
  </si>
  <si>
    <t>50865-5</t>
  </si>
  <si>
    <t>648-A89447-120</t>
  </si>
  <si>
    <t>668-B30762-003</t>
  </si>
  <si>
    <t>5-103634-2</t>
  </si>
  <si>
    <t>668-346844-001</t>
  </si>
  <si>
    <t>5-103635-1</t>
  </si>
  <si>
    <t>668-346844-002</t>
  </si>
  <si>
    <t>5-103635-2</t>
  </si>
  <si>
    <t>668-346844-004</t>
  </si>
  <si>
    <t>5-103635-4</t>
  </si>
  <si>
    <t>668-098499-104</t>
  </si>
  <si>
    <t>5-103673-3</t>
  </si>
  <si>
    <t>668-098496-003</t>
  </si>
  <si>
    <t>5-104363-2</t>
  </si>
  <si>
    <t>CONN,HDR 3P VERT MTE,ROHS</t>
  </si>
  <si>
    <t>668-B32821-008</t>
  </si>
  <si>
    <t>5-104935-2</t>
  </si>
  <si>
    <t>668-B33354-002</t>
  </si>
  <si>
    <t>5-1375583-1</t>
  </si>
  <si>
    <t>668-188529-001</t>
  </si>
  <si>
    <t>5-146280-3</t>
  </si>
  <si>
    <t>667-123622-001</t>
  </si>
  <si>
    <t>5-147278-3</t>
  </si>
  <si>
    <t>668-262972-001</t>
  </si>
  <si>
    <t>5-1814832-2</t>
  </si>
  <si>
    <t>668-B14968-001</t>
  </si>
  <si>
    <t>5227161-7</t>
  </si>
  <si>
    <t>641-A66123-010</t>
  </si>
  <si>
    <t>5256-RC</t>
  </si>
  <si>
    <t>668-338209-006</t>
  </si>
  <si>
    <t>53253-0670</t>
  </si>
  <si>
    <t>779-130536-001</t>
  </si>
  <si>
    <t>532602B02500G</t>
  </si>
  <si>
    <t>662-094083-001</t>
  </si>
  <si>
    <t>550-2205F</t>
  </si>
  <si>
    <t>668-099502-006</t>
  </si>
  <si>
    <t>5520258-3</t>
  </si>
  <si>
    <t>668-129550-001</t>
  </si>
  <si>
    <t>5535097-5</t>
  </si>
  <si>
    <t>662-060106-010</t>
  </si>
  <si>
    <t>555-2301F</t>
  </si>
  <si>
    <t>668-099048-008</t>
  </si>
  <si>
    <t>5557969-1</t>
  </si>
  <si>
    <t>649-094841-103</t>
  </si>
  <si>
    <t>564R30GAS10</t>
  </si>
  <si>
    <t>649-A29466-001</t>
  </si>
  <si>
    <t>564R60GAS10</t>
  </si>
  <si>
    <t>668-129989-001</t>
  </si>
  <si>
    <t>5650919-5</t>
  </si>
  <si>
    <t>668-098489-037</t>
  </si>
  <si>
    <t>5747843-4</t>
  </si>
  <si>
    <t>668-299108-001</t>
  </si>
  <si>
    <t>5747846-6</t>
  </si>
  <si>
    <t>39-164243-15</t>
  </si>
  <si>
    <t>5750638-1</t>
  </si>
  <si>
    <t>648-097893-106</t>
  </si>
  <si>
    <t>593D106X9035D2TE3</t>
  </si>
  <si>
    <t>664-122320-001</t>
  </si>
  <si>
    <t>598-8610-307F</t>
  </si>
  <si>
    <t>648-225118-007</t>
  </si>
  <si>
    <t>600F220FT250XT</t>
  </si>
  <si>
    <t>668-B33497-015</t>
  </si>
  <si>
    <t>6-104910-4</t>
  </si>
  <si>
    <t>669-188510-001</t>
  </si>
  <si>
    <t>61082-101400LF</t>
  </si>
  <si>
    <t>667-A53008-010</t>
  </si>
  <si>
    <t>61082-102400LF</t>
  </si>
  <si>
    <t>667-160101-002</t>
  </si>
  <si>
    <t>61083-124402LF</t>
  </si>
  <si>
    <t>34-357070-00</t>
  </si>
  <si>
    <t>6-1393144-8</t>
  </si>
  <si>
    <t>644-A92192-002</t>
  </si>
  <si>
    <t>6-1419128-6</t>
  </si>
  <si>
    <t>668-161369-001</t>
  </si>
  <si>
    <t>640497-1</t>
  </si>
  <si>
    <t>39-433734-00</t>
  </si>
  <si>
    <t>Wurth Elektronik GmBH &amp; Co KG</t>
  </si>
  <si>
    <t>USB Connectors WR-COM Type B SMT 5Pin Ho</t>
  </si>
  <si>
    <t>669-007340-001</t>
  </si>
  <si>
    <t>65474-010LF</t>
  </si>
  <si>
    <t>668-092915-026</t>
  </si>
  <si>
    <t>65863-075LF</t>
  </si>
  <si>
    <t>668-005463-002</t>
  </si>
  <si>
    <t>67997-102HLF</t>
  </si>
  <si>
    <t>668-005463-010</t>
  </si>
  <si>
    <t>67997-110HLF</t>
  </si>
  <si>
    <t>668-B28242-001</t>
  </si>
  <si>
    <t>684S7W2103L461</t>
  </si>
  <si>
    <t>668-248128-001</t>
  </si>
  <si>
    <t>668-266373-001</t>
  </si>
  <si>
    <t>667-272524-001</t>
  </si>
  <si>
    <t>673-A81272-003</t>
  </si>
  <si>
    <t>739-103</t>
  </si>
  <si>
    <t>639-A20790-001</t>
  </si>
  <si>
    <t>639-A66354-001</t>
  </si>
  <si>
    <t>641-254722-001</t>
  </si>
  <si>
    <t>674-B39244-406</t>
  </si>
  <si>
    <t>7466004R</t>
  </si>
  <si>
    <t>668-098490-009</t>
  </si>
  <si>
    <t>747844-4</t>
  </si>
  <si>
    <t>668-098490-025</t>
  </si>
  <si>
    <t>747846-4</t>
  </si>
  <si>
    <t>668-098490-037</t>
  </si>
  <si>
    <t>747847-4</t>
  </si>
  <si>
    <t>630-B10043-001</t>
  </si>
  <si>
    <t>747-LF2104NTR</t>
  </si>
  <si>
    <t>630-332743-001</t>
  </si>
  <si>
    <t>74ACT11030D</t>
  </si>
  <si>
    <t>Texas Instruments</t>
  </si>
  <si>
    <t>630-099034-085</t>
  </si>
  <si>
    <t>74HC85D,653</t>
  </si>
  <si>
    <t>630-A61701-125</t>
  </si>
  <si>
    <t>74LCX125MTC</t>
  </si>
  <si>
    <t>646-130453-002</t>
  </si>
  <si>
    <t>76HPSB02GWRT</t>
  </si>
  <si>
    <t>646-130453-004</t>
  </si>
  <si>
    <t>76HPSB04GWRT</t>
  </si>
  <si>
    <t>646-130453-006</t>
  </si>
  <si>
    <t>76HPSB06GWRT</t>
  </si>
  <si>
    <t>646-130453-008</t>
  </si>
  <si>
    <t>76HPSB08GWRT</t>
  </si>
  <si>
    <t>646-130453-010</t>
  </si>
  <si>
    <t>76HPSB10GWRT</t>
  </si>
  <si>
    <t>645-000381-003</t>
  </si>
  <si>
    <t>76SB03T</t>
  </si>
  <si>
    <t>645-000381-008</t>
  </si>
  <si>
    <t>76SB08ST</t>
  </si>
  <si>
    <t>671-A96800-001</t>
  </si>
  <si>
    <t>671-119709-001</t>
  </si>
  <si>
    <t>723-082900-011</t>
  </si>
  <si>
    <t>608-096583-204</t>
  </si>
  <si>
    <t>84WR200KLF</t>
  </si>
  <si>
    <t>608-096583-203</t>
  </si>
  <si>
    <t>84WR20KLF</t>
  </si>
  <si>
    <t>608-096583-202</t>
  </si>
  <si>
    <t>84WR2KLF</t>
  </si>
  <si>
    <t>648-B09166-001</t>
  </si>
  <si>
    <t>668-238349-004</t>
  </si>
  <si>
    <t>87438-0443</t>
  </si>
  <si>
    <t>668-122991-001</t>
  </si>
  <si>
    <t>87831-1420</t>
  </si>
  <si>
    <t>668-068181-001</t>
  </si>
  <si>
    <t>901-144</t>
  </si>
  <si>
    <t>667-B29149-016</t>
  </si>
  <si>
    <t>91601-316LF</t>
  </si>
  <si>
    <t>632-B14832-001</t>
  </si>
  <si>
    <t>9290-05-00</t>
  </si>
  <si>
    <t>630-121761-001</t>
  </si>
  <si>
    <t>93LC56BT-I/OT</t>
  </si>
  <si>
    <t>668-A09548-009</t>
  </si>
  <si>
    <t>667-072912-009</t>
  </si>
  <si>
    <t>667-072912-015</t>
  </si>
  <si>
    <t>668-A09548-025</t>
  </si>
  <si>
    <t>668-117019-062</t>
  </si>
  <si>
    <t>670-006780-036</t>
  </si>
  <si>
    <t>ABC-8-R</t>
  </si>
  <si>
    <t>635-169211-001</t>
  </si>
  <si>
    <t>ABM8G-24.000MHZ-18-D2Y-T</t>
  </si>
  <si>
    <t>615-188549-130</t>
  </si>
  <si>
    <t>AC0402FR-0722K1L</t>
  </si>
  <si>
    <t>615-188548-172</t>
  </si>
  <si>
    <t>AC0402FR-0733RL</t>
  </si>
  <si>
    <t>615-188548-194</t>
  </si>
  <si>
    <t>AC0402FR-0749R9L</t>
  </si>
  <si>
    <t>615-A34866-016</t>
  </si>
  <si>
    <t>AC0603FR-0710KL</t>
  </si>
  <si>
    <t>615-068559-200</t>
  </si>
  <si>
    <t>AC0603FR-072KL</t>
  </si>
  <si>
    <t>615-068559-324</t>
  </si>
  <si>
    <t>AC0603FR-073K24L</t>
  </si>
  <si>
    <t>615-068560-499</t>
  </si>
  <si>
    <t>AC0603FR-0749K9L</t>
  </si>
  <si>
    <t>615-068559-412</t>
  </si>
  <si>
    <t>AC0603FR-074K12L</t>
  </si>
  <si>
    <t>615-041926-103</t>
  </si>
  <si>
    <t>AC0805FR-0710KL</t>
  </si>
  <si>
    <t>630-315158-001</t>
  </si>
  <si>
    <t>AD5689RARUZ</t>
  </si>
  <si>
    <t>Analog Devices Inc</t>
  </si>
  <si>
    <t>630-098364-001</t>
  </si>
  <si>
    <t>AD587JRZ</t>
  </si>
  <si>
    <t>630-129906-001</t>
  </si>
  <si>
    <t>AD8510ARMZ</t>
  </si>
  <si>
    <t>630-337825-001</t>
  </si>
  <si>
    <t>AD9467BCPZ-250</t>
  </si>
  <si>
    <t>16 BIT 250 MSPS A TO D CONVERTER</t>
  </si>
  <si>
    <t>630-225105-001</t>
  </si>
  <si>
    <t>AD9518-4ABCPZ</t>
  </si>
  <si>
    <t>630-A42310-001</t>
  </si>
  <si>
    <t>ADA4817-1ACPZ-R7</t>
  </si>
  <si>
    <t>630-119465-001</t>
  </si>
  <si>
    <t>ADG1419BRMZ</t>
  </si>
  <si>
    <t>630-270805-001</t>
  </si>
  <si>
    <t>ADS1015IDGSR</t>
  </si>
  <si>
    <t>630-A89300-001</t>
  </si>
  <si>
    <t>ADS7953SDBTR</t>
  </si>
  <si>
    <t>630-311348-001</t>
  </si>
  <si>
    <t>ADS8688IDBTR</t>
  </si>
  <si>
    <t>668-244809-001</t>
  </si>
  <si>
    <t>AFBR-1539Z</t>
  </si>
  <si>
    <t>670-006780-022</t>
  </si>
  <si>
    <t>AGC-1-R</t>
  </si>
  <si>
    <t>668-B08249-026</t>
  </si>
  <si>
    <t>670-123073-001</t>
  </si>
  <si>
    <t>AHEF1000</t>
  </si>
  <si>
    <t>615-B02863-001</t>
  </si>
  <si>
    <t>APC0603T4K99Z</t>
  </si>
  <si>
    <t>664-343297-001</t>
  </si>
  <si>
    <t>APTD1608CGCK</t>
  </si>
  <si>
    <t>664-A92916-001</t>
  </si>
  <si>
    <t>APTD2012LCGCK</t>
  </si>
  <si>
    <t>644-109029-001</t>
  </si>
  <si>
    <t>AQY272AX</t>
  </si>
  <si>
    <t>667-204367-001</t>
  </si>
  <si>
    <t>ASP-134604-01</t>
  </si>
  <si>
    <t>Samtec Inc</t>
  </si>
  <si>
    <t>667-A11760-160</t>
  </si>
  <si>
    <t>ASP-134604-04</t>
  </si>
  <si>
    <t>670-037698-039</t>
  </si>
  <si>
    <t>ATQR12</t>
  </si>
  <si>
    <t>670-037698-040</t>
  </si>
  <si>
    <t>ATQR15</t>
  </si>
  <si>
    <t>779-B00545-001</t>
  </si>
  <si>
    <t>ATS-55230K-C1-R0</t>
  </si>
  <si>
    <t>668-A35830-002</t>
  </si>
  <si>
    <t>B2B-XH-AM(LF)(SN)</t>
  </si>
  <si>
    <t>J.S.T. MFG. CO.,LTD.</t>
  </si>
  <si>
    <t>668-A35830-005</t>
  </si>
  <si>
    <t>B5B-XH-AM(LF)(SN)</t>
  </si>
  <si>
    <t>609-235641-001</t>
  </si>
  <si>
    <t>BAT54ALT1G</t>
  </si>
  <si>
    <t>609-901596-001</t>
  </si>
  <si>
    <t>BAT54SWT1G</t>
  </si>
  <si>
    <t>670-006780-032</t>
  </si>
  <si>
    <t>BK/ABC-4-R</t>
  </si>
  <si>
    <t>670-338640-200</t>
  </si>
  <si>
    <t>BK1/S505H-2-R</t>
  </si>
  <si>
    <t>670-338640-400</t>
  </si>
  <si>
    <t>BK1/S505H-4-R</t>
  </si>
  <si>
    <t>670-338640-500</t>
  </si>
  <si>
    <t>BK1/S505H-5-R</t>
  </si>
  <si>
    <t>670-338640-630</t>
  </si>
  <si>
    <t>BK1-S505H-6.3-R</t>
  </si>
  <si>
    <t>670-338640-800</t>
  </si>
  <si>
    <t>BK1-S505H-8-R</t>
  </si>
  <si>
    <t>628-A20933-001</t>
  </si>
  <si>
    <t>BSC080N03LSGATMA1</t>
  </si>
  <si>
    <t>624-000794-002</t>
  </si>
  <si>
    <t>BSR14</t>
  </si>
  <si>
    <t>626-A86953-001</t>
  </si>
  <si>
    <t>BSS84AK,215</t>
  </si>
  <si>
    <t>645-B04805-001</t>
  </si>
  <si>
    <t>BST13T1ACR</t>
  </si>
  <si>
    <t>660-B20622-001</t>
  </si>
  <si>
    <t>BWR-15/330-D48A-C</t>
  </si>
  <si>
    <t>648-303723-042</t>
  </si>
  <si>
    <t>C0402C471J5GAC7867</t>
  </si>
  <si>
    <t>648-250747-101</t>
  </si>
  <si>
    <t>C0603C101F5GAC</t>
  </si>
  <si>
    <t>648-A74701-123</t>
  </si>
  <si>
    <t>C0603C123J3GACTU</t>
  </si>
  <si>
    <t>648-A74701-153</t>
  </si>
  <si>
    <t>C0603C153J3GACTU</t>
  </si>
  <si>
    <t>648-068442-180</t>
  </si>
  <si>
    <t>C0603C180J5GACTU</t>
  </si>
  <si>
    <t>648-250747-221</t>
  </si>
  <si>
    <t>C0603C221F5GAC</t>
  </si>
  <si>
    <t>648-250747-470</t>
  </si>
  <si>
    <t>C0603C470F5GAC</t>
  </si>
  <si>
    <t>648-224783-049</t>
  </si>
  <si>
    <t>C0603H103J3GAC7867</t>
  </si>
  <si>
    <t>648-B34360-008</t>
  </si>
  <si>
    <t>C0603X5R1A474M030BC</t>
  </si>
  <si>
    <t>648-225119-025</t>
  </si>
  <si>
    <t>C0805C101F5GAC</t>
  </si>
  <si>
    <t>29-407195-00</t>
  </si>
  <si>
    <t>C0805C103F3GACTU</t>
  </si>
  <si>
    <t>648-099901-103</t>
  </si>
  <si>
    <t>C0805C103J5GAC</t>
  </si>
  <si>
    <t>648-198983-011</t>
  </si>
  <si>
    <t>C1005X5R0J475K050</t>
  </si>
  <si>
    <t>648-149178-225</t>
  </si>
  <si>
    <t>C1005X5R1C225K050BC</t>
  </si>
  <si>
    <t>648-138818-123</t>
  </si>
  <si>
    <t>C1206C123K5RACTU</t>
  </si>
  <si>
    <t>648-A92805-474</t>
  </si>
  <si>
    <t>C1608X5R1H474K080AB</t>
  </si>
  <si>
    <t>648-A86847-106</t>
  </si>
  <si>
    <t>C3225X7R1H106K250AC</t>
  </si>
  <si>
    <t>648-067455-101</t>
  </si>
  <si>
    <t>C4532C0G3F101K160KA</t>
  </si>
  <si>
    <t>648-100823-001</t>
  </si>
  <si>
    <t>C5750X7R1H106K</t>
  </si>
  <si>
    <t>668-A24092-001</t>
  </si>
  <si>
    <t>CBD3W3F00000/AA</t>
  </si>
  <si>
    <t>668-A29545-001</t>
  </si>
  <si>
    <t>CBD7W2F37S00X/AA</t>
  </si>
  <si>
    <t>668-282338-001</t>
  </si>
  <si>
    <t>CBD7W2F57R7N0X/AA</t>
  </si>
  <si>
    <t>668-133361-001</t>
  </si>
  <si>
    <t>CBD7W2M37S600X/AA</t>
  </si>
  <si>
    <t>CONN, PLUG HSG, DSUB 7W2, 30 A, ROHS</t>
  </si>
  <si>
    <t>648-228694-005</t>
  </si>
  <si>
    <t>CC0402JRNPO9BN180</t>
  </si>
  <si>
    <t>648-124321-333</t>
  </si>
  <si>
    <t>CC0402KRX7R9BB333</t>
  </si>
  <si>
    <t>648-124321-681</t>
  </si>
  <si>
    <t>CC0402KRX7R9BB681</t>
  </si>
  <si>
    <t>648-347511-101</t>
  </si>
  <si>
    <t>CC0603JRNPO8BN101</t>
  </si>
  <si>
    <t>648-051878-222</t>
  </si>
  <si>
    <t>CC0603KRX7R9BB222</t>
  </si>
  <si>
    <t>648-325822-007</t>
  </si>
  <si>
    <t>CC0805FRNPO9BN820</t>
  </si>
  <si>
    <t>648-A86863-105</t>
  </si>
  <si>
    <t>CC1210KKX7R0BB105</t>
  </si>
  <si>
    <t>648-A86866-476</t>
  </si>
  <si>
    <t>CC1210MKX5R7BB476</t>
  </si>
  <si>
    <t>682-349233-019</t>
  </si>
  <si>
    <t>CC12H1.5A-TR</t>
  </si>
  <si>
    <t>635-225114-001</t>
  </si>
  <si>
    <t>CCHD-957X-25-49.152</t>
  </si>
  <si>
    <t>Crystek</t>
  </si>
  <si>
    <t>OSC,SMD,LO NOISE,49.152 MHZ,CMOS OUT</t>
  </si>
  <si>
    <t>630-A93018-001</t>
  </si>
  <si>
    <t>CD74ACT109M96</t>
  </si>
  <si>
    <t>630-B14838-001</t>
  </si>
  <si>
    <t>CD74HCT368M</t>
  </si>
  <si>
    <t>609-270344-001</t>
  </si>
  <si>
    <t>CDSOD323-T12C</t>
  </si>
  <si>
    <t>619-000387-471</t>
  </si>
  <si>
    <t>CF1/2CT52R471J</t>
  </si>
  <si>
    <t>619-000390-104</t>
  </si>
  <si>
    <t>CF14JT100K</t>
  </si>
  <si>
    <t>28-145613-00</t>
  </si>
  <si>
    <t>CFR-25JB-52-2K7</t>
  </si>
  <si>
    <t>28-449032-00</t>
  </si>
  <si>
    <t>CFR-25JB-52-4K7</t>
  </si>
  <si>
    <t>648-B36944-476</t>
  </si>
  <si>
    <t>CGA9N1X7R1V476M230KC</t>
  </si>
  <si>
    <t>668-131891-001</t>
  </si>
  <si>
    <t>CJT-T-P-HH-RA-BH1</t>
  </si>
  <si>
    <t>CONN,JACK,RF,BULKHEAD,THRU HOLE</t>
  </si>
  <si>
    <t>648-A60464-224</t>
  </si>
  <si>
    <t>CL05B224KO5NNNC</t>
  </si>
  <si>
    <t>648-346027-103</t>
  </si>
  <si>
    <t>CL10B103KA8NNNC</t>
  </si>
  <si>
    <t>648-228099-001</t>
  </si>
  <si>
    <t>CL21A106KAYNNNE</t>
  </si>
  <si>
    <t>648-B34301-001</t>
  </si>
  <si>
    <t>CL21A476MQYNNNE</t>
  </si>
  <si>
    <t>648-B17749-001</t>
  </si>
  <si>
    <t>CL31B106KBHNNNE</t>
  </si>
  <si>
    <t>29-445233-00</t>
  </si>
  <si>
    <t>CL32A106KLULNNE</t>
  </si>
  <si>
    <t>615-B08198-001</t>
  </si>
  <si>
    <t>CMP0603AFX-1000ELF</t>
  </si>
  <si>
    <t>631-B33254-001</t>
  </si>
  <si>
    <t>CNY17-2</t>
  </si>
  <si>
    <t>631-308696-001</t>
  </si>
  <si>
    <t>CNY17-4</t>
  </si>
  <si>
    <t>630-080990-001</t>
  </si>
  <si>
    <t>CPC1303GR</t>
  </si>
  <si>
    <t>615-A37741-002</t>
  </si>
  <si>
    <t>CPF0402B12RE1</t>
  </si>
  <si>
    <t>615-228652-001</t>
  </si>
  <si>
    <t>CRCW04020000Z0EDHP</t>
  </si>
  <si>
    <t>615-188549-106</t>
  </si>
  <si>
    <t>CRCW040212K1FKED</t>
  </si>
  <si>
    <t>615-188548-001</t>
  </si>
  <si>
    <t>CRCW04021R00FKED</t>
  </si>
  <si>
    <t>615-221230-008</t>
  </si>
  <si>
    <t>CRCW0603100KFKEA</t>
  </si>
  <si>
    <t>615-221230-009</t>
  </si>
  <si>
    <t>CRCW0603102KFKEA</t>
  </si>
  <si>
    <t>615-068558-365</t>
  </si>
  <si>
    <t>CRCW0603365RFKEA</t>
  </si>
  <si>
    <t>615-221230-010</t>
  </si>
  <si>
    <t>CRCW0603432KFKEA</t>
  </si>
  <si>
    <t>615-901294-184</t>
  </si>
  <si>
    <t>CRCW0805180KJNEA</t>
  </si>
  <si>
    <t>615-B14225-001</t>
  </si>
  <si>
    <t>CRCW080551R0FKEAHP</t>
  </si>
  <si>
    <t>615-326252-001</t>
  </si>
  <si>
    <t>CRCW12060000Z0EBC</t>
  </si>
  <si>
    <t>615-116028-191</t>
  </si>
  <si>
    <t>615-A80550-001</t>
  </si>
  <si>
    <t>CRCW12061M00FKEAC</t>
  </si>
  <si>
    <t>615-116031-102</t>
  </si>
  <si>
    <t>CRCW12061M02FKEA</t>
  </si>
  <si>
    <t>615-116028-249</t>
  </si>
  <si>
    <t>615-116028-715</t>
  </si>
  <si>
    <t>CRCW12067K15FKEA</t>
  </si>
  <si>
    <t>615-116028-845</t>
  </si>
  <si>
    <t>CRCW12068K45FKEA</t>
  </si>
  <si>
    <t>615-098743-222</t>
  </si>
  <si>
    <t>CRCW20102K20JNEF</t>
  </si>
  <si>
    <t>615-098743-272</t>
  </si>
  <si>
    <t>CRCW20102K70JNEF</t>
  </si>
  <si>
    <t>615-098743-390</t>
  </si>
  <si>
    <t>CRCW201039R0JNEF</t>
  </si>
  <si>
    <t>615-098743-302</t>
  </si>
  <si>
    <t>CRCW20103K00JNEF</t>
  </si>
  <si>
    <t>615-267478-050</t>
  </si>
  <si>
    <t>CRCW25121K00FKEG</t>
  </si>
  <si>
    <t>615-067318-102</t>
  </si>
  <si>
    <t>CRCW25121K00JNEG</t>
  </si>
  <si>
    <t>615-900298-112</t>
  </si>
  <si>
    <t>CRCW25121K10JNEG</t>
  </si>
  <si>
    <t>615-A35815-001</t>
  </si>
  <si>
    <t>CRGP0603F1M0</t>
  </si>
  <si>
    <t>630-A73909-001</t>
  </si>
  <si>
    <t>CY8C5468AXI-LP106</t>
  </si>
  <si>
    <t>Cypress</t>
  </si>
  <si>
    <t>668-325823-001</t>
  </si>
  <si>
    <t>D3W3P36A6GX08LF</t>
  </si>
  <si>
    <t>630-B14808-001</t>
  </si>
  <si>
    <t>DAC60501ZDGSR</t>
  </si>
  <si>
    <t>630-A87681-001</t>
  </si>
  <si>
    <t>dac7718SRGZR</t>
  </si>
  <si>
    <t>39-193848-00</t>
  </si>
  <si>
    <t>DAMC3H3PJK87</t>
  </si>
  <si>
    <t>39-158111-00</t>
  </si>
  <si>
    <t>DAMN3H3PNK87</t>
  </si>
  <si>
    <t>39-130654-15</t>
  </si>
  <si>
    <t>DAMZ15PNK87</t>
  </si>
  <si>
    <t>668-342826-015</t>
  </si>
  <si>
    <t>DAMZ-15S-N-A197</t>
  </si>
  <si>
    <t>CONN,D-SUB,SKT,15PIN,7.5A,PCB MT,BD LOCK</t>
  </si>
  <si>
    <t>39-267683-00</t>
  </si>
  <si>
    <t>DAMZ7H2SNA197</t>
  </si>
  <si>
    <t>668-A54180-001</t>
  </si>
  <si>
    <t>DAO7W2P300H30LF</t>
  </si>
  <si>
    <t>668-A75508-002</t>
  </si>
  <si>
    <t>DAO7W2S300G40LF</t>
  </si>
  <si>
    <t>644-B18976-001</t>
  </si>
  <si>
    <t>DAT72415-HR</t>
  </si>
  <si>
    <t>609-A58376-001</t>
  </si>
  <si>
    <t>DFLS130L-7</t>
  </si>
  <si>
    <t>609-068289-001</t>
  </si>
  <si>
    <t>DFLT5V0A-7</t>
  </si>
  <si>
    <t>630-A42452-001</t>
  </si>
  <si>
    <t>DG4051EEQ-T1-GE3</t>
  </si>
  <si>
    <t>39-425128-00</t>
  </si>
  <si>
    <t>DM53744-25</t>
  </si>
  <si>
    <t>726-345188-001</t>
  </si>
  <si>
    <t>DRP-03</t>
  </si>
  <si>
    <t>32-441255-00</t>
  </si>
  <si>
    <t>DRV8825PWPR</t>
  </si>
  <si>
    <t>668-A93181-050</t>
  </si>
  <si>
    <t>DW-25-07-G-D-200</t>
  </si>
  <si>
    <t>660-A96870-024</t>
  </si>
  <si>
    <t>ECE80US24</t>
  </si>
  <si>
    <t>648-122562-001</t>
  </si>
  <si>
    <t>ECP-U1C104MA5</t>
  </si>
  <si>
    <t>635-121981-001</t>
  </si>
  <si>
    <t>ECS-120-20-30B-TR</t>
  </si>
  <si>
    <t>648-099503-106</t>
  </si>
  <si>
    <t>EEE-1VA100SR</t>
  </si>
  <si>
    <t>648-054586-220</t>
  </si>
  <si>
    <t>EEE-1VA220WR</t>
  </si>
  <si>
    <t>648-036367-221</t>
  </si>
  <si>
    <t>EEE-FK1V221P</t>
  </si>
  <si>
    <t>648-A97180-102</t>
  </si>
  <si>
    <t>EEEFT1C102AP</t>
  </si>
  <si>
    <t>648-A68176-100</t>
  </si>
  <si>
    <t>EEHZT1H101V</t>
  </si>
  <si>
    <t>648-A86832-001</t>
  </si>
  <si>
    <t>EEV107M035A9HAA</t>
  </si>
  <si>
    <t>648-064017-102</t>
  </si>
  <si>
    <t>EEV-TG1H102M</t>
  </si>
  <si>
    <t>649-346748-001</t>
  </si>
  <si>
    <t>EKY-500ELL222MMP1S</t>
  </si>
  <si>
    <t>723-095904-006</t>
  </si>
  <si>
    <t>ELM1-6MM</t>
  </si>
  <si>
    <t>641-B10665-001</t>
  </si>
  <si>
    <t>615-A00422-100</t>
  </si>
  <si>
    <t>ERA-2AEB101X</t>
  </si>
  <si>
    <t>615-A00424-118</t>
  </si>
  <si>
    <t>ERA-2AEB1182X</t>
  </si>
  <si>
    <t>615-A00422-137</t>
  </si>
  <si>
    <t>ERA-2AEB1370X</t>
  </si>
  <si>
    <t>615-A00422-160</t>
  </si>
  <si>
    <t>ERA-2AEB161X</t>
  </si>
  <si>
    <t>615-A00423-226</t>
  </si>
  <si>
    <t>ERA-2AEB2261X</t>
  </si>
  <si>
    <t>615-A00422-237</t>
  </si>
  <si>
    <t>ERA-2AEB2370X</t>
  </si>
  <si>
    <t>615-303725-020</t>
  </si>
  <si>
    <t>ERA-2AEB271X</t>
  </si>
  <si>
    <t>615-A00424-274</t>
  </si>
  <si>
    <t>ERA-2AEB2742X</t>
  </si>
  <si>
    <t>615-A00423-332</t>
  </si>
  <si>
    <t>ERA-2AEB3321X</t>
  </si>
  <si>
    <t>615-A00422-412</t>
  </si>
  <si>
    <t>ERA-2AEB4120X</t>
  </si>
  <si>
    <t>615-A00422-523</t>
  </si>
  <si>
    <t>ERA-2AEB5230X</t>
  </si>
  <si>
    <t>615-310567-274</t>
  </si>
  <si>
    <t>ERA-3AEB1182V</t>
  </si>
  <si>
    <t>615-310567-234</t>
  </si>
  <si>
    <t>ERA-3AEB512V</t>
  </si>
  <si>
    <t>615-A13386-001</t>
  </si>
  <si>
    <t>ERA3VPB1502V</t>
  </si>
  <si>
    <t>615-052826-102</t>
  </si>
  <si>
    <t>ERA6AEB102V</t>
  </si>
  <si>
    <t>615-162861-275</t>
  </si>
  <si>
    <t>ERA-6AEB123V</t>
  </si>
  <si>
    <t>615-162861-285</t>
  </si>
  <si>
    <t>ERA-6AEB153V</t>
  </si>
  <si>
    <t>615-052828-150</t>
  </si>
  <si>
    <t>ERA6AEB154</t>
  </si>
  <si>
    <t>615-052825-220</t>
  </si>
  <si>
    <t>ERA-6AEB221V</t>
  </si>
  <si>
    <t>615-162861-079</t>
  </si>
  <si>
    <t>ERA-6AEB2370V</t>
  </si>
  <si>
    <t>615-162861-080</t>
  </si>
  <si>
    <t>ERA-6AEB241V</t>
  </si>
  <si>
    <t>615-052828-390</t>
  </si>
  <si>
    <t>ERA-6AEB394V</t>
  </si>
  <si>
    <t>615-162861-118</t>
  </si>
  <si>
    <t>ERA-6AEB4990V</t>
  </si>
  <si>
    <t>615-064170-536</t>
  </si>
  <si>
    <t>ERA6AEB5361V</t>
  </si>
  <si>
    <t>615-052828-056</t>
  </si>
  <si>
    <t>ERA-6AEB563V</t>
  </si>
  <si>
    <t>615-052828-680</t>
  </si>
  <si>
    <t>ERA6AEB684</t>
  </si>
  <si>
    <t>615-052826-752</t>
  </si>
  <si>
    <t>ERA-6AEB752V</t>
  </si>
  <si>
    <t>615-252481-033</t>
  </si>
  <si>
    <t>ERA-8AEB101V</t>
  </si>
  <si>
    <t>615-080145-117</t>
  </si>
  <si>
    <t>ERA-8AEB4023V</t>
  </si>
  <si>
    <t>615-252481-096</t>
  </si>
  <si>
    <t>ERA-8AEB4530V</t>
  </si>
  <si>
    <t>615-312994-195</t>
  </si>
  <si>
    <t>ERJ-1GNF4990C</t>
  </si>
  <si>
    <t>615-312994-316</t>
  </si>
  <si>
    <t>ERJ-1GNF5761C</t>
  </si>
  <si>
    <t>615-255080-036</t>
  </si>
  <si>
    <t>ERJ1TRQFR36U</t>
  </si>
  <si>
    <t>615-255080-043</t>
  </si>
  <si>
    <t>ERJ1TRQFR43U</t>
  </si>
  <si>
    <t>615-255080-056</t>
  </si>
  <si>
    <t>ERJ-1TRQFR56U</t>
  </si>
  <si>
    <t>615-121726-042</t>
  </si>
  <si>
    <t>ERJ-2RKF1201X</t>
  </si>
  <si>
    <t>615-121726-008</t>
  </si>
  <si>
    <t>ERJ-2RKF20R0X</t>
  </si>
  <si>
    <t>615-121726-033</t>
  </si>
  <si>
    <t>ERJ-2RKF33R0X</t>
  </si>
  <si>
    <t>615-121726-207</t>
  </si>
  <si>
    <t>ERJ-2RKF5491X</t>
  </si>
  <si>
    <t>615-121726-216</t>
  </si>
  <si>
    <t>ERJ-2RKF6042X</t>
  </si>
  <si>
    <t>615-255712-047</t>
  </si>
  <si>
    <t>ERJ-3EKF4701V</t>
  </si>
  <si>
    <t>28-390234-00</t>
  </si>
  <si>
    <t>ERJ-6ENF1000V</t>
  </si>
  <si>
    <t>615-325897-001</t>
  </si>
  <si>
    <t>ERJ-6ENF10R0V</t>
  </si>
  <si>
    <t>615-055213-470</t>
  </si>
  <si>
    <t>ERJ-6ENF4701V</t>
  </si>
  <si>
    <t>615-323023-010</t>
  </si>
  <si>
    <t>ERJ-8BQFR51V</t>
  </si>
  <si>
    <t>615-323023-001</t>
  </si>
  <si>
    <t>ERJ-8BSFR16V</t>
  </si>
  <si>
    <t>615-302942-005</t>
  </si>
  <si>
    <t>ERJ-PA3F6801V</t>
  </si>
  <si>
    <t>615-A79074-003</t>
  </si>
  <si>
    <t>ERJ-PB6D2701V</t>
  </si>
  <si>
    <t>615-B08197-001</t>
  </si>
  <si>
    <t>ERJUP3F2003V</t>
  </si>
  <si>
    <t>609-283113-001</t>
  </si>
  <si>
    <t>ESD7551N2T5G</t>
  </si>
  <si>
    <t>615-A14987-002</t>
  </si>
  <si>
    <t>ESR03EZPF1004</t>
  </si>
  <si>
    <t>615-A14987-003</t>
  </si>
  <si>
    <t>ESR03EZPF2002</t>
  </si>
  <si>
    <t>615-A14987-004</t>
  </si>
  <si>
    <t>ESR03EZPF7502</t>
  </si>
  <si>
    <t>668-B14839-001</t>
  </si>
  <si>
    <t>ESW-120-23-G-D</t>
  </si>
  <si>
    <t>31-129331-00</t>
  </si>
  <si>
    <t>FC4016D/AA</t>
  </si>
  <si>
    <t>626-B55941-001</t>
  </si>
  <si>
    <t>FDD8447L</t>
  </si>
  <si>
    <t>626-A76438-001</t>
  </si>
  <si>
    <t>FDD8453LZ</t>
  </si>
  <si>
    <t>626-345771-001</t>
  </si>
  <si>
    <t>FDMS8460</t>
  </si>
  <si>
    <t>626-291284-001</t>
  </si>
  <si>
    <t>FDMS86152</t>
  </si>
  <si>
    <t>609-A71211-001</t>
  </si>
  <si>
    <t>FSV1550V</t>
  </si>
  <si>
    <t>630-121758-001</t>
  </si>
  <si>
    <t>FT2232HL-REEL</t>
  </si>
  <si>
    <t>630-A42470-001</t>
  </si>
  <si>
    <t>FXWA9306L8X</t>
  </si>
  <si>
    <t>644-A41296-024</t>
  </si>
  <si>
    <t>G2RL-1-DC24</t>
  </si>
  <si>
    <t>644-041045-001</t>
  </si>
  <si>
    <t>G5V-1-DC24</t>
  </si>
  <si>
    <t>34-148402-00</t>
  </si>
  <si>
    <t>G6D-1A-ASI-DC24</t>
  </si>
  <si>
    <t>648-B08032-001</t>
  </si>
  <si>
    <t>GCM1555C1H681FA16D</t>
  </si>
  <si>
    <t>648-A80876-202</t>
  </si>
  <si>
    <t>GCM1885C1H202FA16J</t>
  </si>
  <si>
    <t>648-A80876-332</t>
  </si>
  <si>
    <t>GCM1885C1H332FA16D</t>
  </si>
  <si>
    <t>648-A80876-392</t>
  </si>
  <si>
    <t>GCM1885C1H392FA16J</t>
  </si>
  <si>
    <t>648-A42433-330</t>
  </si>
  <si>
    <t>GMC10CG330F100NT</t>
  </si>
  <si>
    <t>648-B08025-001</t>
  </si>
  <si>
    <t>GQM1875G2E100JB12D</t>
  </si>
  <si>
    <t>668-244954-004</t>
  </si>
  <si>
    <t>GRF1-J-P-08-E-RA-TH1-E</t>
  </si>
  <si>
    <t>CONN,RA,JACK,RF,8POS</t>
  </si>
  <si>
    <t>648-A42571-001</t>
  </si>
  <si>
    <t>GRM155R71A474KE01D</t>
  </si>
  <si>
    <t>648-338947-106</t>
  </si>
  <si>
    <t>GRM21BR61H106KE43K</t>
  </si>
  <si>
    <t>648-A35911-002</t>
  </si>
  <si>
    <t>GRM3195C1H203JA01D</t>
  </si>
  <si>
    <t>648-269920-001</t>
  </si>
  <si>
    <t>GRM31C5C1H104JA01L</t>
  </si>
  <si>
    <t>648-A72845-002</t>
  </si>
  <si>
    <t>GRM32ER71A476KE15L</t>
  </si>
  <si>
    <t>648-A72845-001</t>
  </si>
  <si>
    <t>GRM32ER71A476ME15L</t>
  </si>
  <si>
    <t>648-185803-001</t>
  </si>
  <si>
    <t>GRM32ER71H106KA12L</t>
  </si>
  <si>
    <t>648-B07531-105</t>
  </si>
  <si>
    <t>GRT188R61H105KE13D</t>
  </si>
  <si>
    <t>668-106255-002</t>
  </si>
  <si>
    <t>GSGX-NS-2-88</t>
  </si>
  <si>
    <t>630-046170-001</t>
  </si>
  <si>
    <t>HCPL-2231-300E</t>
  </si>
  <si>
    <t>667-B30869-003</t>
  </si>
  <si>
    <t>HLE-103-02-F-DV</t>
  </si>
  <si>
    <t>630-307927-001</t>
  </si>
  <si>
    <t>HPP845E031R4</t>
  </si>
  <si>
    <t>664-039171-001</t>
  </si>
  <si>
    <t>HSMH-C110</t>
  </si>
  <si>
    <t>649-B19790-001</t>
  </si>
  <si>
    <t>HVCC153Y6P102KEAX</t>
  </si>
  <si>
    <t>667-B30855-003</t>
  </si>
  <si>
    <t>HW-03-08-F-D-350-SM</t>
  </si>
  <si>
    <t>626-A73827-001</t>
  </si>
  <si>
    <t>IAUC100N04S6L014ATMA1</t>
  </si>
  <si>
    <t>626-A73824-001</t>
  </si>
  <si>
    <t>IAUC80N04S6L032ATMA1</t>
  </si>
  <si>
    <t>668-327250-001</t>
  </si>
  <si>
    <t>ICD15S13E6GV00LF</t>
  </si>
  <si>
    <t>668-A20990-044</t>
  </si>
  <si>
    <t>ICD44S13E4GX00LF</t>
  </si>
  <si>
    <t>795-A93075-001</t>
  </si>
  <si>
    <t>IF-E98</t>
  </si>
  <si>
    <t>630-098848-001</t>
  </si>
  <si>
    <t>ILD207T</t>
  </si>
  <si>
    <t>630-089742-001</t>
  </si>
  <si>
    <t>INA128U/2K5</t>
  </si>
  <si>
    <t>630-A60335-001</t>
  </si>
  <si>
    <t>INA188IDR</t>
  </si>
  <si>
    <t>630-122889-001</t>
  </si>
  <si>
    <t>INA826AIDGKR</t>
  </si>
  <si>
    <t>667-281523-002</t>
  </si>
  <si>
    <t>IPL1-102-02-L-D-K</t>
  </si>
  <si>
    <t>628-072604-001</t>
  </si>
  <si>
    <t>IRF1310NSTRLPBF</t>
  </si>
  <si>
    <t>626-A54785-001</t>
  </si>
  <si>
    <t>IRFR3710ZTRPBF</t>
  </si>
  <si>
    <t>626-232475-002</t>
  </si>
  <si>
    <t>ISC012N04LM6ATMA1</t>
  </si>
  <si>
    <t>628-A72178-001</t>
  </si>
  <si>
    <t>IXTA80N075L2</t>
  </si>
  <si>
    <t>626-A87430-001</t>
  </si>
  <si>
    <t>IXTT120N15P</t>
  </si>
  <si>
    <t>626-B09702-001</t>
  </si>
  <si>
    <t>IXTT220N20X4HV</t>
  </si>
  <si>
    <t>668-097179-216</t>
  </si>
  <si>
    <t>JSX-1055</t>
  </si>
  <si>
    <t>668-097179-217</t>
  </si>
  <si>
    <t>JSX-1055-5.9</t>
  </si>
  <si>
    <t>644-A02502-024</t>
  </si>
  <si>
    <t>JW1FSN-DC24V</t>
  </si>
  <si>
    <t>667-215428-001</t>
  </si>
  <si>
    <t>K202XHT-E9P-N</t>
  </si>
  <si>
    <t>668-259275-004</t>
  </si>
  <si>
    <t>K42X-E9S/P-A4N</t>
  </si>
  <si>
    <t>668-313612-037</t>
  </si>
  <si>
    <t>K42XHT-C37S/S-A4N</t>
  </si>
  <si>
    <t>668-043863-044</t>
  </si>
  <si>
    <t>K66X-B44P-N</t>
  </si>
  <si>
    <t>668-064219-044</t>
  </si>
  <si>
    <t>K66X-B44S-N</t>
  </si>
  <si>
    <t>644-270411-001</t>
  </si>
  <si>
    <t>K81C335</t>
  </si>
  <si>
    <t>668-014495-044</t>
  </si>
  <si>
    <t>K86X-BD-44S-BR</t>
  </si>
  <si>
    <t>668-099029-015</t>
  </si>
  <si>
    <t>K86X-ED-15P-BR</t>
  </si>
  <si>
    <t>646-243658-002</t>
  </si>
  <si>
    <t>KAN1104RT</t>
  </si>
  <si>
    <t>648-B24495-226</t>
  </si>
  <si>
    <t>KCM55QR71H226KH13K</t>
  </si>
  <si>
    <t>723-B34232-008</t>
  </si>
  <si>
    <t>KFB3-M3-8ET</t>
  </si>
  <si>
    <t>723-A22202-001</t>
  </si>
  <si>
    <t>KFE-M3-12-ET</t>
  </si>
  <si>
    <t>723-036612-004</t>
  </si>
  <si>
    <t>KFS2-440</t>
  </si>
  <si>
    <t>670-332664-016</t>
  </si>
  <si>
    <t>KLKR005.T</t>
  </si>
  <si>
    <t>670-332664-021</t>
  </si>
  <si>
    <t>KLKR010.T</t>
  </si>
  <si>
    <t>670-332664-023</t>
  </si>
  <si>
    <t>KLKR015.T</t>
  </si>
  <si>
    <t>39-149057-25</t>
  </si>
  <si>
    <t>L717SDBH25POL2RM8C309</t>
  </si>
  <si>
    <t>668-A79668-015</t>
  </si>
  <si>
    <t>L77DA15SF179A</t>
  </si>
  <si>
    <t>39-108312-00</t>
  </si>
  <si>
    <t>L77TWA7W2S</t>
  </si>
  <si>
    <t>664-250155-001</t>
  </si>
  <si>
    <t>LBQ39G-L2OO-35-1</t>
  </si>
  <si>
    <t>630-225109-001</t>
  </si>
  <si>
    <t>LC4064V-75TN48E</t>
  </si>
  <si>
    <t>630-A94433-001</t>
  </si>
  <si>
    <t>LM211QDREP</t>
  </si>
  <si>
    <t>630-A32936-001</t>
  </si>
  <si>
    <t>LM25085QMYX/NOPB</t>
  </si>
  <si>
    <t>630-148462-001</t>
  </si>
  <si>
    <t>LM2907MX-8/NOPB</t>
  </si>
  <si>
    <t>630-048331-001</t>
  </si>
  <si>
    <t>LM311MX/NOPB</t>
  </si>
  <si>
    <t>630-900405-001</t>
  </si>
  <si>
    <t>LM339MX/NOPB</t>
  </si>
  <si>
    <t>630-900406-001</t>
  </si>
  <si>
    <t>LM358DG</t>
  </si>
  <si>
    <t>609-017889-025</t>
  </si>
  <si>
    <t>LM4040AIM3-2.5/NOPB</t>
  </si>
  <si>
    <t>630-032532-001</t>
  </si>
  <si>
    <t>LM555CMX/NOPB</t>
  </si>
  <si>
    <t>630-219764-001</t>
  </si>
  <si>
    <t>LM7321MAX/NOPB</t>
  </si>
  <si>
    <t>630-129637-001</t>
  </si>
  <si>
    <t>LM7332MAX/NOPB</t>
  </si>
  <si>
    <t>630-315857-001</t>
  </si>
  <si>
    <t>LM74CIMX-3/NOPB</t>
  </si>
  <si>
    <t>630-B10796-001</t>
  </si>
  <si>
    <t>LM7812SX/NOPB</t>
  </si>
  <si>
    <t>630-023134-001</t>
  </si>
  <si>
    <t>LM78M05CDTX/NOPB</t>
  </si>
  <si>
    <t>630-122314-001</t>
  </si>
  <si>
    <t>LM94022BIMGX/NOPB</t>
  </si>
  <si>
    <t>648-A40023-474</t>
  </si>
  <si>
    <t>LMK063BBJ474MPLF</t>
  </si>
  <si>
    <t>648-144339-001</t>
  </si>
  <si>
    <t>LMK316BJ476ML-T</t>
  </si>
  <si>
    <t>630-232888-001</t>
  </si>
  <si>
    <t>LMP8640MKX-T/NOPB</t>
  </si>
  <si>
    <t>630-A70568-001</t>
  </si>
  <si>
    <t>LMV431BIMFX/NOPB</t>
  </si>
  <si>
    <t>630-144359-001</t>
  </si>
  <si>
    <t>LMZ14202TZ-ADJ/NOPB</t>
  </si>
  <si>
    <t>IC,SMD,DC-DC CONV,6V-42V,2A</t>
  </si>
  <si>
    <t>779-256998-002</t>
  </si>
  <si>
    <t>LPD25-25B</t>
  </si>
  <si>
    <t>630-049539-002</t>
  </si>
  <si>
    <t>LS7184NS</t>
  </si>
  <si>
    <t>664-A42466-001</t>
  </si>
  <si>
    <t>LSL29K-H1J2-1-Z</t>
  </si>
  <si>
    <t>630-210849-001</t>
  </si>
  <si>
    <t>LT1491ACS#PBF</t>
  </si>
  <si>
    <t>IC,SMD, QUAD MPOWER RTR I/O OP-AMP,ROHS</t>
  </si>
  <si>
    <t>630-269922-001</t>
  </si>
  <si>
    <t>LT3065EDD#PBF</t>
  </si>
  <si>
    <t>630-270072-001</t>
  </si>
  <si>
    <t>LT3090EDD#PBF</t>
  </si>
  <si>
    <t>630-A20797-001</t>
  </si>
  <si>
    <t>630-B28359-001</t>
  </si>
  <si>
    <t>LT6654AHS6-3.3#TRMPBF</t>
  </si>
  <si>
    <t>630-311294-002</t>
  </si>
  <si>
    <t>LT8645SHV-2#PBF</t>
  </si>
  <si>
    <t>630-271124-001</t>
  </si>
  <si>
    <t>LTC1859CG#PBF</t>
  </si>
  <si>
    <t>630-248785-001</t>
  </si>
  <si>
    <t>LTC2666CUH-16#PBF</t>
  </si>
  <si>
    <t>IC,SMD,DAC,16-BIT,8CHAN,QFN32,0-70DEG C</t>
  </si>
  <si>
    <t>630-A61432-001</t>
  </si>
  <si>
    <t>630-213514-002</t>
  </si>
  <si>
    <t>LTC3260IDE#PBF</t>
  </si>
  <si>
    <t>630-A87473-001</t>
  </si>
  <si>
    <t>LTC4231IMS-2#PBF</t>
  </si>
  <si>
    <t>630-345765-001</t>
  </si>
  <si>
    <t>LTC6752ISC6-1#TRPBF</t>
  </si>
  <si>
    <t>32-08483-00</t>
  </si>
  <si>
    <t>LTL-4233</t>
  </si>
  <si>
    <t>660-345766-001</t>
  </si>
  <si>
    <t>LTM4632EV#PBF</t>
  </si>
  <si>
    <t>PS,UMODULE,0.6-2.5V,±3A,DDR-QDR4,25-LGA</t>
  </si>
  <si>
    <t>660-229191-001</t>
  </si>
  <si>
    <t>LTM8055EY#PBF</t>
  </si>
  <si>
    <t>660-345770-001</t>
  </si>
  <si>
    <t>LTM8074EY#PBF</t>
  </si>
  <si>
    <t>664-313477-001</t>
  </si>
  <si>
    <t>LTQ39G-Q1OO-25-1</t>
  </si>
  <si>
    <t>664-068184-002</t>
  </si>
  <si>
    <t>LTST-C190KRKT</t>
  </si>
  <si>
    <t>631-318336-001</t>
  </si>
  <si>
    <t>LTV-845</t>
  </si>
  <si>
    <t>615-A72231-005</t>
  </si>
  <si>
    <t>LVK12R050CER</t>
  </si>
  <si>
    <t>639-257579-001</t>
  </si>
  <si>
    <t>M2022-ASL</t>
  </si>
  <si>
    <t>639-A57204-001</t>
  </si>
  <si>
    <t>M-542CT</t>
  </si>
  <si>
    <t>630-251316-001</t>
  </si>
  <si>
    <t>MAX15062BATA+T</t>
  </si>
  <si>
    <t>Maxim Integrated Products Inc</t>
  </si>
  <si>
    <t>630-345769-001</t>
  </si>
  <si>
    <t>MAX16029TG+</t>
  </si>
  <si>
    <t>IC,SMD,QUAD-V MONITOR,2.2-28V,24-TQFN</t>
  </si>
  <si>
    <t>630-320785-001</t>
  </si>
  <si>
    <t>MAX232ACSE+T</t>
  </si>
  <si>
    <t>630-255637-001</t>
  </si>
  <si>
    <t>MAX4995BAUT+T</t>
  </si>
  <si>
    <t>630-323466-001</t>
  </si>
  <si>
    <t>630-072603-001</t>
  </si>
  <si>
    <t>MAX5901NNEUT+</t>
  </si>
  <si>
    <t>630-042919-004</t>
  </si>
  <si>
    <t>MAX5903ACEUT+</t>
  </si>
  <si>
    <t>630-042919-001</t>
  </si>
  <si>
    <t>MAX5903NNEUT+</t>
  </si>
  <si>
    <t>630-140331-001</t>
  </si>
  <si>
    <t>MAX5976AETE+</t>
  </si>
  <si>
    <t>630-A94155-001</t>
  </si>
  <si>
    <t>MAX6612MXK+T</t>
  </si>
  <si>
    <t>630-043000-001</t>
  </si>
  <si>
    <t>MAX6665ASA40+</t>
  </si>
  <si>
    <t>630-B27066-001</t>
  </si>
  <si>
    <t>MAX6818EAP+T</t>
  </si>
  <si>
    <t>630-A95543-001</t>
  </si>
  <si>
    <t>MAX7317ATE+T</t>
  </si>
  <si>
    <t>609-068260-001</t>
  </si>
  <si>
    <t>MBR140SFT1G</t>
  </si>
  <si>
    <t>609-098296-002</t>
  </si>
  <si>
    <t>MBRS130T3G</t>
  </si>
  <si>
    <t>609-026501-001</t>
  </si>
  <si>
    <t>MBRS240LT3G</t>
  </si>
  <si>
    <t>609-088967-001</t>
  </si>
  <si>
    <t>MBRS540T3G</t>
  </si>
  <si>
    <t>635-121978-001</t>
  </si>
  <si>
    <t>MC-306 32.7680K-A0: ROHS</t>
  </si>
  <si>
    <t>630-A89170-001</t>
  </si>
  <si>
    <t>MCP23S18-E/SO</t>
  </si>
  <si>
    <t>28-00078-00</t>
  </si>
  <si>
    <t>MCRC1/4G472JT-RH</t>
  </si>
  <si>
    <t>630-144729-001</t>
  </si>
  <si>
    <t>MCT62SD</t>
  </si>
  <si>
    <t>677-B14836-001</t>
  </si>
  <si>
    <t>MF40100V1-1000U-G99</t>
  </si>
  <si>
    <t>682-341005-002</t>
  </si>
  <si>
    <t>MF-LSMF260X-2</t>
  </si>
  <si>
    <t>609-B31647-001</t>
  </si>
  <si>
    <t>MMBD452LT1G</t>
  </si>
  <si>
    <t>626-A97841-001</t>
  </si>
  <si>
    <t>MMBT2222ALT3G</t>
  </si>
  <si>
    <t>626-267696-001</t>
  </si>
  <si>
    <t>MMBT5087LT1G</t>
  </si>
  <si>
    <t>609-004010-075</t>
  </si>
  <si>
    <t>MMBZ5236BLT1G</t>
  </si>
  <si>
    <t>609-004010-100</t>
  </si>
  <si>
    <t>MMBZ5240BLT1G</t>
  </si>
  <si>
    <t>626-A56166-001</t>
  </si>
  <si>
    <t>MMSTA56Q-7-F</t>
  </si>
  <si>
    <t>609-117540-002</t>
  </si>
  <si>
    <t>MMSZ11T1G</t>
  </si>
  <si>
    <t>618-213909-001</t>
  </si>
  <si>
    <t>MOX93021004FVE</t>
  </si>
  <si>
    <t>RES,METAL FILM,1M OHM</t>
  </si>
  <si>
    <t>639-B11503-001</t>
  </si>
  <si>
    <t>MPZ1005F470ETD25</t>
  </si>
  <si>
    <t>618-010908-100</t>
  </si>
  <si>
    <t>MS310-10.0M-0.1%</t>
  </si>
  <si>
    <t>639-066560-224</t>
  </si>
  <si>
    <t>MSS1278-224KLD</t>
  </si>
  <si>
    <t>639-066560-393</t>
  </si>
  <si>
    <t>MSS1278-393MLD</t>
  </si>
  <si>
    <t>639-066560-473</t>
  </si>
  <si>
    <t>MSS1278-473MLD</t>
  </si>
  <si>
    <t>32-10023-00</t>
  </si>
  <si>
    <t>MT112TB-RG-A</t>
  </si>
  <si>
    <t>630-337691-001</t>
  </si>
  <si>
    <t>MT40A256M16LY-062E AUT:F</t>
  </si>
  <si>
    <t>630-120971-001</t>
  </si>
  <si>
    <t>MT47H128M16RT-25E:C</t>
  </si>
  <si>
    <t>668-B29177-001</t>
  </si>
  <si>
    <t>MTSW-116-22-T-S-440</t>
  </si>
  <si>
    <t>630-340180-001</t>
  </si>
  <si>
    <t>N24C02UVTG</t>
  </si>
  <si>
    <t>630-089762-001</t>
  </si>
  <si>
    <t>NC7WZ14L6X-L22175</t>
  </si>
  <si>
    <t>630-032533-001</t>
  </si>
  <si>
    <t>NE556DR</t>
  </si>
  <si>
    <t>648-068442-101</t>
  </si>
  <si>
    <t>NMC0603NPO101J50TRPF</t>
  </si>
  <si>
    <t>626-B20598-001</t>
  </si>
  <si>
    <t>NTMFS5C460NLT1G</t>
  </si>
  <si>
    <t>626-A72008-001</t>
  </si>
  <si>
    <t>NTTFS015N04CTAG</t>
  </si>
  <si>
    <t>630-344253-002</t>
  </si>
  <si>
    <t>OP284ESZ-REEL7</t>
  </si>
  <si>
    <t>630-B25236-001</t>
  </si>
  <si>
    <t>OPA1671IDBVR</t>
  </si>
  <si>
    <t>630-004007-001</t>
  </si>
  <si>
    <t>OPA2132U/2K5</t>
  </si>
  <si>
    <t>630-061092-002</t>
  </si>
  <si>
    <t>OPA2277UA/2K5</t>
  </si>
  <si>
    <t>630-105350-001</t>
  </si>
  <si>
    <t>OPA2340UA/2K5</t>
  </si>
  <si>
    <t>630-A73078-001</t>
  </si>
  <si>
    <t>OPA2991IDDFR</t>
  </si>
  <si>
    <t>631-015265-001</t>
  </si>
  <si>
    <t>OPA548T</t>
  </si>
  <si>
    <t>630-A57202-001</t>
  </si>
  <si>
    <t>OPA691IDBVT</t>
  </si>
  <si>
    <t>615-224835-013</t>
  </si>
  <si>
    <t>PATT0603E1502BGT1</t>
  </si>
  <si>
    <t>615-224835-001</t>
  </si>
  <si>
    <t>PATT0603E2001BGT1</t>
  </si>
  <si>
    <t>615-224835-014</t>
  </si>
  <si>
    <t>PATT0603E2002BGT1</t>
  </si>
  <si>
    <t>615-224835-006</t>
  </si>
  <si>
    <t>PATT0603E49R9BGT1</t>
  </si>
  <si>
    <t>630-A60438-001</t>
  </si>
  <si>
    <t>PCAL6416AHF</t>
  </si>
  <si>
    <t>615-A31517-002</t>
  </si>
  <si>
    <t>PCAN0805E1000BST5</t>
  </si>
  <si>
    <t>668-A65704-001</t>
  </si>
  <si>
    <t>PCC-SMP-E-100</t>
  </si>
  <si>
    <t>660-B12889-003</t>
  </si>
  <si>
    <t>PDSE1-S24-S12-M-TR</t>
  </si>
  <si>
    <t>618-A04362-008</t>
  </si>
  <si>
    <t>PE2512FKE070R008L</t>
  </si>
  <si>
    <t>630-108123-001</t>
  </si>
  <si>
    <t>PGA204AU</t>
  </si>
  <si>
    <t>630-254852-001</t>
  </si>
  <si>
    <t>PIC12F1612-I/SN</t>
  </si>
  <si>
    <t>630-B26253-001</t>
  </si>
  <si>
    <t>PIC16F1614-E/SL</t>
  </si>
  <si>
    <t>630-B26275-001</t>
  </si>
  <si>
    <t>PIC16F18446-I/SO</t>
  </si>
  <si>
    <t>615-162505-007</t>
  </si>
  <si>
    <t>PLT0805Z2502AST5</t>
  </si>
  <si>
    <t>615-162505-001</t>
  </si>
  <si>
    <t>PLT0805Z5000AST5</t>
  </si>
  <si>
    <t>609-327223-001</t>
  </si>
  <si>
    <t>PMEG4010EGWX</t>
  </si>
  <si>
    <t>615-B02355-001</t>
  </si>
  <si>
    <t>PMR18EZPFU6L00</t>
  </si>
  <si>
    <t>615-A87446-005</t>
  </si>
  <si>
    <t>PMR18EZPJU5L0</t>
  </si>
  <si>
    <t>615-A87446-009</t>
  </si>
  <si>
    <t>PMR18EZPJU9L0</t>
  </si>
  <si>
    <t>615-B19099-001</t>
  </si>
  <si>
    <t>PNM0402E2502BST1</t>
  </si>
  <si>
    <t>615-275812-023</t>
  </si>
  <si>
    <t>PWR163S-25-15R0FE</t>
  </si>
  <si>
    <t>615-286483-001</t>
  </si>
  <si>
    <t>660-B05108-001</t>
  </si>
  <si>
    <t>R05C05TE05SR</t>
  </si>
  <si>
    <t>660-346747-001</t>
  </si>
  <si>
    <t>R1501J100B-T1-FE</t>
  </si>
  <si>
    <t>660-150506-015</t>
  </si>
  <si>
    <t>R-78C15-1.0</t>
  </si>
  <si>
    <t>660-150506-003</t>
  </si>
  <si>
    <t>R-78C3.3-1.0</t>
  </si>
  <si>
    <t>660-157746-005</t>
  </si>
  <si>
    <t>R-78T5.0-1.0/FC</t>
  </si>
  <si>
    <t>39-452851-00</t>
  </si>
  <si>
    <t>RAPC722X</t>
  </si>
  <si>
    <t>609-A99417-001</t>
  </si>
  <si>
    <t>RBR3MM40A</t>
  </si>
  <si>
    <t>615-A74149-001</t>
  </si>
  <si>
    <t>RC0402FR-070RL</t>
  </si>
  <si>
    <t>615-123462-102</t>
  </si>
  <si>
    <t>RC0402FR-0710K2L</t>
  </si>
  <si>
    <t>615-123462-105</t>
  </si>
  <si>
    <t>RC0402FR-0710K5L</t>
  </si>
  <si>
    <t>615-123462-118</t>
  </si>
  <si>
    <t>RC0402FR-0711K8L</t>
  </si>
  <si>
    <t>615-123463-120</t>
  </si>
  <si>
    <t>RC0402FR-07120KL</t>
  </si>
  <si>
    <t>615-123463-124</t>
  </si>
  <si>
    <t>RC0402FR-07124KL</t>
  </si>
  <si>
    <t>615-123462-127</t>
  </si>
  <si>
    <t>RC0402FR-0712K7L</t>
  </si>
  <si>
    <t>615-123461-102</t>
  </si>
  <si>
    <t>RC0402FR-071K02L</t>
  </si>
  <si>
    <t>615-123461-115</t>
  </si>
  <si>
    <t>RC0402FR-071K15L</t>
  </si>
  <si>
    <t>615-123461-120</t>
  </si>
  <si>
    <t>RC0402FR-071K2L</t>
  </si>
  <si>
    <t>615-123461-137</t>
  </si>
  <si>
    <t>RC0402FR-071K37L</t>
  </si>
  <si>
    <t>615-123461-169</t>
  </si>
  <si>
    <t>RC0402FR-071K69L</t>
  </si>
  <si>
    <t>615-123461-187</t>
  </si>
  <si>
    <t>RC0402FR-071K87L</t>
  </si>
  <si>
    <t>615-123458-121</t>
  </si>
  <si>
    <t>RC0402FR-071R21L</t>
  </si>
  <si>
    <t>615-123458-137</t>
  </si>
  <si>
    <t>RC0402FR-071R37L</t>
  </si>
  <si>
    <t>615-123462-215</t>
  </si>
  <si>
    <t>RC0402FR-0721K5L</t>
  </si>
  <si>
    <t>615-123462-220</t>
  </si>
  <si>
    <t>RC0402FR-0722KL</t>
  </si>
  <si>
    <t>615-233527-001</t>
  </si>
  <si>
    <t>RC0402FR-0722RL</t>
  </si>
  <si>
    <t>615-123462-243</t>
  </si>
  <si>
    <t>RC0402FR-0724K3L</t>
  </si>
  <si>
    <t>615-123461-267</t>
  </si>
  <si>
    <t>RC0402FR-072K67L</t>
  </si>
  <si>
    <t>615-123458-249</t>
  </si>
  <si>
    <t>RC0402FR-072R49L</t>
  </si>
  <si>
    <t>615-123460-340</t>
  </si>
  <si>
    <t>RC0402FR-07340RL</t>
  </si>
  <si>
    <t>615-123460-348</t>
  </si>
  <si>
    <t>RC0402FR-07348RL</t>
  </si>
  <si>
    <t>615-123462-475</t>
  </si>
  <si>
    <t>RC0402FR-0747K5L</t>
  </si>
  <si>
    <t>615-123461-402</t>
  </si>
  <si>
    <t>RC0402FR-074K02L</t>
  </si>
  <si>
    <t>615-123459-523</t>
  </si>
  <si>
    <t>RC0402FR-0752R3L</t>
  </si>
  <si>
    <t>615-123460-549</t>
  </si>
  <si>
    <t>RC0402FR-07549RL</t>
  </si>
  <si>
    <t>615-123461-590</t>
  </si>
  <si>
    <t>RC0402FR-075K9L</t>
  </si>
  <si>
    <t>615-123458-511</t>
  </si>
  <si>
    <t>RC0402FR-075R11L</t>
  </si>
  <si>
    <t>615-123459-750</t>
  </si>
  <si>
    <t>RC0402FR-0775RL</t>
  </si>
  <si>
    <t>615-123458-825</t>
  </si>
  <si>
    <t>RC0402FR-078R25L</t>
  </si>
  <si>
    <t>28-426179-00</t>
  </si>
  <si>
    <t>RC0603FR-0710KL</t>
  </si>
  <si>
    <t>615-068562-100</t>
  </si>
  <si>
    <t>RC0603FR-071ML</t>
  </si>
  <si>
    <t>615-301314-001</t>
  </si>
  <si>
    <t>RC0603FR-074K7L</t>
  </si>
  <si>
    <t>615-051883-220</t>
  </si>
  <si>
    <t>RC0603JR-0722RL</t>
  </si>
  <si>
    <t>615-901300-105</t>
  </si>
  <si>
    <t>RC0805FR-07105RL</t>
  </si>
  <si>
    <t>615-901300-150</t>
  </si>
  <si>
    <t>RC0805FR-07150RL</t>
  </si>
  <si>
    <t>615-901301-127</t>
  </si>
  <si>
    <t>RC0805FR-071K27L</t>
  </si>
  <si>
    <t>615-901302-221</t>
  </si>
  <si>
    <t>RC0805FR-0722K1L</t>
  </si>
  <si>
    <t>615-901301-267</t>
  </si>
  <si>
    <t>RC0805FR-072K67L</t>
  </si>
  <si>
    <t>615-901302-301</t>
  </si>
  <si>
    <t>RC0805FR-0730K1L</t>
  </si>
  <si>
    <t>615-901303-357</t>
  </si>
  <si>
    <t>RC0805FR-07357KL</t>
  </si>
  <si>
    <t>615-901301-464</t>
  </si>
  <si>
    <t>RC0805FR-074K64L</t>
  </si>
  <si>
    <t>615-901301-487</t>
  </si>
  <si>
    <t>RC0805FR-074K87L</t>
  </si>
  <si>
    <t>615-901300-887</t>
  </si>
  <si>
    <t>RC0805FR-07887RL</t>
  </si>
  <si>
    <t>615-901301-931</t>
  </si>
  <si>
    <t>RC0805FR-079K31L</t>
  </si>
  <si>
    <t>615-901294-104</t>
  </si>
  <si>
    <t>RC0805JR-07100KL</t>
  </si>
  <si>
    <t>615-901294-681</t>
  </si>
  <si>
    <t>RC0805JR-07680RL</t>
  </si>
  <si>
    <t>615-179931-004</t>
  </si>
  <si>
    <t>RC1206FR-07100KL</t>
  </si>
  <si>
    <t>615-116029-191</t>
  </si>
  <si>
    <t>RC1206FR-0719K1L</t>
  </si>
  <si>
    <t>615-306231-191</t>
  </si>
  <si>
    <t>RC1206FR-071K91L</t>
  </si>
  <si>
    <t>615-179931-002</t>
  </si>
  <si>
    <t>RC1206FR-071KL</t>
  </si>
  <si>
    <t>615-116030-200</t>
  </si>
  <si>
    <t>RC1206FR-07200KL</t>
  </si>
  <si>
    <t>615-116029-200</t>
  </si>
  <si>
    <t>RC1206FR-0720KL</t>
  </si>
  <si>
    <t>615-116030-215</t>
  </si>
  <si>
    <t>RC1206FR-07215KL</t>
  </si>
  <si>
    <t>615-116029-261</t>
  </si>
  <si>
    <t>RC1206FR-0726K1L</t>
  </si>
  <si>
    <t>615-098001-249</t>
  </si>
  <si>
    <t>RC1206FR-072K49L</t>
  </si>
  <si>
    <t>615-116027-301</t>
  </si>
  <si>
    <t>RC1206FR-07301RL</t>
  </si>
  <si>
    <t>615-116029-392</t>
  </si>
  <si>
    <t>RC1206FR-0739K2L</t>
  </si>
  <si>
    <t>615-116028-324</t>
  </si>
  <si>
    <t>RC1206FR-073K24L</t>
  </si>
  <si>
    <t>615-116027-402</t>
  </si>
  <si>
    <t>RC1206FR-07402RL</t>
  </si>
  <si>
    <t>615-116029-750</t>
  </si>
  <si>
    <t>RC1206FR-0775KL</t>
  </si>
  <si>
    <t>615-116028-787</t>
  </si>
  <si>
    <t>RC1206FR-077K87L</t>
  </si>
  <si>
    <t>615-116029-845</t>
  </si>
  <si>
    <t>RC1206FR-0784K5L</t>
  </si>
  <si>
    <t>615-116029-976</t>
  </si>
  <si>
    <t>RC1206FR-0797K6L</t>
  </si>
  <si>
    <t>615-032231-040</t>
  </si>
  <si>
    <t>RC1206JR-070RL</t>
  </si>
  <si>
    <t>615-097890-201</t>
  </si>
  <si>
    <t>RC1206JR-07200RL</t>
  </si>
  <si>
    <t>615-032231-243</t>
  </si>
  <si>
    <t>RC1206JR-0724KL</t>
  </si>
  <si>
    <t>615-097890-300</t>
  </si>
  <si>
    <t>RC1206JR-0730RL</t>
  </si>
  <si>
    <t>615-032231-017</t>
  </si>
  <si>
    <t>RC1206JR-073K3L</t>
  </si>
  <si>
    <t>615-032231-569</t>
  </si>
  <si>
    <t>RC1206JR-075R6L</t>
  </si>
  <si>
    <t>615-097890-822</t>
  </si>
  <si>
    <t>RC1206JR-078K2L</t>
  </si>
  <si>
    <t>615-032231-012</t>
  </si>
  <si>
    <t>RC1206JR-07910RL</t>
  </si>
  <si>
    <t>615-294140-001</t>
  </si>
  <si>
    <t>RC2012J000CS</t>
  </si>
  <si>
    <t>609-290805-001</t>
  </si>
  <si>
    <t>RCLAMP3321P.TNT</t>
  </si>
  <si>
    <t>DIO,SMD,ZENER,TVS,3.3VWM,13VC</t>
  </si>
  <si>
    <t>609-287457-001</t>
  </si>
  <si>
    <t>RCLAMP3324T.TCT</t>
  </si>
  <si>
    <t>615-B08007-001</t>
  </si>
  <si>
    <t>RCS060310M0FKEA</t>
  </si>
  <si>
    <t>631-096454-001</t>
  </si>
  <si>
    <t>RCV420KP</t>
  </si>
  <si>
    <t>649-336799-001</t>
  </si>
  <si>
    <t>RDEC71E226K3K1H03B</t>
  </si>
  <si>
    <t>630-116956-001</t>
  </si>
  <si>
    <t>REF5025AIDR</t>
  </si>
  <si>
    <t>615-049171-324</t>
  </si>
  <si>
    <t>RG2012P-3242-B-T5</t>
  </si>
  <si>
    <t>615-052826-472</t>
  </si>
  <si>
    <t>RG2012P-472-B-T5</t>
  </si>
  <si>
    <t>615-049171-715</t>
  </si>
  <si>
    <t>RG2012P-7152-B-T5</t>
  </si>
  <si>
    <t>615-162861-030</t>
  </si>
  <si>
    <t>RG2012P-82R5-B-T5</t>
  </si>
  <si>
    <t>615-B28247-001</t>
  </si>
  <si>
    <t>RGC1/16SC3301BTH</t>
  </si>
  <si>
    <t>644-A12839-001</t>
  </si>
  <si>
    <t>RH2V2-UDC24V</t>
  </si>
  <si>
    <t>615-053814-332</t>
  </si>
  <si>
    <t>RK73B3ATTE332J</t>
  </si>
  <si>
    <t>615-121726-050</t>
  </si>
  <si>
    <t>RK73H1ETTP1501F</t>
  </si>
  <si>
    <t>615-121726-073</t>
  </si>
  <si>
    <t>RK73H1ETTP1502F</t>
  </si>
  <si>
    <t>615-121726-161</t>
  </si>
  <si>
    <t>RK73H1ETTP1600F</t>
  </si>
  <si>
    <t>615-121726-069</t>
  </si>
  <si>
    <t>RK73H1ETTP2703F</t>
  </si>
  <si>
    <t>615-121726-322</t>
  </si>
  <si>
    <t>RK73H1ETTP3241F</t>
  </si>
  <si>
    <t>615-121726-059</t>
  </si>
  <si>
    <t>RK73H1ETTP3901F</t>
  </si>
  <si>
    <t>615-121726-432</t>
  </si>
  <si>
    <t>RK73H1ETTP4323F</t>
  </si>
  <si>
    <t>615-121726-121</t>
  </si>
  <si>
    <t>RK73H1ETTP4422F</t>
  </si>
  <si>
    <t>615-121726-214</t>
  </si>
  <si>
    <t>RK73H1ETTP4873F</t>
  </si>
  <si>
    <t>615-121726-086</t>
  </si>
  <si>
    <t>RK73H1ETTP5102F</t>
  </si>
  <si>
    <t>615-047233-470</t>
  </si>
  <si>
    <t>RK73H2ETTD47R0F</t>
  </si>
  <si>
    <t>670-A11993-050</t>
  </si>
  <si>
    <t>RKEF050</t>
  </si>
  <si>
    <t>670-A11993-075</t>
  </si>
  <si>
    <t>RKEF075</t>
  </si>
  <si>
    <t>670-A11993-135</t>
  </si>
  <si>
    <t>RKEF135</t>
  </si>
  <si>
    <t>670-A11993-500</t>
  </si>
  <si>
    <t>RKEF500</t>
  </si>
  <si>
    <t>615-B07781-001</t>
  </si>
  <si>
    <t>RMCF0603FT127K</t>
  </si>
  <si>
    <t>615-A79047-003</t>
  </si>
  <si>
    <t>RMCF1206FT2K20</t>
  </si>
  <si>
    <t>615-220118-005</t>
  </si>
  <si>
    <t>RNCP0805FTD40K2</t>
  </si>
  <si>
    <t>615-220118-004</t>
  </si>
  <si>
    <t>RNCP0805FTD4K99</t>
  </si>
  <si>
    <t>615-B08503-001</t>
  </si>
  <si>
    <t>RP73PF1E16R5BTD</t>
  </si>
  <si>
    <t>685-B14998-001</t>
  </si>
  <si>
    <t>RPI4-MODBP-4GB</t>
  </si>
  <si>
    <t>615-A61037-267</t>
  </si>
  <si>
    <t>RQ73C2B267RBTD</t>
  </si>
  <si>
    <t>615-A61037-357</t>
  </si>
  <si>
    <t>RQ73C2B357RBTD</t>
  </si>
  <si>
    <t>615-A72185-010</t>
  </si>
  <si>
    <t>RS73F2BTTD10R0B</t>
  </si>
  <si>
    <t>615-336992-002</t>
  </si>
  <si>
    <t>RT0402BRD07100KL</t>
  </si>
  <si>
    <t>615-303725-087</t>
  </si>
  <si>
    <t>RT0402BRD0710K5L</t>
  </si>
  <si>
    <t>615-A00424-100</t>
  </si>
  <si>
    <t>RT0402BRD0710KL</t>
  </si>
  <si>
    <t>615-A00424-120</t>
  </si>
  <si>
    <t>RT0402BRD0712KL</t>
  </si>
  <si>
    <t>615-A00424-182</t>
  </si>
  <si>
    <t>RT0402BRD0718K2L</t>
  </si>
  <si>
    <t>615-A00424-191</t>
  </si>
  <si>
    <t>RT0402BRD0719K1L</t>
  </si>
  <si>
    <t>615-A00423-107</t>
  </si>
  <si>
    <t>RT0402BRD071K07L</t>
  </si>
  <si>
    <t>615-303725-085</t>
  </si>
  <si>
    <t>RT0402BRD071K15L</t>
  </si>
  <si>
    <t>615-A00423-133</t>
  </si>
  <si>
    <t>RT0402BRD071K33L</t>
  </si>
  <si>
    <t>615-A00423-100</t>
  </si>
  <si>
    <t>RT0402BRD071KL</t>
  </si>
  <si>
    <t>615-A00424-243</t>
  </si>
  <si>
    <t>RT0402BRD0724K3L</t>
  </si>
  <si>
    <t>615-A00422-267</t>
  </si>
  <si>
    <t>RT0402BRD07267RL</t>
  </si>
  <si>
    <t>615-A00422-280</t>
  </si>
  <si>
    <t>RT0402BRD07280RL</t>
  </si>
  <si>
    <t>615-A00424-301</t>
  </si>
  <si>
    <t>RT0402BRD0730K1L</t>
  </si>
  <si>
    <t>615-A00424-348</t>
  </si>
  <si>
    <t>RT0402BRD0734K8L</t>
  </si>
  <si>
    <t>615-A00422-365</t>
  </si>
  <si>
    <t>RT0402BRD07365RL</t>
  </si>
  <si>
    <t>615-303725-084</t>
  </si>
  <si>
    <t>RT0402BRD073K57L</t>
  </si>
  <si>
    <t>615-A00424-412</t>
  </si>
  <si>
    <t>RT0402BRD0741K2L</t>
  </si>
  <si>
    <t>615-A00424-464</t>
  </si>
  <si>
    <t>RT0402BRD0746K4L</t>
  </si>
  <si>
    <t>615-A00422-499</t>
  </si>
  <si>
    <t>RT0402BRD07499RL</t>
  </si>
  <si>
    <t>615-303725-083</t>
  </si>
  <si>
    <t>RT0402BRD075K9L</t>
  </si>
  <si>
    <t>615-A00424-604</t>
  </si>
  <si>
    <t>RT0402BRD0760K4L</t>
  </si>
  <si>
    <t>615-A00422-681</t>
  </si>
  <si>
    <t>RT0402BRD07681RL</t>
  </si>
  <si>
    <t>615-A00422-806</t>
  </si>
  <si>
    <t>RT0402BRD07806RL</t>
  </si>
  <si>
    <t>615-A00422-820</t>
  </si>
  <si>
    <t>RT0402BRD07820RL</t>
  </si>
  <si>
    <t>615-A00424-909</t>
  </si>
  <si>
    <t>RT0402BRD0790K9L</t>
  </si>
  <si>
    <t>615-B11215-001</t>
  </si>
  <si>
    <t>RT0402BRE0750RL</t>
  </si>
  <si>
    <t>615-064170-162</t>
  </si>
  <si>
    <t>RT0805BRD071K62L</t>
  </si>
  <si>
    <t>615-064170-165</t>
  </si>
  <si>
    <t>RT0805BRD071K65L</t>
  </si>
  <si>
    <t>615-064170-274</t>
  </si>
  <si>
    <t>RT0805BRD072K74L</t>
  </si>
  <si>
    <t>615-064170-499</t>
  </si>
  <si>
    <t>RT0805BRD074K99L</t>
  </si>
  <si>
    <t>RT0805BRD075K36L</t>
  </si>
  <si>
    <t>615-055211-100</t>
  </si>
  <si>
    <t>RT0805FRE07100RL</t>
  </si>
  <si>
    <t>644-087493-002</t>
  </si>
  <si>
    <t>RTE24024F</t>
  </si>
  <si>
    <t>670-095989-400</t>
  </si>
  <si>
    <t>RUEF400</t>
  </si>
  <si>
    <t>670-095989-500</t>
  </si>
  <si>
    <t>RUEF500</t>
  </si>
  <si>
    <t>PTC,RUE SERIES 5.00A,ROHS</t>
  </si>
  <si>
    <t>670-097092-800</t>
  </si>
  <si>
    <t>RUEF800</t>
  </si>
  <si>
    <t>670-097092-900</t>
  </si>
  <si>
    <t>RUEF900</t>
  </si>
  <si>
    <t>670-048042-001</t>
  </si>
  <si>
    <t>RXEF040</t>
  </si>
  <si>
    <t>670-095989-185</t>
  </si>
  <si>
    <t>RXEF185</t>
  </si>
  <si>
    <t>670-097907-300</t>
  </si>
  <si>
    <t>RXEF300</t>
  </si>
  <si>
    <t>670-095989-375</t>
  </si>
  <si>
    <t>RXEF375</t>
  </si>
  <si>
    <t>674-130057-001</t>
  </si>
  <si>
    <t>S1621-46</t>
  </si>
  <si>
    <t>674-127923-001</t>
  </si>
  <si>
    <t>S1751-46</t>
  </si>
  <si>
    <t>630-B09772-001</t>
  </si>
  <si>
    <t>S25FL512SAGBHBA10</t>
  </si>
  <si>
    <t>630-A08069-001</t>
  </si>
  <si>
    <t>S25FL512SAGBHIA10</t>
  </si>
  <si>
    <t>IC FLASH 512MBIT 133MHZ 24BGA</t>
  </si>
  <si>
    <t>687-A95661-001</t>
  </si>
  <si>
    <t>S2761-46R</t>
  </si>
  <si>
    <t>668-A96376-004</t>
  </si>
  <si>
    <t>S4B-XH-A-1(LF)(SN)</t>
  </si>
  <si>
    <t>670-338640-100</t>
  </si>
  <si>
    <t>S505H-1-R</t>
  </si>
  <si>
    <t>S505H-4-R</t>
  </si>
  <si>
    <t>686-227297-002</t>
  </si>
  <si>
    <t>S8121-46R</t>
  </si>
  <si>
    <t>609-A92271-001</t>
  </si>
  <si>
    <t>SBR5E45P5-7</t>
  </si>
  <si>
    <t>613-A32959-001</t>
  </si>
  <si>
    <t>SBRD10200TR</t>
  </si>
  <si>
    <t>668-082689-003</t>
  </si>
  <si>
    <t>SDD-H26H26-2-95-FN</t>
  </si>
  <si>
    <t>615-B07870-001</t>
  </si>
  <si>
    <t>SDR03EZPF2004</t>
  </si>
  <si>
    <t>639-A32938-001</t>
  </si>
  <si>
    <t>SER2918H-153KL</t>
  </si>
  <si>
    <t>682-336597-020</t>
  </si>
  <si>
    <t>SF-1206HH20M-2</t>
  </si>
  <si>
    <t>682-A56420-030</t>
  </si>
  <si>
    <t>SF-1206HH30M-2</t>
  </si>
  <si>
    <t>687-A67230-001</t>
  </si>
  <si>
    <t>SF2</t>
  </si>
  <si>
    <t>682-A89056-001</t>
  </si>
  <si>
    <t>SF-2410FP400W-2</t>
  </si>
  <si>
    <t>635-A38983-016</t>
  </si>
  <si>
    <t>SG-210STF33.3333ML</t>
  </si>
  <si>
    <t>615-B09403-001</t>
  </si>
  <si>
    <t>SG73S2E1RTTD7500F</t>
  </si>
  <si>
    <t>679-346463-001</t>
  </si>
  <si>
    <t>SHT35-DIS-B2.5KS</t>
  </si>
  <si>
    <t>628-277026-001</t>
  </si>
  <si>
    <t>SI2399DS-T1-GE3</t>
  </si>
  <si>
    <t>635-A91539-001</t>
  </si>
  <si>
    <t>SiT3373AI-1E3-33EG245.760000</t>
  </si>
  <si>
    <t>649-B08060-001</t>
  </si>
  <si>
    <t>SLPX472M063E3P3</t>
  </si>
  <si>
    <t>667-A66914-004</t>
  </si>
  <si>
    <t>SM04B-PASS-TBT(LF)(SN)</t>
  </si>
  <si>
    <t>667-A43906-010</t>
  </si>
  <si>
    <t>SM10B-SURS-TF(LF)(SN)</t>
  </si>
  <si>
    <t>609-117182-001</t>
  </si>
  <si>
    <t>SMAJ4740A</t>
  </si>
  <si>
    <t>609-034003-013</t>
  </si>
  <si>
    <t>SMBJ13A</t>
  </si>
  <si>
    <t>609-034003-001</t>
  </si>
  <si>
    <t>SMBJ15A</t>
  </si>
  <si>
    <t>609-034003-030</t>
  </si>
  <si>
    <t>SMBJ51A</t>
  </si>
  <si>
    <t>609-326174-001</t>
  </si>
  <si>
    <t>SMF150</t>
  </si>
  <si>
    <t>609-118138-026</t>
  </si>
  <si>
    <t>SMF26A</t>
  </si>
  <si>
    <t>723-B29816-003</t>
  </si>
  <si>
    <t>SMTSO-M2-3ET</t>
  </si>
  <si>
    <t>630-242662-001</t>
  </si>
  <si>
    <t>SN65LVDS4RSER</t>
  </si>
  <si>
    <t>630-025511-001</t>
  </si>
  <si>
    <t>SN74AC14DR</t>
  </si>
  <si>
    <t>630-A93022-001</t>
  </si>
  <si>
    <t>SN74ACT04DR</t>
  </si>
  <si>
    <t>630-B04992-001</t>
  </si>
  <si>
    <t>SN74ACT14DR</t>
  </si>
  <si>
    <t>630-A78557-001</t>
  </si>
  <si>
    <t>SN74AHCT04DBR</t>
  </si>
  <si>
    <t>630-B32583-001</t>
  </si>
  <si>
    <t>SN74AXCH8T245RHLR</t>
  </si>
  <si>
    <t>630-122441-001</t>
  </si>
  <si>
    <t>SN74CB3Q3306APWR</t>
  </si>
  <si>
    <t>630-099034-011</t>
  </si>
  <si>
    <t>SN74HC11DR</t>
  </si>
  <si>
    <t>630-A52002-001</t>
  </si>
  <si>
    <t>SN74LVC125ARGYR</t>
  </si>
  <si>
    <t>IC,SMD,NON INV,BFR,1.65-3.6V,VQFN-14</t>
  </si>
  <si>
    <t>630-135486-002</t>
  </si>
  <si>
    <t>SN74LVC1G00DBVR</t>
  </si>
  <si>
    <t>630-135486-001</t>
  </si>
  <si>
    <t>SN74LVC1G00DCKR</t>
  </si>
  <si>
    <t>630-135493-001</t>
  </si>
  <si>
    <t>SN74LVC1G14DCK</t>
  </si>
  <si>
    <t>630-240544-001</t>
  </si>
  <si>
    <t>SN74LVC1G32DBVT</t>
  </si>
  <si>
    <t>630-313838-001</t>
  </si>
  <si>
    <t>SN74LVC1G373DCKR</t>
  </si>
  <si>
    <t>630-135484-001</t>
  </si>
  <si>
    <t>SN74LVC1G74DCU</t>
  </si>
  <si>
    <t>630-122761-001</t>
  </si>
  <si>
    <t>SN74LVC245APWR</t>
  </si>
  <si>
    <t>630-135488-001</t>
  </si>
  <si>
    <t>SN74LVC2G00DCUR</t>
  </si>
  <si>
    <t>630-135494-001</t>
  </si>
  <si>
    <t>SN74LVC2G14DCK</t>
  </si>
  <si>
    <t>630-A74812-001</t>
  </si>
  <si>
    <t>SN74LVC2G17DBVR</t>
  </si>
  <si>
    <t>630-119587-001</t>
  </si>
  <si>
    <t>SN74LVC2G34MDCKREP</t>
  </si>
  <si>
    <t>607-098383-103</t>
  </si>
  <si>
    <t>SOMC160310K0GEA</t>
  </si>
  <si>
    <t>645-A64043-001</t>
  </si>
  <si>
    <t>SS-12D07-VG4NSGAPA</t>
  </si>
  <si>
    <t>609-066834-030</t>
  </si>
  <si>
    <t>SS23</t>
  </si>
  <si>
    <t>609-066834-060</t>
  </si>
  <si>
    <t>SS26T3G</t>
  </si>
  <si>
    <t>609-258986-001</t>
  </si>
  <si>
    <t>SSC54-E3/57T</t>
  </si>
  <si>
    <t>662-073572-001</t>
  </si>
  <si>
    <t>SSF-LXH240GGD</t>
  </si>
  <si>
    <t>668-900922-026</t>
  </si>
  <si>
    <t>SSW-113-01-G-D</t>
  </si>
  <si>
    <t>668-900922-034</t>
  </si>
  <si>
    <t>SSW-117-01-G-D</t>
  </si>
  <si>
    <t>609-A97224-001</t>
  </si>
  <si>
    <t>STPS0540ZY</t>
  </si>
  <si>
    <t>630-B00972-001</t>
  </si>
  <si>
    <t>SUD35N10-26P-E3</t>
  </si>
  <si>
    <t>626-A32953-001</t>
  </si>
  <si>
    <t>SUD50P04-09L-E3</t>
  </si>
  <si>
    <t>648-098106-104</t>
  </si>
  <si>
    <t>T491A104K050AT</t>
  </si>
  <si>
    <t>648-B12344-001</t>
  </si>
  <si>
    <t>T530D337M006ATE010</t>
  </si>
  <si>
    <t>648-096579-225</t>
  </si>
  <si>
    <t>630-232594-001</t>
  </si>
  <si>
    <t>TCA9539RTWR</t>
  </si>
  <si>
    <t>630-333296-001</t>
  </si>
  <si>
    <t>TCA9548APWR</t>
  </si>
  <si>
    <t>630-333296-002</t>
  </si>
  <si>
    <t>TCA9548ARGER</t>
  </si>
  <si>
    <t>32-10010-00</t>
  </si>
  <si>
    <t>TDE1798DP</t>
  </si>
  <si>
    <t>618-B36870-500</t>
  </si>
  <si>
    <t>618-B36870-050</t>
  </si>
  <si>
    <t>TGHHV5R00JE</t>
  </si>
  <si>
    <t>618-B36776-100</t>
  </si>
  <si>
    <t>TGHLV10R0JE</t>
  </si>
  <si>
    <t>618-B36776-151</t>
  </si>
  <si>
    <t>618-B36776-102</t>
  </si>
  <si>
    <t>TGHLV1K00JE</t>
  </si>
  <si>
    <t>618-B36776-250</t>
  </si>
  <si>
    <t>TGHLV25R0JE</t>
  </si>
  <si>
    <t>660-A86741-008</t>
  </si>
  <si>
    <t>THN10-2423WIR</t>
  </si>
  <si>
    <t>630-B31546-001</t>
  </si>
  <si>
    <t>THS4520RGTR</t>
  </si>
  <si>
    <t>630-B14831-001</t>
  </si>
  <si>
    <t>THS4521IDGKR</t>
  </si>
  <si>
    <t>630-337827-001</t>
  </si>
  <si>
    <t>TLP2367(TPR,E</t>
  </si>
  <si>
    <t>631-A53030-001</t>
  </si>
  <si>
    <t>TLP627M(E</t>
  </si>
  <si>
    <t>615-A65794-001</t>
  </si>
  <si>
    <t>615-A93810-001</t>
  </si>
  <si>
    <t>TLRP3A30CR004FTE</t>
  </si>
  <si>
    <t>648-347674-047</t>
  </si>
  <si>
    <t>TMK212BJ474KD-T</t>
  </si>
  <si>
    <t>630-330902-001</t>
  </si>
  <si>
    <t>TMP117AIYBGR</t>
  </si>
  <si>
    <t>630-A12986-001</t>
  </si>
  <si>
    <t>TMUX6104PWR</t>
  </si>
  <si>
    <t>615-233538-001</t>
  </si>
  <si>
    <t>TNPW040219K8BEED</t>
  </si>
  <si>
    <t>615-049171-249</t>
  </si>
  <si>
    <t>TNPW080524K9BEEA</t>
  </si>
  <si>
    <t>615-310369-002</t>
  </si>
  <si>
    <t>TNPW08053K90BEEA</t>
  </si>
  <si>
    <t>615-049171-845</t>
  </si>
  <si>
    <t>615-044084-103</t>
  </si>
  <si>
    <t>TNPW120610K0BEEA</t>
  </si>
  <si>
    <t>615-080142-200</t>
  </si>
  <si>
    <t>TNPW1206200RBEEA</t>
  </si>
  <si>
    <t>630-B37447-001</t>
  </si>
  <si>
    <t>TPL7407LDR</t>
  </si>
  <si>
    <t>630-A39011-001</t>
  </si>
  <si>
    <t>TPS16630PWPT</t>
  </si>
  <si>
    <t>630-124301-001</t>
  </si>
  <si>
    <t>TPS2493PWR</t>
  </si>
  <si>
    <t>630-A39020-001</t>
  </si>
  <si>
    <t>TPS259827ONRGER</t>
  </si>
  <si>
    <t>630-A39017-001</t>
  </si>
  <si>
    <t>TPS26600PWPR</t>
  </si>
  <si>
    <t>630-B14805-001</t>
  </si>
  <si>
    <t>TPS27S100BRRKT</t>
  </si>
  <si>
    <t>630-346019-001</t>
  </si>
  <si>
    <t>TPS568215RNNR</t>
  </si>
  <si>
    <t>630-121459-001</t>
  </si>
  <si>
    <t>TPS65910AA1RSL</t>
  </si>
  <si>
    <t>630-121755-001</t>
  </si>
  <si>
    <t>TPS71718DCKR</t>
  </si>
  <si>
    <t>630-129718-001</t>
  </si>
  <si>
    <t>TPS7A3301RGWR</t>
  </si>
  <si>
    <t>630-128822-001</t>
  </si>
  <si>
    <t>TPS7A4501KTTR</t>
  </si>
  <si>
    <t>630-345767-001</t>
  </si>
  <si>
    <t>TPS7A8801RTJR</t>
  </si>
  <si>
    <t>648-097892-107</t>
  </si>
  <si>
    <t>TPSD107K010R0100</t>
  </si>
  <si>
    <t>648-019150-476</t>
  </si>
  <si>
    <t>TPSE476K035R0200</t>
  </si>
  <si>
    <t>632-024687-001</t>
  </si>
  <si>
    <t>TQ2SA-12V</t>
  </si>
  <si>
    <t>630-B14817-001</t>
  </si>
  <si>
    <t>TS5A623157DGSR</t>
  </si>
  <si>
    <t>667-A27948-002</t>
  </si>
  <si>
    <t>TSM-102-01-S-SV</t>
  </si>
  <si>
    <t>667-A27948-003</t>
  </si>
  <si>
    <t>TSM-103-01-S-SV</t>
  </si>
  <si>
    <t>667-B14849-001</t>
  </si>
  <si>
    <t>TSM-103-02-S-SV</t>
  </si>
  <si>
    <t>667-B14845-020</t>
  </si>
  <si>
    <t>TSM-110-02-S-DV</t>
  </si>
  <si>
    <t>667-B14845-001</t>
  </si>
  <si>
    <t>TSM-120-02-S-DV</t>
  </si>
  <si>
    <t>608-114716-106</t>
  </si>
  <si>
    <t>TSM4YJ105KR05</t>
  </si>
  <si>
    <t>668-A49130-026</t>
  </si>
  <si>
    <t>TSW-113-07-G-D</t>
  </si>
  <si>
    <t>630-A99428-001</t>
  </si>
  <si>
    <t>UCC27423MDREP</t>
  </si>
  <si>
    <t>630-B20591-001</t>
  </si>
  <si>
    <t>UCC27714DR</t>
  </si>
  <si>
    <t>615-235090-001</t>
  </si>
  <si>
    <t>UCR03EVPFLR100</t>
  </si>
  <si>
    <t>630-038898-001</t>
  </si>
  <si>
    <t>ULN2003ADR</t>
  </si>
  <si>
    <t>631-007891-001</t>
  </si>
  <si>
    <t>ULN2802A</t>
  </si>
  <si>
    <t>626-122409-001</t>
  </si>
  <si>
    <t>UMH9NTN</t>
  </si>
  <si>
    <t>648-A08430-224</t>
  </si>
  <si>
    <t>UMK105BJ224KV-F</t>
  </si>
  <si>
    <t>639-121559-001</t>
  </si>
  <si>
    <t>VLCF5020T-2R2N2R6-3</t>
  </si>
  <si>
    <t>630-274216-001</t>
  </si>
  <si>
    <t>VN7140ASTR</t>
  </si>
  <si>
    <t>631-289054-002</t>
  </si>
  <si>
    <t>VO618A-4</t>
  </si>
  <si>
    <t>618-228291-125</t>
  </si>
  <si>
    <t>W23-22KJI</t>
  </si>
  <si>
    <t>630-280302-001</t>
  </si>
  <si>
    <t>W25Q128JVSIQ</t>
  </si>
  <si>
    <t>639-121249-002</t>
  </si>
  <si>
    <t>WB1-6TSL</t>
  </si>
  <si>
    <t>639-235679-001</t>
  </si>
  <si>
    <t>WBC1-1TLC</t>
  </si>
  <si>
    <t>639-243085-001</t>
  </si>
  <si>
    <t>WBC2-1TLC</t>
  </si>
  <si>
    <t>645-A79390-001</t>
  </si>
  <si>
    <t>WT21S</t>
  </si>
  <si>
    <t>630-309829-001</t>
  </si>
  <si>
    <t>XC7Z007S-2CLG400I</t>
  </si>
  <si>
    <t>630-337692-002</t>
  </si>
  <si>
    <t>XCZU3CG-1SFVC784E</t>
  </si>
  <si>
    <t>635-122552-102</t>
  </si>
  <si>
    <t>XLH736030.000000I</t>
  </si>
  <si>
    <t>615-217661-003</t>
  </si>
  <si>
    <t>Y14870R00500B9R</t>
  </si>
  <si>
    <t>RES,SMD,CUR SNS,0.005 OHM,0.1%,1W,2512</t>
  </si>
  <si>
    <t>690-072511-001</t>
  </si>
  <si>
    <t>YFF31HC2A104MT000N</t>
  </si>
  <si>
    <t>641-006530-001</t>
  </si>
  <si>
    <t>Z-14E</t>
  </si>
  <si>
    <t>CPC</t>
  </si>
  <si>
    <t xml:space="preserve">Min </t>
  </si>
  <si>
    <t>609-041761-001</t>
  </si>
  <si>
    <t>615-098001-191</t>
  </si>
  <si>
    <t>615-217661-002</t>
  </si>
  <si>
    <t>619-095611-104</t>
  </si>
  <si>
    <t>630-049538-001</t>
  </si>
  <si>
    <t>630-293745-001</t>
  </si>
  <si>
    <t>630-A92150-001</t>
  </si>
  <si>
    <t>644-173006-001</t>
  </si>
  <si>
    <t>648-005168-220</t>
  </si>
  <si>
    <t>667-072911-009</t>
  </si>
  <si>
    <t>667-072911-015</t>
  </si>
  <si>
    <t>667-072911-025</t>
  </si>
  <si>
    <t>667-072911-037</t>
  </si>
  <si>
    <t>667-072912-025</t>
  </si>
  <si>
    <t>667-072912-037</t>
  </si>
  <si>
    <t>668-082689-004</t>
  </si>
  <si>
    <t>684-243305-004</t>
  </si>
  <si>
    <t>720-001000-005</t>
  </si>
  <si>
    <t>720-001001-004</t>
  </si>
  <si>
    <t>721-000926-001</t>
  </si>
  <si>
    <t>722-007855-001</t>
  </si>
  <si>
    <t>723-097621-068</t>
  </si>
  <si>
    <t>728-061060-010</t>
  </si>
  <si>
    <t>728-061063-008</t>
  </si>
  <si>
    <t>728-061615-005</t>
  </si>
  <si>
    <t>728-328365-010</t>
  </si>
  <si>
    <t>729-061056-005</t>
  </si>
  <si>
    <t>729-061057-005</t>
  </si>
  <si>
    <t>28-10031-00</t>
  </si>
  <si>
    <t>28-366204-00</t>
  </si>
  <si>
    <t>609-311183-001</t>
  </si>
  <si>
    <t>609-A29049-001</t>
  </si>
  <si>
    <t>615-055211-470</t>
  </si>
  <si>
    <t>615-098001-487</t>
  </si>
  <si>
    <t>615-098001-931</t>
  </si>
  <si>
    <t>615-228701-001</t>
  </si>
  <si>
    <t>615-344247-059</t>
  </si>
  <si>
    <t>615-B31543-001</t>
  </si>
  <si>
    <t>618-082852-100</t>
  </si>
  <si>
    <t>618-152059-001</t>
  </si>
  <si>
    <t>622-A78896-001</t>
  </si>
  <si>
    <t>622-B27974-001</t>
  </si>
  <si>
    <t>630-118107-001</t>
  </si>
  <si>
    <t>630-334660-001</t>
  </si>
  <si>
    <t>630-A79567-001</t>
  </si>
  <si>
    <t>630-B35278-001</t>
  </si>
  <si>
    <t>631-137821-001</t>
  </si>
  <si>
    <t>635-220990-001</t>
  </si>
  <si>
    <t>635-225114-007</t>
  </si>
  <si>
    <t>639-250153-001</t>
  </si>
  <si>
    <t>641-119703-100</t>
  </si>
  <si>
    <t>648-119852-103</t>
  </si>
  <si>
    <t>648-218817-001</t>
  </si>
  <si>
    <t>648-243935-001</t>
  </si>
  <si>
    <t>648-243935-002</t>
  </si>
  <si>
    <t>648-249226-033</t>
  </si>
  <si>
    <t>648-B42279-001</t>
  </si>
  <si>
    <t>648-B42870-001</t>
  </si>
  <si>
    <t>660-165469-001</t>
  </si>
  <si>
    <t>668-064180-001</t>
  </si>
  <si>
    <t>668-096777-009</t>
  </si>
  <si>
    <t>668-107631-001</t>
  </si>
  <si>
    <t>668-268804-001</t>
  </si>
  <si>
    <t>668-900417-001</t>
  </si>
  <si>
    <t>668-A52403-001</t>
  </si>
  <si>
    <t>668-B24466-001</t>
  </si>
  <si>
    <t>673-060116-001</t>
  </si>
  <si>
    <t>720-001000-003</t>
  </si>
  <si>
    <t>720-001000-004</t>
  </si>
  <si>
    <t>723-308078-043</t>
  </si>
  <si>
    <t>723-A14011-001</t>
  </si>
  <si>
    <t>729-061056-004</t>
  </si>
  <si>
    <t>729-061057-004</t>
  </si>
  <si>
    <t>730-064908-003</t>
  </si>
  <si>
    <t>615-123461-357</t>
  </si>
  <si>
    <t>615-225258-320</t>
  </si>
  <si>
    <t>723-A55352-003</t>
  </si>
  <si>
    <t>644-B32616-003</t>
  </si>
  <si>
    <t>720-001001-005</t>
  </si>
  <si>
    <t>728-036912-008</t>
  </si>
  <si>
    <t>729-081177-004</t>
  </si>
  <si>
    <t>MIN QTY</t>
  </si>
  <si>
    <t>STATUS</t>
  </si>
  <si>
    <t>MOQ</t>
  </si>
  <si>
    <t>Lam Owned Inventory?</t>
  </si>
  <si>
    <t>Buyer</t>
  </si>
  <si>
    <t>QTY</t>
  </si>
  <si>
    <t>YES</t>
  </si>
  <si>
    <t>Extended Price</t>
  </si>
  <si>
    <t>Base Price</t>
  </si>
  <si>
    <t>Vendor</t>
  </si>
  <si>
    <t>Purchase Price</t>
  </si>
  <si>
    <t>Purchase QTY</t>
  </si>
  <si>
    <t>Customer</t>
  </si>
  <si>
    <t>Warehouse</t>
  </si>
  <si>
    <t>Vendor Name</t>
  </si>
  <si>
    <t>Actual Unit Cost of Invoiced Item</t>
  </si>
  <si>
    <t>Total Line Cost of Invoiced Item</t>
  </si>
  <si>
    <t>GP Profit</t>
  </si>
  <si>
    <t>GP %</t>
  </si>
  <si>
    <t>Customer Item</t>
  </si>
  <si>
    <t>C005002</t>
  </si>
  <si>
    <t>Naprotek LLC</t>
  </si>
  <si>
    <t>W111</t>
  </si>
  <si>
    <t>COV0016504</t>
  </si>
  <si>
    <t>LAM-609-049039-001</t>
  </si>
  <si>
    <t>LAM-648-157397-220</t>
  </si>
  <si>
    <t>LAM-668-068181-001</t>
  </si>
  <si>
    <t>LAM-668-098496-003</t>
  </si>
  <si>
    <t>COV0016505</t>
  </si>
  <si>
    <t>LAM-630-B37447-001</t>
  </si>
  <si>
    <t>LAM-667-204367-001</t>
  </si>
  <si>
    <t>COV0016514</t>
  </si>
  <si>
    <t>LAM-609-099412-180</t>
  </si>
  <si>
    <t>LAM-609-099412-300</t>
  </si>
  <si>
    <t>LAM-630-080990-001</t>
  </si>
  <si>
    <t>LAM-668-061260-006</t>
  </si>
  <si>
    <t>LAM-668-061260-009</t>
  </si>
  <si>
    <t>670-097092-500</t>
  </si>
  <si>
    <t>LAM-682-117131-003</t>
  </si>
  <si>
    <t>COV0016526</t>
  </si>
  <si>
    <t>LAM-615-B11215-001</t>
  </si>
  <si>
    <t>LAM-630-144359-001</t>
  </si>
  <si>
    <t>LAM-630-311348-001</t>
  </si>
  <si>
    <t>1424241</t>
  </si>
  <si>
    <t>LAM-668-322137-001</t>
  </si>
  <si>
    <t>LAM-668-336426-001</t>
  </si>
  <si>
    <t>COV0016533</t>
  </si>
  <si>
    <t>LAM-615-098003-100</t>
  </si>
  <si>
    <t>LAM-630-B80412-001</t>
  </si>
  <si>
    <t>LAM-609-235641-001</t>
  </si>
  <si>
    <t>COV0016570</t>
  </si>
  <si>
    <t>LAM-615-A87446-009</t>
  </si>
  <si>
    <t>LAM-626-A87430-001</t>
  </si>
  <si>
    <t>LAM-630-148462-001</t>
  </si>
  <si>
    <t>LAM-630-A87473-001</t>
  </si>
  <si>
    <t>LAM-632-A91703-001</t>
  </si>
  <si>
    <t>LAM-668-326042-001</t>
  </si>
  <si>
    <t>LAM-668-342826-015</t>
  </si>
  <si>
    <t>LAM-668-A51501-015</t>
  </si>
  <si>
    <t>LAM-668-A51501-026</t>
  </si>
  <si>
    <t>LAM-668-A51501-044</t>
  </si>
  <si>
    <t>LAM-670-097092-500</t>
  </si>
  <si>
    <t>COV0016571</t>
  </si>
  <si>
    <t>COV0016637</t>
  </si>
  <si>
    <t>COV0016659</t>
  </si>
  <si>
    <t>LAM-668-024901-004</t>
  </si>
  <si>
    <t>LAM-668-082689-003</t>
  </si>
  <si>
    <t>LAM-682-117131-002</t>
  </si>
  <si>
    <t>COV0016676</t>
  </si>
  <si>
    <t>COV0016697</t>
  </si>
  <si>
    <t>COV0016779</t>
  </si>
  <si>
    <t>LAM-615-235090-001</t>
  </si>
  <si>
    <t>LAM-615-303725-084</t>
  </si>
  <si>
    <t>LAM-615-303725-085</t>
  </si>
  <si>
    <t>LAM-626-345771-001</t>
  </si>
  <si>
    <t>LAM-630-225105-001</t>
  </si>
  <si>
    <t>LAM-630-337825-001</t>
  </si>
  <si>
    <t>LAM-630-345767-001</t>
  </si>
  <si>
    <t>LAM-630-A08069-001</t>
  </si>
  <si>
    <t>LAM-630-A42470-001</t>
  </si>
  <si>
    <t>LAM-630-A52002-001</t>
  </si>
  <si>
    <t>LAM-635-225114-001</t>
  </si>
  <si>
    <t>LAM-660-345770-001</t>
  </si>
  <si>
    <t>LAM-615-303725-087</t>
  </si>
  <si>
    <t>COV0016877</t>
  </si>
  <si>
    <t>COV0016799</t>
  </si>
  <si>
    <t>C004898</t>
  </si>
  <si>
    <t>Lam Research Corporation</t>
  </si>
  <si>
    <t>COV0016902</t>
  </si>
  <si>
    <t>OPERATING FEE</t>
  </si>
  <si>
    <t>OPERATING FEE (DECEMBER 2025)</t>
  </si>
  <si>
    <t>OPERATING FEE (NOVEMBER 2025)</t>
  </si>
  <si>
    <t>OPERATING FEE (OCTOBER 2025)</t>
  </si>
  <si>
    <t>OPERATING FEE (SEPTEMBER 2025)</t>
  </si>
  <si>
    <t>OPERATING FEE (AUGUST 2025)</t>
  </si>
  <si>
    <t>OPERATING FEE (JULY 2025)</t>
  </si>
  <si>
    <t>OPERATING FEE (JUNE 2025)</t>
  </si>
  <si>
    <t>OPERATING FEE (MAY 2025)</t>
  </si>
  <si>
    <t>OPERATING FEE (APRIL 2025)</t>
  </si>
  <si>
    <t>OPERATING FEE (MARCH 2025)</t>
  </si>
  <si>
    <t>OPERATING FEE (JANUARY)</t>
  </si>
  <si>
    <t>OPERATING FEE (FEBRUARY)</t>
  </si>
  <si>
    <t>COV0016988</t>
  </si>
  <si>
    <t>LAM-670-097092-400</t>
  </si>
  <si>
    <t>COV0017001</t>
  </si>
  <si>
    <t>LAM-609-273843-001</t>
  </si>
  <si>
    <t>C005018</t>
  </si>
  <si>
    <t>VM Services, Inc</t>
  </si>
  <si>
    <t>COV0017044</t>
  </si>
  <si>
    <t>LA668-A79668-015</t>
  </si>
  <si>
    <t>COV0017061</t>
  </si>
  <si>
    <t>LAM-668-B33354-002</t>
  </si>
  <si>
    <t>COV0017056</t>
  </si>
  <si>
    <t>LAM-630-098848-001</t>
  </si>
  <si>
    <t>LAM-660-150506-003</t>
  </si>
  <si>
    <t>LAM-668-133361-001</t>
  </si>
  <si>
    <t>COV0017068</t>
  </si>
  <si>
    <t>LAM-609-026501-001</t>
  </si>
  <si>
    <t>COV0017096</t>
  </si>
  <si>
    <t>COV0017115</t>
  </si>
  <si>
    <t>COV0017137</t>
  </si>
  <si>
    <t>LAM-630-271124-001</t>
  </si>
  <si>
    <t>COV0017132</t>
  </si>
  <si>
    <t>LA660-B12889-003</t>
  </si>
  <si>
    <t>COV0017192</t>
  </si>
  <si>
    <t>LAM-630-042919-001</t>
  </si>
  <si>
    <t>COV0017223</t>
  </si>
  <si>
    <t>LAM-662-094083-001</t>
  </si>
  <si>
    <t>COV0017224</t>
  </si>
  <si>
    <t>COV0017236</t>
  </si>
  <si>
    <t>COV0017247</t>
  </si>
  <si>
    <t>LA664-313477-001</t>
  </si>
  <si>
    <t>COV0017294</t>
  </si>
  <si>
    <t>COV0017313</t>
  </si>
  <si>
    <t>COV0017321</t>
  </si>
  <si>
    <t>LA39-164229-07</t>
  </si>
  <si>
    <t>LA20-056427-00</t>
  </si>
  <si>
    <t>COV0017346</t>
  </si>
  <si>
    <t>COV0017398</t>
  </si>
  <si>
    <t>LAM-615-326252-001</t>
  </si>
  <si>
    <t>LAM-648-269920-001</t>
  </si>
  <si>
    <t>LAM-668-098490-009</t>
  </si>
  <si>
    <t>LAM-668-099048-008</t>
  </si>
  <si>
    <t>COV0017437</t>
  </si>
  <si>
    <t>65100516121</t>
  </si>
  <si>
    <t>LAM-39-433734-00</t>
  </si>
  <si>
    <t>LAM-662-073572-001</t>
  </si>
  <si>
    <t>PO 80224</t>
  </si>
  <si>
    <t>COV0017455</t>
  </si>
  <si>
    <t>LAM-630-345769-001</t>
  </si>
  <si>
    <t>MT40A512M16TB-062E:R</t>
  </si>
  <si>
    <t>LAM-630-B35278-001</t>
  </si>
  <si>
    <t>COV0017529</t>
  </si>
  <si>
    <t>LA648-B36944-476</t>
  </si>
  <si>
    <t>COV0017547</t>
  </si>
  <si>
    <t>LAM-628-277026-001</t>
  </si>
  <si>
    <t>LAM-630-135486-002</t>
  </si>
  <si>
    <t>LAM-630-231505-001</t>
  </si>
  <si>
    <t>LAM-630-330902-001</t>
  </si>
  <si>
    <t>LAM-630-A60438-001</t>
  </si>
  <si>
    <t>LAM-630-B45665-001</t>
  </si>
  <si>
    <t>LAM-667-B14845-001</t>
  </si>
  <si>
    <t>LAM-685-B14998-001</t>
  </si>
  <si>
    <t>COV0017588</t>
  </si>
  <si>
    <t>LA31-10099-00</t>
  </si>
  <si>
    <t>COV0017599</t>
  </si>
  <si>
    <t>LA670-095989-400</t>
  </si>
  <si>
    <t>LA615-053814-332</t>
  </si>
  <si>
    <t>LA615-162505-001</t>
  </si>
  <si>
    <t>LA615-162861-080</t>
  </si>
  <si>
    <t>LA673-348843-002</t>
  </si>
  <si>
    <t>LA673-348843-005</t>
  </si>
  <si>
    <t>LA673-348843-003</t>
  </si>
  <si>
    <t>9553156612741</t>
  </si>
  <si>
    <t>LA668-A09548-025</t>
  </si>
  <si>
    <t>9551156612741</t>
  </si>
  <si>
    <t>09552156612741</t>
  </si>
  <si>
    <t>LA668-A09548-015</t>
  </si>
  <si>
    <t>COV0017725</t>
  </si>
  <si>
    <t>COV0017727</t>
  </si>
  <si>
    <t>LA668-043863-044</t>
  </si>
  <si>
    <t>COV0017761</t>
  </si>
  <si>
    <t>LAM-621-095110-254</t>
  </si>
  <si>
    <t>LAM-630-108123-001</t>
  </si>
  <si>
    <t>LAM-630-119465-001</t>
  </si>
  <si>
    <t>LAM-630-129906-001</t>
  </si>
  <si>
    <t>LAM-630-135484-001</t>
  </si>
  <si>
    <t>LAM-630-135494-001</t>
  </si>
  <si>
    <t>LAM-630-140331-001</t>
  </si>
  <si>
    <t>LAM-667-123622-001</t>
  </si>
  <si>
    <t>COV0017795</t>
  </si>
  <si>
    <t>COV0017796</t>
  </si>
  <si>
    <t>LAM-641-006530-001</t>
  </si>
  <si>
    <t>LAM-618-213909-001</t>
  </si>
  <si>
    <t>COV0017826</t>
  </si>
  <si>
    <t>LA668-133361-001</t>
  </si>
  <si>
    <t>COV0017827</t>
  </si>
  <si>
    <t>May2025StaleInv</t>
  </si>
  <si>
    <t>COV0017861</t>
  </si>
  <si>
    <t>COV0017918</t>
  </si>
  <si>
    <t>LA628-072604-001</t>
  </si>
  <si>
    <t>COV0017919</t>
  </si>
  <si>
    <t>June2025StaleInv</t>
  </si>
  <si>
    <t>COV0017938</t>
  </si>
  <si>
    <t>5019530307</t>
  </si>
  <si>
    <t>732055033</t>
  </si>
  <si>
    <t>1843237</t>
  </si>
  <si>
    <t>1843224</t>
  </si>
  <si>
    <t>615-098001-715</t>
  </si>
  <si>
    <t>COV0017968</t>
  </si>
  <si>
    <t>COV0017979</t>
  </si>
  <si>
    <t>COV0017981</t>
  </si>
  <si>
    <t>LA628-A72178-001</t>
  </si>
  <si>
    <t>COV0018008</t>
  </si>
  <si>
    <t>COV0018025</t>
  </si>
  <si>
    <t>LA668-082689-003</t>
  </si>
  <si>
    <t>COV0018132</t>
  </si>
  <si>
    <t>LAM-670-097092-900</t>
  </si>
  <si>
    <t>COV0018200</t>
  </si>
  <si>
    <t>COV0018216</t>
  </si>
  <si>
    <t>COV0018217</t>
  </si>
  <si>
    <t>LA723-B29816-003</t>
  </si>
  <si>
    <t>COV0018247</t>
  </si>
  <si>
    <t>LA635-225114-001</t>
  </si>
  <si>
    <t>LA635-A38983-016</t>
  </si>
  <si>
    <t>COV0018248</t>
  </si>
  <si>
    <t>COV0018255</t>
  </si>
  <si>
    <t>LA630-B35278-001</t>
  </si>
  <si>
    <t>COV0018296</t>
  </si>
  <si>
    <t>LAM-609-068260-001</t>
  </si>
  <si>
    <t>LAM-631-096454-001</t>
  </si>
  <si>
    <t>LAM-660-150506-015</t>
  </si>
  <si>
    <t>COV0018297</t>
  </si>
  <si>
    <t>LA668-105495-005</t>
  </si>
  <si>
    <t>COV0018320</t>
  </si>
  <si>
    <t>LAM-664-122320-001</t>
  </si>
  <si>
    <t>LAM-668-098499-104</t>
  </si>
  <si>
    <t>COV0018351</t>
  </si>
  <si>
    <t>COV0018364</t>
  </si>
  <si>
    <t>COV0018370</t>
  </si>
  <si>
    <t>COV0018387</t>
  </si>
  <si>
    <t>COV0018400</t>
  </si>
  <si>
    <t>COV0018436</t>
  </si>
  <si>
    <t>COV0018451</t>
  </si>
  <si>
    <t>COV0018462</t>
  </si>
  <si>
    <t>POV0071466</t>
  </si>
  <si>
    <t>COV0018492</t>
  </si>
  <si>
    <t>LAM-630-049539-002</t>
  </si>
  <si>
    <t>COV0018552</t>
  </si>
  <si>
    <t>LAM-609-326174-001</t>
  </si>
  <si>
    <t>COV0018565</t>
  </si>
  <si>
    <t>LAM-648-A86866-476</t>
  </si>
  <si>
    <t>COV0018584</t>
  </si>
  <si>
    <t>W115</t>
  </si>
  <si>
    <t>COV0018633</t>
  </si>
  <si>
    <t>LAM-644-270411-001</t>
  </si>
  <si>
    <t>COV0018679</t>
  </si>
  <si>
    <t>POV0071736</t>
  </si>
  <si>
    <t>COV0018682</t>
  </si>
  <si>
    <t>LAM-626-A56166-001</t>
  </si>
  <si>
    <t>POV0071737</t>
  </si>
  <si>
    <t>LAM-667-160101-002</t>
  </si>
  <si>
    <t>COV0018684</t>
  </si>
  <si>
    <t>COV0018701</t>
  </si>
  <si>
    <t>LAM-609-118138-026</t>
  </si>
  <si>
    <t>LAM-615-B02355-001</t>
  </si>
  <si>
    <t>LAM-626-B25312-001</t>
  </si>
  <si>
    <t>COV0018743</t>
  </si>
  <si>
    <t>LAM-609-B31647-001</t>
  </si>
  <si>
    <t>LAM-630-A57202-001</t>
  </si>
  <si>
    <t>POV0071831</t>
  </si>
  <si>
    <t>LAM-630-B25236-001</t>
  </si>
  <si>
    <t>LAM-668-339894-001</t>
  </si>
  <si>
    <t>COV0018762</t>
  </si>
  <si>
    <t>LA615-123459-750</t>
  </si>
  <si>
    <t>COV0018785</t>
  </si>
  <si>
    <t>COV0018791</t>
  </si>
  <si>
    <t>LAM-668-B28242-001</t>
  </si>
  <si>
    <t>COV0018823</t>
  </si>
  <si>
    <t>LAM-669-238096-001</t>
  </si>
  <si>
    <t>COV0018827</t>
  </si>
  <si>
    <t>COV0018838</t>
  </si>
  <si>
    <t>COV0018851</t>
  </si>
  <si>
    <t>LA670-A11993-500</t>
  </si>
  <si>
    <t>COV0018869</t>
  </si>
  <si>
    <t>LAM-668-061260-004</t>
  </si>
  <si>
    <t>LAM-668-64219-044</t>
  </si>
  <si>
    <t>LAM-670-A11993-500</t>
  </si>
  <si>
    <t>COV0018888</t>
  </si>
  <si>
    <t>COV0018959</t>
  </si>
  <si>
    <t>COV0018977</t>
  </si>
  <si>
    <t>COV0019042</t>
  </si>
  <si>
    <t>COV0019088</t>
  </si>
  <si>
    <t>LAM-660-B12889-003</t>
  </si>
  <si>
    <t>COV0019122</t>
  </si>
  <si>
    <t>NRE CHARGES</t>
  </si>
  <si>
    <t>StaleInvQ32025</t>
  </si>
  <si>
    <t>1720420401</t>
  </si>
  <si>
    <t>5051104091</t>
  </si>
  <si>
    <t>3116</t>
  </si>
  <si>
    <t>132291</t>
  </si>
  <si>
    <t>32208550</t>
  </si>
  <si>
    <t>1720420601</t>
  </si>
  <si>
    <t>2005280040</t>
  </si>
  <si>
    <t>314010</t>
  </si>
  <si>
    <t>4857</t>
  </si>
  <si>
    <t>7779</t>
  </si>
  <si>
    <t>8321</t>
  </si>
  <si>
    <t>LTC2666IUH-16#PBF</t>
  </si>
  <si>
    <t>5031590600</t>
  </si>
  <si>
    <t>9551666816741</t>
  </si>
  <si>
    <t>5003</t>
  </si>
  <si>
    <t>734152063</t>
  </si>
  <si>
    <t>7786</t>
  </si>
  <si>
    <t>9552666816741</t>
  </si>
  <si>
    <t>5000</t>
  </si>
  <si>
    <t>1720420301</t>
  </si>
  <si>
    <t>865060653010</t>
  </si>
  <si>
    <t>7443551370</t>
  </si>
  <si>
    <t>9564517512</t>
  </si>
  <si>
    <t>1720420302</t>
  </si>
  <si>
    <t>7443551130</t>
  </si>
  <si>
    <t>7447480102</t>
  </si>
  <si>
    <t>LM358MX/NOPB</t>
  </si>
  <si>
    <t>5026</t>
  </si>
  <si>
    <t>COV0019129</t>
  </si>
  <si>
    <t>COV0019157</t>
  </si>
  <si>
    <t>LA609-258986-001</t>
  </si>
  <si>
    <t>LA615-068559-412</t>
  </si>
  <si>
    <t>LA615-123461-120</t>
  </si>
  <si>
    <t>LA615-123461-137</t>
  </si>
  <si>
    <t>LA615-224835-013</t>
  </si>
  <si>
    <t>LA615-A00424-100</t>
  </si>
  <si>
    <t>LA615-B11215-001</t>
  </si>
  <si>
    <t>LA626-B20598-001</t>
  </si>
  <si>
    <t>LA630-023134-001</t>
  </si>
  <si>
    <t>POV0072392</t>
  </si>
  <si>
    <t>LA630-A60335-001</t>
  </si>
  <si>
    <t>LA630-B10043-001</t>
  </si>
  <si>
    <t>LA630-B26275-001</t>
  </si>
  <si>
    <t>LA630-B27066-001</t>
  </si>
  <si>
    <t>LA645-182367-006</t>
  </si>
  <si>
    <t>LA667-B29149-016</t>
  </si>
  <si>
    <t>LA668-061260-008</t>
  </si>
  <si>
    <t>LA668-335595-001</t>
  </si>
  <si>
    <t>LA668-335595-002</t>
  </si>
  <si>
    <t>LA668-335595-003</t>
  </si>
  <si>
    <t>LA668-A54180-001</t>
  </si>
  <si>
    <t>LA668-A75508-002</t>
  </si>
  <si>
    <t>COV0019159</t>
  </si>
  <si>
    <t>COV0019162</t>
  </si>
  <si>
    <t>LA609-049039-001</t>
  </si>
  <si>
    <t>LA626-B25312-001</t>
  </si>
  <si>
    <t>COV0019176</t>
  </si>
  <si>
    <t>COV0019158</t>
  </si>
  <si>
    <t>COV0019174</t>
  </si>
  <si>
    <t>LA630-098848-001</t>
  </si>
  <si>
    <t>LA682-117131-002</t>
  </si>
  <si>
    <t>LA682-117131-003</t>
  </si>
  <si>
    <t>COV0019181</t>
  </si>
  <si>
    <t>POV0072406</t>
  </si>
  <si>
    <t>LA609-068260-001</t>
  </si>
  <si>
    <t>LA615-068559-324</t>
  </si>
  <si>
    <t>COV0019175</t>
  </si>
  <si>
    <t>COV0019199</t>
  </si>
  <si>
    <t>POV0072429</t>
  </si>
  <si>
    <t>LA615-A00422-280</t>
  </si>
  <si>
    <t>LA615-A00424-182</t>
  </si>
  <si>
    <t>COV0019200</t>
  </si>
  <si>
    <t>LA609-004010-075</t>
  </si>
  <si>
    <t>LA615-052825-220</t>
  </si>
  <si>
    <t>LA624-000794-002</t>
  </si>
  <si>
    <t>LA644-109029-001</t>
  </si>
  <si>
    <t>LA668-099029-015</t>
  </si>
  <si>
    <t>LA668-097179-216</t>
  </si>
  <si>
    <t>COV0019222</t>
  </si>
  <si>
    <t>POV0072470</t>
  </si>
  <si>
    <t>LAM-668-005463-002</t>
  </si>
  <si>
    <t>LAM-668-005463-010</t>
  </si>
  <si>
    <t>COV0019235</t>
  </si>
  <si>
    <t>POV0072486</t>
  </si>
  <si>
    <t>COV0019265</t>
  </si>
  <si>
    <t>COV0019277</t>
  </si>
  <si>
    <t>POV0072547</t>
  </si>
  <si>
    <t>LAM-668-111554-008</t>
  </si>
  <si>
    <t>COV0019322</t>
  </si>
  <si>
    <t>LA668-900922-034</t>
  </si>
  <si>
    <t>COV0019390</t>
  </si>
  <si>
    <t>COV0019404</t>
  </si>
  <si>
    <t>POV0072710</t>
  </si>
  <si>
    <t>LAM-39-267683-00</t>
  </si>
  <si>
    <t>COV0019571</t>
  </si>
  <si>
    <t>COV0019572</t>
  </si>
  <si>
    <t>POV0072924</t>
  </si>
  <si>
    <t>LAM-682-020656-015</t>
  </si>
  <si>
    <t>Tariffs1172025</t>
  </si>
  <si>
    <t>COV0019626</t>
  </si>
  <si>
    <t>TARIFF</t>
  </si>
  <si>
    <t>Tariff Charge</t>
  </si>
  <si>
    <t>COV0019690</t>
  </si>
  <si>
    <t>POV0073096</t>
  </si>
  <si>
    <t>LAM-609-327223-001</t>
  </si>
  <si>
    <t>LAM-615-080142-200</t>
  </si>
  <si>
    <t>COV0019726</t>
  </si>
  <si>
    <t>COV0019743</t>
  </si>
  <si>
    <t>POV0073168</t>
  </si>
  <si>
    <t>LA631-A53030-001</t>
  </si>
  <si>
    <t>COV0019756</t>
  </si>
  <si>
    <t>COV0019757</t>
  </si>
  <si>
    <t>POV0073183</t>
  </si>
  <si>
    <t>LA648-157397-220</t>
  </si>
  <si>
    <t>LA668-068181-001</t>
  </si>
  <si>
    <t>LA615-068559-200</t>
  </si>
  <si>
    <t>COV0019770</t>
  </si>
  <si>
    <t>COV0019771</t>
  </si>
  <si>
    <t>POV0073206</t>
  </si>
  <si>
    <t>LAM-644-A02502-024</t>
  </si>
  <si>
    <t>COV0019834</t>
  </si>
  <si>
    <t>POV0073281</t>
  </si>
  <si>
    <t>LA609-283113-001</t>
  </si>
  <si>
    <t>LA615-275812-023</t>
  </si>
  <si>
    <t>LA645-A87739-001</t>
  </si>
  <si>
    <t>LA668-097179-217</t>
  </si>
  <si>
    <t>COV0019949</t>
  </si>
  <si>
    <t>LA668-342826-015</t>
  </si>
  <si>
    <t>COV0019948</t>
  </si>
  <si>
    <t>POV0073436</t>
  </si>
  <si>
    <t>LA39-267683-00</t>
  </si>
  <si>
    <t>LA39-130655-25</t>
  </si>
  <si>
    <t>COV0020025</t>
  </si>
  <si>
    <t>COV0020026</t>
  </si>
  <si>
    <t>LA648-099901-103</t>
  </si>
  <si>
    <t>LA682-020656-015</t>
  </si>
  <si>
    <t>LA615-220118-004</t>
  </si>
  <si>
    <t>POV0073526</t>
  </si>
  <si>
    <t>LA615-162861-285</t>
  </si>
  <si>
    <t>COV0020027</t>
  </si>
  <si>
    <t>LA615-123458-511</t>
  </si>
  <si>
    <t>LA615-B02355-001</t>
  </si>
  <si>
    <t>LA626-232475-002</t>
  </si>
  <si>
    <t>LA648-A72845-002</t>
  </si>
  <si>
    <t>LA648-A92805-474</t>
  </si>
  <si>
    <t>LA664-068184-002</t>
  </si>
  <si>
    <t>LA670-123073-001</t>
  </si>
  <si>
    <t>LA674-127923-001</t>
  </si>
  <si>
    <t>COV0020028</t>
  </si>
  <si>
    <t>LA668-B28242-001</t>
  </si>
  <si>
    <t>COV0020061</t>
  </si>
  <si>
    <t>COV0020062</t>
  </si>
  <si>
    <t>COV0020075</t>
  </si>
  <si>
    <t>LAM-668-A29545-001</t>
  </si>
  <si>
    <t>COV0020076</t>
  </si>
  <si>
    <t>LAM-668-014495-044</t>
  </si>
  <si>
    <t>COV0020123</t>
  </si>
  <si>
    <t>COV0020124</t>
  </si>
  <si>
    <t>LAM-621-095110-104</t>
  </si>
  <si>
    <t>COV0020125</t>
  </si>
  <si>
    <t>LAM-779-130536-001</t>
  </si>
  <si>
    <t>COV0020126</t>
  </si>
  <si>
    <t>COV0020187</t>
  </si>
  <si>
    <t>LAM-668-313612-037</t>
  </si>
  <si>
    <t>COV0020188</t>
  </si>
  <si>
    <t>POV0073707</t>
  </si>
  <si>
    <t>LA630-A61701-125</t>
  </si>
  <si>
    <t>COV0020239</t>
  </si>
  <si>
    <t>POV0073764</t>
  </si>
  <si>
    <t>LA32-10023-00</t>
  </si>
  <si>
    <t>LA610-208000-001</t>
  </si>
  <si>
    <t>LA631-318336-001</t>
  </si>
  <si>
    <t>LA668-299108-001</t>
  </si>
  <si>
    <t>COV0020230</t>
  </si>
  <si>
    <t>POV0073755</t>
  </si>
  <si>
    <t>LA630-B26253-001</t>
  </si>
  <si>
    <t>COV0020232</t>
  </si>
  <si>
    <t>COV0020295</t>
  </si>
  <si>
    <t>POV0073843</t>
  </si>
  <si>
    <t>LamStaleInv123125</t>
  </si>
  <si>
    <t>COV0020327</t>
  </si>
  <si>
    <t>COV0020325</t>
  </si>
  <si>
    <t>COV0020437</t>
  </si>
  <si>
    <t>POV0074077</t>
  </si>
  <si>
    <t>LAM-639-121249-002</t>
  </si>
  <si>
    <t>COV0020438</t>
  </si>
  <si>
    <t>LA609-017889-025</t>
  </si>
  <si>
    <t>LA609-034003-013</t>
  </si>
  <si>
    <t>LA609-A99417-001</t>
  </si>
  <si>
    <t>LA615-080142-200</t>
  </si>
  <si>
    <t>LA615-123462-475</t>
  </si>
  <si>
    <t>LA615-A72185-010</t>
  </si>
  <si>
    <t>LA626-A73827-001</t>
  </si>
  <si>
    <t>LA630-900406-001</t>
  </si>
  <si>
    <t>LA630-A73078-001</t>
  </si>
  <si>
    <t>LA639-A66354-001</t>
  </si>
  <si>
    <t>LA648-124321-333</t>
  </si>
  <si>
    <t>LA648-A72845-001</t>
  </si>
  <si>
    <t>COV0020439</t>
  </si>
  <si>
    <t>LAM-670-097092-800</t>
  </si>
  <si>
    <t>LAM-670-095989-375</t>
  </si>
  <si>
    <t>MAIN</t>
  </si>
  <si>
    <t>COV0020473</t>
  </si>
  <si>
    <t>OPERATING FEE (JANUARY 2026)</t>
  </si>
  <si>
    <t>COV0020483</t>
  </si>
  <si>
    <t>POV0074124</t>
  </si>
  <si>
    <t>LAM-668-320315-001</t>
  </si>
  <si>
    <t>COV0020517</t>
  </si>
  <si>
    <t>POV0074177</t>
  </si>
  <si>
    <t>COV0020595</t>
  </si>
  <si>
    <t>POV0074261</t>
  </si>
  <si>
    <t>LA615-A00422-100</t>
  </si>
  <si>
    <t>COV0020623</t>
  </si>
  <si>
    <t>COV0020626</t>
  </si>
  <si>
    <t>POV0074298</t>
  </si>
  <si>
    <t>LA668-061260-004</t>
  </si>
  <si>
    <t>COV0020666</t>
  </si>
  <si>
    <t>POV0074351</t>
  </si>
  <si>
    <t>COV0020687</t>
  </si>
  <si>
    <t>POV0074379</t>
  </si>
  <si>
    <t>COV0020693</t>
  </si>
  <si>
    <t>POV0074391</t>
  </si>
  <si>
    <t>COV0020698</t>
  </si>
  <si>
    <t>POV0074395</t>
  </si>
  <si>
    <t>LA32-08483-00</t>
  </si>
  <si>
    <t>COV0020699</t>
  </si>
  <si>
    <t>LA615-323023-001</t>
  </si>
  <si>
    <t>LA615-323023-010</t>
  </si>
  <si>
    <t>LA632-A91703-001</t>
  </si>
  <si>
    <t>LA668-A51501-015</t>
  </si>
  <si>
    <t>LA668-A51501-026</t>
  </si>
  <si>
    <t>LA668-A51501-044</t>
  </si>
  <si>
    <t>COV0020713</t>
  </si>
  <si>
    <t>COV0020723</t>
  </si>
  <si>
    <t>POV0074419</t>
  </si>
  <si>
    <t>LA630-337827-001</t>
  </si>
  <si>
    <t>LA630-345769-001</t>
  </si>
  <si>
    <t>LA630-A42470-001</t>
  </si>
  <si>
    <t>LA630-B32583-001</t>
  </si>
  <si>
    <t>LA635-121978-001</t>
  </si>
  <si>
    <t>LA639-B11503-001</t>
  </si>
  <si>
    <t>LA648-108237-001</t>
  </si>
  <si>
    <t>LA648-149178-225</t>
  </si>
  <si>
    <t>LA648-A42571-001</t>
  </si>
  <si>
    <t>LA648-A74701-123</t>
  </si>
  <si>
    <t>LA648-A74701-153</t>
  </si>
  <si>
    <t>LA648-B34301-001</t>
  </si>
  <si>
    <t>LA648-B34360-008</t>
  </si>
  <si>
    <t>LA660-345766-001</t>
  </si>
  <si>
    <t>LA660-345770-001</t>
  </si>
  <si>
    <t>LA664-122320-001</t>
  </si>
  <si>
    <t>LA667-A00288-001</t>
  </si>
  <si>
    <t>LA667-A53008-010</t>
  </si>
  <si>
    <t>LA667-A73672-003</t>
  </si>
  <si>
    <t>LA668-098499-104</t>
  </si>
  <si>
    <t>LA668-131891-001</t>
  </si>
  <si>
    <t>LA668-244954-004</t>
  </si>
  <si>
    <t>COV0020718</t>
  </si>
  <si>
    <t>POV0074415</t>
  </si>
  <si>
    <t>LA674-B39244-406WU</t>
  </si>
  <si>
    <t>COV0020744</t>
  </si>
  <si>
    <t>POV0074441</t>
  </si>
  <si>
    <t>LA615-116029-750</t>
  </si>
  <si>
    <t>LA615-A87446-009</t>
  </si>
  <si>
    <t>LA626-A87430-001</t>
  </si>
  <si>
    <t>LA667-160101-002</t>
  </si>
  <si>
    <t>LA723-A22202-001</t>
  </si>
  <si>
    <t>COV0020766</t>
  </si>
  <si>
    <t>POV0074481</t>
  </si>
  <si>
    <t>COV0020759</t>
  </si>
  <si>
    <t>COV0020781</t>
  </si>
  <si>
    <t>COV0020789</t>
  </si>
  <si>
    <t>POV0074493</t>
  </si>
  <si>
    <t>LA667-A27948-002</t>
  </si>
  <si>
    <t>LA669-007340-001</t>
  </si>
  <si>
    <t>COV0020808</t>
  </si>
  <si>
    <t>POV0074523</t>
  </si>
  <si>
    <t>LAM-645-000381-008</t>
  </si>
  <si>
    <t>COV0020811</t>
  </si>
  <si>
    <t>POV0074526</t>
  </si>
  <si>
    <t>LAM-630-340180-001</t>
  </si>
  <si>
    <t>LAM-667-A56052-001</t>
  </si>
  <si>
    <t>LAM-668-238349-004</t>
  </si>
  <si>
    <t>LAM-686-227297-002</t>
  </si>
  <si>
    <t>COV0020854</t>
  </si>
  <si>
    <t>LA630-129906-001</t>
  </si>
  <si>
    <t>LA641-006530-001</t>
  </si>
  <si>
    <t>COV0020855</t>
  </si>
  <si>
    <t>LA630-080990-001</t>
  </si>
  <si>
    <t>LA668-061260-009</t>
  </si>
  <si>
    <t>POV0074584</t>
  </si>
  <si>
    <t>LA668-008858-004</t>
  </si>
  <si>
    <t>COV0020856</t>
  </si>
  <si>
    <t>LA630-A87473-001</t>
  </si>
  <si>
    <t>LA648-228099-001</t>
  </si>
  <si>
    <t>COV0020858</t>
  </si>
  <si>
    <t>LA648-338947-106</t>
  </si>
  <si>
    <t>COV0020875</t>
  </si>
  <si>
    <t>POV0074607</t>
  </si>
  <si>
    <t>LA615-068562-100</t>
  </si>
  <si>
    <t>LA660-150506-003</t>
  </si>
  <si>
    <t>LA668-007087-004</t>
  </si>
  <si>
    <t>LA668-061260-006</t>
  </si>
  <si>
    <t>LA668-098496-003</t>
  </si>
  <si>
    <t>COV0020912</t>
  </si>
  <si>
    <t>POV0074652</t>
  </si>
  <si>
    <t>LAM-29-409701-00</t>
  </si>
  <si>
    <t>LAM-615-051883-220</t>
  </si>
  <si>
    <t>LAM-615-162861-285</t>
  </si>
  <si>
    <t>COV0020918</t>
  </si>
  <si>
    <t>POV0074664</t>
  </si>
  <si>
    <t>LAM-615-123462-102</t>
  </si>
  <si>
    <t>LAM-648-A08430-224</t>
  </si>
  <si>
    <t>CO #</t>
  </si>
  <si>
    <t>PO #</t>
  </si>
  <si>
    <t>Ship Date</t>
  </si>
  <si>
    <t>COV #</t>
  </si>
  <si>
    <t>Due Date</t>
  </si>
  <si>
    <t>POV #</t>
  </si>
  <si>
    <t>HARTING TECHNOLOGY GROUP</t>
  </si>
  <si>
    <t>MICRON TECHNOLOGY, INC.</t>
  </si>
  <si>
    <t>INFINEON TECHNOLOGIES AG</t>
  </si>
  <si>
    <t>XP POWER</t>
  </si>
  <si>
    <t>NXP</t>
  </si>
  <si>
    <t>MAXIM INTEGRATED</t>
  </si>
  <si>
    <t>COILCRAFT</t>
  </si>
  <si>
    <t>ROSENBERGER</t>
  </si>
  <si>
    <t>MAXIM SEMICONDUCTOR</t>
  </si>
  <si>
    <t>POSITRONIC</t>
  </si>
  <si>
    <t>YAGEO</t>
  </si>
  <si>
    <t>KEMET</t>
  </si>
  <si>
    <t>MULTICOMP</t>
  </si>
  <si>
    <t>NAIS</t>
  </si>
  <si>
    <t>OMRON</t>
  </si>
  <si>
    <t>NORCOMP</t>
  </si>
  <si>
    <t>AMPHENOL ICC</t>
  </si>
  <si>
    <t>CADDOCK ELECTRONICS INC.</t>
  </si>
  <si>
    <t>BOURNS INC.</t>
  </si>
  <si>
    <t>CYPRESS SEMICONDUCTOR CORPORATION</t>
  </si>
  <si>
    <t>ADVANCED THERMAL SOLUTIONS INC.</t>
  </si>
  <si>
    <t>EPSON</t>
  </si>
  <si>
    <t>CONEC ELEKTRONISCHE BAUELEMENTE GMBH</t>
  </si>
  <si>
    <t>CONEC</t>
  </si>
  <si>
    <t>NATIONAL SEMICONDUCTOR</t>
  </si>
  <si>
    <t>TEXAS INSTRUMENTS</t>
  </si>
  <si>
    <t>TYCO / KILOVAC</t>
  </si>
  <si>
    <t>PHOENIX CONTACT</t>
  </si>
  <si>
    <t>LUMEX</t>
  </si>
  <si>
    <t>TE CONNECTIVITY</t>
  </si>
  <si>
    <t>PHOENIX  CONTACT</t>
  </si>
  <si>
    <t>ITT CANNON</t>
  </si>
  <si>
    <t>AMPHENOL</t>
  </si>
  <si>
    <t>ANALOG DEVICES INC.</t>
  </si>
  <si>
    <t>TI/BURR-BROWN</t>
  </si>
  <si>
    <t>LINEAR TECHNOLOGIES</t>
  </si>
  <si>
    <t>XILINX</t>
  </si>
  <si>
    <t>EDAC</t>
  </si>
  <si>
    <t>SAMTEC</t>
  </si>
  <si>
    <t>WINBOND</t>
  </si>
  <si>
    <t>MOLEX, LLC</t>
  </si>
  <si>
    <t>E-T-A ENGINEERING TECHNOLOGY</t>
  </si>
  <si>
    <t>KYCON, INC</t>
  </si>
  <si>
    <t>IDEC CORPORATION</t>
  </si>
  <si>
    <t>EOZ S.A.S</t>
  </si>
  <si>
    <t>AMP/TYCO</t>
  </si>
  <si>
    <t>TDK</t>
  </si>
  <si>
    <t>VISHAY</t>
  </si>
  <si>
    <t>PANASONIC</t>
  </si>
  <si>
    <t>MOLEX</t>
  </si>
  <si>
    <t>LITTELFUSE</t>
  </si>
  <si>
    <t>GRAYHILL, INC.</t>
  </si>
  <si>
    <t>NEXPERIA</t>
  </si>
  <si>
    <t>ON SEMICONDUCTOR</t>
  </si>
  <si>
    <t>SMC</t>
  </si>
  <si>
    <t>TAIYO YUDEN CO., LTD.</t>
  </si>
  <si>
    <t>SEMTECH</t>
  </si>
  <si>
    <t>MURATA</t>
  </si>
  <si>
    <t>STACKPOLE ELECTRONICS</t>
  </si>
  <si>
    <t>LITE-ON TECHNOLOGY CORPORATION</t>
  </si>
  <si>
    <t>ROHM</t>
  </si>
  <si>
    <t>IRC</t>
  </si>
  <si>
    <t>TT ELECTRONICS</t>
  </si>
  <si>
    <t>NIC COMPONENTS</t>
  </si>
  <si>
    <t>DIODES INCORPORATED</t>
  </si>
  <si>
    <t>MICROSEMI</t>
  </si>
  <si>
    <t>SAMSUNG ELECTRO-MECHANICS</t>
  </si>
  <si>
    <t>MERITEK</t>
  </si>
  <si>
    <t>GRAYHILL</t>
  </si>
  <si>
    <t>INDUSTRIAL FIBER OPTICS</t>
  </si>
  <si>
    <t>OHMITE MANUFACTURING COMPANY</t>
  </si>
  <si>
    <t>RECOM</t>
  </si>
  <si>
    <t>KEYSTONE ELECTRONICS CORP</t>
  </si>
  <si>
    <t>DIALIGHT</t>
  </si>
  <si>
    <t>KEYSTONE ELECTRONICS</t>
  </si>
  <si>
    <t>E-SWITCH, INC.</t>
  </si>
  <si>
    <t>WURTH ELECTRONICS</t>
  </si>
  <si>
    <t>TRACO POWER</t>
  </si>
  <si>
    <t>BOURNS</t>
  </si>
  <si>
    <t>COTO TECHNOLOGY, INC.</t>
  </si>
  <si>
    <t>ECS INC. INTERNATIONAL</t>
  </si>
  <si>
    <t>PENN ENGINEERING</t>
  </si>
  <si>
    <t>SUSUMU</t>
  </si>
  <si>
    <t>MARKTECH OPTOELECTRONICS</t>
  </si>
  <si>
    <t>SWITCHCRAFT</t>
  </si>
  <si>
    <t>WALSIN TECHNOLOGY CORPORATION</t>
  </si>
  <si>
    <t>CAL-CHIP ELECTRONICS</t>
  </si>
  <si>
    <t>HARWIN</t>
  </si>
  <si>
    <t>AMPHENOL FCI</t>
  </si>
  <si>
    <t>FCI</t>
  </si>
  <si>
    <t>EATON CORPORATION</t>
  </si>
  <si>
    <t>FERRAZ SHAWMUT</t>
  </si>
  <si>
    <t>EATON</t>
  </si>
  <si>
    <t>KINGBRIGHT</t>
  </si>
  <si>
    <t>MEAN WELL</t>
  </si>
  <si>
    <t>C&amp;K</t>
  </si>
  <si>
    <t>IRC P/N</t>
  </si>
  <si>
    <t>KOA SPEER</t>
  </si>
  <si>
    <t>DALE/VISHAY</t>
  </si>
  <si>
    <t>MICRON/MICRON TECHNOLOGY, INC.</t>
  </si>
  <si>
    <t>ADVANCED ENERGY INDUSTRIES INC.</t>
  </si>
  <si>
    <t>ABRACON</t>
  </si>
  <si>
    <t>ORDER TO SPECIFICATION</t>
  </si>
  <si>
    <t>AVX</t>
  </si>
  <si>
    <t>MOLEX INC.</t>
  </si>
  <si>
    <t>AMP INC.</t>
  </si>
  <si>
    <t>CDE CORNELL DUBILIER</t>
  </si>
  <si>
    <t>FUTURE ELECTRONICS (SAI){FEI}</t>
  </si>
  <si>
    <t>POTTER &amp; BRUMFIELD</t>
  </si>
  <si>
    <t>CNC TECH LLC</t>
  </si>
  <si>
    <t>ARCOL</t>
  </si>
  <si>
    <t>BIVAR</t>
  </si>
  <si>
    <t>BEL FUSE INC.</t>
  </si>
  <si>
    <t>RASPBERRY PI</t>
  </si>
  <si>
    <t>POSITRONIC INDUSTRIES INC.</t>
  </si>
  <si>
    <t>ITT</t>
  </si>
  <si>
    <t>THOMAS BETTS</t>
  </si>
  <si>
    <t>SMITHS INTERCONNECT</t>
  </si>
  <si>
    <t>MCC</t>
  </si>
  <si>
    <t/>
  </si>
  <si>
    <t>TOSHIBA</t>
  </si>
  <si>
    <t>TE CONNECTIVITY LTD</t>
  </si>
  <si>
    <t>TEXAS INSTRUMENT</t>
  </si>
  <si>
    <t>HERAEUS HOLDING</t>
  </si>
  <si>
    <t>INTERCONNECT DEVICES INC.</t>
  </si>
  <si>
    <t>CYPRESS</t>
  </si>
  <si>
    <t>NIPPON CHEMI-CON CORPORATION</t>
  </si>
  <si>
    <t>ITT INC.</t>
  </si>
  <si>
    <t>BROADCOM</t>
  </si>
  <si>
    <t>CUI DEVICES</t>
  </si>
  <si>
    <t>ASSMANN WSW COMPONENTS</t>
  </si>
  <si>
    <t>WURTH ELEKTRONIK</t>
  </si>
  <si>
    <t>KAMAYA ELECTRIC CO. LTD.</t>
  </si>
  <si>
    <t>NISSHINBO MICRO DEVICES INC.</t>
  </si>
  <si>
    <t>CRYSTEK CORPORATION</t>
  </si>
  <si>
    <t>OSRAM</t>
  </si>
  <si>
    <t>RENESAS</t>
  </si>
  <si>
    <t>SENSIRION</t>
  </si>
  <si>
    <t>FINDER</t>
  </si>
  <si>
    <t>JOHANSON TECHNOLOGY INC.</t>
  </si>
  <si>
    <t>TEXAS INTRUMENTS / BURR-BROWN</t>
  </si>
  <si>
    <t>AAVID THERMALLOY</t>
  </si>
  <si>
    <t>MURATA MANUFACTURING CO., LTD</t>
  </si>
  <si>
    <t>LSI COMPUTER SYSTEMS, INC.</t>
  </si>
  <si>
    <t>CIT SWITCH</t>
  </si>
  <si>
    <t>ST MICROELECTRONICS</t>
  </si>
  <si>
    <t>LATTICE</t>
  </si>
  <si>
    <t>NKK SWITCHES</t>
  </si>
  <si>
    <t>SUNON</t>
  </si>
  <si>
    <t>SITIME</t>
  </si>
  <si>
    <t>OMEGA</t>
  </si>
  <si>
    <t>ALPHA COMPANY LTD</t>
  </si>
  <si>
    <t>3rd Party Supplier/Generic Website</t>
  </si>
  <si>
    <t>JOHANSON TECHNOLOGY</t>
  </si>
  <si>
    <t>IXYS INTEGRATED CIRCUITS</t>
  </si>
  <si>
    <t>KYCON, INC.</t>
  </si>
  <si>
    <t>KYON, INC</t>
  </si>
  <si>
    <t>MICROCHIP TECHNOLOGY INC.</t>
  </si>
  <si>
    <t>MOTOROLA</t>
  </si>
  <si>
    <t>WAGO</t>
  </si>
  <si>
    <t>LAIRD</t>
  </si>
  <si>
    <t>STMICROELECTRONICS</t>
  </si>
  <si>
    <t>FIARCHILD SEMICONDUCTOR</t>
  </si>
  <si>
    <t>LINEAR TECHNOLOGY CORPORATION</t>
  </si>
  <si>
    <t>ANALOG DEVICES</t>
  </si>
  <si>
    <t>MAXIM INTEGRATED PRODUCTS</t>
  </si>
  <si>
    <t>VISHAY PRECISION GROUP INC.</t>
  </si>
  <si>
    <t>FUTURE TECHNOLOGY DEVICES INTERNATIONAL</t>
  </si>
  <si>
    <t>PHILIPS</t>
  </si>
  <si>
    <t>RAF</t>
  </si>
  <si>
    <t>API DELEVAN</t>
  </si>
  <si>
    <t>VOLTAGE MULTIPLIER INC.</t>
  </si>
  <si>
    <t>Base Unit Price</t>
  </si>
  <si>
    <t>Resale Price</t>
  </si>
  <si>
    <t>NO</t>
  </si>
  <si>
    <t>REORDER</t>
  </si>
  <si>
    <t>IC,SMD,ADC,16BIT,250MSPS,72LFCSP</t>
  </si>
  <si>
    <t>CONN,USB,MINI-B TYPE SKT,5POS,SMT,30VAC,</t>
  </si>
  <si>
    <t>CONN,D-SUB,9,F,PCB STRT,BRD LOCK,4-40 IN</t>
  </si>
  <si>
    <t>CONN,SMD,MICRO SD,8PIN,PUSH-PUSH,.5A,10V</t>
  </si>
  <si>
    <t>IC,SMD,MEM,FLASH-NOR,64MB,3.6V,BGA-24</t>
  </si>
  <si>
    <t>PS,DC-DC,SGL OUT,24VDC INPUT,12VDC,SMT</t>
  </si>
  <si>
    <t>RLY,PWR,DPDT,24VDC,ROHS</t>
  </si>
  <si>
    <t>IC,SMD,512 MEGX16,SDRAM-DDR4,96 PIN,FBGA</t>
  </si>
  <si>
    <t>PS,DC-DC UMODULE,3.2-40VIN,1.2A,25-BGA</t>
  </si>
  <si>
    <t>RES,0603,THIN FILM,0.1%,25 PPM,0.15W,2K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</si>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</sst>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  <numFmt numFmtId="165" formatCode="_(&quot;$&quot;* #,##0.000_);_(&quot;$&quot;* \(#,##0.0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1" xfId="0" applyFont="1" applyBorder="1"/>
    <xf numFmtId="164" fontId="0" fillId="0" borderId="0" xfId="1" applyNumberFormat="1" applyFont="1"/>
    <xf numFmtId="164" fontId="2" fillId="0" borderId="0" xfId="1" applyNumberFormat="1" applyFont="1"/>
    <xf numFmtId="0" fontId="0" fillId="2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0" fillId="4" borderId="0" xfId="0" applyFill="1"/>
    <xf numFmtId="1" fontId="0" fillId="0" borderId="0" xfId="0" applyNumberFormat="1" applyAlignment="1">
      <alignment horizontal="center"/>
    </xf>
    <xf numFmtId="0" fontId="0" fillId="5" borderId="0" xfId="0" applyFill="1"/>
    <xf numFmtId="0" fontId="0" fillId="6" borderId="0" xfId="0" applyFill="1"/>
    <xf numFmtId="0" fontId="2" fillId="0" borderId="2" xfId="0" applyFont="1" applyBorder="1"/>
    <xf numFmtId="0" fontId="0" fillId="0" borderId="0" xfId="0" applyAlignment="1">
      <alignment horizontal="left"/>
    </xf>
    <xf numFmtId="14" fontId="0" fillId="0" borderId="0" xfId="0" applyNumberFormat="1"/>
    <xf numFmtId="1" fontId="2" fillId="0" borderId="1" xfId="0" applyNumberFormat="1" applyFont="1" applyBorder="1" applyAlignment="1">
      <alignment horizontal="left"/>
    </xf>
    <xf numFmtId="1" fontId="0" fillId="0" borderId="0" xfId="0" applyNumberFormat="1" applyAlignment="1">
      <alignment horizontal="left"/>
    </xf>
    <xf numFmtId="165" fontId="0" fillId="0" borderId="0" xfId="1" applyNumberFormat="1" applyFont="1"/>
    <xf numFmtId="0" fontId="2" fillId="7" borderId="1" xfId="0" applyFont="1" applyFill="1" applyBorder="1"/>
    <xf numFmtId="165" fontId="0" fillId="7" borderId="0" xfId="1" applyNumberFormat="1" applyFont="1" applyFill="1"/>
    <xf numFmtId="0" fontId="0" fillId="3" borderId="0" xfId="0" applyFill="1"/>
  </cellXfs>
  <cellStyles count="2">
    <cellStyle name="Currency" xfId="1" builtinId="4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ll_hawk_astutegroup_com/Documents/Documents/Lam/SIPOC.xlsx" TargetMode="External"/><Relationship Id="rId2" Type="http://schemas.openxmlformats.org/officeDocument/2006/relationships/externalLinkPath" Target="https://astuteelectronics-my.sharepoint.com/personal/will_hawk_astutegroup_com/Documents/Documents/Lam/SIPOC.xlsx" TargetMode="External"/><Relationship Id="rId1" Type="http://schemas.openxmlformats.org/officeDocument/2006/relationships/externalLinkPath" Target="/personal/will_hawk_astutegroup_com/Documents/Documents/Lam/SIPOC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josh_syre_astutegroup_com/Documents/Documents/Customers/Lam%20Research/RPM/Warehouse%20Lots%20Report/Lam%20-%20Item%20Lots%20Report%20-%2003132026.xlsx" TargetMode="External"/><Relationship Id="rId2" Type="http://schemas.openxmlformats.org/officeDocument/2006/relationships/externalLinkPath" Target="https://astuteelectronics-my.sharepoint.com/personal/josh_syre_astutegroup_com/Documents/Documents/Customers/Lam%20Research/RPM/Warehouse%20Lots%20Report/Lam%20-%20Item%20Lots%20Report%20-%2003132026.xlsx" TargetMode="External"/><Relationship Id="rId1" Type="http://schemas.openxmlformats.org/officeDocument/2006/relationships/externalLinkPath" Target="/personal/josh_syre_astutegroup_com/Documents/Documents/Customers/Lam%20Research/RPM/Warehouse%20Lots%20Report/Lam%20-%20Item%20Lots%20Report%20-%20031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BxzXSfrAyEeCdyKf2ohZVdEEpdFyxN9KvMXjUt2plpQ5tI6MCBXOT5PLJfuZO2VZ" itemId="01RTF4DHYZGV7CSDWZANF3ZQOVIXT7N5NY">
      <xxl21:absoluteUrl r:id="rId2"/>
      <xxl21:relativeUrl r:id="rId3"/>
    </xxl21:alternateUrls>
    <sheetNames>
      <sheetName val="Pricing"/>
      <sheetName val="AVL"/>
      <sheetName val="MO Upload Template"/>
      <sheetName val="Billing"/>
      <sheetName val="Lam 12-Month Usage"/>
      <sheetName val="Startup Costs"/>
      <sheetName val="SIPOC"/>
      <sheetName val="Gant"/>
      <sheetName val="RACI"/>
      <sheetName val="Resource Planning"/>
      <sheetName val="Process Flow"/>
      <sheetName val="COO Status"/>
      <sheetName val="Suffix &amp; Prefix Status"/>
      <sheetName val="Duplicates"/>
      <sheetName val="Parking Lot"/>
      <sheetName val="Metric &amp; KPI"/>
      <sheetName val="Infor W111 Report"/>
      <sheetName val="Jabil Stock (pending)"/>
      <sheetName val="Pricing (2)"/>
    </sheetNames>
    <sheetDataSet>
      <sheetData sheetId="0">
        <row r="1">
          <cell r="I1">
            <v>1024532.8546340024</v>
          </cell>
          <cell r="J1">
            <v>0.17999999039562276</v>
          </cell>
          <cell r="K1"/>
          <cell r="L1">
            <v>1249430.295895125</v>
          </cell>
          <cell r="N1">
            <v>496523.78003012494</v>
          </cell>
          <cell r="O1"/>
          <cell r="P1"/>
          <cell r="R1" t="str">
            <v>% Lines Placed</v>
          </cell>
          <cell r="S1">
            <v>0.99893162393162394</v>
          </cell>
          <cell r="T1" t="str">
            <v>% Source Confirmed</v>
          </cell>
          <cell r="U1">
            <v>1.0032051282051282</v>
          </cell>
          <cell r="V1" t="str">
            <v>Lines Remaining</v>
          </cell>
          <cell r="W1">
            <v>1</v>
          </cell>
          <cell r="Y1" t="str">
            <v>Purchasing/DES</v>
          </cell>
          <cell r="Z1">
            <v>752906.51586500008</v>
          </cell>
          <cell r="AA1">
            <v>261313.7946140001</v>
          </cell>
          <cell r="AB1">
            <v>0.39740014441894267</v>
          </cell>
          <cell r="AC1" t="str">
            <v>Management</v>
          </cell>
          <cell r="AD1" t="str">
            <v>Purchasing</v>
          </cell>
          <cell r="AE1" t="str">
            <v>CSE/Purchasing</v>
          </cell>
          <cell r="AF1" t="str">
            <v>Purchasing/Trading</v>
          </cell>
        </row>
        <row r="2">
          <cell r="A2" t="str">
            <v>CPC</v>
          </cell>
          <cell r="B2" t="str">
            <v xml:space="preserve">Description </v>
          </cell>
          <cell r="C2" t="str">
            <v xml:space="preserve">Lam Product </v>
          </cell>
          <cell r="D2" t="str">
            <v>Lam MIN</v>
          </cell>
          <cell r="E2" t="str">
            <v>MSL</v>
          </cell>
          <cell r="F2" t="str">
            <v>Lead time (wks)</v>
          </cell>
          <cell r="G2" t="str">
            <v>SPQ/MOQ</v>
          </cell>
          <cell r="H2" t="str">
            <v>Base Unit Price</v>
          </cell>
          <cell r="I2" t="str">
            <v>Total Cost</v>
          </cell>
          <cell r="J2" t="str">
            <v>Resale Price</v>
          </cell>
          <cell r="K2" t="str">
            <v>18% Markup</v>
          </cell>
          <cell r="L2" t="str">
            <v>TOTAL VALUE</v>
          </cell>
          <cell r="M2" t="str">
            <v>COO</v>
          </cell>
          <cell r="N2" t="str">
            <v>HTS Code</v>
          </cell>
          <cell r="O2" t="str">
            <v>Rate</v>
          </cell>
          <cell r="P2" t="str">
            <v>Tariff</v>
          </cell>
          <cell r="Q2" t="str">
            <v>AVL Count</v>
          </cell>
          <cell r="R2" t="str">
            <v>MPN to Purchase</v>
          </cell>
          <cell r="S2" t="str">
            <v>Manufacturer</v>
          </cell>
          <cell r="T2" t="str">
            <v>Source</v>
          </cell>
          <cell r="U2" t="str">
            <v>Purchase Price</v>
          </cell>
          <cell r="V2" t="str">
            <v>Qty</v>
          </cell>
          <cell r="W2" t="str">
            <v>Qty Remaining to Source</v>
          </cell>
          <cell r="X2" t="str">
            <v>Lead Time (wks)</v>
          </cell>
          <cell r="Y2" t="str">
            <v>VQ in OT</v>
          </cell>
          <cell r="Z2" t="str">
            <v>Total Cost</v>
          </cell>
          <cell r="AA2" t="str">
            <v>Savings</v>
          </cell>
          <cell r="AB2" t="str">
            <v>Margin</v>
          </cell>
          <cell r="AC2" t="str">
            <v>Contract Review</v>
          </cell>
          <cell r="AD2" t="str">
            <v>RFQ Number</v>
          </cell>
          <cell r="AE2" t="str">
            <v>POV</v>
          </cell>
          <cell r="AF2" t="str">
            <v>Purchased By</v>
          </cell>
        </row>
        <row r="3">
          <cell r="A3" t="str">
            <v>630-337691-001</v>
          </cell>
          <cell r="B3" t="str">
            <v>IC,SMD,256 MEGX16,SDRAM-DDR4,96 PIN,FBGA</v>
          </cell>
          <cell r="C3" t="str">
            <v>IC</v>
          </cell>
          <cell r="D3">
            <v>30</v>
          </cell>
          <cell r="E3">
            <v>3</v>
          </cell>
          <cell r="F3" t="str">
            <v>LTB</v>
          </cell>
          <cell r="G3">
            <v>1080</v>
          </cell>
          <cell r="H3">
            <v>9.3750750000000007</v>
          </cell>
          <cell r="I3">
            <v>10125.081</v>
          </cell>
          <cell r="J3">
            <v>11.433018292682929</v>
          </cell>
          <cell r="K3">
            <v>2222.5787560975623</v>
          </cell>
          <cell r="L3">
            <v>12347.659756097564</v>
          </cell>
          <cell r="O3"/>
          <cell r="P3"/>
          <cell r="Q3">
            <v>3</v>
          </cell>
          <cell r="R3" t="str">
            <v>MT40A256M16LY-062E AUT:F</v>
          </cell>
          <cell r="S3" t="str">
            <v>Micron</v>
          </cell>
          <cell r="T3" t="str">
            <v>X-press Micro</v>
          </cell>
          <cell r="U3">
            <v>4.5</v>
          </cell>
          <cell r="V3">
            <v>1950</v>
          </cell>
          <cell r="W3">
            <v>-870</v>
          </cell>
          <cell r="X3">
            <v>1</v>
          </cell>
          <cell r="Y3" t="str">
            <v>Y</v>
          </cell>
          <cell r="Z3">
            <v>8775</v>
          </cell>
          <cell r="AA3">
            <v>1350.0810000000001</v>
          </cell>
          <cell r="AB3">
            <v>0.28933901862118461</v>
          </cell>
          <cell r="AC3" t="str">
            <v>JH</v>
          </cell>
          <cell r="AD3">
            <v>1062721</v>
          </cell>
          <cell r="AE3" t="str">
            <v>POV0066783</v>
          </cell>
          <cell r="AF3" t="str">
            <v>JH</v>
          </cell>
        </row>
        <row r="4">
          <cell r="A4" t="str">
            <v>630-B09772-001</v>
          </cell>
          <cell r="B4" t="str">
            <v>IC,SMD,NOR FLASH,SPI,512MB,133MHZ,BGA-24</v>
          </cell>
          <cell r="C4" t="str">
            <v>IC</v>
          </cell>
          <cell r="D4">
            <v>15</v>
          </cell>
          <cell r="E4">
            <v>3</v>
          </cell>
          <cell r="F4" t="str">
            <v>11 Weeks</v>
          </cell>
          <cell r="G4">
            <v>200</v>
          </cell>
          <cell r="H4">
            <v>8.7990899999999996</v>
          </cell>
          <cell r="I4">
            <v>1759.818</v>
          </cell>
          <cell r="J4">
            <v>10.73059756097561</v>
          </cell>
          <cell r="K4">
            <v>386.30151219512186</v>
          </cell>
          <cell r="L4">
            <v>2146.1195121951223</v>
          </cell>
          <cell r="M4" t="str">
            <v>THAILAND</v>
          </cell>
          <cell r="O4"/>
          <cell r="Q4">
            <v>1</v>
          </cell>
          <cell r="R4" t="str">
            <v>S25FL512SAGBHBA10</v>
          </cell>
          <cell r="S4" t="str">
            <v>Infineon Technologies</v>
          </cell>
          <cell r="T4" t="str">
            <v>Chip 1 Stop</v>
          </cell>
          <cell r="U4">
            <v>6.75</v>
          </cell>
          <cell r="V4">
            <v>200</v>
          </cell>
          <cell r="W4">
            <v>0</v>
          </cell>
          <cell r="X4">
            <v>2</v>
          </cell>
          <cell r="Y4" t="str">
            <v>Y</v>
          </cell>
          <cell r="Z4">
            <v>1350</v>
          </cell>
          <cell r="AA4">
            <v>409.81799999999998</v>
          </cell>
          <cell r="AB4">
            <v>0.37095767857812578</v>
          </cell>
          <cell r="AC4" t="str">
            <v>JH</v>
          </cell>
          <cell r="AD4">
            <v>1062721</v>
          </cell>
          <cell r="AE4" t="str">
            <v>POV0066801</v>
          </cell>
          <cell r="AF4" t="str">
            <v>JH</v>
          </cell>
        </row>
        <row r="5">
          <cell r="A5" t="str">
            <v>660-A96870-024</v>
          </cell>
          <cell r="B5" t="str">
            <v>PS,AC-DC,85-264V INPUT,24V,3.33A,TH</v>
          </cell>
          <cell r="C5" t="str">
            <v>PS</v>
          </cell>
          <cell r="D5">
            <v>25</v>
          </cell>
          <cell r="E5" t="str">
            <v>N/A</v>
          </cell>
          <cell r="F5" t="str">
            <v>3 Weeks</v>
          </cell>
          <cell r="G5">
            <v>52</v>
          </cell>
          <cell r="H5">
            <v>86.68</v>
          </cell>
          <cell r="I5">
            <v>4507.3600000000006</v>
          </cell>
          <cell r="J5">
            <v>105.70731707317074</v>
          </cell>
          <cell r="K5">
            <v>989.42048780487858</v>
          </cell>
          <cell r="L5">
            <v>5496.7804878048782</v>
          </cell>
          <cell r="O5"/>
          <cell r="Q5">
            <v>1</v>
          </cell>
          <cell r="R5" t="str">
            <v>ECE80US24</v>
          </cell>
          <cell r="S5" t="str">
            <v>XP POWER</v>
          </cell>
          <cell r="T5" t="str">
            <v>Dan-Mar</v>
          </cell>
          <cell r="U5">
            <v>39</v>
          </cell>
          <cell r="V5">
            <v>52</v>
          </cell>
          <cell r="W5">
            <v>0</v>
          </cell>
          <cell r="X5" t="str">
            <v>1 wk</v>
          </cell>
          <cell r="Y5" t="str">
            <v>Y</v>
          </cell>
          <cell r="Z5">
            <v>2028</v>
          </cell>
          <cell r="AA5">
            <v>2479.3600000000006</v>
          </cell>
          <cell r="AB5">
            <v>0.63105676049838488</v>
          </cell>
          <cell r="AC5" t="str">
            <v>JH</v>
          </cell>
          <cell r="AD5">
            <v>1062721</v>
          </cell>
          <cell r="AE5" t="str">
            <v>POV0066804</v>
          </cell>
          <cell r="AF5" t="str">
            <v>JH</v>
          </cell>
        </row>
        <row r="6">
          <cell r="A6" t="str">
            <v>630-A60438-001</v>
          </cell>
          <cell r="B6" t="str">
            <v>IC,SMD,I2C,I/O,EXP,16 BIT,HWQFN24</v>
          </cell>
          <cell r="C6" t="str">
            <v>IC</v>
          </cell>
          <cell r="D6">
            <v>25</v>
          </cell>
          <cell r="E6">
            <v>1</v>
          </cell>
          <cell r="F6" t="str">
            <v>18 Weeks</v>
          </cell>
          <cell r="G6">
            <v>6000</v>
          </cell>
          <cell r="H6">
            <v>0.65002000000000004</v>
          </cell>
          <cell r="I6">
            <v>3900.1200000000003</v>
          </cell>
          <cell r="J6">
            <v>0.79270731707317088</v>
          </cell>
          <cell r="K6">
            <v>856.12390243902473</v>
          </cell>
          <cell r="L6">
            <v>4756.2439024390251</v>
          </cell>
          <cell r="O6"/>
          <cell r="Q6">
            <v>1</v>
          </cell>
          <cell r="R6" t="str">
            <v>PCAL6416AHF</v>
          </cell>
          <cell r="S6" t="str">
            <v>NXP</v>
          </cell>
          <cell r="T6" t="str">
            <v>Chip 1 Stop</v>
          </cell>
          <cell r="U6">
            <v>0.56299999999999994</v>
          </cell>
          <cell r="V6">
            <v>6000</v>
          </cell>
          <cell r="W6">
            <v>0</v>
          </cell>
          <cell r="X6">
            <v>1</v>
          </cell>
          <cell r="Y6" t="str">
            <v>Y</v>
          </cell>
          <cell r="Z6">
            <v>3377.9999999999995</v>
          </cell>
          <cell r="AA6">
            <v>522.1200000000008</v>
          </cell>
          <cell r="AB6">
            <v>0.28977569920925528</v>
          </cell>
          <cell r="AC6" t="str">
            <v>JH</v>
          </cell>
          <cell r="AD6">
            <v>1062721</v>
          </cell>
          <cell r="AE6" t="str">
            <v>POV0066843</v>
          </cell>
          <cell r="AF6" t="str">
            <v>JH</v>
          </cell>
        </row>
        <row r="7">
          <cell r="A7" t="str">
            <v>630-251316-001</v>
          </cell>
          <cell r="B7" t="str">
            <v>IC,SMD,V RGLTR,.3A,5V OUT,-40TO 125DEG C</v>
          </cell>
          <cell r="C7" t="str">
            <v>IC</v>
          </cell>
          <cell r="D7">
            <v>25</v>
          </cell>
          <cell r="E7">
            <v>1</v>
          </cell>
          <cell r="F7" t="str">
            <v>16 Weeks</v>
          </cell>
          <cell r="G7">
            <v>2500</v>
          </cell>
          <cell r="H7">
            <v>1.5808949999999999</v>
          </cell>
          <cell r="I7">
            <v>3952.2374999999997</v>
          </cell>
          <cell r="J7">
            <v>1.927920731707317</v>
          </cell>
          <cell r="K7">
            <v>867.56432926829302</v>
          </cell>
          <cell r="L7">
            <v>4819.8018292682927</v>
          </cell>
          <cell r="O7"/>
          <cell r="Q7">
            <v>1</v>
          </cell>
          <cell r="R7" t="str">
            <v>MAX15062BATA+T</v>
          </cell>
          <cell r="S7" t="str">
            <v>MAXIM INTEGRATED</v>
          </cell>
          <cell r="T7" t="str">
            <v>OSI</v>
          </cell>
          <cell r="U7">
            <v>1.1499999999999999</v>
          </cell>
          <cell r="V7">
            <v>2500</v>
          </cell>
          <cell r="W7">
            <v>0</v>
          </cell>
          <cell r="X7">
            <v>3</v>
          </cell>
          <cell r="Y7" t="str">
            <v>Y</v>
          </cell>
          <cell r="Z7">
            <v>2875</v>
          </cell>
          <cell r="AA7">
            <v>1077.2374999999997</v>
          </cell>
          <cell r="AB7">
            <v>0.40350244639903343</v>
          </cell>
          <cell r="AC7" t="str">
            <v>JH</v>
          </cell>
          <cell r="AD7">
            <v>1061913</v>
          </cell>
          <cell r="AE7" t="str">
            <v>POV0066802</v>
          </cell>
          <cell r="AF7" t="str">
            <v>JH</v>
          </cell>
        </row>
        <row r="8">
          <cell r="A8" t="str">
            <v>639-235679-001</v>
          </cell>
          <cell r="B8" t="str">
            <v>XMFR,SMD,1:1,0.25-750MHZ,0.25A,0.58DB</v>
          </cell>
          <cell r="C8" t="str">
            <v>XMFR</v>
          </cell>
          <cell r="D8">
            <v>30</v>
          </cell>
          <cell r="E8" t="str">
            <v>N/A</v>
          </cell>
          <cell r="F8" t="str">
            <v>3 Weeks</v>
          </cell>
          <cell r="G8">
            <v>750</v>
          </cell>
          <cell r="H8">
            <v>3.5049299999999999</v>
          </cell>
          <cell r="I8">
            <v>2628.6974999999998</v>
          </cell>
          <cell r="J8">
            <v>4.2743048780487802</v>
          </cell>
          <cell r="K8">
            <v>577.03115853658528</v>
          </cell>
          <cell r="L8">
            <v>3205.728658536585</v>
          </cell>
          <cell r="O8"/>
          <cell r="Q8">
            <v>1</v>
          </cell>
          <cell r="R8" t="str">
            <v>WBC1-1TLC</v>
          </cell>
          <cell r="S8" t="str">
            <v>Coilcraft</v>
          </cell>
          <cell r="T8" t="str">
            <v>Coilcraft</v>
          </cell>
          <cell r="U8">
            <v>2.41</v>
          </cell>
          <cell r="V8">
            <v>750</v>
          </cell>
          <cell r="W8">
            <v>0</v>
          </cell>
          <cell r="X8">
            <v>1</v>
          </cell>
          <cell r="Y8" t="str">
            <v>Y</v>
          </cell>
          <cell r="Z8">
            <v>1807.5</v>
          </cell>
          <cell r="AA8">
            <v>821.19749999999976</v>
          </cell>
          <cell r="AB8">
            <v>0.4361656295560824</v>
          </cell>
          <cell r="AC8" t="str">
            <v>JH</v>
          </cell>
          <cell r="AD8">
            <v>1062411</v>
          </cell>
          <cell r="AE8" t="str">
            <v xml:space="preserve">POV0066806 </v>
          </cell>
          <cell r="AF8" t="str">
            <v>Stephanie Hill</v>
          </cell>
        </row>
        <row r="9">
          <cell r="A9" t="str">
            <v>639-243085-001</v>
          </cell>
          <cell r="B9" t="str">
            <v>XFMR,SMD,WIDEBAND,1:2, 0.2-500MHZ,1/4W</v>
          </cell>
          <cell r="C9" t="str">
            <v>XFMR</v>
          </cell>
          <cell r="D9">
            <v>15</v>
          </cell>
          <cell r="E9"/>
          <cell r="F9" t="str">
            <v>14 Weeks</v>
          </cell>
          <cell r="G9">
            <v>600</v>
          </cell>
          <cell r="H9">
            <v>3.9951300000000001</v>
          </cell>
          <cell r="I9">
            <v>2397.078</v>
          </cell>
          <cell r="J9">
            <v>4.8721097560975615</v>
          </cell>
          <cell r="K9">
            <v>526.18785365853682</v>
          </cell>
          <cell r="L9">
            <v>2923.2658536585368</v>
          </cell>
          <cell r="O9"/>
          <cell r="Q9">
            <v>1</v>
          </cell>
          <cell r="R9" t="str">
            <v>WBC2-1TLC</v>
          </cell>
          <cell r="S9" t="str">
            <v>Coilcraft</v>
          </cell>
          <cell r="T9" t="str">
            <v>Coilcraft</v>
          </cell>
          <cell r="U9">
            <v>3.14</v>
          </cell>
          <cell r="V9">
            <v>600</v>
          </cell>
          <cell r="W9">
            <v>0</v>
          </cell>
          <cell r="X9">
            <v>1</v>
          </cell>
          <cell r="Y9" t="str">
            <v>Y</v>
          </cell>
          <cell r="Z9">
            <v>1884</v>
          </cell>
          <cell r="AA9">
            <v>513.07799999999997</v>
          </cell>
          <cell r="AB9">
            <v>0.35551533992636042</v>
          </cell>
          <cell r="AC9" t="str">
            <v>JH</v>
          </cell>
          <cell r="AD9">
            <v>1062411</v>
          </cell>
          <cell r="AE9" t="str">
            <v xml:space="preserve">POV0066806 </v>
          </cell>
          <cell r="AF9" t="str">
            <v>Stephanie Hill</v>
          </cell>
        </row>
        <row r="10">
          <cell r="A10" t="str">
            <v>639-257579-001</v>
          </cell>
          <cell r="B10" t="str">
            <v>IDCTR,SMD,COMM,MODE,EMI,FLTR,11.5UH</v>
          </cell>
          <cell r="C10" t="str">
            <v>IDCTR</v>
          </cell>
          <cell r="D10">
            <v>15</v>
          </cell>
          <cell r="E10"/>
          <cell r="F10" t="str">
            <v>3 Weeks</v>
          </cell>
          <cell r="G10">
            <v>600</v>
          </cell>
          <cell r="H10">
            <v>2.0343300000000002</v>
          </cell>
          <cell r="I10">
            <v>1220.5980000000002</v>
          </cell>
          <cell r="J10">
            <v>2.4808902439024396</v>
          </cell>
          <cell r="K10">
            <v>267.93614634146365</v>
          </cell>
          <cell r="L10">
            <v>1488.5341463414638</v>
          </cell>
          <cell r="N10"/>
          <cell r="O10"/>
          <cell r="Q10">
            <v>1</v>
          </cell>
          <cell r="R10" t="str">
            <v>M2022-ASL</v>
          </cell>
          <cell r="S10" t="str">
            <v>COILCRAFT</v>
          </cell>
          <cell r="T10" t="str">
            <v>Coilcraft</v>
          </cell>
          <cell r="U10">
            <v>1.51</v>
          </cell>
          <cell r="V10">
            <v>600</v>
          </cell>
          <cell r="W10">
            <v>0</v>
          </cell>
          <cell r="X10">
            <v>1</v>
          </cell>
          <cell r="Y10" t="str">
            <v>Y</v>
          </cell>
          <cell r="Z10">
            <v>906</v>
          </cell>
          <cell r="AA10">
            <v>314.59800000000018</v>
          </cell>
          <cell r="AB10">
            <v>0.39134751982225124</v>
          </cell>
          <cell r="AC10" t="str">
            <v>JH</v>
          </cell>
          <cell r="AD10">
            <v>1061913</v>
          </cell>
          <cell r="AE10" t="str">
            <v xml:space="preserve">POV0066806 </v>
          </cell>
          <cell r="AF10" t="str">
            <v>Stephanie Hill</v>
          </cell>
        </row>
        <row r="11">
          <cell r="A11" t="str">
            <v>668-A97216-001</v>
          </cell>
          <cell r="B11" t="str">
            <v>CONN,RCPT,RF,SMA,480V,50 OHM,STR,PCB MT</v>
          </cell>
          <cell r="C11" t="str">
            <v>CONN</v>
          </cell>
          <cell r="D11">
            <v>25</v>
          </cell>
          <cell r="E11">
            <v>1</v>
          </cell>
          <cell r="F11" t="str">
            <v>15 Weeks</v>
          </cell>
          <cell r="G11">
            <v>500</v>
          </cell>
          <cell r="H11">
            <v>5.1593549999999997</v>
          </cell>
          <cell r="I11">
            <v>2579.6774999999998</v>
          </cell>
          <cell r="J11">
            <v>6.2918963414634144</v>
          </cell>
          <cell r="K11">
            <v>566.27067073170747</v>
          </cell>
          <cell r="L11">
            <v>3145.9481707317073</v>
          </cell>
          <cell r="O11"/>
          <cell r="Q11">
            <v>1</v>
          </cell>
          <cell r="R11" t="str">
            <v>32K101-400L5</v>
          </cell>
          <cell r="S11" t="str">
            <v>ROSENBERGER</v>
          </cell>
          <cell r="T11" t="str">
            <v>Astute Ltd</v>
          </cell>
          <cell r="U11">
            <v>2.2799999999999998</v>
          </cell>
          <cell r="V11">
            <v>500</v>
          </cell>
          <cell r="W11">
            <v>0</v>
          </cell>
          <cell r="X11">
            <v>3</v>
          </cell>
          <cell r="Y11" t="str">
            <v>Y</v>
          </cell>
          <cell r="Z11">
            <v>1140</v>
          </cell>
          <cell r="AA11">
            <v>1439.6774999999998</v>
          </cell>
          <cell r="AB11">
            <v>0.63762912224493173</v>
          </cell>
          <cell r="AC11" t="str">
            <v>JH</v>
          </cell>
          <cell r="AD11">
            <v>1062721</v>
          </cell>
          <cell r="AE11" t="str">
            <v>POV0066807</v>
          </cell>
          <cell r="AF11" t="str">
            <v>JH</v>
          </cell>
        </row>
        <row r="12">
          <cell r="A12" t="str">
            <v>639-066560-393</v>
          </cell>
          <cell r="B12" t="str">
            <v>IDCTR,SMD,PWR,20%,39UH,ROHS</v>
          </cell>
          <cell r="C12" t="str">
            <v>IDCTR</v>
          </cell>
          <cell r="D12">
            <v>25</v>
          </cell>
          <cell r="E12">
            <v>1</v>
          </cell>
          <cell r="F12" t="str">
            <v>3 Weeks</v>
          </cell>
          <cell r="G12">
            <v>500</v>
          </cell>
          <cell r="H12">
            <v>1.1625000000000001</v>
          </cell>
          <cell r="I12">
            <v>581.25</v>
          </cell>
          <cell r="J12">
            <v>1.4176829268292686</v>
          </cell>
          <cell r="K12">
            <v>127.59146341463418</v>
          </cell>
          <cell r="L12">
            <v>708.84146341463429</v>
          </cell>
          <cell r="O12"/>
          <cell r="Q12">
            <v>1</v>
          </cell>
          <cell r="R12" t="str">
            <v>MSS1278-393MLD</v>
          </cell>
          <cell r="S12" t="str">
            <v>COILCRAFT</v>
          </cell>
          <cell r="T12" t="str">
            <v>Coilcraft</v>
          </cell>
          <cell r="U12">
            <v>0.93</v>
          </cell>
          <cell r="V12">
            <v>500</v>
          </cell>
          <cell r="W12">
            <v>0</v>
          </cell>
          <cell r="X12">
            <v>1</v>
          </cell>
          <cell r="Y12" t="str">
            <v>Y</v>
          </cell>
          <cell r="Z12">
            <v>465</v>
          </cell>
          <cell r="AA12">
            <v>116.25</v>
          </cell>
          <cell r="AB12">
            <v>0.34400000000000008</v>
          </cell>
          <cell r="AC12" t="str">
            <v>JH</v>
          </cell>
          <cell r="AD12">
            <v>1061913</v>
          </cell>
          <cell r="AE12" t="str">
            <v xml:space="preserve">POV0066806 </v>
          </cell>
          <cell r="AF12" t="str">
            <v>Stephanie Hill</v>
          </cell>
        </row>
        <row r="13">
          <cell r="A13" t="str">
            <v>639-066560-224</v>
          </cell>
          <cell r="B13" t="str">
            <v>IDCTR,SMD,PWR,10%,220UH,ROHS</v>
          </cell>
          <cell r="C13" t="str">
            <v>IDCTR</v>
          </cell>
          <cell r="D13">
            <v>25</v>
          </cell>
          <cell r="E13">
            <v>1</v>
          </cell>
          <cell r="F13" t="str">
            <v>12 Weeks</v>
          </cell>
          <cell r="G13">
            <v>500</v>
          </cell>
          <cell r="H13">
            <v>1.170353</v>
          </cell>
          <cell r="I13">
            <v>585.17650000000003</v>
          </cell>
          <cell r="J13">
            <v>1.4272597560975611</v>
          </cell>
          <cell r="K13">
            <v>128.45337804878056</v>
          </cell>
          <cell r="L13">
            <v>713.62987804878048</v>
          </cell>
          <cell r="O13"/>
          <cell r="Q13">
            <v>1</v>
          </cell>
          <cell r="R13" t="str">
            <v>MSS1278-224KLD</v>
          </cell>
          <cell r="S13" t="str">
            <v>COILCRAFT</v>
          </cell>
          <cell r="T13" t="str">
            <v>Coilcraft</v>
          </cell>
          <cell r="U13">
            <v>0.93</v>
          </cell>
          <cell r="V13">
            <v>500</v>
          </cell>
          <cell r="W13">
            <v>0</v>
          </cell>
          <cell r="X13">
            <v>1</v>
          </cell>
          <cell r="Y13" t="str">
            <v>Y</v>
          </cell>
          <cell r="Z13">
            <v>465</v>
          </cell>
          <cell r="AA13">
            <v>120.17650000000003</v>
          </cell>
          <cell r="AB13">
            <v>0.34840172153187965</v>
          </cell>
          <cell r="AC13" t="str">
            <v>JH</v>
          </cell>
          <cell r="AD13">
            <v>1061913</v>
          </cell>
          <cell r="AE13" t="str">
            <v xml:space="preserve">POV0066806 </v>
          </cell>
          <cell r="AF13" t="str">
            <v>Stephanie Hill</v>
          </cell>
        </row>
        <row r="14">
          <cell r="A14" t="str">
            <v>639-121249-002</v>
          </cell>
          <cell r="B14" t="str">
            <v>XFMR,SMD,WIDEBAND RF WB SERIES</v>
          </cell>
          <cell r="C14" t="str">
            <v>XFMR</v>
          </cell>
          <cell r="D14">
            <v>25</v>
          </cell>
          <cell r="E14" t="str">
            <v>N/A</v>
          </cell>
          <cell r="F14" t="str">
            <v>3 Weeks</v>
          </cell>
          <cell r="G14">
            <v>500</v>
          </cell>
          <cell r="H14">
            <v>3.1495350000000002</v>
          </cell>
          <cell r="I14">
            <v>1574.7675000000002</v>
          </cell>
          <cell r="J14">
            <v>3.8408963414634152</v>
          </cell>
          <cell r="K14">
            <v>345.68067073170755</v>
          </cell>
          <cell r="L14">
            <v>1920.4481707317077</v>
          </cell>
          <cell r="O14"/>
          <cell r="Q14">
            <v>1</v>
          </cell>
          <cell r="R14" t="str">
            <v>WB1-6TSL</v>
          </cell>
          <cell r="S14" t="str">
            <v>COILCRAFT</v>
          </cell>
          <cell r="T14" t="str">
            <v>Coilcraft</v>
          </cell>
          <cell r="U14">
            <v>2.25</v>
          </cell>
          <cell r="V14">
            <v>500</v>
          </cell>
          <cell r="W14">
            <v>0</v>
          </cell>
          <cell r="X14" t="str">
            <v>1 wk</v>
          </cell>
          <cell r="Y14" t="str">
            <v>Y</v>
          </cell>
          <cell r="Z14">
            <v>1125</v>
          </cell>
          <cell r="AA14">
            <v>449.76750000000015</v>
          </cell>
          <cell r="AB14">
            <v>0.41419923893527155</v>
          </cell>
          <cell r="AC14" t="str">
            <v>JH</v>
          </cell>
          <cell r="AD14">
            <v>1062721</v>
          </cell>
          <cell r="AE14" t="str">
            <v xml:space="preserve">POV0066806 </v>
          </cell>
          <cell r="AF14" t="str">
            <v>Stephanie Hill</v>
          </cell>
        </row>
        <row r="15">
          <cell r="A15" t="str">
            <v>639-A32938-001</v>
          </cell>
          <cell r="B15" t="str">
            <v>IDCTR,SMD,SH,PWR,15UH,±10%,.00286OHM,28A</v>
          </cell>
          <cell r="C15" t="str">
            <v>IDCTR</v>
          </cell>
          <cell r="D15">
            <v>15</v>
          </cell>
          <cell r="E15">
            <v>1</v>
          </cell>
          <cell r="F15" t="str">
            <v>9 Weeks</v>
          </cell>
          <cell r="G15">
            <v>250</v>
          </cell>
          <cell r="H15">
            <v>4.8774899999999999</v>
          </cell>
          <cell r="I15">
            <v>1219.3724999999999</v>
          </cell>
          <cell r="J15">
            <v>5.9481585365853658</v>
          </cell>
          <cell r="K15">
            <v>267.6671341463416</v>
          </cell>
          <cell r="L15">
            <v>1487.0396341463415</v>
          </cell>
          <cell r="O15"/>
          <cell r="Q15">
            <v>1</v>
          </cell>
          <cell r="R15" t="str">
            <v>SER2918H-153KL</v>
          </cell>
          <cell r="S15" t="str">
            <v>Coilcraft</v>
          </cell>
          <cell r="T15" t="str">
            <v>Coilcraft</v>
          </cell>
          <cell r="U15">
            <v>3.98</v>
          </cell>
          <cell r="V15">
            <v>250</v>
          </cell>
          <cell r="W15">
            <v>0</v>
          </cell>
          <cell r="X15">
            <v>1</v>
          </cell>
          <cell r="Y15" t="str">
            <v>Y</v>
          </cell>
          <cell r="Z15">
            <v>995</v>
          </cell>
          <cell r="AA15">
            <v>224.37249999999995</v>
          </cell>
          <cell r="AB15">
            <v>0.33088535291717669</v>
          </cell>
          <cell r="AC15" t="str">
            <v>JH</v>
          </cell>
          <cell r="AD15">
            <v>1062411</v>
          </cell>
          <cell r="AE15" t="str">
            <v xml:space="preserve">POV0066806 </v>
          </cell>
          <cell r="AF15" t="str">
            <v>Stephanie Hill</v>
          </cell>
        </row>
        <row r="16">
          <cell r="A16" t="str">
            <v>639-066560-473</v>
          </cell>
          <cell r="B16" t="str">
            <v>IDCTR,SMD,PWR,20%,47UH,ROHS</v>
          </cell>
          <cell r="C16" t="str">
            <v>IDCTR</v>
          </cell>
          <cell r="D16">
            <v>15</v>
          </cell>
          <cell r="E16" t="str">
            <v>N/A</v>
          </cell>
          <cell r="F16" t="str">
            <v>3 Weeks</v>
          </cell>
          <cell r="G16">
            <v>60</v>
          </cell>
          <cell r="H16">
            <v>2.92</v>
          </cell>
          <cell r="I16">
            <v>175.2</v>
          </cell>
          <cell r="J16">
            <v>3.5609756097560976</v>
          </cell>
          <cell r="K16">
            <v>38.458536585365863</v>
          </cell>
          <cell r="L16">
            <v>213.65853658536585</v>
          </cell>
          <cell r="M16" t="str">
            <v>CHINA</v>
          </cell>
          <cell r="N16">
            <v>8504508000</v>
          </cell>
          <cell r="O16">
            <v>0.35</v>
          </cell>
          <cell r="P16">
            <v>61.319999999999993</v>
          </cell>
          <cell r="Q16">
            <v>1</v>
          </cell>
          <cell r="R16" t="str">
            <v>MSS1278-473MLD</v>
          </cell>
          <cell r="S16" t="str">
            <v>Coilcraft</v>
          </cell>
          <cell r="T16" t="str">
            <v>Coilcraft</v>
          </cell>
          <cell r="U16">
            <v>2.29</v>
          </cell>
          <cell r="V16">
            <v>60</v>
          </cell>
          <cell r="W16">
            <v>0</v>
          </cell>
          <cell r="X16">
            <v>1</v>
          </cell>
          <cell r="Y16" t="str">
            <v>Y</v>
          </cell>
          <cell r="Z16">
            <v>137.4</v>
          </cell>
          <cell r="AA16">
            <v>37.799999999999983</v>
          </cell>
          <cell r="AB16">
            <v>0.35691780821917807</v>
          </cell>
          <cell r="AC16" t="str">
            <v>JH</v>
          </cell>
          <cell r="AD16">
            <v>1062411</v>
          </cell>
          <cell r="AE16" t="str">
            <v xml:space="preserve">POV0066806 </v>
          </cell>
          <cell r="AF16" t="str">
            <v>Stephanie Hill</v>
          </cell>
        </row>
        <row r="17">
          <cell r="A17" t="str">
            <v>630-072603-001</v>
          </cell>
          <cell r="B17" t="str">
            <v>IC,SMD,-V HOT SWAP CNTLR,ROHS</v>
          </cell>
          <cell r="C17" t="str">
            <v>IC</v>
          </cell>
          <cell r="D17">
            <v>25</v>
          </cell>
          <cell r="E17">
            <v>3</v>
          </cell>
          <cell r="F17" t="str">
            <v>25 Weeks</v>
          </cell>
          <cell r="G17">
            <v>2500</v>
          </cell>
          <cell r="H17">
            <v>2.8452920000000002</v>
          </cell>
          <cell r="I17">
            <v>7113.2300000000005</v>
          </cell>
          <cell r="J17">
            <v>3.4698682926829272</v>
          </cell>
          <cell r="K17">
            <v>1561.4407317073174</v>
          </cell>
          <cell r="L17">
            <v>8674.6707317073178</v>
          </cell>
          <cell r="O17"/>
          <cell r="Q17">
            <v>1</v>
          </cell>
          <cell r="R17" t="str">
            <v>MAX5901NNEUT+</v>
          </cell>
          <cell r="S17" t="str">
            <v>MAXIM SEMICONDUCTOR</v>
          </cell>
          <cell r="T17" t="str">
            <v>Parstronic</v>
          </cell>
          <cell r="U17">
            <v>2.75</v>
          </cell>
          <cell r="V17">
            <v>2500</v>
          </cell>
          <cell r="W17">
            <v>0</v>
          </cell>
          <cell r="X17">
            <v>2</v>
          </cell>
          <cell r="Y17" t="str">
            <v>Y</v>
          </cell>
          <cell r="Z17">
            <v>6875</v>
          </cell>
          <cell r="AA17">
            <v>238.23000000000047</v>
          </cell>
          <cell r="AB17">
            <v>0.20746271384448423</v>
          </cell>
          <cell r="AC17" t="str">
            <v>SH</v>
          </cell>
          <cell r="AD17">
            <v>1062721</v>
          </cell>
          <cell r="AE17" t="str">
            <v>POV0066834 W111</v>
          </cell>
          <cell r="AF17" t="str">
            <v>Stephanie Hill</v>
          </cell>
        </row>
        <row r="18">
          <cell r="A18" t="str">
            <v>31-129331-00</v>
          </cell>
          <cell r="B18" t="str">
            <v>CONTACT,D-PWR,FEM,16AWG</v>
          </cell>
          <cell r="C18" t="str">
            <v>CONT</v>
          </cell>
          <cell r="D18">
            <v>25</v>
          </cell>
          <cell r="E18">
            <v>1</v>
          </cell>
          <cell r="F18" t="str">
            <v>5 Weeks</v>
          </cell>
          <cell r="G18">
            <v>200</v>
          </cell>
          <cell r="H18">
            <v>3.25983</v>
          </cell>
          <cell r="I18">
            <v>651.96600000000001</v>
          </cell>
          <cell r="J18">
            <v>3.9754024390243905</v>
          </cell>
          <cell r="K18">
            <v>143.11448780487808</v>
          </cell>
          <cell r="L18">
            <v>795.08048780487809</v>
          </cell>
          <cell r="O18"/>
          <cell r="Q18">
            <v>1</v>
          </cell>
          <cell r="R18" t="str">
            <v>FC4016D/AA</v>
          </cell>
          <cell r="S18" t="str">
            <v>POSITRONIC</v>
          </cell>
          <cell r="T18" t="str">
            <v>Positronic</v>
          </cell>
          <cell r="U18">
            <v>2.02</v>
          </cell>
          <cell r="V18">
            <v>248</v>
          </cell>
          <cell r="W18">
            <v>-48</v>
          </cell>
          <cell r="X18" t="str">
            <v>7 wks</v>
          </cell>
          <cell r="Y18" t="str">
            <v>Y</v>
          </cell>
          <cell r="Z18">
            <v>500.96</v>
          </cell>
          <cell r="AA18">
            <v>151.00600000000003</v>
          </cell>
          <cell r="AB18">
            <v>0.36992542555900165</v>
          </cell>
          <cell r="AC18" t="str">
            <v>JH</v>
          </cell>
          <cell r="AD18">
            <v>1062411</v>
          </cell>
          <cell r="AE18" t="str">
            <v>POV0066829</v>
          </cell>
          <cell r="AF18" t="str">
            <v>JH</v>
          </cell>
        </row>
        <row r="19">
          <cell r="A19" t="str">
            <v>668-282338-001</v>
          </cell>
          <cell r="B19" t="str">
            <v>CONN,COMBO-D,7W2,FEM,PCB,RA</v>
          </cell>
          <cell r="C19" t="str">
            <v>CONN</v>
          </cell>
          <cell r="D19">
            <v>15</v>
          </cell>
          <cell r="E19" t="str">
            <v>N/A</v>
          </cell>
          <cell r="F19" t="str">
            <v>17 Weeks</v>
          </cell>
          <cell r="G19">
            <v>60</v>
          </cell>
          <cell r="H19">
            <v>42.028523</v>
          </cell>
          <cell r="I19">
            <v>2521.7113800000002</v>
          </cell>
          <cell r="J19">
            <v>51.254296341463416</v>
          </cell>
          <cell r="K19">
            <v>553.54640048780493</v>
          </cell>
          <cell r="L19">
            <v>3075.2577804878051</v>
          </cell>
          <cell r="O19"/>
          <cell r="Q19">
            <v>1</v>
          </cell>
          <cell r="R19" t="str">
            <v>CBD7W2F57R7N0X/AA</v>
          </cell>
          <cell r="S19" t="str">
            <v>POSITRONIC</v>
          </cell>
          <cell r="T19" t="str">
            <v>Positronic</v>
          </cell>
          <cell r="U19">
            <v>24.9</v>
          </cell>
          <cell r="V19">
            <v>60</v>
          </cell>
          <cell r="W19">
            <v>0</v>
          </cell>
          <cell r="X19">
            <v>11</v>
          </cell>
          <cell r="Y19" t="str">
            <v>Y</v>
          </cell>
          <cell r="Z19">
            <v>1494</v>
          </cell>
          <cell r="AA19">
            <v>1027.7113800000002</v>
          </cell>
          <cell r="AB19">
            <v>0.51418706767306577</v>
          </cell>
          <cell r="AC19" t="str">
            <v>JH</v>
          </cell>
          <cell r="AD19">
            <v>1062411</v>
          </cell>
          <cell r="AE19" t="str">
            <v>POV0066829</v>
          </cell>
          <cell r="AF19" t="str">
            <v>JH</v>
          </cell>
        </row>
        <row r="20">
          <cell r="A20" t="str">
            <v>648-138818-123</v>
          </cell>
          <cell r="B20" t="str">
            <v>CAP,1206,CER,X7R,10%,50V,12NF ROHS</v>
          </cell>
          <cell r="C20" t="str">
            <v>CAP</v>
          </cell>
          <cell r="D20">
            <v>15</v>
          </cell>
          <cell r="E20">
            <v>1</v>
          </cell>
          <cell r="F20" t="str">
            <v>15 Weeks</v>
          </cell>
          <cell r="G20">
            <v>4000</v>
          </cell>
          <cell r="H20">
            <v>4.9509999999999998E-2</v>
          </cell>
          <cell r="I20">
            <v>198.04</v>
          </cell>
          <cell r="J20">
            <v>6.037804878048781E-2</v>
          </cell>
          <cell r="K20">
            <v>43.472195121951245</v>
          </cell>
          <cell r="L20">
            <v>241.51219512195124</v>
          </cell>
          <cell r="O20"/>
          <cell r="Q20">
            <v>2</v>
          </cell>
          <cell r="R20" t="str">
            <v>C1206C123K5RACTU</v>
          </cell>
          <cell r="S20" t="str">
            <v>Kemet</v>
          </cell>
          <cell r="T20" t="str">
            <v>TTI Europe</v>
          </cell>
          <cell r="U20">
            <v>0.01</v>
          </cell>
          <cell r="V20">
            <v>4000</v>
          </cell>
          <cell r="W20">
            <v>0</v>
          </cell>
          <cell r="X20">
            <v>1</v>
          </cell>
          <cell r="Y20" t="str">
            <v>Y</v>
          </cell>
          <cell r="Z20">
            <v>40</v>
          </cell>
          <cell r="AA20">
            <v>158.04</v>
          </cell>
          <cell r="AB20">
            <v>0.83437689355685718</v>
          </cell>
          <cell r="AC20" t="str">
            <v>JH</v>
          </cell>
          <cell r="AD20">
            <v>1062411</v>
          </cell>
          <cell r="AE20" t="str">
            <v>POV0066832</v>
          </cell>
          <cell r="AF20" t="str">
            <v>JH</v>
          </cell>
        </row>
        <row r="21">
          <cell r="A21" t="str">
            <v>648-325822-007</v>
          </cell>
          <cell r="B21" t="str">
            <v>CAP,SMD,CER,82PF,1% TOL,50V,C0G,0805</v>
          </cell>
          <cell r="C21" t="str">
            <v>CAP</v>
          </cell>
          <cell r="D21">
            <v>15</v>
          </cell>
          <cell r="E21">
            <v>1</v>
          </cell>
          <cell r="F21" t="str">
            <v>18 Weeks</v>
          </cell>
          <cell r="G21">
            <v>4000</v>
          </cell>
          <cell r="H21">
            <v>0.23039399999999999</v>
          </cell>
          <cell r="I21">
            <v>921.57599999999991</v>
          </cell>
          <cell r="J21">
            <v>0.28096829268292683</v>
          </cell>
          <cell r="K21">
            <v>202.2971707317073</v>
          </cell>
          <cell r="L21">
            <v>1123.8731707317074</v>
          </cell>
          <cell r="O21"/>
          <cell r="Q21">
            <v>4</v>
          </cell>
          <cell r="R21" t="str">
            <v>CC0805FRNPO9BN820</v>
          </cell>
          <cell r="S21" t="str">
            <v>Yageo</v>
          </cell>
          <cell r="T21" t="str">
            <v>TTI Europe</v>
          </cell>
          <cell r="U21">
            <v>1.9E-2</v>
          </cell>
          <cell r="V21">
            <v>4000</v>
          </cell>
          <cell r="W21">
            <v>0</v>
          </cell>
          <cell r="X21">
            <v>1</v>
          </cell>
          <cell r="Y21" t="str">
            <v>Y</v>
          </cell>
          <cell r="Z21">
            <v>76</v>
          </cell>
          <cell r="AA21">
            <v>845.57599999999991</v>
          </cell>
          <cell r="AB21">
            <v>0.93237671119907639</v>
          </cell>
          <cell r="AC21" t="str">
            <v>JH</v>
          </cell>
          <cell r="AD21">
            <v>1062411</v>
          </cell>
          <cell r="AE21" t="str">
            <v>POV0066832</v>
          </cell>
          <cell r="AF21" t="str">
            <v>JH</v>
          </cell>
        </row>
        <row r="22">
          <cell r="A22" t="str">
            <v>28-00078-00</v>
          </cell>
          <cell r="B22" t="str">
            <v>RES,CARBON CMPSN,4.7K OHM,1/4W,5%,THT</v>
          </cell>
          <cell r="C22" t="str">
            <v>RES</v>
          </cell>
          <cell r="D22">
            <v>15</v>
          </cell>
          <cell r="E22" t="str">
            <v>N/A</v>
          </cell>
          <cell r="F22" t="str">
            <v>24 Weeks</v>
          </cell>
          <cell r="G22">
            <v>1000</v>
          </cell>
          <cell r="H22">
            <v>0.83753999999999995</v>
          </cell>
          <cell r="I22">
            <v>837.54</v>
          </cell>
          <cell r="J22">
            <v>1.0213902439024389</v>
          </cell>
          <cell r="K22">
            <v>183.85024390243905</v>
          </cell>
          <cell r="L22">
            <v>1021.3902439024389</v>
          </cell>
          <cell r="O22"/>
          <cell r="Q22">
            <v>1</v>
          </cell>
          <cell r="R22" t="str">
            <v>MCRC1/4G472JT-RH</v>
          </cell>
          <cell r="S22" t="str">
            <v>MULTICOMP</v>
          </cell>
          <cell r="T22" t="str">
            <v>Newark</v>
          </cell>
          <cell r="U22">
            <v>0.28199999999999997</v>
          </cell>
          <cell r="V22">
            <v>1000</v>
          </cell>
          <cell r="W22">
            <v>0</v>
          </cell>
          <cell r="X22">
            <v>1</v>
          </cell>
          <cell r="Y22" t="str">
            <v>Y</v>
          </cell>
          <cell r="Z22">
            <v>282</v>
          </cell>
          <cell r="AA22">
            <v>555.54</v>
          </cell>
          <cell r="AB22">
            <v>0.72390572390572383</v>
          </cell>
          <cell r="AC22" t="str">
            <v>JH</v>
          </cell>
          <cell r="AD22">
            <v>1061913</v>
          </cell>
          <cell r="AE22" t="str">
            <v xml:space="preserve">POV0066828 </v>
          </cell>
          <cell r="AF22" t="str">
            <v>JH</v>
          </cell>
        </row>
        <row r="23">
          <cell r="A23" t="str">
            <v>644-041045-001</v>
          </cell>
          <cell r="B23" t="str">
            <v>RLY,SPDT,24VDC,150MW,PCB MT</v>
          </cell>
          <cell r="C23" t="str">
            <v>RLY</v>
          </cell>
          <cell r="D23">
            <v>15</v>
          </cell>
          <cell r="E23">
            <v>1</v>
          </cell>
          <cell r="F23" t="str">
            <v>17 Weeks</v>
          </cell>
          <cell r="G23">
            <v>500</v>
          </cell>
          <cell r="H23">
            <v>2.6103149999999999</v>
          </cell>
          <cell r="I23">
            <v>1305.1575</v>
          </cell>
          <cell r="J23">
            <v>3.1833109756097562</v>
          </cell>
          <cell r="K23">
            <v>286.49798780487822</v>
          </cell>
          <cell r="L23">
            <v>1591.655487804878</v>
          </cell>
          <cell r="N23"/>
          <cell r="O23"/>
          <cell r="Q23">
            <v>2</v>
          </cell>
          <cell r="R23" t="str">
            <v>G5V-1-DC24</v>
          </cell>
          <cell r="S23" t="str">
            <v>Omron Electronics</v>
          </cell>
          <cell r="T23" t="str">
            <v>TTI Europe</v>
          </cell>
          <cell r="U23">
            <v>0.66</v>
          </cell>
          <cell r="V23">
            <v>500</v>
          </cell>
          <cell r="W23">
            <v>0</v>
          </cell>
          <cell r="X23">
            <v>1</v>
          </cell>
          <cell r="Y23" t="str">
            <v>Y</v>
          </cell>
          <cell r="Z23">
            <v>330</v>
          </cell>
          <cell r="AA23">
            <v>975.15750000000003</v>
          </cell>
          <cell r="AB23">
            <v>0.79266870090391395</v>
          </cell>
          <cell r="AC23" t="str">
            <v>JH</v>
          </cell>
          <cell r="AD23">
            <v>1062411</v>
          </cell>
          <cell r="AE23" t="str">
            <v>POV0066832</v>
          </cell>
          <cell r="AF23" t="str">
            <v>JH</v>
          </cell>
        </row>
        <row r="24">
          <cell r="A24" t="str">
            <v>34-148402-00</v>
          </cell>
          <cell r="B24" t="str">
            <v>RELAY,SPST,24VDC,PWR PCB,OMRON</v>
          </cell>
          <cell r="C24" t="str">
            <v>RLY</v>
          </cell>
          <cell r="D24">
            <v>15</v>
          </cell>
          <cell r="E24" t="str">
            <v>N/A</v>
          </cell>
          <cell r="F24" t="str">
            <v>41 Weeks</v>
          </cell>
          <cell r="G24">
            <v>500</v>
          </cell>
          <cell r="H24">
            <v>5.0858249999999998</v>
          </cell>
          <cell r="I24">
            <v>2542.9124999999999</v>
          </cell>
          <cell r="J24">
            <v>6.2022256097560975</v>
          </cell>
          <cell r="K24">
            <v>558.20030487804888</v>
          </cell>
          <cell r="L24">
            <v>3101.1128048780488</v>
          </cell>
          <cell r="O24"/>
          <cell r="Q24">
            <v>1</v>
          </cell>
          <cell r="R24" t="str">
            <v>G6D-1A-ASI-DC24</v>
          </cell>
          <cell r="S24" t="str">
            <v>Omron Electronics</v>
          </cell>
          <cell r="T24" t="str">
            <v>TTI Europe</v>
          </cell>
          <cell r="U24">
            <v>1.08</v>
          </cell>
          <cell r="V24">
            <v>500</v>
          </cell>
          <cell r="W24">
            <v>0</v>
          </cell>
          <cell r="X24">
            <v>1</v>
          </cell>
          <cell r="Y24" t="str">
            <v>Y</v>
          </cell>
          <cell r="Z24">
            <v>540</v>
          </cell>
          <cell r="AA24">
            <v>2002.9124999999999</v>
          </cell>
          <cell r="AB24">
            <v>0.82586895931338578</v>
          </cell>
          <cell r="AC24" t="str">
            <v>JH</v>
          </cell>
          <cell r="AD24">
            <v>1062411</v>
          </cell>
          <cell r="AE24" t="str">
            <v>POV0066832</v>
          </cell>
          <cell r="AF24" t="str">
            <v>JH</v>
          </cell>
        </row>
        <row r="25">
          <cell r="A25" t="str">
            <v>668-A26901-078</v>
          </cell>
          <cell r="B25" t="str">
            <v>CONN,RCPT,D-SUB,HD,78POSN,STR,3A,SLDR</v>
          </cell>
          <cell r="C25" t="str">
            <v>CONN</v>
          </cell>
          <cell r="D25">
            <v>25</v>
          </cell>
          <cell r="E25">
            <v>1</v>
          </cell>
          <cell r="F25" t="str">
            <v>19 Weeks</v>
          </cell>
          <cell r="G25">
            <v>250</v>
          </cell>
          <cell r="H25">
            <v>9.1912500000000001</v>
          </cell>
          <cell r="I25">
            <v>2297.8125</v>
          </cell>
          <cell r="J25">
            <v>11.208841463414634</v>
          </cell>
          <cell r="K25">
            <v>504.39786585365891</v>
          </cell>
          <cell r="L25">
            <v>2802.2103658536585</v>
          </cell>
          <cell r="O25"/>
          <cell r="Q25">
            <v>1</v>
          </cell>
          <cell r="R25" t="str">
            <v>180-078-213R001</v>
          </cell>
          <cell r="S25" t="str">
            <v>NORCOMP</v>
          </cell>
          <cell r="T25" t="str">
            <v>Newark</v>
          </cell>
          <cell r="U25">
            <v>8.1999999999999993</v>
          </cell>
          <cell r="V25">
            <v>250</v>
          </cell>
          <cell r="W25">
            <v>0</v>
          </cell>
          <cell r="X25">
            <v>1</v>
          </cell>
          <cell r="Y25" t="str">
            <v>Y</v>
          </cell>
          <cell r="Z25">
            <v>2050</v>
          </cell>
          <cell r="AA25">
            <v>247.8125</v>
          </cell>
          <cell r="AB25">
            <v>0.26843465252277976</v>
          </cell>
          <cell r="AC25" t="str">
            <v>JH</v>
          </cell>
          <cell r="AD25">
            <v>1061913</v>
          </cell>
          <cell r="AE25" t="str">
            <v xml:space="preserve">POV0066828 </v>
          </cell>
          <cell r="AF25" t="str">
            <v>JH</v>
          </cell>
        </row>
        <row r="26">
          <cell r="A26" t="str">
            <v>668-A20990-044</v>
          </cell>
          <cell r="B26" t="str">
            <v>CONN,D-SUB,H-DENSITY,FEM,44POSN,3A,RTANG</v>
          </cell>
          <cell r="C26" t="str">
            <v>CONN</v>
          </cell>
          <cell r="D26">
            <v>25</v>
          </cell>
          <cell r="E26">
            <v>1</v>
          </cell>
          <cell r="F26" t="str">
            <v>19 Weeks</v>
          </cell>
          <cell r="G26">
            <v>200</v>
          </cell>
          <cell r="H26">
            <v>2.9044349999999999</v>
          </cell>
          <cell r="I26">
            <v>580.88699999999994</v>
          </cell>
          <cell r="J26">
            <v>3.5419939024390246</v>
          </cell>
          <cell r="K26">
            <v>127.51178048780491</v>
          </cell>
          <cell r="L26">
            <v>708.39878048780497</v>
          </cell>
          <cell r="O26"/>
          <cell r="Q26">
            <v>1</v>
          </cell>
          <cell r="R26" t="str">
            <v>ICD44S13E4GX00LF</v>
          </cell>
          <cell r="S26" t="str">
            <v>Amphenol Communications Solutions</v>
          </cell>
          <cell r="T26" t="str">
            <v>Newark</v>
          </cell>
          <cell r="U26">
            <v>0.745</v>
          </cell>
          <cell r="V26">
            <v>240</v>
          </cell>
          <cell r="W26">
            <v>-40</v>
          </cell>
          <cell r="X26">
            <v>1</v>
          </cell>
          <cell r="Y26" t="str">
            <v>Y</v>
          </cell>
          <cell r="Z26">
            <v>178.8</v>
          </cell>
          <cell r="AA26">
            <v>402.08699999999993</v>
          </cell>
          <cell r="AB26">
            <v>0.74759979135356791</v>
          </cell>
          <cell r="AC26" t="str">
            <v>JH</v>
          </cell>
          <cell r="AD26">
            <v>1061913</v>
          </cell>
          <cell r="AE26" t="str">
            <v xml:space="preserve">POV0066828 </v>
          </cell>
          <cell r="AF26" t="str">
            <v>JH</v>
          </cell>
        </row>
        <row r="27">
          <cell r="A27" t="str">
            <v>668-B28242-001</v>
          </cell>
          <cell r="B27" t="str">
            <v>CONN,COMBO-D,7W2,250V,RTANG,PCB MT</v>
          </cell>
          <cell r="C27" t="str">
            <v>CONN</v>
          </cell>
          <cell r="D27">
            <v>15</v>
          </cell>
          <cell r="E27">
            <v>1</v>
          </cell>
          <cell r="F27" t="str">
            <v>24 Weeks</v>
          </cell>
          <cell r="G27">
            <v>70</v>
          </cell>
          <cell r="H27">
            <v>11.654505</v>
          </cell>
          <cell r="I27">
            <v>815.81535000000008</v>
          </cell>
          <cell r="J27">
            <v>14.212810975609758</v>
          </cell>
          <cell r="K27">
            <v>179.081418292683</v>
          </cell>
          <cell r="L27">
            <v>994.89676829268308</v>
          </cell>
          <cell r="O27"/>
          <cell r="Q27">
            <v>1</v>
          </cell>
          <cell r="R27" t="str">
            <v>684S7W2103L461</v>
          </cell>
          <cell r="S27" t="str">
            <v>NORCOMP</v>
          </cell>
          <cell r="T27" t="str">
            <v>Newark</v>
          </cell>
          <cell r="U27">
            <v>11.16</v>
          </cell>
          <cell r="V27">
            <v>70</v>
          </cell>
          <cell r="W27">
            <v>0</v>
          </cell>
          <cell r="X27">
            <v>1</v>
          </cell>
          <cell r="Y27" t="str">
            <v>Y</v>
          </cell>
          <cell r="Z27">
            <v>781.2</v>
          </cell>
          <cell r="AA27">
            <v>34.615350000000035</v>
          </cell>
          <cell r="AB27">
            <v>0.2147929062624282</v>
          </cell>
          <cell r="AC27" t="str">
            <v>JH</v>
          </cell>
          <cell r="AD27">
            <v>1061913</v>
          </cell>
          <cell r="AE27" t="str">
            <v xml:space="preserve">POV0066828 </v>
          </cell>
          <cell r="AF27" t="str">
            <v>JH</v>
          </cell>
        </row>
        <row r="28">
          <cell r="A28" t="str">
            <v>39-149057-25</v>
          </cell>
          <cell r="B28" t="str">
            <v>CONN,DSUB,25M,PCB STRT,W/STOFF</v>
          </cell>
          <cell r="C28" t="str">
            <v>CONN</v>
          </cell>
          <cell r="D28">
            <v>15</v>
          </cell>
          <cell r="E28" t="str">
            <v>N/A</v>
          </cell>
          <cell r="F28" t="str">
            <v>3 Weeks</v>
          </cell>
          <cell r="G28">
            <v>30</v>
          </cell>
          <cell r="H28">
            <v>23.652149999999999</v>
          </cell>
          <cell r="I28">
            <v>709.56449999999995</v>
          </cell>
          <cell r="J28">
            <v>28.844085365853658</v>
          </cell>
          <cell r="K28">
            <v>155.75806097560985</v>
          </cell>
          <cell r="L28">
            <v>865.3225609756098</v>
          </cell>
          <cell r="O28"/>
          <cell r="Q28">
            <v>2</v>
          </cell>
          <cell r="R28" t="str">
            <v>L717SDBH25POL2RM8C309</v>
          </cell>
          <cell r="S28" t="str">
            <v>Amphenol Communications Solutions</v>
          </cell>
          <cell r="T28" t="str">
            <v>Newark</v>
          </cell>
          <cell r="U28">
            <v>1.85</v>
          </cell>
          <cell r="V28">
            <v>30</v>
          </cell>
          <cell r="W28">
            <v>0</v>
          </cell>
          <cell r="X28" t="str">
            <v>1 wk</v>
          </cell>
          <cell r="Y28" t="str">
            <v>Y</v>
          </cell>
          <cell r="Z28">
            <v>55.5</v>
          </cell>
          <cell r="AA28">
            <v>654.06449999999995</v>
          </cell>
          <cell r="AB28">
            <v>0.93586206750760503</v>
          </cell>
          <cell r="AC28" t="str">
            <v>JH</v>
          </cell>
          <cell r="AD28">
            <v>1061913</v>
          </cell>
          <cell r="AE28" t="str">
            <v xml:space="preserve">POV0066828 </v>
          </cell>
          <cell r="AF28" t="str">
            <v>JH</v>
          </cell>
        </row>
        <row r="29">
          <cell r="A29" t="str">
            <v>618-010908-100</v>
          </cell>
          <cell r="B29" t="str">
            <v>RES,METAL FILM,10M,0.1%</v>
          </cell>
          <cell r="C29" t="str">
            <v>RES</v>
          </cell>
          <cell r="D29">
            <v>25</v>
          </cell>
          <cell r="E29" t="str">
            <v>N/A</v>
          </cell>
          <cell r="F29" t="str">
            <v>11 Weeks</v>
          </cell>
          <cell r="G29">
            <v>100</v>
          </cell>
          <cell r="H29">
            <v>37.299999999999997</v>
          </cell>
          <cell r="I29">
            <v>3729.9999999999995</v>
          </cell>
          <cell r="J29">
            <v>45.487804878048777</v>
          </cell>
          <cell r="K29">
            <v>818.78048780487779</v>
          </cell>
          <cell r="L29">
            <v>4548.7804878048773</v>
          </cell>
          <cell r="M29"/>
          <cell r="O29"/>
          <cell r="P29"/>
          <cell r="Q29">
            <v>1</v>
          </cell>
          <cell r="R29" t="str">
            <v>MS310-10.0M-0.1%</v>
          </cell>
          <cell r="S29" t="str">
            <v>CADDOCK ELECTRONICS INC.</v>
          </cell>
          <cell r="T29" t="str">
            <v>Caddock</v>
          </cell>
          <cell r="U29">
            <v>31.08</v>
          </cell>
          <cell r="V29">
            <v>100</v>
          </cell>
          <cell r="W29">
            <v>0</v>
          </cell>
          <cell r="X29" t="str">
            <v>1 wk</v>
          </cell>
          <cell r="Y29" t="str">
            <v>Y</v>
          </cell>
          <cell r="Z29">
            <v>3108</v>
          </cell>
          <cell r="AA29">
            <v>621.99999999999955</v>
          </cell>
          <cell r="AB29">
            <v>0.31673994638069691</v>
          </cell>
          <cell r="AC29" t="str">
            <v>JH</v>
          </cell>
          <cell r="AD29">
            <v>1062721</v>
          </cell>
          <cell r="AE29" t="str">
            <v>POV0066844</v>
          </cell>
          <cell r="AF29" t="str">
            <v>JH</v>
          </cell>
        </row>
        <row r="30">
          <cell r="A30" t="str">
            <v>621-000682-253</v>
          </cell>
          <cell r="B30" t="str">
            <v>POT,TRIM,CERMET,25 TURN,25Kohm, ROHS</v>
          </cell>
          <cell r="C30" t="str">
            <v>POT</v>
          </cell>
          <cell r="D30">
            <v>15</v>
          </cell>
          <cell r="E30" t="str">
            <v>N/A</v>
          </cell>
          <cell r="F30" t="str">
            <v>13 Weeks</v>
          </cell>
          <cell r="G30">
            <v>500</v>
          </cell>
          <cell r="H30">
            <v>1.7892300000000001</v>
          </cell>
          <cell r="I30">
            <v>894.61500000000001</v>
          </cell>
          <cell r="J30">
            <v>2.181987804878049</v>
          </cell>
          <cell r="K30">
            <v>196.37890243902439</v>
          </cell>
          <cell r="L30">
            <v>1090.9939024390244</v>
          </cell>
          <cell r="N30" t="str">
            <v>8533.40.80.70</v>
          </cell>
          <cell r="O30"/>
          <cell r="Q30">
            <v>2</v>
          </cell>
          <cell r="R30" t="str">
            <v>3299W-1-253LF</v>
          </cell>
          <cell r="S30" t="str">
            <v>Bourns</v>
          </cell>
          <cell r="T30" t="str">
            <v>Arrow</v>
          </cell>
          <cell r="U30">
            <v>0.61829999999999996</v>
          </cell>
          <cell r="V30">
            <v>500</v>
          </cell>
          <cell r="W30">
            <v>0</v>
          </cell>
          <cell r="X30">
            <v>1</v>
          </cell>
          <cell r="Y30" t="str">
            <v>Y</v>
          </cell>
          <cell r="Z30">
            <v>309.14999999999998</v>
          </cell>
          <cell r="AA30">
            <v>585.46500000000003</v>
          </cell>
          <cell r="AB30">
            <v>0.71663452993745913</v>
          </cell>
          <cell r="AD30">
            <v>1062721</v>
          </cell>
          <cell r="AE30" t="str">
            <v>POV0066830</v>
          </cell>
          <cell r="AF30" t="str">
            <v>JH</v>
          </cell>
        </row>
        <row r="31">
          <cell r="A31" t="str">
            <v>630-A73909-001</v>
          </cell>
          <cell r="B31" t="str">
            <v>IC,SMD,MCU,32BIT,256KB,FLASH,67MHZ,TQFP</v>
          </cell>
          <cell r="C31" t="str">
            <v>IC</v>
          </cell>
          <cell r="D31">
            <v>25</v>
          </cell>
          <cell r="E31">
            <v>3</v>
          </cell>
          <cell r="F31" t="str">
            <v>13 Weeks</v>
          </cell>
          <cell r="G31">
            <v>450</v>
          </cell>
          <cell r="H31">
            <v>9.3874399999999998</v>
          </cell>
          <cell r="I31">
            <v>4224.348</v>
          </cell>
          <cell r="J31">
            <v>11.44809756097561</v>
          </cell>
          <cell r="K31">
            <v>927.29590243902476</v>
          </cell>
          <cell r="L31">
            <v>5151.6439024390247</v>
          </cell>
          <cell r="O31"/>
          <cell r="Q31">
            <v>1</v>
          </cell>
          <cell r="R31" t="str">
            <v>CY8C5468AXI-LP106</v>
          </cell>
          <cell r="S31" t="str">
            <v>CYPRESS SEMICONDUCTOR CORPORATION</v>
          </cell>
          <cell r="T31" t="str">
            <v>Avnet</v>
          </cell>
          <cell r="U31">
            <v>7.2112499999999997</v>
          </cell>
          <cell r="V31">
            <v>450</v>
          </cell>
          <cell r="W31">
            <v>0</v>
          </cell>
          <cell r="X31" t="str">
            <v>1 wk</v>
          </cell>
          <cell r="Y31" t="str">
            <v>Y</v>
          </cell>
          <cell r="Z31">
            <v>3245.0625</v>
          </cell>
          <cell r="AA31">
            <v>979.28549999999996</v>
          </cell>
          <cell r="AB31">
            <v>0.37009184612631352</v>
          </cell>
          <cell r="AC31" t="str">
            <v>JH</v>
          </cell>
          <cell r="AD31">
            <v>1061913</v>
          </cell>
          <cell r="AE31" t="str">
            <v>POV0066841</v>
          </cell>
          <cell r="AF31" t="str">
            <v>JH</v>
          </cell>
        </row>
        <row r="32">
          <cell r="A32" t="str">
            <v>779-B00545-001</v>
          </cell>
          <cell r="B32" t="str">
            <v>HTSK,SQ,BGA,23X23X14.5MM,BLK-ANODIZED</v>
          </cell>
          <cell r="C32" t="str">
            <v>HTSK</v>
          </cell>
          <cell r="D32">
            <v>25</v>
          </cell>
          <cell r="E32">
            <v>1</v>
          </cell>
          <cell r="F32" t="str">
            <v>11 Weeks</v>
          </cell>
          <cell r="G32">
            <v>200</v>
          </cell>
          <cell r="H32">
            <v>6.2132849999999999</v>
          </cell>
          <cell r="I32">
            <v>1242.6569999999999</v>
          </cell>
          <cell r="J32">
            <v>7.5771768292682928</v>
          </cell>
          <cell r="K32">
            <v>272.77836585365867</v>
          </cell>
          <cell r="L32">
            <v>1515.4353658536586</v>
          </cell>
          <cell r="M32" t="str">
            <v>CHINA</v>
          </cell>
          <cell r="N32">
            <v>8542900000</v>
          </cell>
          <cell r="O32">
            <v>0.35</v>
          </cell>
          <cell r="P32">
            <v>434.92994999999996</v>
          </cell>
          <cell r="Q32">
            <v>1</v>
          </cell>
          <cell r="R32" t="str">
            <v>ATS-55230K-C1-R0</v>
          </cell>
          <cell r="S32" t="str">
            <v>Advanced Thermal Solutions, Inc.</v>
          </cell>
          <cell r="T32" t="str">
            <v>Arrow</v>
          </cell>
          <cell r="U32">
            <v>2.4620000000000002</v>
          </cell>
          <cell r="V32">
            <v>200</v>
          </cell>
          <cell r="W32">
            <v>0</v>
          </cell>
          <cell r="X32" t="str">
            <v>1-2wks</v>
          </cell>
          <cell r="Y32" t="str">
            <v>Y</v>
          </cell>
          <cell r="Z32">
            <v>492.40000000000003</v>
          </cell>
          <cell r="AA32">
            <v>750.25699999999983</v>
          </cell>
          <cell r="AB32">
            <v>0.67507687157437646</v>
          </cell>
          <cell r="AC32" t="str">
            <v>JH</v>
          </cell>
          <cell r="AD32">
            <v>1062721</v>
          </cell>
          <cell r="AE32" t="str">
            <v>POV0066830</v>
          </cell>
          <cell r="AF32" t="str">
            <v>JH</v>
          </cell>
        </row>
        <row r="33">
          <cell r="A33" t="str">
            <v>635-121978-001</v>
          </cell>
          <cell r="B33" t="str">
            <v>OSC,SMD,XTAL,32.768KHZ</v>
          </cell>
          <cell r="C33" t="str">
            <v>OSC</v>
          </cell>
          <cell r="D33">
            <v>25</v>
          </cell>
          <cell r="E33">
            <v>1</v>
          </cell>
          <cell r="F33" t="str">
            <v>60 Weeks</v>
          </cell>
          <cell r="G33">
            <v>3000</v>
          </cell>
          <cell r="H33">
            <v>0.43935000000000002</v>
          </cell>
          <cell r="I33">
            <v>1318.05</v>
          </cell>
          <cell r="J33">
            <v>0.53579268292682936</v>
          </cell>
          <cell r="K33">
            <v>289.32804878048796</v>
          </cell>
          <cell r="L33">
            <v>1607.3780487804881</v>
          </cell>
          <cell r="O33"/>
          <cell r="Q33">
            <v>4</v>
          </cell>
          <cell r="R33" t="str">
            <v>MC-306 32.7680K-A0: ROHS</v>
          </cell>
          <cell r="S33" t="str">
            <v>EPSON</v>
          </cell>
          <cell r="T33" t="str">
            <v>YQM</v>
          </cell>
          <cell r="U33">
            <v>0.112</v>
          </cell>
          <cell r="V33">
            <v>3000</v>
          </cell>
          <cell r="W33">
            <v>0</v>
          </cell>
          <cell r="X33" t="str">
            <v>1-2 WKS</v>
          </cell>
          <cell r="Y33" t="str">
            <v>Y</v>
          </cell>
          <cell r="Z33">
            <v>336</v>
          </cell>
          <cell r="AA33">
            <v>982.05</v>
          </cell>
          <cell r="AB33">
            <v>0.79096392397860482</v>
          </cell>
          <cell r="AC33" t="str">
            <v>JH</v>
          </cell>
          <cell r="AD33">
            <v>1062721</v>
          </cell>
          <cell r="AE33" t="str">
            <v>POV0066838</v>
          </cell>
          <cell r="AF33" t="str">
            <v>SZ</v>
          </cell>
        </row>
        <row r="34">
          <cell r="A34" t="str">
            <v>668-111554-008</v>
          </cell>
          <cell r="B34" t="str">
            <v>CONN,RCPT,D-SUB,POWER,8P,ROHS</v>
          </cell>
          <cell r="C34" t="str">
            <v>CONN</v>
          </cell>
          <cell r="D34">
            <v>25</v>
          </cell>
          <cell r="E34">
            <v>1</v>
          </cell>
          <cell r="F34" t="str">
            <v>29 Weeks</v>
          </cell>
          <cell r="G34">
            <v>100</v>
          </cell>
          <cell r="H34">
            <v>23.468325</v>
          </cell>
          <cell r="I34">
            <v>2346.8325</v>
          </cell>
          <cell r="J34">
            <v>28.619908536585367</v>
          </cell>
          <cell r="K34">
            <v>515.15835365853673</v>
          </cell>
          <cell r="L34">
            <v>2861.9908536585367</v>
          </cell>
          <cell r="O34"/>
          <cell r="Q34">
            <v>1</v>
          </cell>
          <cell r="R34" t="str">
            <v>3008W8SXX69E40X</v>
          </cell>
          <cell r="S34" t="str">
            <v>Conec</v>
          </cell>
          <cell r="T34" t="str">
            <v>Astute Ltd</v>
          </cell>
          <cell r="U34">
            <v>16.863</v>
          </cell>
          <cell r="V34">
            <v>100</v>
          </cell>
          <cell r="W34">
            <v>0</v>
          </cell>
          <cell r="X34">
            <v>8</v>
          </cell>
          <cell r="Y34" t="str">
            <v>Y</v>
          </cell>
          <cell r="Z34">
            <v>1686.3</v>
          </cell>
          <cell r="AA34">
            <v>660.53250000000003</v>
          </cell>
          <cell r="AB34">
            <v>0.41079476272806015</v>
          </cell>
          <cell r="AC34" t="str">
            <v>JH</v>
          </cell>
          <cell r="AD34">
            <v>1062721</v>
          </cell>
          <cell r="AE34" t="str">
            <v>POV0066899</v>
          </cell>
          <cell r="AF34" t="str">
            <v>JH</v>
          </cell>
        </row>
        <row r="35">
          <cell r="A35" t="str">
            <v>39-164229-07</v>
          </cell>
          <cell r="B35" t="str">
            <v>CONN, DSUB,7W2_M,PCB STRT,4-40</v>
          </cell>
          <cell r="C35" t="str">
            <v>CONN</v>
          </cell>
          <cell r="D35">
            <v>15</v>
          </cell>
          <cell r="E35" t="str">
            <v>N/A</v>
          </cell>
          <cell r="F35" t="str">
            <v>15 Weeks</v>
          </cell>
          <cell r="G35">
            <v>200</v>
          </cell>
          <cell r="H35">
            <v>11.686674</v>
          </cell>
          <cell r="I35">
            <v>2337.3348000000001</v>
          </cell>
          <cell r="J35">
            <v>14.252041463414635</v>
          </cell>
          <cell r="K35">
            <v>513.07349268292683</v>
          </cell>
          <cell r="L35">
            <v>2850.4082926829269</v>
          </cell>
          <cell r="O35"/>
          <cell r="Q35">
            <v>1</v>
          </cell>
          <cell r="R35" t="str">
            <v>13-000121</v>
          </cell>
          <cell r="S35" t="str">
            <v>Conec</v>
          </cell>
          <cell r="T35" t="str">
            <v>Astute Ltd</v>
          </cell>
          <cell r="U35">
            <v>8.34</v>
          </cell>
          <cell r="V35">
            <v>200</v>
          </cell>
          <cell r="W35">
            <v>0</v>
          </cell>
          <cell r="X35">
            <v>8</v>
          </cell>
          <cell r="Y35" t="str">
            <v>Y</v>
          </cell>
          <cell r="Z35">
            <v>1668</v>
          </cell>
          <cell r="AA35">
            <v>669.33480000000009</v>
          </cell>
          <cell r="AB35">
            <v>0.41482067524087696</v>
          </cell>
          <cell r="AC35" t="str">
            <v>JH</v>
          </cell>
          <cell r="AD35">
            <v>1062721</v>
          </cell>
          <cell r="AE35" t="str">
            <v>POV0066899</v>
          </cell>
          <cell r="AF35" t="str">
            <v>JH</v>
          </cell>
        </row>
        <row r="36">
          <cell r="A36" t="str">
            <v>668-111554-003</v>
          </cell>
          <cell r="B36" t="str">
            <v>CONN,RCPT,D-SUB,POWER,3P,ROHS</v>
          </cell>
          <cell r="C36" t="str">
            <v>CONN</v>
          </cell>
          <cell r="D36">
            <v>25</v>
          </cell>
          <cell r="E36">
            <v>1</v>
          </cell>
          <cell r="F36" t="str">
            <v>3 Weeks</v>
          </cell>
          <cell r="G36">
            <v>200</v>
          </cell>
          <cell r="H36">
            <v>11.671760000000001</v>
          </cell>
          <cell r="I36">
            <v>2334.3520000000003</v>
          </cell>
          <cell r="J36">
            <v>14.233853658536587</v>
          </cell>
          <cell r="K36">
            <v>512.41873170731742</v>
          </cell>
          <cell r="L36">
            <v>2846.7707317073173</v>
          </cell>
          <cell r="O36"/>
          <cell r="Q36">
            <v>1</v>
          </cell>
          <cell r="R36" t="str">
            <v>3003W3SXX69E40X</v>
          </cell>
          <cell r="S36" t="str">
            <v>Amphenol CONEC</v>
          </cell>
          <cell r="T36" t="str">
            <v>Astute Ltd</v>
          </cell>
          <cell r="U36">
            <v>7.61</v>
          </cell>
          <cell r="V36">
            <v>200</v>
          </cell>
          <cell r="W36">
            <v>0</v>
          </cell>
          <cell r="X36">
            <v>8</v>
          </cell>
          <cell r="Y36" t="str">
            <v>Y</v>
          </cell>
          <cell r="Z36">
            <v>1522</v>
          </cell>
          <cell r="AA36">
            <v>812.35200000000032</v>
          </cell>
          <cell r="AB36">
            <v>0.46535912321706419</v>
          </cell>
          <cell r="AC36" t="str">
            <v>JH</v>
          </cell>
          <cell r="AD36">
            <v>1062721</v>
          </cell>
          <cell r="AE36" t="str">
            <v>POV0066899</v>
          </cell>
          <cell r="AF36" t="str">
            <v>JH</v>
          </cell>
        </row>
        <row r="37">
          <cell r="A37" t="str">
            <v>668-A51501-044</v>
          </cell>
          <cell r="B37" t="str">
            <v>CONN,RCPT,D-SUB,H DENSITY,44POSN,3A,60V</v>
          </cell>
          <cell r="C37" t="str">
            <v>CONN</v>
          </cell>
          <cell r="D37">
            <v>25</v>
          </cell>
          <cell r="E37">
            <v>1</v>
          </cell>
          <cell r="F37" t="str">
            <v>14 Weeks</v>
          </cell>
          <cell r="G37">
            <v>100</v>
          </cell>
          <cell r="H37">
            <v>17.316314999999999</v>
          </cell>
          <cell r="I37">
            <v>1731.6315</v>
          </cell>
          <cell r="J37">
            <v>21.117457317073171</v>
          </cell>
          <cell r="K37">
            <v>380.11423170731723</v>
          </cell>
          <cell r="L37">
            <v>2111.7457317073172</v>
          </cell>
          <cell r="O37"/>
          <cell r="Q37">
            <v>1</v>
          </cell>
          <cell r="R37" t="str">
            <v>164A17379X</v>
          </cell>
          <cell r="S37" t="str">
            <v>Amphenol CONEC</v>
          </cell>
          <cell r="T37" t="str">
            <v>Astute Ltd</v>
          </cell>
          <cell r="U37">
            <v>9.2799999999999994</v>
          </cell>
          <cell r="V37">
            <v>100</v>
          </cell>
          <cell r="W37">
            <v>0</v>
          </cell>
          <cell r="X37">
            <v>8</v>
          </cell>
          <cell r="Y37" t="str">
            <v>Y</v>
          </cell>
          <cell r="Z37">
            <v>927.99999999999989</v>
          </cell>
          <cell r="AA37">
            <v>803.63150000000007</v>
          </cell>
          <cell r="AB37">
            <v>0.56055315464058042</v>
          </cell>
          <cell r="AC37" t="str">
            <v>JH</v>
          </cell>
          <cell r="AD37">
            <v>1062721</v>
          </cell>
          <cell r="AE37" t="str">
            <v>POV0066899</v>
          </cell>
          <cell r="AF37" t="str">
            <v>JH</v>
          </cell>
        </row>
        <row r="38">
          <cell r="A38" t="str">
            <v>668-320315-001</v>
          </cell>
          <cell r="B38" t="str">
            <v>CONN,RCPT,D-SUB,PWR,30A,2P,COMBO,ROHS</v>
          </cell>
          <cell r="C38" t="str">
            <v>CONN</v>
          </cell>
          <cell r="D38">
            <v>25</v>
          </cell>
          <cell r="E38">
            <v>1</v>
          </cell>
          <cell r="F38" t="str">
            <v>30 Weeks</v>
          </cell>
          <cell r="G38">
            <v>50</v>
          </cell>
          <cell r="H38">
            <v>9.976305</v>
          </cell>
          <cell r="I38">
            <v>498.81524999999999</v>
          </cell>
          <cell r="J38">
            <v>12.166225609756099</v>
          </cell>
          <cell r="K38">
            <v>109.49603048780489</v>
          </cell>
          <cell r="L38">
            <v>608.31128048780499</v>
          </cell>
          <cell r="O38"/>
          <cell r="Q38">
            <v>1</v>
          </cell>
          <cell r="R38" t="str">
            <v>302W2CSXX71E40X</v>
          </cell>
          <cell r="S38" t="str">
            <v>Amphenol CONEC</v>
          </cell>
          <cell r="T38" t="str">
            <v>Astute Ltd</v>
          </cell>
          <cell r="U38">
            <v>7.1260000000000003</v>
          </cell>
          <cell r="V38">
            <v>50</v>
          </cell>
          <cell r="W38">
            <v>0</v>
          </cell>
          <cell r="X38" t="str">
            <v>8 wks</v>
          </cell>
          <cell r="Y38" t="str">
            <v>Y</v>
          </cell>
          <cell r="Z38">
            <v>356.3</v>
          </cell>
          <cell r="AA38">
            <v>142.51524999999998</v>
          </cell>
          <cell r="AB38">
            <v>0.41428013678411002</v>
          </cell>
          <cell r="AC38" t="str">
            <v>JH</v>
          </cell>
          <cell r="AD38">
            <v>1062721</v>
          </cell>
          <cell r="AE38" t="str">
            <v>POV0066899</v>
          </cell>
          <cell r="AF38" t="str">
            <v>JH</v>
          </cell>
        </row>
        <row r="39">
          <cell r="A39" t="str">
            <v>668-326042-001</v>
          </cell>
          <cell r="B39" t="str">
            <v>CONN, PLUG, COMBO DSUB, M/F 30A, ST</v>
          </cell>
          <cell r="C39" t="str">
            <v>CONN</v>
          </cell>
          <cell r="D39">
            <v>25</v>
          </cell>
          <cell r="E39">
            <v>1</v>
          </cell>
          <cell r="F39" t="str">
            <v>11 Weeks</v>
          </cell>
          <cell r="G39">
            <v>50</v>
          </cell>
          <cell r="H39">
            <v>8.92164</v>
          </cell>
          <cell r="I39">
            <v>446.08199999999999</v>
          </cell>
          <cell r="J39">
            <v>10.880048780487806</v>
          </cell>
          <cell r="K39">
            <v>97.920439024390248</v>
          </cell>
          <cell r="L39">
            <v>544.00243902439036</v>
          </cell>
          <cell r="O39"/>
          <cell r="Q39">
            <v>1</v>
          </cell>
          <cell r="R39" t="str">
            <v>302W2CPXX71E40X</v>
          </cell>
          <cell r="S39" t="str">
            <v>Amphenol CONEC</v>
          </cell>
          <cell r="T39" t="str">
            <v>Astute Ltd</v>
          </cell>
          <cell r="U39">
            <v>7.36</v>
          </cell>
          <cell r="V39">
            <v>50</v>
          </cell>
          <cell r="W39">
            <v>0</v>
          </cell>
          <cell r="X39" t="str">
            <v>8 wks</v>
          </cell>
          <cell r="Y39" t="str">
            <v>Y</v>
          </cell>
          <cell r="Z39">
            <v>368</v>
          </cell>
          <cell r="AA39">
            <v>78.081999999999994</v>
          </cell>
          <cell r="AB39">
            <v>0.32353244470747544</v>
          </cell>
          <cell r="AC39" t="str">
            <v>JH</v>
          </cell>
          <cell r="AD39">
            <v>1062721</v>
          </cell>
          <cell r="AE39" t="str">
            <v>POV0066899</v>
          </cell>
          <cell r="AF39" t="str">
            <v>JH</v>
          </cell>
        </row>
        <row r="40">
          <cell r="A40" t="str">
            <v>668-132368-025</v>
          </cell>
          <cell r="B40" t="str">
            <v>CONN,DSUB,RCPT,VERT PCB,SOLDER,25P,ROHS</v>
          </cell>
          <cell r="C40" t="str">
            <v>CONN</v>
          </cell>
          <cell r="D40">
            <v>15</v>
          </cell>
          <cell r="E40" t="str">
            <v>N/A</v>
          </cell>
          <cell r="F40" t="str">
            <v>28 Weeks</v>
          </cell>
          <cell r="G40">
            <v>250</v>
          </cell>
          <cell r="H40">
            <v>10.163758</v>
          </cell>
          <cell r="I40">
            <v>2540.9395</v>
          </cell>
          <cell r="J40">
            <v>12.394826829268293</v>
          </cell>
          <cell r="K40">
            <v>557.76720731707337</v>
          </cell>
          <cell r="L40">
            <v>3098.7067073170733</v>
          </cell>
          <cell r="O40"/>
          <cell r="Q40">
            <v>1</v>
          </cell>
          <cell r="R40" t="str">
            <v>164A16589X</v>
          </cell>
          <cell r="S40" t="str">
            <v>Amphenol CONEC</v>
          </cell>
          <cell r="T40" t="str">
            <v>Astute Ltd</v>
          </cell>
          <cell r="U40">
            <v>4.79</v>
          </cell>
          <cell r="V40">
            <v>250</v>
          </cell>
          <cell r="W40">
            <v>0</v>
          </cell>
          <cell r="X40" t="str">
            <v>8 wks</v>
          </cell>
          <cell r="Y40" t="str">
            <v>Y</v>
          </cell>
          <cell r="Z40">
            <v>1197.5</v>
          </cell>
          <cell r="AA40">
            <v>1343.4395</v>
          </cell>
          <cell r="AB40">
            <v>0.61354845323944152</v>
          </cell>
          <cell r="AC40" t="str">
            <v>JH</v>
          </cell>
          <cell r="AD40">
            <v>1062721</v>
          </cell>
          <cell r="AE40" t="str">
            <v>POV0066899</v>
          </cell>
          <cell r="AF40" t="str">
            <v>JH</v>
          </cell>
        </row>
        <row r="41">
          <cell r="A41" t="str">
            <v>668-105495-005</v>
          </cell>
          <cell r="B41" t="str">
            <v>CONN,RCPT,DSUB,F/M,RA,2 PIN,20A</v>
          </cell>
          <cell r="C41" t="str">
            <v>CONN</v>
          </cell>
          <cell r="D41">
            <v>15</v>
          </cell>
          <cell r="E41">
            <v>1</v>
          </cell>
          <cell r="F41" t="str">
            <v>3 Weeks</v>
          </cell>
          <cell r="G41">
            <v>30</v>
          </cell>
          <cell r="H41">
            <v>12.81873</v>
          </cell>
          <cell r="I41">
            <v>384.56190000000004</v>
          </cell>
          <cell r="J41">
            <v>15.632597560975611</v>
          </cell>
          <cell r="K41">
            <v>84.416026829268333</v>
          </cell>
          <cell r="L41">
            <v>468.97792682926831</v>
          </cell>
          <cell r="O41"/>
          <cell r="Q41">
            <v>1</v>
          </cell>
          <cell r="R41" t="str">
            <v>302W2CSXX56N40X</v>
          </cell>
          <cell r="S41" t="str">
            <v>Amphenol CONEC</v>
          </cell>
          <cell r="T41" t="str">
            <v>Astute Ltd</v>
          </cell>
          <cell r="U41">
            <v>10.34</v>
          </cell>
          <cell r="V41">
            <v>25</v>
          </cell>
          <cell r="W41">
            <v>5</v>
          </cell>
          <cell r="X41" t="str">
            <v>8 wks</v>
          </cell>
          <cell r="Y41" t="str">
            <v>Y</v>
          </cell>
          <cell r="Z41">
            <v>258.5</v>
          </cell>
          <cell r="AA41">
            <v>61.968250000000012</v>
          </cell>
          <cell r="AB41">
            <v>0.33856162037893001</v>
          </cell>
          <cell r="AC41" t="str">
            <v>JH</v>
          </cell>
          <cell r="AD41">
            <v>1062721</v>
          </cell>
          <cell r="AE41" t="str">
            <v>POV0066899</v>
          </cell>
          <cell r="AF41" t="str">
            <v>JH</v>
          </cell>
        </row>
        <row r="42">
          <cell r="A42" t="str">
            <v>668-294939-001</v>
          </cell>
          <cell r="B42" t="str">
            <v>CONN,RCPT,FEM SKT,D-SUB,7W2,90DEG,20A</v>
          </cell>
          <cell r="C42" t="str">
            <v>CONN</v>
          </cell>
          <cell r="D42">
            <v>15</v>
          </cell>
          <cell r="E42">
            <v>1</v>
          </cell>
          <cell r="F42" t="str">
            <v>17 Weeks</v>
          </cell>
          <cell r="G42">
            <v>210</v>
          </cell>
          <cell r="H42">
            <v>14.779529999999999</v>
          </cell>
          <cell r="I42">
            <v>3103.7012999999997</v>
          </cell>
          <cell r="J42">
            <v>18.023817073170733</v>
          </cell>
          <cell r="K42">
            <v>681.3002853658536</v>
          </cell>
          <cell r="L42">
            <v>3785.0015853658538</v>
          </cell>
          <cell r="O42"/>
          <cell r="Q42">
            <v>1</v>
          </cell>
          <cell r="R42" t="str">
            <v>3007W2SCT56N40X</v>
          </cell>
          <cell r="S42" t="str">
            <v>Amphenol CONEC</v>
          </cell>
          <cell r="T42" t="str">
            <v>Astute Ltd</v>
          </cell>
          <cell r="U42">
            <v>12.388999999999999</v>
          </cell>
          <cell r="V42">
            <v>220</v>
          </cell>
          <cell r="W42">
            <v>-10</v>
          </cell>
          <cell r="X42" t="str">
            <v>8 wks</v>
          </cell>
          <cell r="Y42" t="str">
            <v>Y</v>
          </cell>
          <cell r="Z42">
            <v>2725.58</v>
          </cell>
          <cell r="AA42">
            <v>378.12129999999979</v>
          </cell>
          <cell r="AB42">
            <v>0.27989990531627518</v>
          </cell>
          <cell r="AC42" t="str">
            <v>JH</v>
          </cell>
          <cell r="AD42">
            <v>1062721</v>
          </cell>
          <cell r="AE42" t="str">
            <v>POV0066899</v>
          </cell>
          <cell r="AF42" t="str">
            <v>JH</v>
          </cell>
        </row>
        <row r="43">
          <cell r="A43" t="str">
            <v>668-B07818-001</v>
          </cell>
          <cell r="B43" t="str">
            <v>CONN,DSUB,FEMALE,R/A,3W3,20A</v>
          </cell>
          <cell r="C43" t="str">
            <v>CONN</v>
          </cell>
          <cell r="D43">
            <v>25</v>
          </cell>
          <cell r="E43" t="str">
            <v>N/A</v>
          </cell>
          <cell r="F43" t="str">
            <v>15 Weeks</v>
          </cell>
          <cell r="G43">
            <v>240</v>
          </cell>
          <cell r="H43">
            <v>14.081766999999999</v>
          </cell>
          <cell r="I43">
            <v>3379.6240799999996</v>
          </cell>
          <cell r="J43">
            <v>17.172886585365855</v>
          </cell>
          <cell r="K43">
            <v>741.86870048780474</v>
          </cell>
          <cell r="L43">
            <v>4121.4927804878052</v>
          </cell>
          <cell r="O43"/>
          <cell r="Q43">
            <v>1</v>
          </cell>
          <cell r="R43" t="str">
            <v>3003W3SXX56N40X</v>
          </cell>
          <cell r="S43" t="str">
            <v>Amphenol CONEC</v>
          </cell>
          <cell r="T43" t="str">
            <v>Astute Ltd</v>
          </cell>
          <cell r="U43">
            <v>11.47</v>
          </cell>
          <cell r="V43">
            <v>240</v>
          </cell>
          <cell r="W43">
            <v>0</v>
          </cell>
          <cell r="X43" t="str">
            <v>8 wks</v>
          </cell>
          <cell r="Y43" t="str">
            <v>Y</v>
          </cell>
          <cell r="Z43">
            <v>2752.8</v>
          </cell>
          <cell r="AA43">
            <v>626.82407999999941</v>
          </cell>
          <cell r="AB43">
            <v>0.33208666213551186</v>
          </cell>
          <cell r="AC43" t="str">
            <v>JH</v>
          </cell>
          <cell r="AD43">
            <v>1062721</v>
          </cell>
          <cell r="AE43" t="str">
            <v>POV0066899</v>
          </cell>
          <cell r="AF43" t="str">
            <v>JH</v>
          </cell>
        </row>
        <row r="44">
          <cell r="A44" t="str">
            <v>668-105495-007</v>
          </cell>
          <cell r="B44" t="str">
            <v>CONN,RCPT,DSUB,F/M,RA,2PIN,15A</v>
          </cell>
          <cell r="C44" t="str">
            <v>CONN</v>
          </cell>
          <cell r="D44">
            <v>15</v>
          </cell>
          <cell r="E44">
            <v>1</v>
          </cell>
          <cell r="F44" t="str">
            <v>15 Weeks</v>
          </cell>
          <cell r="G44">
            <v>210</v>
          </cell>
          <cell r="H44">
            <v>14.044843</v>
          </cell>
          <cell r="I44">
            <v>2949.4170300000001</v>
          </cell>
          <cell r="J44">
            <v>17.127857317073172</v>
          </cell>
          <cell r="K44">
            <v>647.433006585366</v>
          </cell>
          <cell r="L44">
            <v>3596.8500365853661</v>
          </cell>
          <cell r="O44"/>
          <cell r="Q44">
            <v>1</v>
          </cell>
          <cell r="R44" t="str">
            <v>302W2CSXX55N40X</v>
          </cell>
          <cell r="S44" t="str">
            <v>Amphenol CONEC</v>
          </cell>
          <cell r="T44" t="str">
            <v>Astute Ltd</v>
          </cell>
          <cell r="U44">
            <v>11.12</v>
          </cell>
          <cell r="V44">
            <v>210</v>
          </cell>
          <cell r="W44">
            <v>0</v>
          </cell>
          <cell r="X44" t="str">
            <v>8 wks</v>
          </cell>
          <cell r="Y44" t="str">
            <v>Y</v>
          </cell>
          <cell r="Z44">
            <v>2335.1999999999998</v>
          </cell>
          <cell r="AA44">
            <v>614.21703000000025</v>
          </cell>
          <cell r="AB44">
            <v>0.35076525953333915</v>
          </cell>
          <cell r="AC44" t="str">
            <v>JH</v>
          </cell>
          <cell r="AD44">
            <v>1062721</v>
          </cell>
          <cell r="AE44" t="str">
            <v>POV0066899</v>
          </cell>
          <cell r="AF44" t="str">
            <v>JH</v>
          </cell>
        </row>
        <row r="45">
          <cell r="A45" t="str">
            <v>668-276715-001</v>
          </cell>
          <cell r="B45" t="str">
            <v>CONN,RCPT,DSUB,MINIATURE,7 POS,ST</v>
          </cell>
          <cell r="C45" t="str">
            <v>CONN</v>
          </cell>
          <cell r="D45">
            <v>25</v>
          </cell>
          <cell r="E45">
            <v>1</v>
          </cell>
          <cell r="F45" t="str">
            <v>28 Weeks</v>
          </cell>
          <cell r="G45">
            <v>100</v>
          </cell>
          <cell r="H45">
            <v>15.404534999999999</v>
          </cell>
          <cell r="I45">
            <v>1540.4534999999998</v>
          </cell>
          <cell r="J45">
            <v>18.786018292682925</v>
          </cell>
          <cell r="K45">
            <v>338.14832926829285</v>
          </cell>
          <cell r="L45">
            <v>1878.6018292682925</v>
          </cell>
          <cell r="O45"/>
          <cell r="Q45">
            <v>1</v>
          </cell>
          <cell r="R45" t="str">
            <v>3007W2SCR50E20X</v>
          </cell>
          <cell r="S45" t="str">
            <v>Amphenol CONEC</v>
          </cell>
          <cell r="T45" t="str">
            <v>Astute Ltd</v>
          </cell>
          <cell r="U45">
            <v>10.273</v>
          </cell>
          <cell r="V45">
            <v>100</v>
          </cell>
          <cell r="W45">
            <v>0</v>
          </cell>
          <cell r="X45">
            <v>8</v>
          </cell>
          <cell r="Y45" t="str">
            <v>Y</v>
          </cell>
          <cell r="Z45">
            <v>1027.3</v>
          </cell>
          <cell r="AA45">
            <v>513.15349999999989</v>
          </cell>
          <cell r="AB45">
            <v>0.45315713846604255</v>
          </cell>
          <cell r="AC45" t="str">
            <v>JH</v>
          </cell>
          <cell r="AD45">
            <v>1062721</v>
          </cell>
          <cell r="AE45" t="str">
            <v>POV0066899</v>
          </cell>
          <cell r="AF45" t="str">
            <v>JH</v>
          </cell>
        </row>
        <row r="46">
          <cell r="A46" t="str">
            <v>630-032532-001</v>
          </cell>
          <cell r="B46" t="str">
            <v>IC,SMD,LM555CM,TIMER,ROHS</v>
          </cell>
          <cell r="C46" t="str">
            <v>IC</v>
          </cell>
          <cell r="D46">
            <v>15</v>
          </cell>
          <cell r="E46">
            <v>1</v>
          </cell>
          <cell r="F46" t="str">
            <v>3 Weeks</v>
          </cell>
          <cell r="G46">
            <v>2500</v>
          </cell>
          <cell r="H46">
            <v>0.47304299999999999</v>
          </cell>
          <cell r="I46">
            <v>1182.6075000000001</v>
          </cell>
          <cell r="J46">
            <v>0.57688170731707322</v>
          </cell>
          <cell r="K46">
            <v>259.59676829268301</v>
          </cell>
          <cell r="L46">
            <v>1442.2042682926831</v>
          </cell>
          <cell r="O46"/>
          <cell r="Q46">
            <v>1</v>
          </cell>
          <cell r="R46" t="str">
            <v>LM555CMX/NOPB</v>
          </cell>
          <cell r="S46" t="str">
            <v>Texas Instruments</v>
          </cell>
          <cell r="T46" t="str">
            <v>TI Store</v>
          </cell>
          <cell r="U46">
            <v>0.34300000000000003</v>
          </cell>
          <cell r="V46">
            <v>2500</v>
          </cell>
          <cell r="W46">
            <v>0</v>
          </cell>
          <cell r="X46">
            <v>2</v>
          </cell>
          <cell r="Y46" t="str">
            <v>Y</v>
          </cell>
          <cell r="Z46">
            <v>857.50000000000011</v>
          </cell>
          <cell r="AA46">
            <v>325.10749999999996</v>
          </cell>
          <cell r="AB46">
            <v>0.40542403121914916</v>
          </cell>
          <cell r="AC46" t="str">
            <v>JH</v>
          </cell>
          <cell r="AD46">
            <v>1061913</v>
          </cell>
          <cell r="AE46" t="str">
            <v>POV0066856</v>
          </cell>
          <cell r="AF46" t="str">
            <v>JH</v>
          </cell>
        </row>
        <row r="47">
          <cell r="A47" t="str">
            <v>630-B04992-001</v>
          </cell>
          <cell r="B47" t="str">
            <v>IC,SMD,SCHMITT TRIGGER INV,HEX,SOIC-14</v>
          </cell>
          <cell r="C47" t="str">
            <v>IC</v>
          </cell>
          <cell r="D47">
            <v>25</v>
          </cell>
          <cell r="E47">
            <v>1</v>
          </cell>
          <cell r="F47" t="str">
            <v>3 Weeks</v>
          </cell>
          <cell r="G47">
            <v>2500</v>
          </cell>
          <cell r="H47">
            <v>0.15318799999999999</v>
          </cell>
          <cell r="I47">
            <v>382.96999999999997</v>
          </cell>
          <cell r="J47">
            <v>0.18681463414634147</v>
          </cell>
          <cell r="K47">
            <v>84.066585365853655</v>
          </cell>
          <cell r="L47">
            <v>467.03658536585368</v>
          </cell>
          <cell r="O47"/>
          <cell r="Q47">
            <v>1</v>
          </cell>
          <cell r="R47" t="str">
            <v>SN74ACT14DR</v>
          </cell>
          <cell r="S47" t="str">
            <v>Texas Instruments</v>
          </cell>
          <cell r="T47" t="str">
            <v>TI Store</v>
          </cell>
          <cell r="U47">
            <v>0.1</v>
          </cell>
          <cell r="V47">
            <v>2500</v>
          </cell>
          <cell r="W47">
            <v>0</v>
          </cell>
          <cell r="X47" t="str">
            <v>1-2 wks</v>
          </cell>
          <cell r="Y47" t="str">
            <v>Y</v>
          </cell>
          <cell r="Z47">
            <v>250</v>
          </cell>
          <cell r="AA47">
            <v>132.96999999999997</v>
          </cell>
          <cell r="AB47">
            <v>0.46471002950622764</v>
          </cell>
          <cell r="AC47" t="str">
            <v>JH</v>
          </cell>
          <cell r="AD47">
            <v>1062721</v>
          </cell>
          <cell r="AE47" t="str">
            <v>POV0066856</v>
          </cell>
          <cell r="AF47" t="str">
            <v>JH</v>
          </cell>
        </row>
        <row r="48">
          <cell r="A48" t="str">
            <v>630-A32936-001</v>
          </cell>
          <cell r="B48" t="str">
            <v>IC,SMD,BUCK SW CONT,4.5-42V IN,HVSSOP-8</v>
          </cell>
          <cell r="C48" t="str">
            <v>IC</v>
          </cell>
          <cell r="D48">
            <v>15</v>
          </cell>
          <cell r="E48">
            <v>1</v>
          </cell>
          <cell r="F48" t="str">
            <v>9 Weeks</v>
          </cell>
          <cell r="G48">
            <v>1000</v>
          </cell>
          <cell r="H48">
            <v>1.1593230000000001</v>
          </cell>
          <cell r="I48">
            <v>1159.3230000000001</v>
          </cell>
          <cell r="J48">
            <v>1.4138085365853661</v>
          </cell>
          <cell r="K48">
            <v>254.48553658536594</v>
          </cell>
          <cell r="L48">
            <v>1413.808536585366</v>
          </cell>
          <cell r="O48"/>
          <cell r="Q48">
            <v>1</v>
          </cell>
          <cell r="R48" t="str">
            <v>LM25085QMYX/NOPB</v>
          </cell>
          <cell r="S48" t="str">
            <v>Texas Instruments</v>
          </cell>
          <cell r="T48" t="str">
            <v>TI Store</v>
          </cell>
          <cell r="U48">
            <v>0.80700000000000005</v>
          </cell>
          <cell r="V48">
            <v>1000</v>
          </cell>
          <cell r="W48">
            <v>0</v>
          </cell>
          <cell r="X48">
            <v>1</v>
          </cell>
          <cell r="Y48" t="str">
            <v>Y</v>
          </cell>
          <cell r="Z48">
            <v>807</v>
          </cell>
          <cell r="AA48">
            <v>352.32300000000009</v>
          </cell>
          <cell r="AB48">
            <v>0.42920135285852179</v>
          </cell>
          <cell r="AC48" t="str">
            <v>JH</v>
          </cell>
          <cell r="AD48">
            <v>1062721</v>
          </cell>
          <cell r="AE48" t="str">
            <v>POV0066856</v>
          </cell>
          <cell r="AF48" t="str">
            <v>JH</v>
          </cell>
        </row>
        <row r="49">
          <cell r="A49" t="str">
            <v>630-232888-001</v>
          </cell>
          <cell r="B49" t="str">
            <v>IC,SMD,CURRENT SENSE OPAMP,6SOT</v>
          </cell>
          <cell r="C49" t="str">
            <v>IC</v>
          </cell>
          <cell r="D49">
            <v>25</v>
          </cell>
          <cell r="E49">
            <v>1</v>
          </cell>
          <cell r="F49" t="str">
            <v>3 Weeks</v>
          </cell>
          <cell r="G49">
            <v>1000</v>
          </cell>
          <cell r="H49">
            <v>1.2377549999999999</v>
          </cell>
          <cell r="I49">
            <v>1237.7549999999999</v>
          </cell>
          <cell r="J49">
            <v>1.5094573170731707</v>
          </cell>
          <cell r="K49">
            <v>271.70231707317089</v>
          </cell>
          <cell r="L49">
            <v>1509.4573170731705</v>
          </cell>
          <cell r="O49"/>
          <cell r="Q49">
            <v>1</v>
          </cell>
          <cell r="R49" t="str">
            <v>LMP8640MKX-T/NOPB</v>
          </cell>
          <cell r="S49" t="str">
            <v>Texas Instruments</v>
          </cell>
          <cell r="T49" t="str">
            <v>TI Store</v>
          </cell>
          <cell r="U49">
            <v>0.76700000000000002</v>
          </cell>
          <cell r="V49">
            <v>1000</v>
          </cell>
          <cell r="W49">
            <v>0</v>
          </cell>
          <cell r="X49">
            <v>1</v>
          </cell>
          <cell r="Y49" t="str">
            <v>Y</v>
          </cell>
          <cell r="Z49">
            <v>767</v>
          </cell>
          <cell r="AA49">
            <v>470.75499999999988</v>
          </cell>
          <cell r="AB49">
            <v>0.49187036206680634</v>
          </cell>
          <cell r="AC49" t="str">
            <v>JH</v>
          </cell>
          <cell r="AD49">
            <v>1062721</v>
          </cell>
          <cell r="AE49" t="str">
            <v>POV0066856</v>
          </cell>
          <cell r="AF49" t="str">
            <v>JH</v>
          </cell>
        </row>
        <row r="50">
          <cell r="A50" t="str">
            <v>630-135484-001</v>
          </cell>
          <cell r="B50" t="str">
            <v>IC,SMD,SINGLE EDGE TRIG D FF</v>
          </cell>
          <cell r="C50" t="str">
            <v>IC</v>
          </cell>
          <cell r="D50">
            <v>15</v>
          </cell>
          <cell r="E50">
            <v>1</v>
          </cell>
          <cell r="F50" t="str">
            <v>3 Weeks</v>
          </cell>
          <cell r="G50">
            <v>60</v>
          </cell>
          <cell r="H50">
            <v>0.45294499999999999</v>
          </cell>
          <cell r="I50">
            <v>27.1767</v>
          </cell>
          <cell r="J50">
            <v>0.55237195121951221</v>
          </cell>
          <cell r="K50">
            <v>5.965617073170737</v>
          </cell>
          <cell r="L50">
            <v>33.14231707317073</v>
          </cell>
          <cell r="M50" t="str">
            <v>CHINA</v>
          </cell>
          <cell r="N50">
            <v>8542390001</v>
          </cell>
          <cell r="O50">
            <v>0.35</v>
          </cell>
          <cell r="P50">
            <v>9.5118449999999992</v>
          </cell>
          <cell r="Q50">
            <v>1</v>
          </cell>
          <cell r="R50" t="str">
            <v>SN74LVC1G74DCU</v>
          </cell>
          <cell r="S50" t="str">
            <v>Texas Instruments</v>
          </cell>
          <cell r="T50" t="str">
            <v>TI Store</v>
          </cell>
          <cell r="U50">
            <v>0.373</v>
          </cell>
          <cell r="V50">
            <v>60</v>
          </cell>
          <cell r="W50">
            <v>0</v>
          </cell>
          <cell r="X50">
            <v>1</v>
          </cell>
          <cell r="Y50" t="str">
            <v>Y</v>
          </cell>
          <cell r="Z50">
            <v>22.38</v>
          </cell>
          <cell r="AA50">
            <v>4.7967000000000013</v>
          </cell>
          <cell r="AB50">
            <v>0.32473037565267304</v>
          </cell>
          <cell r="AC50" t="str">
            <v>JH</v>
          </cell>
          <cell r="AD50">
            <v>1062721</v>
          </cell>
          <cell r="AE50" t="str">
            <v>POV0066856</v>
          </cell>
          <cell r="AF50" t="str">
            <v>JH</v>
          </cell>
        </row>
        <row r="51">
          <cell r="A51" t="str">
            <v>644-270411-001</v>
          </cell>
          <cell r="B51" t="str">
            <v>RLY,SPDT,10KV,5A, 26.5V, PCB</v>
          </cell>
          <cell r="C51" t="str">
            <v>RLY</v>
          </cell>
          <cell r="D51">
            <v>25</v>
          </cell>
          <cell r="E51">
            <v>1</v>
          </cell>
          <cell r="F51" t="str">
            <v>13 Weeks</v>
          </cell>
          <cell r="G51">
            <v>50</v>
          </cell>
          <cell r="H51">
            <v>428.16151400000001</v>
          </cell>
          <cell r="I51">
            <v>21408.075700000001</v>
          </cell>
          <cell r="J51">
            <v>522.14818780487815</v>
          </cell>
          <cell r="K51">
            <v>4699.3336902439041</v>
          </cell>
          <cell r="L51">
            <v>26107.409390243909</v>
          </cell>
          <cell r="O51"/>
          <cell r="Q51">
            <v>1</v>
          </cell>
          <cell r="R51" t="str">
            <v>K81C335</v>
          </cell>
          <cell r="S51" t="str">
            <v>TE Connectivity / Kilovac Brand</v>
          </cell>
          <cell r="T51" t="str">
            <v>Master Electronics</v>
          </cell>
          <cell r="U51">
            <v>276.76</v>
          </cell>
          <cell r="V51">
            <v>50</v>
          </cell>
          <cell r="W51">
            <v>0</v>
          </cell>
          <cell r="X51">
            <v>1</v>
          </cell>
          <cell r="Y51" t="str">
            <v>Y</v>
          </cell>
          <cell r="Z51">
            <v>13838</v>
          </cell>
          <cell r="AA51">
            <v>7570.0757000000012</v>
          </cell>
          <cell r="AB51">
            <v>0.46995889966887605</v>
          </cell>
          <cell r="AC51" t="str">
            <v>JH</v>
          </cell>
          <cell r="AD51">
            <v>1061913</v>
          </cell>
          <cell r="AE51" t="str">
            <v>POV0066918</v>
          </cell>
          <cell r="AF51" t="str">
            <v>JH</v>
          </cell>
        </row>
        <row r="52">
          <cell r="A52" t="str">
            <v>668-322137-001</v>
          </cell>
          <cell r="B52" t="str">
            <v>CONN,RCPT,M8,B,5P,STRAIGHT,THRU HOLE</v>
          </cell>
          <cell r="C52" t="str">
            <v>CONN</v>
          </cell>
          <cell r="D52">
            <v>25</v>
          </cell>
          <cell r="E52">
            <v>1</v>
          </cell>
          <cell r="F52" t="str">
            <v>11 Weeks</v>
          </cell>
          <cell r="G52">
            <v>50</v>
          </cell>
          <cell r="H52">
            <v>16.715820000000001</v>
          </cell>
          <cell r="I52">
            <v>835.79100000000005</v>
          </cell>
          <cell r="J52">
            <v>20.385146341463418</v>
          </cell>
          <cell r="K52">
            <v>183.46631707317079</v>
          </cell>
          <cell r="L52">
            <v>1019.257317073171</v>
          </cell>
          <cell r="O52"/>
          <cell r="Q52">
            <v>1</v>
          </cell>
          <cell r="R52">
            <v>1424241</v>
          </cell>
          <cell r="S52" t="str">
            <v>PHOENIX CONTACT</v>
          </cell>
          <cell r="T52" t="str">
            <v>Astute Ltd</v>
          </cell>
          <cell r="U52">
            <v>12.88</v>
          </cell>
          <cell r="V52">
            <v>60</v>
          </cell>
          <cell r="W52">
            <v>-10</v>
          </cell>
          <cell r="X52">
            <v>4</v>
          </cell>
          <cell r="Y52" t="str">
            <v>Y</v>
          </cell>
          <cell r="Z52">
            <v>772.80000000000007</v>
          </cell>
          <cell r="AA52">
            <v>62.990999999999985</v>
          </cell>
          <cell r="AB52">
            <v>0.24180088084222018</v>
          </cell>
          <cell r="AC52" t="str">
            <v>JH</v>
          </cell>
          <cell r="AD52">
            <v>1062721</v>
          </cell>
          <cell r="AE52" t="str">
            <v>POV0066913</v>
          </cell>
          <cell r="AF52" t="str">
            <v>JH</v>
          </cell>
        </row>
        <row r="53">
          <cell r="A53" t="str">
            <v>630-B32583-001</v>
          </cell>
          <cell r="B53" t="str">
            <v>IC,SMD,BUS XCVR,24P,8BIT,3.6V,VQFN</v>
          </cell>
          <cell r="C53" t="str">
            <v>IC</v>
          </cell>
          <cell r="D53">
            <v>25</v>
          </cell>
          <cell r="E53">
            <v>1</v>
          </cell>
          <cell r="F53" t="str">
            <v>3 Weeks</v>
          </cell>
          <cell r="G53">
            <v>3000</v>
          </cell>
          <cell r="H53">
            <v>0.77373199999999998</v>
          </cell>
          <cell r="I53">
            <v>2321.1959999999999</v>
          </cell>
          <cell r="J53">
            <v>0.94357560975609756</v>
          </cell>
          <cell r="K53">
            <v>509.53082926829302</v>
          </cell>
          <cell r="L53">
            <v>2830.7268292682925</v>
          </cell>
          <cell r="O53"/>
          <cell r="Q53">
            <v>1</v>
          </cell>
          <cell r="R53" t="str">
            <v>SN74AXCH8T245RHLR</v>
          </cell>
          <cell r="S53" t="str">
            <v>Texas Instruments</v>
          </cell>
          <cell r="T53" t="str">
            <v>TI Store</v>
          </cell>
          <cell r="U53">
            <v>0.48099999999999998</v>
          </cell>
          <cell r="V53">
            <v>3000</v>
          </cell>
          <cell r="W53">
            <v>0</v>
          </cell>
          <cell r="X53" t="str">
            <v>1-2 wks</v>
          </cell>
          <cell r="Y53" t="str">
            <v>Y</v>
          </cell>
          <cell r="Z53">
            <v>1443</v>
          </cell>
          <cell r="AA53">
            <v>878.19599999999991</v>
          </cell>
          <cell r="AB53">
            <v>0.49023692958285292</v>
          </cell>
          <cell r="AC53" t="str">
            <v>JH</v>
          </cell>
          <cell r="AD53">
            <v>1062721</v>
          </cell>
          <cell r="AE53" t="str">
            <v>POV0066900</v>
          </cell>
          <cell r="AF53" t="str">
            <v>SH</v>
          </cell>
        </row>
        <row r="54">
          <cell r="A54" t="str">
            <v>630-122314-001</v>
          </cell>
          <cell r="B54" t="str">
            <v>IC,SMD,TEMP SENSOR MULTI-GAIN SC70-5</v>
          </cell>
          <cell r="C54" t="str">
            <v>IC</v>
          </cell>
          <cell r="D54">
            <v>15</v>
          </cell>
          <cell r="E54">
            <v>1</v>
          </cell>
          <cell r="F54" t="str">
            <v>9 Weeks</v>
          </cell>
          <cell r="G54">
            <v>3000</v>
          </cell>
          <cell r="H54">
            <v>0.70711400000000002</v>
          </cell>
          <cell r="I54">
            <v>2121.3420000000001</v>
          </cell>
          <cell r="J54">
            <v>0.86233414634146344</v>
          </cell>
          <cell r="K54">
            <v>465.6604390243906</v>
          </cell>
          <cell r="L54">
            <v>2587.0024390243902</v>
          </cell>
          <cell r="O54"/>
          <cell r="Q54">
            <v>2</v>
          </cell>
          <cell r="R54" t="str">
            <v>LM94022BIMGX/NOPB</v>
          </cell>
          <cell r="S54" t="str">
            <v>TEXAS INSTRUMENTS</v>
          </cell>
          <cell r="T54" t="str">
            <v>TI Store</v>
          </cell>
          <cell r="U54">
            <v>0.31900000000000001</v>
          </cell>
          <cell r="V54">
            <v>3000</v>
          </cell>
          <cell r="W54">
            <v>0</v>
          </cell>
          <cell r="X54">
            <v>1</v>
          </cell>
          <cell r="Y54" t="str">
            <v>Y</v>
          </cell>
          <cell r="Z54">
            <v>957</v>
          </cell>
          <cell r="AA54">
            <v>1164.3420000000001</v>
          </cell>
          <cell r="AB54">
            <v>0.63007379291033694</v>
          </cell>
          <cell r="AC54" t="str">
            <v>JH</v>
          </cell>
          <cell r="AD54">
            <v>1062721</v>
          </cell>
          <cell r="AE54" t="str">
            <v>POV0066900</v>
          </cell>
          <cell r="AF54" t="str">
            <v>SH</v>
          </cell>
        </row>
        <row r="55">
          <cell r="A55" t="str">
            <v>630-B25236-001</v>
          </cell>
          <cell r="B55" t="str">
            <v>IC,SMD,OP AMP,SGL,13MHZ,1.7-5.5V,SOT-23</v>
          </cell>
          <cell r="C55" t="str">
            <v>IC</v>
          </cell>
          <cell r="D55">
            <v>15</v>
          </cell>
          <cell r="E55">
            <v>2</v>
          </cell>
          <cell r="F55" t="str">
            <v>3 Weeks</v>
          </cell>
          <cell r="G55">
            <v>3000</v>
          </cell>
          <cell r="H55">
            <v>0.49265100000000001</v>
          </cell>
          <cell r="I55">
            <v>1477.953</v>
          </cell>
          <cell r="J55">
            <v>0.60079390243902442</v>
          </cell>
          <cell r="K55">
            <v>324.4287073170733</v>
          </cell>
          <cell r="L55">
            <v>1802.3817073170733</v>
          </cell>
          <cell r="O55"/>
          <cell r="Q55">
            <v>1</v>
          </cell>
          <cell r="R55" t="str">
            <v>OPA1671IDBVR</v>
          </cell>
          <cell r="S55" t="str">
            <v>Texas Instruments</v>
          </cell>
          <cell r="T55" t="str">
            <v>Dragon</v>
          </cell>
          <cell r="U55">
            <v>0.25900000000000001</v>
          </cell>
          <cell r="V55">
            <v>3000</v>
          </cell>
          <cell r="W55">
            <v>0</v>
          </cell>
          <cell r="X55" t="str">
            <v>1-2 WKS</v>
          </cell>
          <cell r="Y55" t="str">
            <v>Y</v>
          </cell>
          <cell r="Z55">
            <v>777</v>
          </cell>
          <cell r="AA55">
            <v>700.95299999999997</v>
          </cell>
          <cell r="AB55">
            <v>0.5689037472774845</v>
          </cell>
          <cell r="AC55" t="str">
            <v>JH</v>
          </cell>
          <cell r="AD55">
            <v>1062721</v>
          </cell>
          <cell r="AE55" t="str">
            <v xml:space="preserve">POV0066915 </v>
          </cell>
          <cell r="AF55" t="str">
            <v>TX</v>
          </cell>
        </row>
        <row r="56">
          <cell r="A56" t="str">
            <v>630-313838-001</v>
          </cell>
          <cell r="B56" t="str">
            <v>IC,SMD,SGL,D LCH,3 STATE OUT</v>
          </cell>
          <cell r="C56" t="str">
            <v>IC</v>
          </cell>
          <cell r="D56">
            <v>25</v>
          </cell>
          <cell r="E56">
            <v>1</v>
          </cell>
          <cell r="F56" t="str">
            <v>3 Weeks</v>
          </cell>
          <cell r="G56">
            <v>3000</v>
          </cell>
          <cell r="H56">
            <v>0.11887399999999999</v>
          </cell>
          <cell r="I56">
            <v>356.62199999999996</v>
          </cell>
          <cell r="J56">
            <v>0.14496829268292682</v>
          </cell>
          <cell r="K56">
            <v>78.282878048780503</v>
          </cell>
          <cell r="L56">
            <v>434.90487804878046</v>
          </cell>
          <cell r="O56"/>
          <cell r="Q56">
            <v>1</v>
          </cell>
          <cell r="R56" t="str">
            <v>SN74LVC1G373DCKR</v>
          </cell>
          <cell r="S56" t="str">
            <v>Texas Instruments</v>
          </cell>
          <cell r="T56" t="str">
            <v>Dragon</v>
          </cell>
          <cell r="U56">
            <v>0.06</v>
          </cell>
          <cell r="V56">
            <v>3000</v>
          </cell>
          <cell r="W56">
            <v>0</v>
          </cell>
          <cell r="X56" t="str">
            <v>1-2 wks</v>
          </cell>
          <cell r="Y56" t="str">
            <v>Y</v>
          </cell>
          <cell r="Z56">
            <v>180</v>
          </cell>
          <cell r="AA56">
            <v>176.62199999999996</v>
          </cell>
          <cell r="AB56">
            <v>0.58611639214630618</v>
          </cell>
          <cell r="AC56" t="str">
            <v>JH</v>
          </cell>
          <cell r="AD56">
            <v>1062721</v>
          </cell>
          <cell r="AE56" t="str">
            <v xml:space="preserve">POV0066915 </v>
          </cell>
          <cell r="AF56" t="str">
            <v>TX</v>
          </cell>
        </row>
        <row r="57">
          <cell r="A57" t="str">
            <v>630-315857-001</v>
          </cell>
          <cell r="B57" t="str">
            <v>IC,SMD,TEMP SENSOR,SPI 8SOIC</v>
          </cell>
          <cell r="C57" t="str">
            <v>IC</v>
          </cell>
          <cell r="D57">
            <v>25</v>
          </cell>
          <cell r="E57">
            <v>1</v>
          </cell>
          <cell r="F57" t="str">
            <v>3 Weeks</v>
          </cell>
          <cell r="G57">
            <v>2500</v>
          </cell>
          <cell r="H57">
            <v>1.3235399999999999</v>
          </cell>
          <cell r="I57">
            <v>3308.85</v>
          </cell>
          <cell r="J57">
            <v>1.6140731707317073</v>
          </cell>
          <cell r="K57">
            <v>726.33292682926867</v>
          </cell>
          <cell r="L57">
            <v>4035.1829268292681</v>
          </cell>
          <cell r="O57"/>
          <cell r="Q57">
            <v>1</v>
          </cell>
          <cell r="R57" t="str">
            <v>LM74CIMX-3/NOPB</v>
          </cell>
          <cell r="S57" t="str">
            <v>TEXAS INSTRUMENTS</v>
          </cell>
          <cell r="T57" t="str">
            <v>TI Store</v>
          </cell>
          <cell r="U57">
            <v>0.93899999999999995</v>
          </cell>
          <cell r="V57">
            <v>2500</v>
          </cell>
          <cell r="W57">
            <v>0</v>
          </cell>
          <cell r="X57" t="str">
            <v>1-2 wks</v>
          </cell>
          <cell r="Y57" t="str">
            <v>Y</v>
          </cell>
          <cell r="Z57">
            <v>2347.5</v>
          </cell>
          <cell r="AA57">
            <v>961.34999999999991</v>
          </cell>
          <cell r="AB57">
            <v>0.41824198739743412</v>
          </cell>
          <cell r="AC57" t="str">
            <v>JH</v>
          </cell>
          <cell r="AD57">
            <v>1062411</v>
          </cell>
          <cell r="AE57" t="str">
            <v>POV0066900</v>
          </cell>
          <cell r="AF57" t="str">
            <v>SH</v>
          </cell>
        </row>
        <row r="58">
          <cell r="A58" t="str">
            <v>630-A94433-001</v>
          </cell>
          <cell r="B58" t="str">
            <v>IC,SMD,DIFF COMPARATOR,3.5-30V,SOIC-8</v>
          </cell>
          <cell r="C58" t="str">
            <v>IC</v>
          </cell>
          <cell r="D58">
            <v>15</v>
          </cell>
          <cell r="E58">
            <v>1</v>
          </cell>
          <cell r="F58" t="str">
            <v>9 Weeks</v>
          </cell>
          <cell r="G58">
            <v>2500</v>
          </cell>
          <cell r="H58">
            <v>1.1911860000000001</v>
          </cell>
          <cell r="I58">
            <v>2977.9650000000001</v>
          </cell>
          <cell r="J58">
            <v>1.4526658536585368</v>
          </cell>
          <cell r="K58">
            <v>653.69963414634185</v>
          </cell>
          <cell r="L58">
            <v>3631.664634146342</v>
          </cell>
          <cell r="O58"/>
          <cell r="Q58">
            <v>1</v>
          </cell>
          <cell r="R58" t="str">
            <v>LM211QDREP</v>
          </cell>
          <cell r="S58" t="str">
            <v>Texas Instruments</v>
          </cell>
          <cell r="T58" t="str">
            <v>TI Store</v>
          </cell>
          <cell r="U58">
            <v>0.90500000000000003</v>
          </cell>
          <cell r="V58">
            <v>2500</v>
          </cell>
          <cell r="W58">
            <v>0</v>
          </cell>
          <cell r="X58" t="str">
            <v>1-2 wks</v>
          </cell>
          <cell r="Y58" t="str">
            <v>Y</v>
          </cell>
          <cell r="Z58">
            <v>2262.5</v>
          </cell>
          <cell r="AA58">
            <v>715.46500000000015</v>
          </cell>
          <cell r="AB58">
            <v>0.377007453076178</v>
          </cell>
          <cell r="AC58" t="str">
            <v>JH</v>
          </cell>
          <cell r="AD58">
            <v>1062721</v>
          </cell>
          <cell r="AE58" t="str">
            <v>POV0066900</v>
          </cell>
          <cell r="AF58" t="str">
            <v>SH</v>
          </cell>
        </row>
        <row r="59">
          <cell r="A59" t="str">
            <v>630-B37447-001</v>
          </cell>
          <cell r="B59" t="str">
            <v>IC,SMD,LO-SIDE DRIVER,7CHAN,40V,SOIC-16</v>
          </cell>
          <cell r="C59" t="str">
            <v>IC</v>
          </cell>
          <cell r="D59">
            <v>25</v>
          </cell>
          <cell r="E59">
            <v>1</v>
          </cell>
          <cell r="F59" t="str">
            <v>3 Weeks</v>
          </cell>
          <cell r="G59">
            <v>2500</v>
          </cell>
          <cell r="H59">
            <v>0.25245299999999998</v>
          </cell>
          <cell r="I59">
            <v>631.13249999999994</v>
          </cell>
          <cell r="J59">
            <v>0.30786951219512193</v>
          </cell>
          <cell r="K59">
            <v>138.5412804878049</v>
          </cell>
          <cell r="L59">
            <v>769.67378048780483</v>
          </cell>
          <cell r="O59"/>
          <cell r="Q59">
            <v>1</v>
          </cell>
          <cell r="R59" t="str">
            <v>TPL7407LDR</v>
          </cell>
          <cell r="S59" t="str">
            <v>Texas Instruments</v>
          </cell>
          <cell r="T59" t="str">
            <v>Dragon</v>
          </cell>
          <cell r="U59">
            <v>0.13</v>
          </cell>
          <cell r="V59">
            <v>2500</v>
          </cell>
          <cell r="W59">
            <v>0</v>
          </cell>
          <cell r="X59" t="str">
            <v>1-2 WKS</v>
          </cell>
          <cell r="Y59" t="str">
            <v>Y</v>
          </cell>
          <cell r="Z59">
            <v>325</v>
          </cell>
          <cell r="AA59">
            <v>306.13249999999994</v>
          </cell>
          <cell r="AB59">
            <v>0.57774318387977164</v>
          </cell>
          <cell r="AC59" t="str">
            <v>JH</v>
          </cell>
          <cell r="AD59">
            <v>1062721</v>
          </cell>
          <cell r="AE59" t="str">
            <v xml:space="preserve">POV0066915 </v>
          </cell>
          <cell r="AF59" t="str">
            <v>TX</v>
          </cell>
        </row>
        <row r="60">
          <cell r="A60" t="str">
            <v>630-124301-001</v>
          </cell>
          <cell r="B60" t="str">
            <v>IC,SMD,CTRLR HOT-SWAP HV 14TSSOP,ROHS</v>
          </cell>
          <cell r="C60" t="str">
            <v>IC</v>
          </cell>
          <cell r="D60">
            <v>25</v>
          </cell>
          <cell r="E60">
            <v>1</v>
          </cell>
          <cell r="F60" t="str">
            <v>9 Weeks</v>
          </cell>
          <cell r="G60">
            <v>2000</v>
          </cell>
          <cell r="H60">
            <v>1.605405</v>
          </cell>
          <cell r="I60">
            <v>3210.81</v>
          </cell>
          <cell r="J60">
            <v>1.9578109756097561</v>
          </cell>
          <cell r="K60">
            <v>704.81195121951259</v>
          </cell>
          <cell r="L60">
            <v>3915.6219512195121</v>
          </cell>
          <cell r="O60"/>
          <cell r="Q60">
            <v>1</v>
          </cell>
          <cell r="R60" t="str">
            <v>TPS2493PWR</v>
          </cell>
          <cell r="S60" t="str">
            <v>Texas Instruments</v>
          </cell>
          <cell r="T60" t="str">
            <v>TI Store</v>
          </cell>
          <cell r="U60">
            <v>1.232</v>
          </cell>
          <cell r="V60">
            <v>2000</v>
          </cell>
          <cell r="W60">
            <v>0</v>
          </cell>
          <cell r="X60" t="str">
            <v>1-2 wks</v>
          </cell>
          <cell r="Y60" t="str">
            <v>Y</v>
          </cell>
          <cell r="Z60">
            <v>2464</v>
          </cell>
          <cell r="AA60">
            <v>746.81</v>
          </cell>
          <cell r="AB60">
            <v>0.3707257670182913</v>
          </cell>
          <cell r="AC60" t="str">
            <v>JH</v>
          </cell>
          <cell r="AD60">
            <v>1062721</v>
          </cell>
          <cell r="AE60" t="str">
            <v>POV0066900</v>
          </cell>
          <cell r="AF60" t="str">
            <v>SH</v>
          </cell>
        </row>
        <row r="61">
          <cell r="A61" t="str">
            <v>626-A54785-001</v>
          </cell>
          <cell r="B61" t="str">
            <v>XSTR,SMD,FIELD EFT,N-CHAN,100V,42A,TO252</v>
          </cell>
          <cell r="C61" t="str">
            <v>XSTR</v>
          </cell>
          <cell r="D61">
            <v>15</v>
          </cell>
          <cell r="E61">
            <v>1</v>
          </cell>
          <cell r="F61" t="str">
            <v>23 Weeks</v>
          </cell>
          <cell r="G61">
            <v>2000</v>
          </cell>
          <cell r="H61">
            <v>0.94853699999999996</v>
          </cell>
          <cell r="I61">
            <v>1897.0739999999998</v>
          </cell>
          <cell r="J61">
            <v>1.1567524390243902</v>
          </cell>
          <cell r="K61">
            <v>416.43087804878064</v>
          </cell>
          <cell r="L61">
            <v>2313.5048780487805</v>
          </cell>
          <cell r="O61"/>
          <cell r="Q61">
            <v>1</v>
          </cell>
          <cell r="R61" t="str">
            <v>IRFR3710ZTRPBF</v>
          </cell>
          <cell r="S61" t="str">
            <v>INFINEON</v>
          </cell>
          <cell r="T61" t="str">
            <v>Dragon</v>
          </cell>
          <cell r="U61">
            <v>0.41</v>
          </cell>
          <cell r="V61">
            <v>2000</v>
          </cell>
          <cell r="W61">
            <v>0</v>
          </cell>
          <cell r="X61" t="str">
            <v>1-2 wks</v>
          </cell>
          <cell r="Y61" t="str">
            <v>Y</v>
          </cell>
          <cell r="Z61">
            <v>820</v>
          </cell>
          <cell r="AA61">
            <v>1077.0739999999998</v>
          </cell>
          <cell r="AB61">
            <v>0.64555942467188943</v>
          </cell>
          <cell r="AC61" t="str">
            <v>JH</v>
          </cell>
          <cell r="AD61">
            <v>1062721</v>
          </cell>
          <cell r="AE61" t="str">
            <v xml:space="preserve">POV0066915 </v>
          </cell>
          <cell r="AF61" t="str">
            <v>TX</v>
          </cell>
        </row>
        <row r="62">
          <cell r="A62" t="str">
            <v>630-A70568-001</v>
          </cell>
          <cell r="B62" t="str">
            <v>IC,SMD,V REF,ADJ OUT,1.24V,SOT-23-3</v>
          </cell>
          <cell r="C62" t="str">
            <v>IC</v>
          </cell>
          <cell r="D62">
            <v>15</v>
          </cell>
          <cell r="E62">
            <v>1</v>
          </cell>
          <cell r="F62" t="str">
            <v>3 Weeks</v>
          </cell>
          <cell r="G62">
            <v>1000</v>
          </cell>
          <cell r="H62">
            <v>0.59104599999999996</v>
          </cell>
          <cell r="I62">
            <v>591.04599999999994</v>
          </cell>
          <cell r="J62">
            <v>0.72078780487804872</v>
          </cell>
          <cell r="K62">
            <v>129.74180487804881</v>
          </cell>
          <cell r="L62">
            <v>720.78780487804875</v>
          </cell>
          <cell r="O62"/>
          <cell r="Q62">
            <v>1</v>
          </cell>
          <cell r="R62" t="str">
            <v>LMV431BIMFX/NOPB</v>
          </cell>
          <cell r="S62" t="str">
            <v>Texas Instruments</v>
          </cell>
          <cell r="T62" t="str">
            <v>Dragon</v>
          </cell>
          <cell r="U62">
            <v>0.24199999999999999</v>
          </cell>
          <cell r="V62">
            <v>1000</v>
          </cell>
          <cell r="W62">
            <v>0</v>
          </cell>
          <cell r="X62" t="str">
            <v>1-2 wks</v>
          </cell>
          <cell r="Y62" t="str">
            <v>Y</v>
          </cell>
          <cell r="Z62">
            <v>242</v>
          </cell>
          <cell r="AA62">
            <v>349.04599999999994</v>
          </cell>
          <cell r="AB62">
            <v>0.66425625078251094</v>
          </cell>
          <cell r="AC62" t="str">
            <v>JH</v>
          </cell>
          <cell r="AD62">
            <v>1062721</v>
          </cell>
          <cell r="AE62" t="str">
            <v xml:space="preserve">POV0066915 </v>
          </cell>
          <cell r="AF62" t="str">
            <v>TX</v>
          </cell>
        </row>
        <row r="63">
          <cell r="A63" t="str">
            <v>662-073572-001</v>
          </cell>
          <cell r="B63" t="str">
            <v>LED,DUAL,STK,RA,GRN ROHS</v>
          </cell>
          <cell r="C63" t="str">
            <v>LED</v>
          </cell>
          <cell r="D63">
            <v>25</v>
          </cell>
          <cell r="E63">
            <v>1</v>
          </cell>
          <cell r="F63" t="str">
            <v>19 Weeks</v>
          </cell>
          <cell r="G63">
            <v>500</v>
          </cell>
          <cell r="H63">
            <v>0.45333699999999999</v>
          </cell>
          <cell r="I63">
            <v>226.66849999999999</v>
          </cell>
          <cell r="J63">
            <v>0.55285000000000006</v>
          </cell>
          <cell r="K63">
            <v>49.756500000000017</v>
          </cell>
          <cell r="L63">
            <v>276.42500000000001</v>
          </cell>
          <cell r="O63"/>
          <cell r="Q63">
            <v>1</v>
          </cell>
          <cell r="R63" t="str">
            <v>SSF-LXH240GGD</v>
          </cell>
          <cell r="S63" t="str">
            <v>SSF-LXH240GGD</v>
          </cell>
          <cell r="T63" t="str">
            <v>Heilind</v>
          </cell>
          <cell r="U63">
            <v>0.31830000000000003</v>
          </cell>
          <cell r="V63">
            <v>500</v>
          </cell>
          <cell r="W63">
            <v>0</v>
          </cell>
          <cell r="Y63" t="str">
            <v>Y</v>
          </cell>
          <cell r="Z63">
            <v>159.15</v>
          </cell>
          <cell r="AA63">
            <v>67.518499999999989</v>
          </cell>
          <cell r="AB63">
            <v>0.4242561273401465</v>
          </cell>
          <cell r="AC63" t="str">
            <v>JH</v>
          </cell>
          <cell r="AD63">
            <v>1062721</v>
          </cell>
          <cell r="AE63" t="str">
            <v>POV0066914</v>
          </cell>
          <cell r="AF63" t="str">
            <v>JH</v>
          </cell>
        </row>
        <row r="64">
          <cell r="A64" t="str">
            <v>667-A20844-002</v>
          </cell>
          <cell r="B64" t="str">
            <v>CONN,SMD,PLUG,MEZZ,0.8MM,120P,7.7MM HGT</v>
          </cell>
          <cell r="C64" t="str">
            <v>CONN</v>
          </cell>
          <cell r="D64">
            <v>25</v>
          </cell>
          <cell r="E64">
            <v>1</v>
          </cell>
          <cell r="F64" t="str">
            <v>12 Weeks</v>
          </cell>
          <cell r="G64">
            <v>400</v>
          </cell>
          <cell r="H64">
            <v>5.5420540000000003</v>
          </cell>
          <cell r="I64">
            <v>2216.8216000000002</v>
          </cell>
          <cell r="J64">
            <v>6.7586024390243908</v>
          </cell>
          <cell r="K64">
            <v>486.61937560975639</v>
          </cell>
          <cell r="L64">
            <v>2703.4409756097562</v>
          </cell>
          <cell r="O64"/>
          <cell r="Q64">
            <v>1</v>
          </cell>
          <cell r="R64" t="str">
            <v>10139085-124402LF</v>
          </cell>
          <cell r="S64" t="str">
            <v>AMPHENOL ICC</v>
          </cell>
          <cell r="T64" t="str">
            <v>Heilind</v>
          </cell>
          <cell r="U64">
            <v>4.3109000000000002</v>
          </cell>
          <cell r="V64">
            <v>400</v>
          </cell>
          <cell r="W64">
            <v>0</v>
          </cell>
          <cell r="Y64" t="str">
            <v>Y</v>
          </cell>
          <cell r="Z64">
            <v>1724.3600000000001</v>
          </cell>
          <cell r="AA64">
            <v>492.46160000000009</v>
          </cell>
          <cell r="AB64">
            <v>0.36216103271458555</v>
          </cell>
          <cell r="AC64" t="str">
            <v>JH</v>
          </cell>
          <cell r="AD64">
            <v>1062721</v>
          </cell>
          <cell r="AE64" t="str">
            <v>POV0066914</v>
          </cell>
          <cell r="AF64" t="str">
            <v>JH</v>
          </cell>
        </row>
        <row r="65">
          <cell r="A65" t="str">
            <v>668-299108-001</v>
          </cell>
          <cell r="B65" t="str">
            <v>CONN,RCPT,RTANG,D-SUB,25POSN,2ROW,6A</v>
          </cell>
          <cell r="C65" t="str">
            <v>CONN</v>
          </cell>
          <cell r="D65">
            <v>15</v>
          </cell>
          <cell r="E65">
            <v>1</v>
          </cell>
          <cell r="F65" t="str">
            <v>4 Weeks</v>
          </cell>
          <cell r="G65">
            <v>260</v>
          </cell>
          <cell r="H65">
            <v>5.7104499999999998</v>
          </cell>
          <cell r="I65">
            <v>1484.7169999999999</v>
          </cell>
          <cell r="J65">
            <v>6.9639634146341463</v>
          </cell>
          <cell r="K65">
            <v>325.91348780487806</v>
          </cell>
          <cell r="L65">
            <v>1810.6304878048779</v>
          </cell>
          <cell r="O65"/>
          <cell r="Q65">
            <v>1</v>
          </cell>
          <cell r="R65" t="str">
            <v>5747846-6</v>
          </cell>
          <cell r="S65" t="str">
            <v>TE CONNECTIVITY</v>
          </cell>
          <cell r="T65" t="str">
            <v>Heilind</v>
          </cell>
          <cell r="U65">
            <v>2.7003900000000001</v>
          </cell>
          <cell r="V65">
            <v>260</v>
          </cell>
          <cell r="W65">
            <v>0</v>
          </cell>
          <cell r="Y65" t="str">
            <v>Y</v>
          </cell>
          <cell r="Z65">
            <v>702.10140000000001</v>
          </cell>
          <cell r="AA65">
            <v>782.61559999999986</v>
          </cell>
          <cell r="AB65">
            <v>0.61223374690260834</v>
          </cell>
          <cell r="AC65" t="str">
            <v>JH</v>
          </cell>
          <cell r="AD65">
            <v>1062721</v>
          </cell>
          <cell r="AE65" t="str">
            <v>POV0066914</v>
          </cell>
          <cell r="AF65" t="str">
            <v>JH</v>
          </cell>
        </row>
        <row r="66">
          <cell r="A66" t="str">
            <v>630-A87681-001</v>
          </cell>
          <cell r="B66" t="str">
            <v>IC,SMD,DAC,LO PWR,HV OUT,12BIT,VQFN-48</v>
          </cell>
          <cell r="C66" t="str">
            <v>IC</v>
          </cell>
          <cell r="D66">
            <v>15</v>
          </cell>
          <cell r="E66">
            <v>3</v>
          </cell>
          <cell r="F66" t="str">
            <v>3 Weeks</v>
          </cell>
          <cell r="G66">
            <v>250</v>
          </cell>
          <cell r="H66">
            <v>14.914334999999999</v>
          </cell>
          <cell r="I66">
            <v>3728.5837499999998</v>
          </cell>
          <cell r="J66">
            <v>18.188213414634149</v>
          </cell>
          <cell r="K66">
            <v>818.46960365853647</v>
          </cell>
          <cell r="L66">
            <v>4547.0533536585372</v>
          </cell>
          <cell r="O66"/>
          <cell r="Q66">
            <v>1</v>
          </cell>
          <cell r="R66" t="str">
            <v>dac7718SRGZR</v>
          </cell>
          <cell r="S66" t="str">
            <v>Texas Instruments</v>
          </cell>
          <cell r="T66" t="str">
            <v>TI Store</v>
          </cell>
          <cell r="U66">
            <v>9.7140000000000004</v>
          </cell>
          <cell r="V66">
            <v>250</v>
          </cell>
          <cell r="W66">
            <v>0</v>
          </cell>
          <cell r="X66" t="str">
            <v>1-2 wks</v>
          </cell>
          <cell r="Y66" t="str">
            <v>Y</v>
          </cell>
          <cell r="Z66">
            <v>2428.5</v>
          </cell>
          <cell r="AA66">
            <v>1300.0837499999998</v>
          </cell>
          <cell r="AB66">
            <v>0.46591785688064546</v>
          </cell>
          <cell r="AC66" t="str">
            <v>JH</v>
          </cell>
          <cell r="AD66">
            <v>1062721</v>
          </cell>
          <cell r="AE66" t="str">
            <v>POV0066900</v>
          </cell>
          <cell r="AF66" t="str">
            <v>SH</v>
          </cell>
        </row>
        <row r="67">
          <cell r="A67" t="str">
            <v>668-234157-001</v>
          </cell>
          <cell r="B67" t="str">
            <v>CONN,HDR,PCB,3POSN,8A,160V,3.5MM,GRN</v>
          </cell>
          <cell r="C67" t="str">
            <v>CONN</v>
          </cell>
          <cell r="D67">
            <v>15</v>
          </cell>
          <cell r="E67">
            <v>1</v>
          </cell>
          <cell r="F67" t="str">
            <v>3 Weeks</v>
          </cell>
          <cell r="G67">
            <v>250</v>
          </cell>
          <cell r="H67">
            <v>2.186537</v>
          </cell>
          <cell r="I67">
            <v>546.63424999999995</v>
          </cell>
          <cell r="J67">
            <v>2.6665085365853658</v>
          </cell>
          <cell r="K67">
            <v>119.99288414634145</v>
          </cell>
          <cell r="L67">
            <v>666.6271341463414</v>
          </cell>
          <cell r="O67"/>
          <cell r="Q67">
            <v>1</v>
          </cell>
          <cell r="R67">
            <v>1843237</v>
          </cell>
          <cell r="S67" t="str">
            <v>PHOENIX  CONTACT</v>
          </cell>
          <cell r="T67" t="str">
            <v>Astute Ltd</v>
          </cell>
          <cell r="U67">
            <v>1.45</v>
          </cell>
          <cell r="V67">
            <v>250</v>
          </cell>
          <cell r="W67">
            <v>0</v>
          </cell>
          <cell r="X67" t="str">
            <v>2 wks</v>
          </cell>
          <cell r="Y67" t="str">
            <v>Y</v>
          </cell>
          <cell r="Z67">
            <v>362.5</v>
          </cell>
          <cell r="AA67">
            <v>184.13424999999995</v>
          </cell>
          <cell r="AB67">
            <v>0.45621775437598355</v>
          </cell>
          <cell r="AC67" t="str">
            <v>JH</v>
          </cell>
          <cell r="AD67">
            <v>1062721</v>
          </cell>
          <cell r="AE67" t="str">
            <v>POV0066913</v>
          </cell>
          <cell r="AF67" t="str">
            <v>JH</v>
          </cell>
        </row>
        <row r="68">
          <cell r="A68" t="str">
            <v>668-234157-002</v>
          </cell>
          <cell r="B68" t="str">
            <v>CONN,HDR,PCB,2POSN,8A,160V,3.5MM,GRN</v>
          </cell>
          <cell r="C68" t="str">
            <v>CONN</v>
          </cell>
          <cell r="D68">
            <v>25</v>
          </cell>
          <cell r="E68">
            <v>1</v>
          </cell>
          <cell r="F68" t="str">
            <v>3 Weeks</v>
          </cell>
          <cell r="G68">
            <v>250</v>
          </cell>
          <cell r="H68">
            <v>1.8513379999999999</v>
          </cell>
          <cell r="I68">
            <v>462.83449999999999</v>
          </cell>
          <cell r="J68">
            <v>2.2577292682926831</v>
          </cell>
          <cell r="K68">
            <v>101.5978170731708</v>
          </cell>
          <cell r="L68">
            <v>564.43231707317079</v>
          </cell>
          <cell r="O68"/>
          <cell r="Q68">
            <v>1</v>
          </cell>
          <cell r="R68">
            <v>1843224</v>
          </cell>
          <cell r="S68" t="str">
            <v>PHOENIX CONTACT</v>
          </cell>
          <cell r="T68" t="str">
            <v>Astute Ltd</v>
          </cell>
          <cell r="U68">
            <v>1.28</v>
          </cell>
          <cell r="V68">
            <v>250</v>
          </cell>
          <cell r="W68">
            <v>0</v>
          </cell>
          <cell r="X68" t="str">
            <v>3 wks</v>
          </cell>
          <cell r="Y68" t="str">
            <v>Y</v>
          </cell>
          <cell r="Z68">
            <v>320</v>
          </cell>
          <cell r="AA68">
            <v>142.83449999999999</v>
          </cell>
          <cell r="AB68">
            <v>0.43305868512394829</v>
          </cell>
          <cell r="AC68" t="str">
            <v>JH</v>
          </cell>
          <cell r="AD68">
            <v>1062721</v>
          </cell>
          <cell r="AE68" t="str">
            <v>POV0066913</v>
          </cell>
          <cell r="AF68" t="str">
            <v>JH</v>
          </cell>
        </row>
        <row r="69">
          <cell r="A69" t="str">
            <v>630-B14808-001</v>
          </cell>
          <cell r="B69" t="str">
            <v>IC,SMD,DAC,12BIT,I2C/SPI,VOUT</v>
          </cell>
          <cell r="C69" t="str">
            <v>IC</v>
          </cell>
          <cell r="D69">
            <v>25</v>
          </cell>
          <cell r="E69">
            <v>2</v>
          </cell>
          <cell r="F69" t="str">
            <v>3 Weeks</v>
          </cell>
          <cell r="G69">
            <v>250</v>
          </cell>
          <cell r="H69">
            <v>1.69119</v>
          </cell>
          <cell r="I69">
            <v>422.79750000000001</v>
          </cell>
          <cell r="J69">
            <v>2.0624268292682926</v>
          </cell>
          <cell r="K69">
            <v>92.809207317073174</v>
          </cell>
          <cell r="L69">
            <v>515.60670731707319</v>
          </cell>
          <cell r="O69"/>
          <cell r="Q69">
            <v>1</v>
          </cell>
          <cell r="R69" t="str">
            <v>DAC60501ZDGSR</v>
          </cell>
          <cell r="S69" t="str">
            <v>Texas Instruments</v>
          </cell>
          <cell r="T69" t="str">
            <v>Dragon</v>
          </cell>
          <cell r="U69">
            <v>0.92</v>
          </cell>
          <cell r="V69">
            <v>250</v>
          </cell>
          <cell r="W69">
            <v>0</v>
          </cell>
          <cell r="X69" t="str">
            <v>1-2 wks</v>
          </cell>
          <cell r="Y69" t="str">
            <v>Y</v>
          </cell>
          <cell r="Z69">
            <v>230</v>
          </cell>
          <cell r="AA69">
            <v>192.79750000000001</v>
          </cell>
          <cell r="AB69">
            <v>0.5539235686114512</v>
          </cell>
          <cell r="AC69" t="str">
            <v>JH</v>
          </cell>
          <cell r="AD69">
            <v>1062721</v>
          </cell>
          <cell r="AE69" t="str">
            <v xml:space="preserve">POV0066915 </v>
          </cell>
          <cell r="AF69" t="str">
            <v>TX</v>
          </cell>
        </row>
        <row r="70">
          <cell r="A70" t="str">
            <v>39-425128-00</v>
          </cell>
          <cell r="B70" t="str">
            <v>CONTACT,D-SUB POWER,RCPT,FEMALE,20A,12AW</v>
          </cell>
          <cell r="C70" t="str">
            <v>CONT</v>
          </cell>
          <cell r="D70">
            <v>25</v>
          </cell>
          <cell r="E70">
            <v>1</v>
          </cell>
          <cell r="F70" t="str">
            <v>28 Weeks</v>
          </cell>
          <cell r="G70">
            <v>200</v>
          </cell>
          <cell r="H70">
            <v>6.4159829999999998</v>
          </cell>
          <cell r="I70">
            <v>1283.1966</v>
          </cell>
          <cell r="J70">
            <v>7.8243695121951218</v>
          </cell>
          <cell r="K70">
            <v>281.67730243902452</v>
          </cell>
          <cell r="L70">
            <v>1564.8739024390243</v>
          </cell>
          <cell r="O70"/>
          <cell r="Q70">
            <v>1</v>
          </cell>
          <cell r="R70" t="str">
            <v>DM53744-25</v>
          </cell>
          <cell r="S70" t="str">
            <v>ITT</v>
          </cell>
          <cell r="T70" t="str">
            <v>Heilind</v>
          </cell>
          <cell r="U70">
            <v>4.8875000000000002</v>
          </cell>
          <cell r="V70">
            <v>200</v>
          </cell>
          <cell r="W70">
            <v>0</v>
          </cell>
          <cell r="Y70" t="str">
            <v>Y</v>
          </cell>
          <cell r="Z70">
            <v>977.5</v>
          </cell>
          <cell r="AA70">
            <v>305.69659999999999</v>
          </cell>
          <cell r="AB70">
            <v>0.37534903069412739</v>
          </cell>
          <cell r="AC70" t="str">
            <v>JH</v>
          </cell>
          <cell r="AD70">
            <v>1062721</v>
          </cell>
          <cell r="AE70" t="str">
            <v>POV0066914</v>
          </cell>
          <cell r="AF70" t="str">
            <v>JH</v>
          </cell>
        </row>
        <row r="71">
          <cell r="A71" t="str">
            <v>668-068181-001</v>
          </cell>
          <cell r="B71" t="str">
            <v>CONN,RCPT,SMA,STR,PCB,4 POST, ROHS</v>
          </cell>
          <cell r="C71" t="str">
            <v>CONN</v>
          </cell>
          <cell r="D71">
            <v>25</v>
          </cell>
          <cell r="E71">
            <v>1</v>
          </cell>
          <cell r="F71" t="str">
            <v>9 Weeks</v>
          </cell>
          <cell r="G71">
            <v>200</v>
          </cell>
          <cell r="H71">
            <v>9.0340179999999997</v>
          </cell>
          <cell r="I71">
            <v>1806.8036</v>
          </cell>
          <cell r="J71">
            <v>11.01709512195122</v>
          </cell>
          <cell r="K71">
            <v>396.61542439024402</v>
          </cell>
          <cell r="L71">
            <v>2203.419024390244</v>
          </cell>
          <cell r="O71"/>
          <cell r="Q71">
            <v>1</v>
          </cell>
          <cell r="R71" t="str">
            <v>901-144</v>
          </cell>
          <cell r="S71" t="str">
            <v>AMPHENOL</v>
          </cell>
          <cell r="T71" t="str">
            <v>Heilind</v>
          </cell>
          <cell r="U71">
            <v>7.1538000000000004</v>
          </cell>
          <cell r="V71">
            <v>200</v>
          </cell>
          <cell r="W71">
            <v>0</v>
          </cell>
          <cell r="Y71" t="str">
            <v>Y</v>
          </cell>
          <cell r="Z71">
            <v>1430.76</v>
          </cell>
          <cell r="AA71">
            <v>376.04359999999997</v>
          </cell>
          <cell r="AB71">
            <v>0.35066368032474593</v>
          </cell>
          <cell r="AC71" t="str">
            <v>JH</v>
          </cell>
          <cell r="AD71">
            <v>1062721</v>
          </cell>
          <cell r="AE71" t="str">
            <v>POV0066914</v>
          </cell>
          <cell r="AF71" t="str">
            <v>JH</v>
          </cell>
        </row>
        <row r="72">
          <cell r="A72" t="str">
            <v>630-A39017-001</v>
          </cell>
          <cell r="B72" t="str">
            <v>IC,SMD,E-FUSE,60V,2A,HTSSOP-16</v>
          </cell>
          <cell r="C72" t="str">
            <v>IC</v>
          </cell>
          <cell r="D72">
            <v>15</v>
          </cell>
          <cell r="E72">
            <v>2</v>
          </cell>
          <cell r="F72" t="str">
            <v>3 Weeks</v>
          </cell>
          <cell r="G72">
            <v>200</v>
          </cell>
          <cell r="H72">
            <v>1.982982</v>
          </cell>
          <cell r="I72">
            <v>396.59640000000002</v>
          </cell>
          <cell r="J72">
            <v>2.4182707317073171</v>
          </cell>
          <cell r="K72">
            <v>87.057746341463428</v>
          </cell>
          <cell r="L72">
            <v>483.65414634146344</v>
          </cell>
          <cell r="O72"/>
          <cell r="Q72">
            <v>1</v>
          </cell>
          <cell r="R72" t="str">
            <v>TPS26600PWPR</v>
          </cell>
          <cell r="S72" t="str">
            <v>Texas Instruments</v>
          </cell>
          <cell r="T72" t="str">
            <v>Dragon</v>
          </cell>
          <cell r="U72">
            <v>0.93</v>
          </cell>
          <cell r="V72">
            <v>200</v>
          </cell>
          <cell r="W72">
            <v>0</v>
          </cell>
          <cell r="X72" t="str">
            <v>1-2 wks</v>
          </cell>
          <cell r="Y72" t="str">
            <v>Y</v>
          </cell>
          <cell r="Z72">
            <v>186</v>
          </cell>
          <cell r="AA72">
            <v>210.59640000000002</v>
          </cell>
          <cell r="AB72">
            <v>0.615427674078736</v>
          </cell>
          <cell r="AC72" t="str">
            <v>JH</v>
          </cell>
          <cell r="AD72">
            <v>1062721</v>
          </cell>
          <cell r="AE72" t="str">
            <v xml:space="preserve">POV0066915 </v>
          </cell>
          <cell r="AF72" t="str">
            <v>TX</v>
          </cell>
        </row>
        <row r="73">
          <cell r="A73" t="str">
            <v>630-337825-001</v>
          </cell>
          <cell r="B73" t="str">
            <v>IC,SMD,ADC,16BIT,250MSPS,72LFCSP</v>
          </cell>
          <cell r="C73" t="str">
            <v>IC</v>
          </cell>
          <cell r="D73">
            <v>25</v>
          </cell>
          <cell r="E73">
            <v>3</v>
          </cell>
          <cell r="F73" t="str">
            <v>13 Weeks</v>
          </cell>
          <cell r="G73">
            <v>100</v>
          </cell>
          <cell r="H73">
            <v>216.47232</v>
          </cell>
          <cell r="I73">
            <v>21647.232</v>
          </cell>
          <cell r="J73">
            <v>263.99063414634145</v>
          </cell>
          <cell r="K73">
            <v>4751.8314146341472</v>
          </cell>
          <cell r="L73">
            <v>26399.063414634144</v>
          </cell>
          <cell r="M73" t="str">
            <v>Philippines</v>
          </cell>
          <cell r="O73"/>
          <cell r="Q73">
            <v>1</v>
          </cell>
          <cell r="R73" t="str">
            <v>AD9467BCPZ-250</v>
          </cell>
          <cell r="S73" t="str">
            <v>ANALOG DEVICES</v>
          </cell>
          <cell r="T73" t="str">
            <v>Lituoxin</v>
          </cell>
          <cell r="U73">
            <v>78.5</v>
          </cell>
          <cell r="V73">
            <v>100</v>
          </cell>
          <cell r="W73">
            <v>0</v>
          </cell>
          <cell r="X73">
            <v>1</v>
          </cell>
          <cell r="Y73" t="str">
            <v>Y</v>
          </cell>
          <cell r="Z73">
            <v>7850</v>
          </cell>
          <cell r="AA73">
            <v>13797.232</v>
          </cell>
          <cell r="AB73">
            <v>0.70264096582879509</v>
          </cell>
          <cell r="AC73" t="str">
            <v>JH</v>
          </cell>
          <cell r="AD73">
            <v>1062411</v>
          </cell>
          <cell r="AE73" t="str">
            <v>POV0066904</v>
          </cell>
          <cell r="AF73" t="str">
            <v>TX</v>
          </cell>
        </row>
        <row r="74">
          <cell r="A74" t="str">
            <v>630-A12986-001</v>
          </cell>
          <cell r="B74" t="str">
            <v>IC,SMD,MUX,5-16.5V DUAL SPLY,TSSOP-14</v>
          </cell>
          <cell r="C74" t="str">
            <v>IC</v>
          </cell>
          <cell r="D74">
            <v>25</v>
          </cell>
          <cell r="E74">
            <v>1</v>
          </cell>
          <cell r="F74" t="str">
            <v>3 Weeks</v>
          </cell>
          <cell r="G74">
            <v>100</v>
          </cell>
          <cell r="H74">
            <v>4.1789550000000002</v>
          </cell>
          <cell r="I74">
            <v>417.89550000000003</v>
          </cell>
          <cell r="J74">
            <v>5.0962865853658545</v>
          </cell>
          <cell r="K74">
            <v>91.733158536585393</v>
          </cell>
          <cell r="L74">
            <v>509.62865853658548</v>
          </cell>
          <cell r="O74"/>
          <cell r="Q74">
            <v>1</v>
          </cell>
          <cell r="R74" t="str">
            <v>TMUX6104PWR</v>
          </cell>
          <cell r="S74" t="str">
            <v>Texas Instruments</v>
          </cell>
          <cell r="T74" t="str">
            <v>Dragon</v>
          </cell>
          <cell r="U74">
            <v>1.27</v>
          </cell>
          <cell r="V74">
            <v>100</v>
          </cell>
          <cell r="W74">
            <v>0</v>
          </cell>
          <cell r="X74" t="str">
            <v>1-2 wks</v>
          </cell>
          <cell r="Y74" t="str">
            <v>Y</v>
          </cell>
          <cell r="Z74">
            <v>127</v>
          </cell>
          <cell r="AA74">
            <v>290.89550000000003</v>
          </cell>
          <cell r="AB74">
            <v>0.75079894375507761</v>
          </cell>
          <cell r="AC74" t="str">
            <v>JH</v>
          </cell>
          <cell r="AD74">
            <v>1062721</v>
          </cell>
          <cell r="AE74" t="str">
            <v xml:space="preserve">POV0066915 </v>
          </cell>
          <cell r="AF74" t="str">
            <v>TX</v>
          </cell>
        </row>
        <row r="75">
          <cell r="A75" t="str">
            <v>630-061092-002</v>
          </cell>
          <cell r="B75" t="str">
            <v>IC,SMD,OPAMP,DUAL,OPA2277UA,SO-8,ROHS</v>
          </cell>
          <cell r="C75" t="str">
            <v>IC</v>
          </cell>
          <cell r="D75">
            <v>25</v>
          </cell>
          <cell r="E75">
            <v>2</v>
          </cell>
          <cell r="F75" t="str">
            <v>3 Weeks</v>
          </cell>
          <cell r="G75">
            <v>100</v>
          </cell>
          <cell r="H75">
            <v>4.5466049999999996</v>
          </cell>
          <cell r="I75">
            <v>454.66049999999996</v>
          </cell>
          <cell r="J75">
            <v>5.5446402439024389</v>
          </cell>
          <cell r="K75">
            <v>99.803524390243979</v>
          </cell>
          <cell r="L75">
            <v>554.46402439024394</v>
          </cell>
          <cell r="O75"/>
          <cell r="Q75">
            <v>1</v>
          </cell>
          <cell r="R75" t="str">
            <v>OPA2277UA/2K5</v>
          </cell>
          <cell r="S75" t="str">
            <v>Texas Instruments</v>
          </cell>
          <cell r="T75" t="str">
            <v>Dragon</v>
          </cell>
          <cell r="U75">
            <v>0.44</v>
          </cell>
          <cell r="V75">
            <v>100</v>
          </cell>
          <cell r="W75">
            <v>0</v>
          </cell>
          <cell r="X75" t="str">
            <v>1-2 wks</v>
          </cell>
          <cell r="Y75" t="str">
            <v>Y</v>
          </cell>
          <cell r="Z75">
            <v>44</v>
          </cell>
          <cell r="AA75">
            <v>410.66049999999996</v>
          </cell>
          <cell r="AB75">
            <v>0.92064408498209105</v>
          </cell>
          <cell r="AC75" t="str">
            <v>JH</v>
          </cell>
          <cell r="AD75">
            <v>1062721</v>
          </cell>
          <cell r="AE75" t="str">
            <v xml:space="preserve">POV0066915 </v>
          </cell>
          <cell r="AF75" t="str">
            <v>TX</v>
          </cell>
        </row>
        <row r="76">
          <cell r="A76" t="str">
            <v>630-270072-001</v>
          </cell>
          <cell r="B76" t="str">
            <v>IC,SMD,REG,LDO,NEG ADJ,0.6A,10DFN</v>
          </cell>
          <cell r="C76" t="str">
            <v>IC</v>
          </cell>
          <cell r="D76">
            <v>25</v>
          </cell>
          <cell r="E76">
            <v>1</v>
          </cell>
          <cell r="F76" t="str">
            <v>3 Weeks</v>
          </cell>
          <cell r="G76">
            <v>100</v>
          </cell>
          <cell r="H76">
            <v>4.5711149999999998</v>
          </cell>
          <cell r="I76">
            <v>457.11149999999998</v>
          </cell>
          <cell r="J76">
            <v>5.5745304878048785</v>
          </cell>
          <cell r="K76">
            <v>100.34154878048787</v>
          </cell>
          <cell r="L76">
            <v>557.45304878048785</v>
          </cell>
          <cell r="O76"/>
          <cell r="Q76">
            <v>1</v>
          </cell>
          <cell r="R76" t="str">
            <v>LT3090EDD#PBF</v>
          </cell>
          <cell r="S76" t="str">
            <v>LINEAR TECHNOLOGIES</v>
          </cell>
          <cell r="T76" t="str">
            <v>Dragon</v>
          </cell>
          <cell r="U76">
            <v>3</v>
          </cell>
          <cell r="V76">
            <v>100</v>
          </cell>
          <cell r="W76">
            <v>0</v>
          </cell>
          <cell r="X76" t="str">
            <v>1-2 wks</v>
          </cell>
          <cell r="Y76" t="str">
            <v>Y</v>
          </cell>
          <cell r="Z76">
            <v>300</v>
          </cell>
          <cell r="AA76">
            <v>157.11149999999998</v>
          </cell>
          <cell r="AB76">
            <v>0.46183808545617433</v>
          </cell>
          <cell r="AC76" t="str">
            <v>JH</v>
          </cell>
          <cell r="AD76">
            <v>1062721</v>
          </cell>
          <cell r="AE76" t="str">
            <v xml:space="preserve">POV0066915 </v>
          </cell>
          <cell r="AF76" t="str">
            <v>TX</v>
          </cell>
        </row>
        <row r="77">
          <cell r="A77" t="str">
            <v>668-B14968-001</v>
          </cell>
          <cell r="B77" t="str">
            <v>CONN,BNC,JACK,RF,1POSN,50OHM,WHT,RTANG</v>
          </cell>
          <cell r="C77" t="str">
            <v>CONN</v>
          </cell>
          <cell r="D77">
            <v>25</v>
          </cell>
          <cell r="E77">
            <v>1</v>
          </cell>
          <cell r="F77" t="str">
            <v>10 Weeks</v>
          </cell>
          <cell r="G77">
            <v>70</v>
          </cell>
          <cell r="H77">
            <v>4.4323880000000004</v>
          </cell>
          <cell r="I77">
            <v>310.26716000000005</v>
          </cell>
          <cell r="J77">
            <v>5.4053512195121955</v>
          </cell>
          <cell r="K77">
            <v>68.107425365853715</v>
          </cell>
          <cell r="L77">
            <v>378.3745853658537</v>
          </cell>
          <cell r="O77"/>
          <cell r="Q77">
            <v>1</v>
          </cell>
          <cell r="R77" t="str">
            <v>5227161-7</v>
          </cell>
          <cell r="S77" t="str">
            <v>TE CONNECTIVITY</v>
          </cell>
          <cell r="T77" t="str">
            <v>Heilind</v>
          </cell>
          <cell r="U77">
            <v>2.0720000000000001</v>
          </cell>
          <cell r="V77">
            <v>70</v>
          </cell>
          <cell r="W77">
            <v>0</v>
          </cell>
          <cell r="Y77" t="str">
            <v>Y</v>
          </cell>
          <cell r="Z77">
            <v>145.04</v>
          </cell>
          <cell r="AA77">
            <v>165.22716000000005</v>
          </cell>
          <cell r="AB77">
            <v>0.61667615741221216</v>
          </cell>
          <cell r="AC77" t="str">
            <v>JH</v>
          </cell>
          <cell r="AD77">
            <v>1062721</v>
          </cell>
          <cell r="AE77" t="str">
            <v>POV0066914</v>
          </cell>
          <cell r="AF77" t="str">
            <v>JH</v>
          </cell>
        </row>
        <row r="78">
          <cell r="A78" t="str">
            <v>630-309829-001</v>
          </cell>
          <cell r="B78" t="str">
            <v>IC,SMD,FPGA,SOC,CORTEX-A9,ARTIX-7,400BGA</v>
          </cell>
          <cell r="C78" t="str">
            <v>IC</v>
          </cell>
          <cell r="D78">
            <v>25</v>
          </cell>
          <cell r="E78">
            <v>3</v>
          </cell>
          <cell r="F78" t="str">
            <v>26 Weeks</v>
          </cell>
          <cell r="G78">
            <v>50</v>
          </cell>
          <cell r="H78">
            <v>84.449205000000006</v>
          </cell>
          <cell r="I78">
            <v>4222.4602500000001</v>
          </cell>
          <cell r="J78">
            <v>102.98683536585368</v>
          </cell>
          <cell r="K78">
            <v>926.88151829268281</v>
          </cell>
          <cell r="L78">
            <v>5149.3417682926838</v>
          </cell>
          <cell r="O78"/>
          <cell r="Q78">
            <v>2</v>
          </cell>
          <cell r="R78" t="str">
            <v>XC7Z007S-2CLG400I</v>
          </cell>
          <cell r="S78" t="str">
            <v>XILINX</v>
          </cell>
          <cell r="T78" t="str">
            <v>Hang Lung Wai Yip Technology Co., Ltd</v>
          </cell>
          <cell r="U78">
            <v>10</v>
          </cell>
          <cell r="V78">
            <v>50</v>
          </cell>
          <cell r="W78">
            <v>0</v>
          </cell>
          <cell r="X78">
            <v>2</v>
          </cell>
          <cell r="Y78" t="str">
            <v>Y</v>
          </cell>
          <cell r="Z78">
            <v>500</v>
          </cell>
          <cell r="AA78">
            <v>3722.4602500000001</v>
          </cell>
          <cell r="AB78">
            <v>0.90290021084271899</v>
          </cell>
          <cell r="AC78" t="str">
            <v>JH</v>
          </cell>
          <cell r="AD78">
            <v>1061234</v>
          </cell>
          <cell r="AE78" t="str">
            <v>POV0066910</v>
          </cell>
          <cell r="AF78" t="str">
            <v>TX</v>
          </cell>
        </row>
        <row r="79">
          <cell r="A79" t="str">
            <v>668-A96865-060</v>
          </cell>
          <cell r="B79" t="str">
            <v>CONN,RCPT,CARD EDGE,60POSN,1200VAC,3A</v>
          </cell>
          <cell r="C79" t="str">
            <v>CONN</v>
          </cell>
          <cell r="D79">
            <v>25</v>
          </cell>
          <cell r="E79">
            <v>1</v>
          </cell>
          <cell r="F79" t="str">
            <v>21 Weeks</v>
          </cell>
          <cell r="G79">
            <v>250</v>
          </cell>
          <cell r="H79">
            <v>10.68685</v>
          </cell>
          <cell r="I79">
            <v>2671.7125000000001</v>
          </cell>
          <cell r="J79">
            <v>13.032743902439025</v>
          </cell>
          <cell r="K79">
            <v>586.47347560975641</v>
          </cell>
          <cell r="L79">
            <v>3258.185975609756</v>
          </cell>
          <cell r="M79" t="str">
            <v>CHINA</v>
          </cell>
          <cell r="N79">
            <v>8536694040</v>
          </cell>
          <cell r="O79">
            <v>0.35</v>
          </cell>
          <cell r="P79">
            <v>935.09937500000001</v>
          </cell>
          <cell r="Q79">
            <v>1</v>
          </cell>
          <cell r="R79" t="str">
            <v>345-060-521-202</v>
          </cell>
          <cell r="S79" t="str">
            <v>EDAC</v>
          </cell>
          <cell r="T79" t="str">
            <v>Astute Ltd</v>
          </cell>
          <cell r="U79">
            <v>2.234</v>
          </cell>
          <cell r="V79">
            <v>250</v>
          </cell>
          <cell r="W79">
            <v>0</v>
          </cell>
          <cell r="X79">
            <v>8</v>
          </cell>
          <cell r="Y79" t="str">
            <v>Y</v>
          </cell>
          <cell r="Z79">
            <v>558.5</v>
          </cell>
          <cell r="AA79">
            <v>2113.2125000000001</v>
          </cell>
          <cell r="AB79">
            <v>0.82858559818842781</v>
          </cell>
          <cell r="AC79" t="str">
            <v>JH</v>
          </cell>
          <cell r="AD79">
            <v>1062721</v>
          </cell>
          <cell r="AE79" t="str">
            <v>POV0066932</v>
          </cell>
          <cell r="AF79" t="str">
            <v>JH</v>
          </cell>
        </row>
        <row r="80">
          <cell r="A80" t="str">
            <v>668-A96422-010</v>
          </cell>
          <cell r="B80" t="str">
            <v>CONN,RCPT,CARD EDGE,10POSN,1200VAC,3A</v>
          </cell>
          <cell r="C80" t="str">
            <v>CONN</v>
          </cell>
          <cell r="D80">
            <v>25</v>
          </cell>
          <cell r="E80">
            <v>1</v>
          </cell>
          <cell r="F80" t="str">
            <v>19 Weeks</v>
          </cell>
          <cell r="G80">
            <v>400</v>
          </cell>
          <cell r="H80">
            <v>5.6740649999999997</v>
          </cell>
          <cell r="I80">
            <v>2269.6259999999997</v>
          </cell>
          <cell r="J80">
            <v>6.9195914634146343</v>
          </cell>
          <cell r="K80">
            <v>498.2105853658536</v>
          </cell>
          <cell r="L80">
            <v>2767.8365853658538</v>
          </cell>
          <cell r="O80"/>
          <cell r="Q80">
            <v>1</v>
          </cell>
          <cell r="R80" t="str">
            <v>345-010-521-201</v>
          </cell>
          <cell r="S80" t="str">
            <v>EDAC</v>
          </cell>
          <cell r="T80" t="str">
            <v>Astute Ltd</v>
          </cell>
          <cell r="U80">
            <v>0.8</v>
          </cell>
          <cell r="V80">
            <v>400</v>
          </cell>
          <cell r="W80">
            <v>0</v>
          </cell>
          <cell r="X80">
            <v>8</v>
          </cell>
          <cell r="Y80" t="str">
            <v>Y</v>
          </cell>
          <cell r="Z80">
            <v>320</v>
          </cell>
          <cell r="AA80">
            <v>1949.6259999999997</v>
          </cell>
          <cell r="AB80">
            <v>0.88438623808504135</v>
          </cell>
          <cell r="AC80" t="str">
            <v>JH</v>
          </cell>
          <cell r="AD80">
            <v>1062721</v>
          </cell>
          <cell r="AE80" t="str">
            <v>POV0066932</v>
          </cell>
          <cell r="AF80" t="str">
            <v>JH</v>
          </cell>
        </row>
        <row r="81">
          <cell r="A81" t="str">
            <v>667-A27948-002</v>
          </cell>
          <cell r="B81" t="str">
            <v>CONN,SMD,HDR,UNSHRD,2 POSN,.1IN,AU PLD</v>
          </cell>
          <cell r="C81" t="str">
            <v>CONN</v>
          </cell>
          <cell r="D81">
            <v>15</v>
          </cell>
          <cell r="E81">
            <v>1</v>
          </cell>
          <cell r="F81" t="str">
            <v>4 Weeks</v>
          </cell>
          <cell r="G81">
            <v>500</v>
          </cell>
          <cell r="H81">
            <v>0.28571299999999999</v>
          </cell>
          <cell r="I81">
            <v>142.85650000000001</v>
          </cell>
          <cell r="J81">
            <v>0.34843048780487806</v>
          </cell>
          <cell r="K81">
            <v>31.358743902439045</v>
          </cell>
          <cell r="L81">
            <v>174.21524390243903</v>
          </cell>
          <cell r="O81"/>
          <cell r="Q81">
            <v>1</v>
          </cell>
          <cell r="R81" t="str">
            <v>TSM-102-01-S-SV</v>
          </cell>
          <cell r="S81" t="str">
            <v>SAMTEC</v>
          </cell>
          <cell r="T81" t="str">
            <v>Samtec</v>
          </cell>
          <cell r="U81">
            <v>0.13</v>
          </cell>
          <cell r="V81">
            <v>500</v>
          </cell>
          <cell r="W81">
            <v>0</v>
          </cell>
          <cell r="X81" t="str">
            <v>1-2 wks</v>
          </cell>
          <cell r="Y81" t="str">
            <v>Y</v>
          </cell>
          <cell r="Z81">
            <v>65</v>
          </cell>
          <cell r="AA81">
            <v>77.856500000000011</v>
          </cell>
          <cell r="AB81">
            <v>0.6268983210424447</v>
          </cell>
          <cell r="AC81" t="str">
            <v>JH</v>
          </cell>
          <cell r="AD81">
            <v>1062721</v>
          </cell>
          <cell r="AE81" t="str">
            <v>POV0066937</v>
          </cell>
          <cell r="AF81" t="str">
            <v>ES</v>
          </cell>
        </row>
        <row r="82">
          <cell r="A82" t="str">
            <v>667-A27948-003</v>
          </cell>
          <cell r="B82" t="str">
            <v>CONN,SMD,HDR,UNSHRD,3 POSN,.1IN,AU PLD</v>
          </cell>
          <cell r="C82" t="str">
            <v>CONN</v>
          </cell>
          <cell r="D82">
            <v>25</v>
          </cell>
          <cell r="E82">
            <v>1</v>
          </cell>
          <cell r="F82" t="str">
            <v>6 Weeks</v>
          </cell>
          <cell r="G82">
            <v>500</v>
          </cell>
          <cell r="H82">
            <v>0.529416</v>
          </cell>
          <cell r="I82">
            <v>264.70800000000003</v>
          </cell>
          <cell r="J82">
            <v>0.64562926829268297</v>
          </cell>
          <cell r="K82">
            <v>58.106634146341491</v>
          </cell>
          <cell r="L82">
            <v>322.81463414634146</v>
          </cell>
          <cell r="O82"/>
          <cell r="Q82">
            <v>1</v>
          </cell>
          <cell r="R82" t="str">
            <v>TSM-103-01-S-SV</v>
          </cell>
          <cell r="S82" t="str">
            <v>SAMTEC</v>
          </cell>
          <cell r="T82" t="str">
            <v>Samtec</v>
          </cell>
          <cell r="U82">
            <v>0.19</v>
          </cell>
          <cell r="V82">
            <v>500</v>
          </cell>
          <cell r="W82">
            <v>0</v>
          </cell>
          <cell r="X82" t="str">
            <v>1-2 wks</v>
          </cell>
          <cell r="Y82" t="str">
            <v>Y</v>
          </cell>
          <cell r="Z82">
            <v>95</v>
          </cell>
          <cell r="AA82">
            <v>169.70800000000003</v>
          </cell>
          <cell r="AB82">
            <v>0.70571346540338786</v>
          </cell>
          <cell r="AC82" t="str">
            <v>JH</v>
          </cell>
          <cell r="AD82">
            <v>1062721</v>
          </cell>
          <cell r="AE82" t="str">
            <v>POV0066937</v>
          </cell>
          <cell r="AF82" t="str">
            <v>ES</v>
          </cell>
        </row>
        <row r="83">
          <cell r="A83" t="str">
            <v>667-B14849-001</v>
          </cell>
          <cell r="B83" t="str">
            <v>CONN,SMD,HDR,3PIN,VERT,1ROW,2.54MM</v>
          </cell>
          <cell r="C83" t="str">
            <v>CONN</v>
          </cell>
          <cell r="D83">
            <v>25</v>
          </cell>
          <cell r="E83">
            <v>1</v>
          </cell>
          <cell r="F83" t="str">
            <v>7 Weeks</v>
          </cell>
          <cell r="G83">
            <v>300</v>
          </cell>
          <cell r="H83">
            <v>0.52218600000000004</v>
          </cell>
          <cell r="I83">
            <v>156.6558</v>
          </cell>
          <cell r="J83">
            <v>0.63681219512195131</v>
          </cell>
          <cell r="K83">
            <v>34.387858536585384</v>
          </cell>
          <cell r="L83">
            <v>191.04365853658538</v>
          </cell>
          <cell r="O83"/>
          <cell r="Q83">
            <v>1</v>
          </cell>
          <cell r="R83" t="str">
            <v>TSM-103-02-S-SV</v>
          </cell>
          <cell r="S83" t="str">
            <v>SAMTEC</v>
          </cell>
          <cell r="T83" t="str">
            <v>Samtec</v>
          </cell>
          <cell r="U83">
            <v>0.19</v>
          </cell>
          <cell r="V83">
            <v>300</v>
          </cell>
          <cell r="W83">
            <v>0</v>
          </cell>
          <cell r="X83" t="str">
            <v>1-2 wks</v>
          </cell>
          <cell r="Y83" t="str">
            <v>Y</v>
          </cell>
          <cell r="Z83">
            <v>57</v>
          </cell>
          <cell r="AA83">
            <v>99.655799999999999</v>
          </cell>
          <cell r="AB83">
            <v>0.70163887963292781</v>
          </cell>
          <cell r="AC83" t="str">
            <v>JH</v>
          </cell>
          <cell r="AD83">
            <v>1062721</v>
          </cell>
          <cell r="AE83" t="str">
            <v>POV0066937</v>
          </cell>
          <cell r="AF83" t="str">
            <v>ES</v>
          </cell>
        </row>
        <row r="84">
          <cell r="A84" t="str">
            <v>667-B30869-003</v>
          </cell>
          <cell r="B84" t="str">
            <v>CONN,SMD,RCPT,3POSN,2 ROW,2.54MM PITCH</v>
          </cell>
          <cell r="C84" t="str">
            <v>CONN</v>
          </cell>
          <cell r="D84">
            <v>25</v>
          </cell>
          <cell r="E84">
            <v>1</v>
          </cell>
          <cell r="F84" t="str">
            <v>6 Weeks</v>
          </cell>
          <cell r="G84">
            <v>222</v>
          </cell>
          <cell r="H84">
            <v>1.4215800000000001</v>
          </cell>
          <cell r="I84">
            <v>315.59075999999999</v>
          </cell>
          <cell r="J84">
            <v>1.7336341463414635</v>
          </cell>
          <cell r="K84">
            <v>69.276020487804885</v>
          </cell>
          <cell r="L84">
            <v>384.86678048780487</v>
          </cell>
          <cell r="O84"/>
          <cell r="Q84">
            <v>1</v>
          </cell>
          <cell r="R84" t="str">
            <v>HLE-103-02-F-DV</v>
          </cell>
          <cell r="S84" t="str">
            <v>SAMTEC</v>
          </cell>
          <cell r="T84" t="str">
            <v>Samtec</v>
          </cell>
          <cell r="U84">
            <v>0.76</v>
          </cell>
          <cell r="V84">
            <v>222</v>
          </cell>
          <cell r="W84">
            <v>0</v>
          </cell>
          <cell r="X84" t="str">
            <v>1-2 wks</v>
          </cell>
          <cell r="Y84" t="str">
            <v>Y</v>
          </cell>
          <cell r="Z84">
            <v>168.72</v>
          </cell>
          <cell r="AA84">
            <v>146.87075999999999</v>
          </cell>
          <cell r="AB84">
            <v>0.5616145415664261</v>
          </cell>
          <cell r="AC84" t="str">
            <v>JH</v>
          </cell>
          <cell r="AD84">
            <v>1062721</v>
          </cell>
          <cell r="AE84" t="str">
            <v>POV0066937</v>
          </cell>
          <cell r="AF84" t="str">
            <v>ES</v>
          </cell>
        </row>
        <row r="85">
          <cell r="A85" t="str">
            <v>667-B14845-001</v>
          </cell>
          <cell r="B85" t="str">
            <v>CONN,SMD,HDR,40PIN,VERT,2ROW,2.54MM</v>
          </cell>
          <cell r="C85" t="str">
            <v>CONN</v>
          </cell>
          <cell r="D85">
            <v>25</v>
          </cell>
          <cell r="E85">
            <v>1</v>
          </cell>
          <cell r="F85" t="str">
            <v>6 Weeks</v>
          </cell>
          <cell r="G85">
            <v>125</v>
          </cell>
          <cell r="H85">
            <v>4.0441500000000001</v>
          </cell>
          <cell r="I85">
            <v>505.51875000000001</v>
          </cell>
          <cell r="J85">
            <v>4.9318902439024397</v>
          </cell>
          <cell r="K85">
            <v>110.96753048780494</v>
          </cell>
          <cell r="L85">
            <v>616.48628048780495</v>
          </cell>
          <cell r="O85"/>
          <cell r="Q85">
            <v>1</v>
          </cell>
          <cell r="R85" t="str">
            <v>TSM-120-02-S-DV</v>
          </cell>
          <cell r="S85" t="str">
            <v>SAMTEC</v>
          </cell>
          <cell r="T85" t="str">
            <v>Samtec</v>
          </cell>
          <cell r="U85">
            <v>1.72</v>
          </cell>
          <cell r="V85">
            <v>125</v>
          </cell>
          <cell r="W85">
            <v>0</v>
          </cell>
          <cell r="X85" t="str">
            <v>1-2 wks</v>
          </cell>
          <cell r="Y85" t="str">
            <v>Y</v>
          </cell>
          <cell r="Z85">
            <v>215</v>
          </cell>
          <cell r="AA85">
            <v>290.51875000000001</v>
          </cell>
          <cell r="AB85">
            <v>0.65124933545986186</v>
          </cell>
          <cell r="AC85" t="str">
            <v>JH</v>
          </cell>
          <cell r="AD85">
            <v>1062721</v>
          </cell>
          <cell r="AE85" t="str">
            <v>POV0066937</v>
          </cell>
          <cell r="AF85" t="str">
            <v>ES</v>
          </cell>
        </row>
        <row r="86">
          <cell r="A86" t="str">
            <v>667-B14845-020</v>
          </cell>
          <cell r="B86" t="str">
            <v>CONN,SMD,HDR,20PIN,VERT,2ROW,2.54MM</v>
          </cell>
          <cell r="C86" t="str">
            <v>CONN</v>
          </cell>
          <cell r="D86">
            <v>25</v>
          </cell>
          <cell r="E86">
            <v>1</v>
          </cell>
          <cell r="F86" t="str">
            <v>5 Weeks</v>
          </cell>
          <cell r="G86">
            <v>125</v>
          </cell>
          <cell r="H86">
            <v>2.8431600000000001</v>
          </cell>
          <cell r="I86">
            <v>355.39500000000004</v>
          </cell>
          <cell r="J86">
            <v>3.467268292682927</v>
          </cell>
          <cell r="K86">
            <v>78.013536585365898</v>
          </cell>
          <cell r="L86">
            <v>433.40853658536588</v>
          </cell>
          <cell r="O86"/>
          <cell r="Q86">
            <v>1</v>
          </cell>
          <cell r="R86" t="str">
            <v>TSM-110-02-S-DV</v>
          </cell>
          <cell r="S86" t="str">
            <v>SAMTEC</v>
          </cell>
          <cell r="T86" t="str">
            <v>Samtec</v>
          </cell>
          <cell r="U86">
            <v>0.86</v>
          </cell>
          <cell r="V86">
            <v>125</v>
          </cell>
          <cell r="W86">
            <v>0</v>
          </cell>
          <cell r="X86" t="str">
            <v>1-2 wks</v>
          </cell>
          <cell r="Y86" t="str">
            <v>Y</v>
          </cell>
          <cell r="Z86">
            <v>107.5</v>
          </cell>
          <cell r="AA86">
            <v>247.89500000000004</v>
          </cell>
          <cell r="AB86">
            <v>0.75196612220205683</v>
          </cell>
          <cell r="AC86" t="str">
            <v>JH</v>
          </cell>
          <cell r="AD86">
            <v>1062721</v>
          </cell>
          <cell r="AE86" t="str">
            <v>POV0066937</v>
          </cell>
          <cell r="AF86" t="str">
            <v>ES</v>
          </cell>
        </row>
        <row r="87">
          <cell r="A87" t="str">
            <v>668-900922-026</v>
          </cell>
          <cell r="B87" t="str">
            <v>CONN,SKT,STR,.1 X .1, 26 PIN</v>
          </cell>
          <cell r="C87" t="str">
            <v>CONN</v>
          </cell>
          <cell r="D87">
            <v>25</v>
          </cell>
          <cell r="E87" t="str">
            <v>N/A</v>
          </cell>
          <cell r="F87" t="str">
            <v>9 Weeks</v>
          </cell>
          <cell r="G87">
            <v>50</v>
          </cell>
          <cell r="H87">
            <v>3.448067</v>
          </cell>
          <cell r="I87">
            <v>172.40334999999999</v>
          </cell>
          <cell r="J87">
            <v>4.2049597560975611</v>
          </cell>
          <cell r="K87">
            <v>37.844637804878062</v>
          </cell>
          <cell r="L87">
            <v>210.24798780487805</v>
          </cell>
          <cell r="O87"/>
          <cell r="Q87">
            <v>1</v>
          </cell>
          <cell r="R87" t="str">
            <v>SSW-113-01-G-D</v>
          </cell>
          <cell r="S87" t="str">
            <v>SAMTEC</v>
          </cell>
          <cell r="T87" t="str">
            <v>Samtec</v>
          </cell>
          <cell r="U87">
            <v>1.38</v>
          </cell>
          <cell r="V87">
            <v>50</v>
          </cell>
          <cell r="W87">
            <v>0</v>
          </cell>
          <cell r="X87" t="str">
            <v>1-2 wks</v>
          </cell>
          <cell r="Y87" t="str">
            <v>Y</v>
          </cell>
          <cell r="Z87">
            <v>69</v>
          </cell>
          <cell r="AA87">
            <v>103.40334999999999</v>
          </cell>
          <cell r="AB87">
            <v>0.67181612190250362</v>
          </cell>
          <cell r="AC87" t="str">
            <v>JH</v>
          </cell>
          <cell r="AD87">
            <v>1062721</v>
          </cell>
          <cell r="AE87" t="str">
            <v>POV0066937</v>
          </cell>
          <cell r="AF87" t="str">
            <v>ES</v>
          </cell>
        </row>
        <row r="88">
          <cell r="A88" t="str">
            <v>668-B29177-001</v>
          </cell>
          <cell r="B88" t="str">
            <v>CONN,HDR,PLUG,16POSN,1ROW,.1IN PITCH,TH</v>
          </cell>
          <cell r="C88" t="str">
            <v>CONN</v>
          </cell>
          <cell r="D88">
            <v>15</v>
          </cell>
          <cell r="E88">
            <v>1</v>
          </cell>
          <cell r="F88" t="str">
            <v>7 Weeks</v>
          </cell>
          <cell r="G88">
            <v>30</v>
          </cell>
          <cell r="H88">
            <v>1.5318750000000001</v>
          </cell>
          <cell r="I88">
            <v>45.956250000000004</v>
          </cell>
          <cell r="J88">
            <v>1.8681402439024393</v>
          </cell>
          <cell r="K88">
            <v>10.087957317073176</v>
          </cell>
          <cell r="L88">
            <v>56.04420731707318</v>
          </cell>
          <cell r="O88"/>
          <cell r="Q88">
            <v>1</v>
          </cell>
          <cell r="R88" t="str">
            <v>MTSW-116-22-T-S-440</v>
          </cell>
          <cell r="S88" t="str">
            <v>SAMTEC</v>
          </cell>
          <cell r="T88" t="str">
            <v>Samtec</v>
          </cell>
          <cell r="U88">
            <v>0.32</v>
          </cell>
          <cell r="V88">
            <v>30</v>
          </cell>
          <cell r="W88">
            <v>0</v>
          </cell>
          <cell r="X88" t="str">
            <v>1-2 wks</v>
          </cell>
          <cell r="Y88" t="str">
            <v>Y</v>
          </cell>
          <cell r="Z88">
            <v>9.6</v>
          </cell>
          <cell r="AA88">
            <v>36.356250000000003</v>
          </cell>
          <cell r="AB88">
            <v>0.82870665034679725</v>
          </cell>
          <cell r="AC88" t="str">
            <v>JH</v>
          </cell>
          <cell r="AD88">
            <v>1062721</v>
          </cell>
          <cell r="AE88" t="str">
            <v>POV0066937</v>
          </cell>
          <cell r="AF88" t="str">
            <v>ES</v>
          </cell>
        </row>
        <row r="89">
          <cell r="A89" t="str">
            <v>630-122761-001</v>
          </cell>
          <cell r="B89" t="str">
            <v>IC,SMD,BUS TRANSCEIVER 8BIT 20TSSOP</v>
          </cell>
          <cell r="C89" t="str">
            <v>IC</v>
          </cell>
          <cell r="D89">
            <v>25</v>
          </cell>
          <cell r="E89">
            <v>1</v>
          </cell>
          <cell r="F89" t="str">
            <v>48 Weeks</v>
          </cell>
          <cell r="G89">
            <v>2000</v>
          </cell>
          <cell r="H89">
            <v>0.116423</v>
          </cell>
          <cell r="I89">
            <v>232.846</v>
          </cell>
          <cell r="J89">
            <v>0.14197926829268293</v>
          </cell>
          <cell r="K89">
            <v>51.112536585365888</v>
          </cell>
          <cell r="L89">
            <v>283.95853658536583</v>
          </cell>
          <cell r="O89"/>
          <cell r="Q89">
            <v>1</v>
          </cell>
          <cell r="R89" t="str">
            <v>SN74LVC245APWR</v>
          </cell>
          <cell r="S89" t="str">
            <v>Texas Instruments</v>
          </cell>
          <cell r="T89" t="str">
            <v>Dragon</v>
          </cell>
          <cell r="U89">
            <v>0.08</v>
          </cell>
          <cell r="V89">
            <v>2000</v>
          </cell>
          <cell r="W89">
            <v>0</v>
          </cell>
          <cell r="X89" t="str">
            <v>1-2 wks</v>
          </cell>
          <cell r="Y89" t="str">
            <v>Y</v>
          </cell>
          <cell r="Z89">
            <v>160</v>
          </cell>
          <cell r="AA89">
            <v>72.846000000000004</v>
          </cell>
          <cell r="AB89">
            <v>0.4365374539395136</v>
          </cell>
          <cell r="AC89" t="str">
            <v>JH</v>
          </cell>
          <cell r="AD89">
            <v>1062721</v>
          </cell>
          <cell r="AE89" t="str">
            <v xml:space="preserve">POV0066915 </v>
          </cell>
          <cell r="AF89" t="str">
            <v>TX</v>
          </cell>
        </row>
        <row r="90">
          <cell r="A90" t="str">
            <v>609-017889-025</v>
          </cell>
          <cell r="B90" t="str">
            <v>DIO,SMD,VOLT REF 2.5V,LM4040, SOT23,ROHS</v>
          </cell>
          <cell r="C90" t="str">
            <v>DIO</v>
          </cell>
          <cell r="D90">
            <v>15</v>
          </cell>
          <cell r="E90">
            <v>1</v>
          </cell>
          <cell r="F90" t="str">
            <v>3 Weeks</v>
          </cell>
          <cell r="G90">
            <v>1000</v>
          </cell>
          <cell r="H90">
            <v>0.93137999999999999</v>
          </cell>
          <cell r="I90">
            <v>931.38</v>
          </cell>
          <cell r="J90">
            <v>1.1358292682926829</v>
          </cell>
          <cell r="K90">
            <v>204.44926829268309</v>
          </cell>
          <cell r="L90">
            <v>1135.8292682926829</v>
          </cell>
          <cell r="O90"/>
          <cell r="Q90">
            <v>1</v>
          </cell>
          <cell r="R90" t="str">
            <v>LM4040AIM3-2.5/NOPB</v>
          </cell>
          <cell r="S90" t="str">
            <v>TEXAS INSTRUMENTS</v>
          </cell>
          <cell r="T90" t="str">
            <v>Dragon</v>
          </cell>
          <cell r="U90">
            <v>0.54</v>
          </cell>
          <cell r="V90">
            <v>1000</v>
          </cell>
          <cell r="W90">
            <v>0</v>
          </cell>
          <cell r="X90" t="str">
            <v>1-2 WKS</v>
          </cell>
          <cell r="Y90" t="str">
            <v>Y</v>
          </cell>
          <cell r="Z90">
            <v>540</v>
          </cell>
          <cell r="AA90">
            <v>391.38</v>
          </cell>
          <cell r="AB90">
            <v>0.52457643496746753</v>
          </cell>
          <cell r="AC90" t="str">
            <v>JH</v>
          </cell>
          <cell r="AD90">
            <v>1062721</v>
          </cell>
          <cell r="AE90" t="str">
            <v xml:space="preserve">POV0066915 </v>
          </cell>
          <cell r="AF90" t="str">
            <v>TX</v>
          </cell>
        </row>
        <row r="91">
          <cell r="A91" t="str">
            <v>630-128822-001</v>
          </cell>
          <cell r="B91" t="str">
            <v>IC,SMD,V REG,LDO,POS ADJ,1.5A</v>
          </cell>
          <cell r="C91" t="str">
            <v>IC</v>
          </cell>
          <cell r="D91">
            <v>25</v>
          </cell>
          <cell r="E91">
            <v>3</v>
          </cell>
          <cell r="F91" t="str">
            <v>3 Weeks</v>
          </cell>
          <cell r="G91">
            <v>500</v>
          </cell>
          <cell r="H91">
            <v>1.91178</v>
          </cell>
          <cell r="I91">
            <v>955.89</v>
          </cell>
          <cell r="J91">
            <v>2.3314390243902441</v>
          </cell>
          <cell r="K91">
            <v>209.82951219512199</v>
          </cell>
          <cell r="L91">
            <v>1165.719512195122</v>
          </cell>
          <cell r="O91"/>
          <cell r="Q91">
            <v>1</v>
          </cell>
          <cell r="R91" t="str">
            <v>TPS7A4501KTTR</v>
          </cell>
          <cell r="S91" t="str">
            <v>Texas Instruments</v>
          </cell>
          <cell r="T91" t="str">
            <v>Dragon</v>
          </cell>
          <cell r="U91">
            <v>0.63</v>
          </cell>
          <cell r="V91">
            <v>500</v>
          </cell>
          <cell r="W91">
            <v>0</v>
          </cell>
          <cell r="X91" t="str">
            <v>1-2 wks</v>
          </cell>
          <cell r="Y91" t="str">
            <v>Y</v>
          </cell>
          <cell r="Z91">
            <v>315</v>
          </cell>
          <cell r="AA91">
            <v>640.89</v>
          </cell>
          <cell r="AB91">
            <v>0.72978062329347515</v>
          </cell>
          <cell r="AC91" t="str">
            <v>JH</v>
          </cell>
          <cell r="AD91">
            <v>1062721</v>
          </cell>
          <cell r="AE91" t="str">
            <v xml:space="preserve">POV0066915 </v>
          </cell>
          <cell r="AF91" t="str">
            <v>TX</v>
          </cell>
        </row>
        <row r="92">
          <cell r="A92" t="str">
            <v>39-108312-00</v>
          </cell>
          <cell r="B92" t="str">
            <v>CONN,DB15F,7W2,5SIG 2PWR</v>
          </cell>
          <cell r="C92" t="str">
            <v>CONN</v>
          </cell>
          <cell r="D92">
            <v>25</v>
          </cell>
          <cell r="E92">
            <v>1</v>
          </cell>
          <cell r="F92" t="str">
            <v>3 Weeks</v>
          </cell>
          <cell r="G92">
            <v>100</v>
          </cell>
          <cell r="H92">
            <v>5.6000449999999997</v>
          </cell>
          <cell r="I92">
            <v>560.00450000000001</v>
          </cell>
          <cell r="J92">
            <v>6.8293231707317075</v>
          </cell>
          <cell r="K92">
            <v>122.92781707317079</v>
          </cell>
          <cell r="L92">
            <v>682.93231707317079</v>
          </cell>
          <cell r="O92"/>
          <cell r="Q92">
            <v>1</v>
          </cell>
          <cell r="R92" t="str">
            <v>L77TWA7W2S</v>
          </cell>
          <cell r="S92" t="str">
            <v>Amphenol</v>
          </cell>
          <cell r="T92" t="str">
            <v>Arrow</v>
          </cell>
          <cell r="U92">
            <v>3.72</v>
          </cell>
          <cell r="V92">
            <v>101</v>
          </cell>
          <cell r="W92">
            <v>-1</v>
          </cell>
          <cell r="X92" t="str">
            <v>1 wk</v>
          </cell>
          <cell r="Y92" t="str">
            <v>Y</v>
          </cell>
          <cell r="Z92">
            <v>375.72</v>
          </cell>
          <cell r="AA92">
            <v>184.28449999999998</v>
          </cell>
          <cell r="AB92">
            <v>0.44984299233309732</v>
          </cell>
          <cell r="AC92" t="str">
            <v>JH</v>
          </cell>
          <cell r="AD92">
            <v>1062411</v>
          </cell>
          <cell r="AE92" t="str">
            <v>POV0066966</v>
          </cell>
          <cell r="AF92" t="str">
            <v>JH</v>
          </cell>
        </row>
        <row r="93">
          <cell r="A93" t="str">
            <v>615-A00424-301</v>
          </cell>
          <cell r="B93" t="str">
            <v>RES,SMD,30.1KOHM,0.1%,1/16W,0402</v>
          </cell>
          <cell r="C93" t="str">
            <v>RES</v>
          </cell>
          <cell r="D93">
            <v>25</v>
          </cell>
          <cell r="E93">
            <v>1</v>
          </cell>
          <cell r="F93" t="str">
            <v>22 Weeks</v>
          </cell>
          <cell r="G93">
            <v>10000</v>
          </cell>
          <cell r="H93">
            <v>4.1116E-2</v>
          </cell>
          <cell r="I93">
            <v>411.16</v>
          </cell>
          <cell r="J93">
            <v>5.0141463414634151E-2</v>
          </cell>
          <cell r="K93">
            <v>90.254634146341516</v>
          </cell>
          <cell r="L93">
            <v>501.41463414634148</v>
          </cell>
          <cell r="O93"/>
          <cell r="Q93">
            <v>2</v>
          </cell>
          <cell r="R93" t="str">
            <v>RT0402BRD0730K1L</v>
          </cell>
          <cell r="S93" t="str">
            <v>Yageo</v>
          </cell>
          <cell r="T93" t="str">
            <v>Arrow</v>
          </cell>
          <cell r="U93">
            <v>9.7000000000000003E-3</v>
          </cell>
          <cell r="V93">
            <v>10000</v>
          </cell>
          <cell r="W93">
            <v>0</v>
          </cell>
          <cell r="X93">
            <v>1</v>
          </cell>
          <cell r="Y93" t="str">
            <v>Y</v>
          </cell>
          <cell r="Z93">
            <v>97</v>
          </cell>
          <cell r="AA93">
            <v>314.16000000000003</v>
          </cell>
          <cell r="AB93">
            <v>0.80654732950676133</v>
          </cell>
          <cell r="AC93" t="str">
            <v>JH</v>
          </cell>
          <cell r="AD93">
            <v>1062411</v>
          </cell>
          <cell r="AE93" t="str">
            <v>POV0066966</v>
          </cell>
          <cell r="AF93" t="str">
            <v>JH</v>
          </cell>
        </row>
        <row r="94">
          <cell r="A94" t="str">
            <v>615-303725-083</v>
          </cell>
          <cell r="B94" t="str">
            <v>RES,SMD,5.9K,0.1%,1/16W,0402,ROHS</v>
          </cell>
          <cell r="C94" t="str">
            <v>RES</v>
          </cell>
          <cell r="D94">
            <v>15</v>
          </cell>
          <cell r="E94">
            <v>1</v>
          </cell>
          <cell r="F94" t="str">
            <v>23 Weeks</v>
          </cell>
          <cell r="G94">
            <v>10000</v>
          </cell>
          <cell r="H94">
            <v>4.1116E-2</v>
          </cell>
          <cell r="I94">
            <v>411.16</v>
          </cell>
          <cell r="J94">
            <v>5.0141463414634151E-2</v>
          </cell>
          <cell r="K94">
            <v>90.254634146341516</v>
          </cell>
          <cell r="L94">
            <v>501.41463414634148</v>
          </cell>
          <cell r="O94"/>
          <cell r="Q94">
            <v>2</v>
          </cell>
          <cell r="R94" t="str">
            <v>RT0402BRD075K9L</v>
          </cell>
          <cell r="S94" t="str">
            <v>Yageo</v>
          </cell>
          <cell r="T94" t="str">
            <v>Arrow</v>
          </cell>
          <cell r="U94">
            <v>1.46E-2</v>
          </cell>
          <cell r="V94">
            <v>10000</v>
          </cell>
          <cell r="W94">
            <v>0</v>
          </cell>
          <cell r="X94">
            <v>1</v>
          </cell>
          <cell r="Y94" t="str">
            <v>Y</v>
          </cell>
          <cell r="Z94">
            <v>146</v>
          </cell>
          <cell r="AA94">
            <v>265.16000000000003</v>
          </cell>
          <cell r="AB94">
            <v>0.70882381554625939</v>
          </cell>
          <cell r="AC94" t="str">
            <v>JH</v>
          </cell>
          <cell r="AD94">
            <v>1062411</v>
          </cell>
          <cell r="AE94" t="str">
            <v>POV0066966</v>
          </cell>
          <cell r="AF94" t="str">
            <v>JH</v>
          </cell>
        </row>
        <row r="95">
          <cell r="A95" t="str">
            <v>615-A00424-243</v>
          </cell>
          <cell r="B95" t="str">
            <v>RES,SMD,24.3KOHM,0.1%,1/16W,0402</v>
          </cell>
          <cell r="C95" t="str">
            <v>RES</v>
          </cell>
          <cell r="D95">
            <v>15</v>
          </cell>
          <cell r="E95">
            <v>1</v>
          </cell>
          <cell r="F95" t="str">
            <v>22 Weeks</v>
          </cell>
          <cell r="G95">
            <v>10000</v>
          </cell>
          <cell r="H95">
            <v>4.1116E-2</v>
          </cell>
          <cell r="I95">
            <v>411.16</v>
          </cell>
          <cell r="J95">
            <v>5.0141463414634151E-2</v>
          </cell>
          <cell r="K95">
            <v>90.254634146341516</v>
          </cell>
          <cell r="L95">
            <v>501.41463414634148</v>
          </cell>
          <cell r="O95"/>
          <cell r="Q95">
            <v>2</v>
          </cell>
          <cell r="R95" t="str">
            <v>RT0402BRD0724K3L</v>
          </cell>
          <cell r="S95" t="str">
            <v>Yageo</v>
          </cell>
          <cell r="T95" t="str">
            <v>Arrow</v>
          </cell>
          <cell r="U95">
            <v>9.7000000000000003E-3</v>
          </cell>
          <cell r="V95">
            <v>10000</v>
          </cell>
          <cell r="W95">
            <v>0</v>
          </cell>
          <cell r="X95">
            <v>1</v>
          </cell>
          <cell r="Y95" t="str">
            <v>Y</v>
          </cell>
          <cell r="Z95">
            <v>97</v>
          </cell>
          <cell r="AA95">
            <v>314.16000000000003</v>
          </cell>
          <cell r="AB95">
            <v>0.80654732950676133</v>
          </cell>
          <cell r="AC95" t="str">
            <v>JH</v>
          </cell>
          <cell r="AD95">
            <v>1061913</v>
          </cell>
          <cell r="AE95" t="str">
            <v>POV0066966</v>
          </cell>
          <cell r="AF95" t="str">
            <v>JH</v>
          </cell>
        </row>
        <row r="96">
          <cell r="A96" t="str">
            <v>630-280302-001</v>
          </cell>
          <cell r="B96" t="str">
            <v>IC,SMD,FLASH,128MBIT,3.3V,8SOIC</v>
          </cell>
          <cell r="C96" t="str">
            <v>IC</v>
          </cell>
          <cell r="D96">
            <v>15</v>
          </cell>
          <cell r="E96">
            <v>3</v>
          </cell>
          <cell r="F96" t="str">
            <v>3 Weeks</v>
          </cell>
          <cell r="G96">
            <v>2000</v>
          </cell>
          <cell r="H96">
            <v>1.2502800000000001</v>
          </cell>
          <cell r="I96">
            <v>2500.56</v>
          </cell>
          <cell r="J96">
            <v>1.5247317073170734</v>
          </cell>
          <cell r="K96">
            <v>548.90341463414643</v>
          </cell>
          <cell r="L96">
            <v>3049.4634146341468</v>
          </cell>
          <cell r="O96"/>
          <cell r="Q96">
            <v>2</v>
          </cell>
          <cell r="R96" t="str">
            <v>W25Q128JVSIQ</v>
          </cell>
          <cell r="S96" t="str">
            <v>Winbond</v>
          </cell>
          <cell r="T96" t="str">
            <v>Onway</v>
          </cell>
          <cell r="U96">
            <v>0.27</v>
          </cell>
          <cell r="V96">
            <v>2000</v>
          </cell>
          <cell r="W96">
            <v>0</v>
          </cell>
          <cell r="X96" t="str">
            <v>1-2 wks</v>
          </cell>
          <cell r="Y96" t="str">
            <v>Y</v>
          </cell>
          <cell r="Z96">
            <v>540</v>
          </cell>
          <cell r="AA96">
            <v>1960.56</v>
          </cell>
          <cell r="AB96">
            <v>0.82291966599481725</v>
          </cell>
          <cell r="AC96" t="str">
            <v>JH</v>
          </cell>
          <cell r="AD96">
            <v>1062721</v>
          </cell>
          <cell r="AE96" t="str">
            <v>POV0066959</v>
          </cell>
          <cell r="AF96" t="str">
            <v>TX</v>
          </cell>
        </row>
        <row r="97">
          <cell r="A97" t="str">
            <v>668-A75034-005</v>
          </cell>
          <cell r="B97" t="str">
            <v>CONN,RCPT,6POSN,1.5MM PITCH,BEIGE</v>
          </cell>
          <cell r="C97" t="str">
            <v>CONN</v>
          </cell>
          <cell r="D97">
            <v>25</v>
          </cell>
          <cell r="E97">
            <v>1</v>
          </cell>
          <cell r="F97" t="str">
            <v>3 Weeks</v>
          </cell>
          <cell r="G97">
            <v>1620</v>
          </cell>
          <cell r="H97">
            <v>0.31005199999999999</v>
          </cell>
          <cell r="I97">
            <v>502.28424000000001</v>
          </cell>
          <cell r="J97">
            <v>0.37811219512195121</v>
          </cell>
          <cell r="K97">
            <v>110.25751609756099</v>
          </cell>
          <cell r="L97">
            <v>612.54175609756101</v>
          </cell>
          <cell r="O97"/>
          <cell r="Q97">
            <v>1</v>
          </cell>
          <cell r="R97">
            <v>5031590600</v>
          </cell>
          <cell r="S97" t="str">
            <v>MOLEX, LLC</v>
          </cell>
          <cell r="T97" t="str">
            <v>Arrow</v>
          </cell>
          <cell r="U97">
            <v>0.16900000000000001</v>
          </cell>
          <cell r="V97">
            <v>1621</v>
          </cell>
          <cell r="W97">
            <v>-1</v>
          </cell>
          <cell r="X97" t="str">
            <v>1 wk</v>
          </cell>
          <cell r="Y97" t="str">
            <v>Y</v>
          </cell>
          <cell r="Z97">
            <v>273.94900000000001</v>
          </cell>
          <cell r="AA97">
            <v>228.33524</v>
          </cell>
          <cell r="AB97">
            <v>0.5527668158570932</v>
          </cell>
          <cell r="AC97" t="str">
            <v>JH</v>
          </cell>
          <cell r="AD97">
            <v>1062411</v>
          </cell>
          <cell r="AE97" t="str">
            <v>POV0066966</v>
          </cell>
          <cell r="AF97" t="str">
            <v>JH</v>
          </cell>
        </row>
        <row r="98">
          <cell r="A98" t="str">
            <v>668-B33354-002</v>
          </cell>
          <cell r="B98" t="str">
            <v>CONN,HDR,SHRD,PCB,VERT,1ROW,2POSN,3A</v>
          </cell>
          <cell r="C98" t="str">
            <v>CONN</v>
          </cell>
          <cell r="D98">
            <v>75</v>
          </cell>
          <cell r="E98">
            <v>1</v>
          </cell>
          <cell r="F98" t="str">
            <v>14 Weeks</v>
          </cell>
          <cell r="G98">
            <v>1600</v>
          </cell>
          <cell r="H98">
            <v>1.8505050000000001</v>
          </cell>
          <cell r="I98">
            <v>2960.808</v>
          </cell>
          <cell r="J98">
            <v>2.2567134146341465</v>
          </cell>
          <cell r="K98">
            <v>649.93346341463439</v>
          </cell>
          <cell r="L98">
            <v>3610.7414634146344</v>
          </cell>
          <cell r="O98"/>
          <cell r="Q98">
            <v>2</v>
          </cell>
          <cell r="R98" t="str">
            <v>5-1375583-1</v>
          </cell>
          <cell r="S98" t="str">
            <v>Tyco</v>
          </cell>
          <cell r="T98" t="str">
            <v>Arrow</v>
          </cell>
          <cell r="U98">
            <v>0.16500000000000001</v>
          </cell>
          <cell r="V98">
            <v>1600</v>
          </cell>
          <cell r="W98">
            <v>0</v>
          </cell>
          <cell r="X98">
            <v>1</v>
          </cell>
          <cell r="Y98" t="str">
            <v>Y</v>
          </cell>
          <cell r="Z98">
            <v>264</v>
          </cell>
          <cell r="AA98">
            <v>2696.808</v>
          </cell>
          <cell r="AB98">
            <v>0.92688482333200939</v>
          </cell>
          <cell r="AC98" t="str">
            <v>JH</v>
          </cell>
          <cell r="AD98">
            <v>1061913</v>
          </cell>
          <cell r="AE98" t="str">
            <v>POV0066966</v>
          </cell>
          <cell r="AF98" t="str">
            <v>JH</v>
          </cell>
        </row>
        <row r="99">
          <cell r="A99" t="str">
            <v>644-A41296-024</v>
          </cell>
          <cell r="B99" t="str">
            <v>RLY,PWR,1POLE,SPDT,24VDC,12A,FLUX PROT</v>
          </cell>
          <cell r="C99" t="str">
            <v>RLY</v>
          </cell>
          <cell r="D99">
            <v>25</v>
          </cell>
          <cell r="E99">
            <v>1</v>
          </cell>
          <cell r="F99" t="str">
            <v>17 Weeks</v>
          </cell>
          <cell r="G99">
            <v>200</v>
          </cell>
          <cell r="H99">
            <v>1.9853099999999999</v>
          </cell>
          <cell r="I99">
            <v>397.06199999999995</v>
          </cell>
          <cell r="J99">
            <v>2.421109756097561</v>
          </cell>
          <cell r="K99">
            <v>87.159951219512209</v>
          </cell>
          <cell r="L99">
            <v>484.22195121951222</v>
          </cell>
          <cell r="O99"/>
          <cell r="Q99">
            <v>2</v>
          </cell>
          <cell r="R99" t="str">
            <v>G2RL-1-DC24</v>
          </cell>
          <cell r="S99" t="str">
            <v>Omron Electronics</v>
          </cell>
          <cell r="T99" t="str">
            <v>Arrow</v>
          </cell>
          <cell r="U99">
            <v>0.71899999999999997</v>
          </cell>
          <cell r="V99">
            <v>200</v>
          </cell>
          <cell r="W99">
            <v>0</v>
          </cell>
          <cell r="X99">
            <v>1</v>
          </cell>
          <cell r="Y99" t="str">
            <v>Y</v>
          </cell>
          <cell r="Z99">
            <v>143.79999999999998</v>
          </cell>
          <cell r="AA99">
            <v>253.26199999999997</v>
          </cell>
          <cell r="AB99">
            <v>0.70302874614040123</v>
          </cell>
          <cell r="AC99" t="str">
            <v>JH</v>
          </cell>
          <cell r="AD99">
            <v>1062411</v>
          </cell>
          <cell r="AE99" t="str">
            <v>POV0066966</v>
          </cell>
          <cell r="AF99" t="str">
            <v>JH</v>
          </cell>
        </row>
        <row r="100">
          <cell r="A100" t="str">
            <v>34-267566-00</v>
          </cell>
          <cell r="B100" t="str">
            <v>CB,6.3A,1P,24V,2,PC MOUNT,THERMAL</v>
          </cell>
          <cell r="C100" t="str">
            <v>CB</v>
          </cell>
          <cell r="D100">
            <v>15</v>
          </cell>
          <cell r="E100" t="str">
            <v>N/A</v>
          </cell>
          <cell r="F100" t="str">
            <v>9 Weeks</v>
          </cell>
          <cell r="G100">
            <v>100</v>
          </cell>
          <cell r="H100">
            <v>8.4804600000000008</v>
          </cell>
          <cell r="I100">
            <v>848.04600000000005</v>
          </cell>
          <cell r="J100">
            <v>10.342024390243903</v>
          </cell>
          <cell r="K100">
            <v>186.15643902439024</v>
          </cell>
          <cell r="L100">
            <v>1034.2024390243903</v>
          </cell>
          <cell r="O100"/>
          <cell r="Q100">
            <v>1</v>
          </cell>
          <cell r="R100" t="str">
            <v>1410-L110-L1F1-S01-6.3A</v>
          </cell>
          <cell r="S100" t="str">
            <v>E-T-A ENGINEERING TECHNOLOGY</v>
          </cell>
          <cell r="T100" t="str">
            <v>Sager</v>
          </cell>
          <cell r="U100">
            <v>7.95</v>
          </cell>
          <cell r="V100">
            <v>100</v>
          </cell>
          <cell r="W100">
            <v>0</v>
          </cell>
          <cell r="X100">
            <v>1</v>
          </cell>
          <cell r="Y100" t="str">
            <v>Y</v>
          </cell>
          <cell r="Z100">
            <v>795</v>
          </cell>
          <cell r="AA100">
            <v>53.046000000000049</v>
          </cell>
          <cell r="AB100">
            <v>0.23129169879935763</v>
          </cell>
          <cell r="AC100" t="str">
            <v>JH</v>
          </cell>
          <cell r="AD100">
            <v>1062721</v>
          </cell>
          <cell r="AE100" t="str">
            <v>POV0067004</v>
          </cell>
          <cell r="AF100" t="str">
            <v>JH</v>
          </cell>
        </row>
        <row r="101">
          <cell r="A101" t="str">
            <v>668-106255-002</v>
          </cell>
          <cell r="B101" t="str">
            <v>CONN,MDLR,RJ45,RA,1X2,SH,ROHS</v>
          </cell>
          <cell r="C101" t="str">
            <v>CONN</v>
          </cell>
          <cell r="D101">
            <v>15</v>
          </cell>
          <cell r="E101">
            <v>1</v>
          </cell>
          <cell r="F101" t="str">
            <v>25 Weeks</v>
          </cell>
          <cell r="G101">
            <v>220</v>
          </cell>
          <cell r="H101">
            <v>2.4632550000000002</v>
          </cell>
          <cell r="I101">
            <v>541.91610000000003</v>
          </cell>
          <cell r="J101">
            <v>3.0039695121951224</v>
          </cell>
          <cell r="K101">
            <v>118.95719268292692</v>
          </cell>
          <cell r="L101">
            <v>660.87329268292694</v>
          </cell>
          <cell r="O101"/>
          <cell r="Q101">
            <v>1</v>
          </cell>
          <cell r="R101" t="str">
            <v>GSGX-NS-2-88</v>
          </cell>
          <cell r="S101" t="str">
            <v>KYCON, INC</v>
          </cell>
          <cell r="T101" t="str">
            <v>Sager</v>
          </cell>
          <cell r="U101">
            <v>1.88</v>
          </cell>
          <cell r="V101">
            <v>220</v>
          </cell>
          <cell r="W101">
            <v>0</v>
          </cell>
          <cell r="X101">
            <v>1</v>
          </cell>
          <cell r="Y101" t="str">
            <v>Y</v>
          </cell>
          <cell r="Z101">
            <v>413.59999999999997</v>
          </cell>
          <cell r="AA101">
            <v>128.31610000000006</v>
          </cell>
          <cell r="AB101">
            <v>0.374161424619051</v>
          </cell>
          <cell r="AC101" t="str">
            <v>JH</v>
          </cell>
          <cell r="AD101">
            <v>1062721</v>
          </cell>
          <cell r="AE101" t="str">
            <v>POV0067004</v>
          </cell>
          <cell r="AF101" t="str">
            <v>JH</v>
          </cell>
        </row>
        <row r="102">
          <cell r="A102" t="str">
            <v>644-A12839-001</v>
          </cell>
          <cell r="B102" t="str">
            <v>RLY,NON LCH,DPDT,10A,24VDC,STD,TH</v>
          </cell>
          <cell r="C102" t="str">
            <v>RLY</v>
          </cell>
          <cell r="D102">
            <v>25</v>
          </cell>
          <cell r="E102" t="str">
            <v>N/A</v>
          </cell>
          <cell r="F102" t="str">
            <v>13 Weeks</v>
          </cell>
          <cell r="G102">
            <v>50</v>
          </cell>
          <cell r="H102">
            <v>11.104255999999999</v>
          </cell>
          <cell r="I102">
            <v>555.21280000000002</v>
          </cell>
          <cell r="J102">
            <v>13.541775609756098</v>
          </cell>
          <cell r="K102">
            <v>121.8759804878049</v>
          </cell>
          <cell r="L102">
            <v>677.08878048780491</v>
          </cell>
          <cell r="O102"/>
          <cell r="Q102">
            <v>1</v>
          </cell>
          <cell r="R102" t="str">
            <v>RH2V2-UDC24V</v>
          </cell>
          <cell r="S102" t="str">
            <v>IDEC</v>
          </cell>
          <cell r="T102" t="str">
            <v>Sager</v>
          </cell>
          <cell r="U102">
            <v>7.34</v>
          </cell>
          <cell r="V102">
            <v>50</v>
          </cell>
          <cell r="W102">
            <v>0</v>
          </cell>
          <cell r="X102">
            <v>1</v>
          </cell>
          <cell r="Y102" t="str">
            <v>Y</v>
          </cell>
          <cell r="Z102">
            <v>367</v>
          </cell>
          <cell r="AA102">
            <v>188.21280000000002</v>
          </cell>
          <cell r="AB102">
            <v>0.45797359138694216</v>
          </cell>
          <cell r="AC102" t="str">
            <v>JH</v>
          </cell>
          <cell r="AD102">
            <v>1062721</v>
          </cell>
          <cell r="AE102" t="str">
            <v>POV0067004</v>
          </cell>
          <cell r="AF102" t="str">
            <v>JH</v>
          </cell>
        </row>
        <row r="103">
          <cell r="A103" t="str">
            <v>645-A87739-001</v>
          </cell>
          <cell r="B103" t="str">
            <v>SW,PCB,SLIDE ACTR,0.5A,12V,AXIAL PIN,BLK</v>
          </cell>
          <cell r="C103" t="str">
            <v>SW</v>
          </cell>
          <cell r="D103">
            <v>25</v>
          </cell>
          <cell r="E103" t="str">
            <v>N/A</v>
          </cell>
          <cell r="F103" t="str">
            <v>12 Weeks</v>
          </cell>
          <cell r="G103">
            <v>200</v>
          </cell>
          <cell r="H103">
            <v>1.8837159999999999</v>
          </cell>
          <cell r="I103">
            <v>376.7432</v>
          </cell>
          <cell r="J103">
            <v>2.2972146341463415</v>
          </cell>
          <cell r="K103">
            <v>82.699726829268343</v>
          </cell>
          <cell r="L103">
            <v>459.44292682926829</v>
          </cell>
          <cell r="O103"/>
          <cell r="Q103">
            <v>1</v>
          </cell>
          <cell r="R103" t="str">
            <v>09.03290.01</v>
          </cell>
          <cell r="S103" t="str">
            <v>EOZ S.A.S</v>
          </cell>
          <cell r="T103" t="str">
            <v>Sager</v>
          </cell>
          <cell r="U103">
            <v>1.51</v>
          </cell>
          <cell r="V103">
            <v>200</v>
          </cell>
          <cell r="W103">
            <v>0</v>
          </cell>
          <cell r="X103">
            <v>1</v>
          </cell>
          <cell r="Y103" t="str">
            <v>Y</v>
          </cell>
          <cell r="Z103">
            <v>302</v>
          </cell>
          <cell r="AA103">
            <v>74.743200000000002</v>
          </cell>
          <cell r="AB103">
            <v>0.34268223023003463</v>
          </cell>
          <cell r="AC103" t="str">
            <v>JH</v>
          </cell>
          <cell r="AD103">
            <v>1062721</v>
          </cell>
          <cell r="AE103" t="str">
            <v>POV0067004</v>
          </cell>
          <cell r="AF103" t="str">
            <v>JH</v>
          </cell>
        </row>
        <row r="104">
          <cell r="A104" t="str">
            <v>31-10099-00</v>
          </cell>
          <cell r="B104" t="str">
            <v>KEYING PLUG,D CONN</v>
          </cell>
          <cell r="C104" t="str">
            <v>KEYING PLUG</v>
          </cell>
          <cell r="D104">
            <v>50</v>
          </cell>
          <cell r="E104" t="str">
            <v>N/A</v>
          </cell>
          <cell r="F104" t="str">
            <v>9 Weeks</v>
          </cell>
          <cell r="G104">
            <v>2000</v>
          </cell>
          <cell r="H104">
            <v>0.39100000000000001</v>
          </cell>
          <cell r="I104">
            <v>782</v>
          </cell>
          <cell r="J104">
            <v>0.47682926829268296</v>
          </cell>
          <cell r="K104">
            <v>171.65853658536594</v>
          </cell>
          <cell r="L104">
            <v>953.65853658536594</v>
          </cell>
          <cell r="O104"/>
          <cell r="Q104">
            <v>1</v>
          </cell>
          <cell r="R104" t="str">
            <v>206509-1</v>
          </cell>
          <cell r="S104" t="str">
            <v>AMP/TE Connectivity</v>
          </cell>
          <cell r="T104" t="str">
            <v>Future</v>
          </cell>
          <cell r="U104">
            <v>0.245</v>
          </cell>
          <cell r="V104">
            <v>2000</v>
          </cell>
          <cell r="W104">
            <v>0</v>
          </cell>
          <cell r="X104" t="str">
            <v>1-2 wks</v>
          </cell>
          <cell r="Y104" t="str">
            <v>Y</v>
          </cell>
          <cell r="Z104">
            <v>490</v>
          </cell>
          <cell r="AA104">
            <v>292</v>
          </cell>
          <cell r="AB104">
            <v>0.48618925831202053</v>
          </cell>
          <cell r="AC104" t="str">
            <v>SH</v>
          </cell>
          <cell r="AD104">
            <v>1062721</v>
          </cell>
          <cell r="AE104" t="str">
            <v>POV0067005</v>
          </cell>
          <cell r="AF104" t="str">
            <v>Stephanie Hill</v>
          </cell>
        </row>
        <row r="105">
          <cell r="A105" t="str">
            <v>648-100823-001</v>
          </cell>
          <cell r="B105" t="str">
            <v>CAP,5750,CER,X7R,10%,50V,10UF</v>
          </cell>
          <cell r="C105" t="str">
            <v>CAP</v>
          </cell>
          <cell r="D105">
            <v>25</v>
          </cell>
          <cell r="E105">
            <v>1</v>
          </cell>
          <cell r="F105" t="str">
            <v>49 Weeks</v>
          </cell>
          <cell r="G105">
            <v>500</v>
          </cell>
          <cell r="H105">
            <v>0.85858000000000001</v>
          </cell>
          <cell r="I105">
            <v>429.29</v>
          </cell>
          <cell r="J105">
            <v>1.047048780487805</v>
          </cell>
          <cell r="K105">
            <v>94.23439024390251</v>
          </cell>
          <cell r="L105">
            <v>523.52439024390253</v>
          </cell>
          <cell r="O105"/>
          <cell r="Q105">
            <v>1</v>
          </cell>
          <cell r="R105" t="str">
            <v>C5750X7R1H106K</v>
          </cell>
          <cell r="S105" t="str">
            <v>TDK</v>
          </cell>
          <cell r="T105" t="str">
            <v>Future</v>
          </cell>
          <cell r="U105">
            <v>0.56999999999999995</v>
          </cell>
          <cell r="V105">
            <v>500</v>
          </cell>
          <cell r="W105">
            <v>0</v>
          </cell>
          <cell r="X105" t="str">
            <v>1-2 wks</v>
          </cell>
          <cell r="Y105" t="str">
            <v>Y</v>
          </cell>
          <cell r="Z105">
            <v>285</v>
          </cell>
          <cell r="AA105">
            <v>144.29000000000002</v>
          </cell>
          <cell r="AB105">
            <v>0.45561275594586415</v>
          </cell>
          <cell r="AC105" t="str">
            <v>SH</v>
          </cell>
          <cell r="AD105">
            <v>1062721</v>
          </cell>
          <cell r="AE105" t="str">
            <v>POV0067005</v>
          </cell>
          <cell r="AF105" t="str">
            <v>Stephanie Hill</v>
          </cell>
        </row>
        <row r="106">
          <cell r="A106" t="str">
            <v>615-188549-106</v>
          </cell>
          <cell r="B106" t="str">
            <v>RES,0402,1% 1/16W,12.1K ROHS</v>
          </cell>
          <cell r="C106" t="str">
            <v>RES</v>
          </cell>
          <cell r="D106">
            <v>25</v>
          </cell>
          <cell r="E106">
            <v>1</v>
          </cell>
          <cell r="F106" t="str">
            <v>21 Weeks</v>
          </cell>
          <cell r="G106">
            <v>10000</v>
          </cell>
          <cell r="H106">
            <v>3.3700000000000002E-3</v>
          </cell>
          <cell r="I106">
            <v>33.700000000000003</v>
          </cell>
          <cell r="J106">
            <v>4.1097560975609758E-3</v>
          </cell>
          <cell r="K106">
            <v>7.3975609756097569</v>
          </cell>
          <cell r="L106">
            <v>41.09756097560976</v>
          </cell>
          <cell r="O106"/>
          <cell r="Q106">
            <v>2</v>
          </cell>
          <cell r="R106" t="str">
            <v>CRCW040212K1FKED</v>
          </cell>
          <cell r="S106" t="str">
            <v>Vishay</v>
          </cell>
          <cell r="T106" t="str">
            <v>Future</v>
          </cell>
          <cell r="U106">
            <v>2.0300000000000001E-3</v>
          </cell>
          <cell r="V106">
            <v>10000</v>
          </cell>
          <cell r="W106">
            <v>0</v>
          </cell>
          <cell r="X106" t="str">
            <v>1-2 wks</v>
          </cell>
          <cell r="Y106" t="str">
            <v>Y</v>
          </cell>
          <cell r="Z106">
            <v>20.3</v>
          </cell>
          <cell r="AA106">
            <v>13.400000000000002</v>
          </cell>
          <cell r="AB106">
            <v>0.50605341246290803</v>
          </cell>
          <cell r="AC106" t="str">
            <v>SH</v>
          </cell>
          <cell r="AD106">
            <v>1062721</v>
          </cell>
          <cell r="AE106" t="str">
            <v>POV0067005</v>
          </cell>
          <cell r="AF106" t="str">
            <v>Stephanie Hill</v>
          </cell>
        </row>
        <row r="107">
          <cell r="A107" t="str">
            <v>615-052828-680</v>
          </cell>
          <cell r="B107" t="str">
            <v>RES,SMD,0805,MF,1/8W,0.1%,680K,ROHS</v>
          </cell>
          <cell r="C107" t="str">
            <v>RES</v>
          </cell>
          <cell r="D107">
            <v>15</v>
          </cell>
          <cell r="E107">
            <v>1</v>
          </cell>
          <cell r="F107" t="str">
            <v>21 Weeks</v>
          </cell>
          <cell r="G107">
            <v>5000</v>
          </cell>
          <cell r="H107">
            <v>3.4313999999999997E-2</v>
          </cell>
          <cell r="I107">
            <v>171.57</v>
          </cell>
          <cell r="J107">
            <v>4.1846341463414635E-2</v>
          </cell>
          <cell r="K107">
            <v>37.661707317073194</v>
          </cell>
          <cell r="L107">
            <v>209.23170731707319</v>
          </cell>
          <cell r="O107"/>
          <cell r="Q107">
            <v>1</v>
          </cell>
          <cell r="R107" t="str">
            <v>ERA6AEB684</v>
          </cell>
          <cell r="S107" t="str">
            <v>Panasonic</v>
          </cell>
          <cell r="T107" t="str">
            <v>Future</v>
          </cell>
          <cell r="U107">
            <v>2.4199999999999999E-2</v>
          </cell>
          <cell r="V107">
            <v>5000</v>
          </cell>
          <cell r="W107">
            <v>0</v>
          </cell>
          <cell r="X107" t="str">
            <v>1-2 wks</v>
          </cell>
          <cell r="Y107" t="str">
            <v>Y</v>
          </cell>
          <cell r="Z107">
            <v>121</v>
          </cell>
          <cell r="AA107">
            <v>50.569999999999993</v>
          </cell>
          <cell r="AB107">
            <v>0.42169376930698843</v>
          </cell>
          <cell r="AC107" t="str">
            <v>SH</v>
          </cell>
          <cell r="AD107">
            <v>1062721</v>
          </cell>
          <cell r="AE107" t="str">
            <v>POV0067005</v>
          </cell>
          <cell r="AF107" t="str">
            <v>Stephanie Hill</v>
          </cell>
        </row>
        <row r="108">
          <cell r="A108" t="str">
            <v>648-A35848-056</v>
          </cell>
          <cell r="B108" t="str">
            <v>CAP,SMD,AL POLYMER,56UF,20V,±20%,B6</v>
          </cell>
          <cell r="C108" t="str">
            <v>CAP</v>
          </cell>
          <cell r="D108">
            <v>15</v>
          </cell>
          <cell r="E108">
            <v>1</v>
          </cell>
          <cell r="F108" t="str">
            <v>18 Weeks</v>
          </cell>
          <cell r="G108">
            <v>1500</v>
          </cell>
          <cell r="H108">
            <v>0.34559099999999998</v>
          </cell>
          <cell r="I108">
            <v>518.38649999999996</v>
          </cell>
          <cell r="J108">
            <v>0.42145243902439022</v>
          </cell>
          <cell r="K108">
            <v>113.79215853658536</v>
          </cell>
          <cell r="L108">
            <v>632.17865853658532</v>
          </cell>
          <cell r="O108"/>
          <cell r="Q108">
            <v>1</v>
          </cell>
          <cell r="R108" t="str">
            <v>20SVPF56MX</v>
          </cell>
          <cell r="S108" t="str">
            <v>Panasonic</v>
          </cell>
          <cell r="T108" t="str">
            <v>Future</v>
          </cell>
          <cell r="U108">
            <v>0.29499999999999998</v>
          </cell>
          <cell r="V108">
            <v>1500</v>
          </cell>
          <cell r="W108">
            <v>0</v>
          </cell>
          <cell r="X108" t="str">
            <v>1-2 wks</v>
          </cell>
          <cell r="Y108" t="str">
            <v>Y</v>
          </cell>
          <cell r="Z108">
            <v>442.5</v>
          </cell>
          <cell r="AA108">
            <v>75.886499999999955</v>
          </cell>
          <cell r="AB108">
            <v>0.30003964223605351</v>
          </cell>
          <cell r="AC108" t="str">
            <v>SH</v>
          </cell>
          <cell r="AD108">
            <v>1062721</v>
          </cell>
          <cell r="AE108" t="str">
            <v>POV0067005</v>
          </cell>
          <cell r="AF108" t="str">
            <v>Stephanie Hill</v>
          </cell>
        </row>
        <row r="109">
          <cell r="A109" t="str">
            <v>668-293080-002</v>
          </cell>
          <cell r="B109" t="str">
            <v>CONN,HDR,RTANG,2 ROWS,2 CKT,PCB MT</v>
          </cell>
          <cell r="C109" t="str">
            <v>CONN</v>
          </cell>
          <cell r="D109">
            <v>15</v>
          </cell>
          <cell r="E109">
            <v>1</v>
          </cell>
          <cell r="F109" t="str">
            <v>10 Weeks</v>
          </cell>
          <cell r="G109">
            <v>500</v>
          </cell>
          <cell r="H109">
            <v>0.71936900000000004</v>
          </cell>
          <cell r="I109">
            <v>359.68450000000001</v>
          </cell>
          <cell r="J109">
            <v>0.87727926829268299</v>
          </cell>
          <cell r="K109">
            <v>78.955134146341493</v>
          </cell>
          <cell r="L109">
            <v>438.63963414634151</v>
          </cell>
          <cell r="O109"/>
          <cell r="Q109">
            <v>1</v>
          </cell>
          <cell r="R109" t="str">
            <v>43045-0200</v>
          </cell>
          <cell r="S109" t="str">
            <v>MOLEX</v>
          </cell>
          <cell r="T109" t="str">
            <v>Future</v>
          </cell>
          <cell r="U109">
            <v>0.14499999999999999</v>
          </cell>
          <cell r="V109">
            <v>500</v>
          </cell>
          <cell r="W109">
            <v>0</v>
          </cell>
          <cell r="X109" t="str">
            <v>1-2 wks</v>
          </cell>
          <cell r="Y109" t="str">
            <v>Y</v>
          </cell>
          <cell r="Z109">
            <v>72.5</v>
          </cell>
          <cell r="AA109">
            <v>287.18450000000001</v>
          </cell>
          <cell r="AB109">
            <v>0.83471625827635054</v>
          </cell>
          <cell r="AC109" t="str">
            <v>SH</v>
          </cell>
          <cell r="AD109">
            <v>1062721</v>
          </cell>
          <cell r="AE109" t="str">
            <v>POV0067005</v>
          </cell>
          <cell r="AF109" t="str">
            <v>Stephanie Hill</v>
          </cell>
        </row>
        <row r="110">
          <cell r="A110" t="str">
            <v>682-138807-003</v>
          </cell>
          <cell r="B110" t="str">
            <v>FUSE,SMD,2A,125V,SLOBLO,NANO2</v>
          </cell>
          <cell r="C110" t="str">
            <v>FUSE</v>
          </cell>
          <cell r="D110">
            <v>15</v>
          </cell>
          <cell r="E110">
            <v>1</v>
          </cell>
          <cell r="F110" t="str">
            <v>15 Weeks</v>
          </cell>
          <cell r="G110">
            <v>1000</v>
          </cell>
          <cell r="H110">
            <v>0.757359</v>
          </cell>
          <cell r="I110">
            <v>757.35900000000004</v>
          </cell>
          <cell r="J110">
            <v>0.9236085365853659</v>
          </cell>
          <cell r="K110">
            <v>166.24953658536595</v>
          </cell>
          <cell r="L110">
            <v>923.60853658536587</v>
          </cell>
          <cell r="O110"/>
          <cell r="Q110">
            <v>1</v>
          </cell>
          <cell r="R110" t="str">
            <v>0452002.MRL</v>
          </cell>
          <cell r="S110" t="str">
            <v>Littelfuse</v>
          </cell>
          <cell r="T110" t="str">
            <v>Future</v>
          </cell>
          <cell r="U110">
            <v>0.11899999999999999</v>
          </cell>
          <cell r="V110">
            <v>1000</v>
          </cell>
          <cell r="W110">
            <v>0</v>
          </cell>
          <cell r="X110" t="str">
            <v>1-2 wks</v>
          </cell>
          <cell r="Y110" t="str">
            <v>Y</v>
          </cell>
          <cell r="Z110">
            <v>119</v>
          </cell>
          <cell r="AA110">
            <v>638.35900000000004</v>
          </cell>
          <cell r="AB110">
            <v>0.87115753559408415</v>
          </cell>
          <cell r="AC110" t="str">
            <v>SH</v>
          </cell>
          <cell r="AD110">
            <v>1062721</v>
          </cell>
          <cell r="AE110" t="str">
            <v>POV0067005</v>
          </cell>
          <cell r="AF110" t="str">
            <v>Stephanie Hill</v>
          </cell>
        </row>
        <row r="111">
          <cell r="A111" t="str">
            <v>682-020656-015</v>
          </cell>
          <cell r="B111" t="str">
            <v>FUSE,SMD,1812,33V,750MA,ROHS</v>
          </cell>
          <cell r="C111" t="str">
            <v>FUSE</v>
          </cell>
          <cell r="D111">
            <v>50</v>
          </cell>
          <cell r="E111">
            <v>1</v>
          </cell>
          <cell r="F111" t="str">
            <v>16 Weeks</v>
          </cell>
          <cell r="G111">
            <v>1500</v>
          </cell>
          <cell r="H111">
            <v>0.265934</v>
          </cell>
          <cell r="I111">
            <v>398.90100000000001</v>
          </cell>
          <cell r="J111">
            <v>0.32430975609756102</v>
          </cell>
          <cell r="K111">
            <v>87.563634146341485</v>
          </cell>
          <cell r="L111">
            <v>486.46463414634155</v>
          </cell>
          <cell r="O111"/>
          <cell r="Q111">
            <v>1</v>
          </cell>
          <cell r="R111" t="str">
            <v>1812L075/33DR</v>
          </cell>
          <cell r="S111" t="str">
            <v>Littelfuse</v>
          </cell>
          <cell r="T111" t="str">
            <v>Future</v>
          </cell>
          <cell r="U111">
            <v>0.17399999999999999</v>
          </cell>
          <cell r="V111">
            <v>1500</v>
          </cell>
          <cell r="W111">
            <v>0</v>
          </cell>
          <cell r="X111" t="str">
            <v>1-2 wks</v>
          </cell>
          <cell r="Y111" t="str">
            <v>Y</v>
          </cell>
          <cell r="Z111">
            <v>261</v>
          </cell>
          <cell r="AA111">
            <v>137.90100000000001</v>
          </cell>
          <cell r="AB111">
            <v>0.46347590003534722</v>
          </cell>
          <cell r="AC111" t="str">
            <v>SH</v>
          </cell>
          <cell r="AD111">
            <v>1062721</v>
          </cell>
          <cell r="AE111" t="str">
            <v>POV0067005</v>
          </cell>
          <cell r="AF111" t="str">
            <v>Stephanie Hill</v>
          </cell>
        </row>
        <row r="112">
          <cell r="A112" t="str">
            <v>645-000381-003</v>
          </cell>
          <cell r="B112" t="str">
            <v>SWITCH  DIP ROCKER SPST 2-POS3-POS,ROHS</v>
          </cell>
          <cell r="C112" t="str">
            <v>SW</v>
          </cell>
          <cell r="D112">
            <v>15</v>
          </cell>
          <cell r="E112">
            <v>1</v>
          </cell>
          <cell r="F112" t="str">
            <v>12 Weeks</v>
          </cell>
          <cell r="G112">
            <v>216</v>
          </cell>
          <cell r="H112">
            <v>2.2671749999999999</v>
          </cell>
          <cell r="I112">
            <v>489.70979999999997</v>
          </cell>
          <cell r="J112">
            <v>2.76484756097561</v>
          </cell>
          <cell r="K112">
            <v>107.49727317073177</v>
          </cell>
          <cell r="L112">
            <v>597.20707317073175</v>
          </cell>
          <cell r="M112" t="str">
            <v>CHINA</v>
          </cell>
          <cell r="N112" t="str">
            <v>8536507000</v>
          </cell>
          <cell r="O112">
            <v>0.35</v>
          </cell>
          <cell r="P112">
            <v>171.39842999999999</v>
          </cell>
          <cell r="Q112">
            <v>2</v>
          </cell>
          <cell r="R112" t="str">
            <v>76SB03T</v>
          </cell>
          <cell r="S112" t="str">
            <v>Grayhill</v>
          </cell>
          <cell r="T112" t="str">
            <v>Future</v>
          </cell>
          <cell r="U112">
            <v>1.6</v>
          </cell>
          <cell r="V112">
            <v>216</v>
          </cell>
          <cell r="W112">
            <v>0</v>
          </cell>
          <cell r="X112" t="str">
            <v>1-2 wks</v>
          </cell>
          <cell r="Y112" t="str">
            <v>Y</v>
          </cell>
          <cell r="Z112">
            <v>345.6</v>
          </cell>
          <cell r="AA112">
            <v>144.10979999999995</v>
          </cell>
          <cell r="AB112">
            <v>0.42130625117161224</v>
          </cell>
          <cell r="AC112" t="str">
            <v>SH</v>
          </cell>
          <cell r="AD112">
            <v>1062721</v>
          </cell>
          <cell r="AE112" t="str">
            <v>POV0067005</v>
          </cell>
          <cell r="AF112" t="str">
            <v>Stephanie Hill</v>
          </cell>
        </row>
        <row r="113">
          <cell r="A113" t="str">
            <v>668-293080-010</v>
          </cell>
          <cell r="B113" t="str">
            <v>CONN,HDR,RTANG,2 ROWS,10 CKT,PCB MT</v>
          </cell>
          <cell r="C113" t="str">
            <v>CONN</v>
          </cell>
          <cell r="D113">
            <v>15</v>
          </cell>
          <cell r="E113">
            <v>1</v>
          </cell>
          <cell r="F113" t="str">
            <v>17 Weeks</v>
          </cell>
          <cell r="G113">
            <v>1224</v>
          </cell>
          <cell r="H113">
            <v>1.6421699999999999</v>
          </cell>
          <cell r="I113">
            <v>2010.0160799999999</v>
          </cell>
          <cell r="J113">
            <v>2.0026463414634148</v>
          </cell>
          <cell r="K113">
            <v>441.22304195121978</v>
          </cell>
          <cell r="L113">
            <v>2451.2391219512197</v>
          </cell>
          <cell r="M113" t="str">
            <v>CHINA</v>
          </cell>
          <cell r="N113">
            <v>8536694040</v>
          </cell>
          <cell r="O113">
            <v>0.35</v>
          </cell>
          <cell r="P113">
            <v>703.50562799999989</v>
          </cell>
          <cell r="Q113">
            <v>1</v>
          </cell>
          <cell r="R113" t="str">
            <v>43045-1000</v>
          </cell>
          <cell r="S113" t="str">
            <v>MOLEX, LLC</v>
          </cell>
          <cell r="T113" t="str">
            <v>Future</v>
          </cell>
          <cell r="U113">
            <v>0.39</v>
          </cell>
          <cell r="V113">
            <v>1224</v>
          </cell>
          <cell r="W113">
            <v>0</v>
          </cell>
          <cell r="X113" t="str">
            <v>1-2 wks</v>
          </cell>
          <cell r="Y113" t="str">
            <v>Y</v>
          </cell>
          <cell r="Z113">
            <v>477.36</v>
          </cell>
          <cell r="AA113">
            <v>1532.6560799999997</v>
          </cell>
          <cell r="AB113">
            <v>0.80525767734156628</v>
          </cell>
          <cell r="AC113" t="str">
            <v>SH</v>
          </cell>
          <cell r="AD113">
            <v>1062721</v>
          </cell>
          <cell r="AE113" t="str">
            <v>POV0067005</v>
          </cell>
          <cell r="AF113" t="str">
            <v>Stephanie Hill</v>
          </cell>
        </row>
        <row r="114">
          <cell r="A114" t="str">
            <v>670-123073-001</v>
          </cell>
          <cell r="B114" t="str">
            <v>FUSE,PTC 10A AXIAL</v>
          </cell>
          <cell r="C114" t="str">
            <v>FUSE</v>
          </cell>
          <cell r="D114">
            <v>25</v>
          </cell>
          <cell r="E114" t="str">
            <v>N/A</v>
          </cell>
          <cell r="F114" t="str">
            <v>17 Weeks</v>
          </cell>
          <cell r="G114">
            <v>250</v>
          </cell>
          <cell r="H114">
            <v>1.1274599999999999</v>
          </cell>
          <cell r="I114">
            <v>281.86499999999995</v>
          </cell>
          <cell r="J114">
            <v>1.3749512195121951</v>
          </cell>
          <cell r="K114">
            <v>61.872804878048782</v>
          </cell>
          <cell r="L114">
            <v>343.73780487804879</v>
          </cell>
          <cell r="O114"/>
          <cell r="Q114">
            <v>1</v>
          </cell>
          <cell r="R114" t="str">
            <v>AHEF1000</v>
          </cell>
          <cell r="S114" t="str">
            <v>Littelfuse</v>
          </cell>
          <cell r="T114" t="str">
            <v>Future</v>
          </cell>
          <cell r="U114">
            <v>0.82499999999999996</v>
          </cell>
          <cell r="V114">
            <v>250</v>
          </cell>
          <cell r="W114">
            <v>0</v>
          </cell>
          <cell r="X114" t="str">
            <v>1-2 wks</v>
          </cell>
          <cell r="Y114" t="str">
            <v>Y</v>
          </cell>
          <cell r="Z114">
            <v>206.25</v>
          </cell>
          <cell r="AA114">
            <v>75.614999999999952</v>
          </cell>
          <cell r="AB114">
            <v>0.39997871321377254</v>
          </cell>
          <cell r="AC114" t="str">
            <v>SH</v>
          </cell>
          <cell r="AD114">
            <v>1062721</v>
          </cell>
          <cell r="AE114" t="str">
            <v>POV0067005</v>
          </cell>
          <cell r="AF114" t="str">
            <v>Stephanie Hill</v>
          </cell>
        </row>
        <row r="115">
          <cell r="A115" t="str">
            <v>624-000794-002</v>
          </cell>
          <cell r="B115" t="str">
            <v>XSTR,NPN,40V,800MA,SOT-23-3</v>
          </cell>
          <cell r="C115" t="str">
            <v>XSTR</v>
          </cell>
          <cell r="D115">
            <v>25</v>
          </cell>
          <cell r="E115">
            <v>1</v>
          </cell>
          <cell r="F115" t="str">
            <v>29 Weeks</v>
          </cell>
          <cell r="G115">
            <v>3000</v>
          </cell>
          <cell r="H115">
            <v>9.4364000000000003E-2</v>
          </cell>
          <cell r="I115">
            <v>283.09199999999998</v>
          </cell>
          <cell r="J115">
            <v>0.11507804878048782</v>
          </cell>
          <cell r="K115">
            <v>62.142146341463445</v>
          </cell>
          <cell r="L115">
            <v>345.23414634146343</v>
          </cell>
          <cell r="O115"/>
          <cell r="Q115">
            <v>1</v>
          </cell>
          <cell r="R115" t="str">
            <v>BSR14</v>
          </cell>
          <cell r="S115" t="str">
            <v>On Semiconductor</v>
          </cell>
          <cell r="T115" t="str">
            <v>Future</v>
          </cell>
          <cell r="U115">
            <v>5.6000000000000001E-2</v>
          </cell>
          <cell r="V115">
            <v>3000</v>
          </cell>
          <cell r="W115">
            <v>0</v>
          </cell>
          <cell r="X115" t="str">
            <v>1-2 wks</v>
          </cell>
          <cell r="Y115" t="str">
            <v>Y</v>
          </cell>
          <cell r="Z115">
            <v>168</v>
          </cell>
          <cell r="AA115">
            <v>115.09199999999998</v>
          </cell>
          <cell r="AB115">
            <v>0.51337374422449233</v>
          </cell>
          <cell r="AC115" t="str">
            <v>SH</v>
          </cell>
          <cell r="AD115">
            <v>1062721</v>
          </cell>
          <cell r="AE115" t="str">
            <v>POV0067005</v>
          </cell>
          <cell r="AF115" t="str">
            <v>Stephanie Hill</v>
          </cell>
        </row>
        <row r="116">
          <cell r="A116" t="str">
            <v>648-A86863-105</v>
          </cell>
          <cell r="B116" t="str">
            <v>CAP,SMD,MLCC,1UF,10%,100VDC,X7R,1210</v>
          </cell>
          <cell r="C116" t="str">
            <v>CAP</v>
          </cell>
          <cell r="D116">
            <v>25</v>
          </cell>
          <cell r="E116">
            <v>1</v>
          </cell>
          <cell r="F116" t="str">
            <v>27 Weeks</v>
          </cell>
          <cell r="G116">
            <v>2000</v>
          </cell>
          <cell r="H116">
            <v>0.17402100000000001</v>
          </cell>
          <cell r="I116">
            <v>348.04200000000003</v>
          </cell>
          <cell r="J116">
            <v>0.21222073170731709</v>
          </cell>
          <cell r="K116">
            <v>76.39946341463417</v>
          </cell>
          <cell r="L116">
            <v>424.4414634146342</v>
          </cell>
          <cell r="O116"/>
          <cell r="Q116">
            <v>1</v>
          </cell>
          <cell r="R116" t="str">
            <v>CC1210KKX7R0BB105</v>
          </cell>
          <cell r="S116" t="str">
            <v>Yageo</v>
          </cell>
          <cell r="T116" t="str">
            <v>Future</v>
          </cell>
          <cell r="U116">
            <v>4.7500000000000001E-2</v>
          </cell>
          <cell r="V116">
            <v>2000</v>
          </cell>
          <cell r="W116">
            <v>0</v>
          </cell>
          <cell r="X116" t="str">
            <v>1-2 wks</v>
          </cell>
          <cell r="Y116" t="str">
            <v>Y</v>
          </cell>
          <cell r="Z116">
            <v>95</v>
          </cell>
          <cell r="AA116">
            <v>253.04200000000003</v>
          </cell>
          <cell r="AB116">
            <v>0.77617643847581619</v>
          </cell>
          <cell r="AC116" t="str">
            <v>SH</v>
          </cell>
          <cell r="AD116">
            <v>1062721</v>
          </cell>
          <cell r="AE116" t="str">
            <v>POV0067005</v>
          </cell>
          <cell r="AF116" t="str">
            <v>Stephanie Hill</v>
          </cell>
        </row>
        <row r="117">
          <cell r="A117" t="str">
            <v>615-221230-009</v>
          </cell>
          <cell r="B117" t="str">
            <v>RES,SMD,102KOHM,TOL 1%,0603, 0.1W</v>
          </cell>
          <cell r="C117" t="str">
            <v>RES</v>
          </cell>
          <cell r="D117">
            <v>25</v>
          </cell>
          <cell r="E117">
            <v>1</v>
          </cell>
          <cell r="F117" t="str">
            <v>21 Weeks</v>
          </cell>
          <cell r="G117">
            <v>5000</v>
          </cell>
          <cell r="H117">
            <v>3.6770000000000001E-3</v>
          </cell>
          <cell r="I117">
            <v>18.385000000000002</v>
          </cell>
          <cell r="J117">
            <v>4.4841463414634153E-3</v>
          </cell>
          <cell r="K117">
            <v>4.0357317073170762</v>
          </cell>
          <cell r="L117">
            <v>22.420731707317078</v>
          </cell>
          <cell r="O117"/>
          <cell r="Q117">
            <v>1</v>
          </cell>
          <cell r="R117" t="str">
            <v>CRCW0603102KFKEA</v>
          </cell>
          <cell r="S117" t="str">
            <v>Vishay</v>
          </cell>
          <cell r="T117" t="str">
            <v>Future</v>
          </cell>
          <cell r="U117">
            <v>2.0300000000000001E-3</v>
          </cell>
          <cell r="V117">
            <v>5000</v>
          </cell>
          <cell r="W117">
            <v>0</v>
          </cell>
          <cell r="X117" t="str">
            <v>1-2 wks</v>
          </cell>
          <cell r="Y117" t="str">
            <v>Y</v>
          </cell>
          <cell r="Z117">
            <v>10.15</v>
          </cell>
          <cell r="AA117">
            <v>8.2350000000000012</v>
          </cell>
          <cell r="AB117">
            <v>0.54729398966548826</v>
          </cell>
          <cell r="AC117" t="str">
            <v>SH</v>
          </cell>
          <cell r="AD117">
            <v>1062721</v>
          </cell>
          <cell r="AE117" t="str">
            <v>POV0067005</v>
          </cell>
          <cell r="AF117" t="str">
            <v>Stephanie Hill</v>
          </cell>
        </row>
        <row r="118">
          <cell r="A118" t="str">
            <v>615-310567-234</v>
          </cell>
          <cell r="B118" t="str">
            <v>RES,SMD,5.1K,0.1%,1/10W,0603,ROHS</v>
          </cell>
          <cell r="C118" t="str">
            <v>RES</v>
          </cell>
          <cell r="D118">
            <v>15</v>
          </cell>
          <cell r="E118">
            <v>1</v>
          </cell>
          <cell r="F118" t="str">
            <v>21 Weeks</v>
          </cell>
          <cell r="G118">
            <v>5000</v>
          </cell>
          <cell r="H118">
            <v>3.424E-2</v>
          </cell>
          <cell r="I118">
            <v>171.2</v>
          </cell>
          <cell r="J118">
            <v>4.1756097560975612E-2</v>
          </cell>
          <cell r="K118">
            <v>37.580487804878061</v>
          </cell>
          <cell r="L118">
            <v>208.78048780487805</v>
          </cell>
          <cell r="O118"/>
          <cell r="Q118">
            <v>1</v>
          </cell>
          <cell r="R118" t="str">
            <v>ERA-3AEB512V</v>
          </cell>
          <cell r="S118" t="str">
            <v>Panasonic</v>
          </cell>
          <cell r="T118" t="str">
            <v>Future</v>
          </cell>
          <cell r="U118">
            <v>2.81E-2</v>
          </cell>
          <cell r="V118">
            <v>5000</v>
          </cell>
          <cell r="W118">
            <v>0</v>
          </cell>
          <cell r="X118" t="str">
            <v>1-2 wks</v>
          </cell>
          <cell r="Y118" t="str">
            <v>Y</v>
          </cell>
          <cell r="Z118">
            <v>140.5</v>
          </cell>
          <cell r="AA118">
            <v>30.699999999999989</v>
          </cell>
          <cell r="AB118">
            <v>0.32704439252336448</v>
          </cell>
          <cell r="AC118" t="str">
            <v>SH</v>
          </cell>
          <cell r="AD118">
            <v>1062721</v>
          </cell>
          <cell r="AE118" t="str">
            <v>POV0067005</v>
          </cell>
          <cell r="AF118" t="str">
            <v>Stephanie Hill</v>
          </cell>
        </row>
        <row r="119">
          <cell r="A119" t="str">
            <v>615-052828-390</v>
          </cell>
          <cell r="B119" t="str">
            <v>RES,SMD,0805,MF,1/8W,0.1%,390K ROHS</v>
          </cell>
          <cell r="C119" t="str">
            <v>RES</v>
          </cell>
          <cell r="D119">
            <v>15</v>
          </cell>
          <cell r="E119">
            <v>1</v>
          </cell>
          <cell r="F119" t="str">
            <v>3 Weeks</v>
          </cell>
          <cell r="G119">
            <v>5000</v>
          </cell>
          <cell r="H119">
            <v>4.913E-2</v>
          </cell>
          <cell r="I119">
            <v>245.65</v>
          </cell>
          <cell r="J119">
            <v>5.9914634146341468E-2</v>
          </cell>
          <cell r="K119">
            <v>53.923170731707359</v>
          </cell>
          <cell r="L119">
            <v>299.57317073170736</v>
          </cell>
          <cell r="O119"/>
          <cell r="Q119">
            <v>2</v>
          </cell>
          <cell r="R119" t="str">
            <v>ERA-6AEB394V</v>
          </cell>
          <cell r="S119" t="str">
            <v>Panasonic</v>
          </cell>
          <cell r="T119" t="str">
            <v>Future</v>
          </cell>
          <cell r="U119">
            <v>2.7300000000000001E-2</v>
          </cell>
          <cell r="V119">
            <v>5000</v>
          </cell>
          <cell r="W119">
            <v>0</v>
          </cell>
          <cell r="X119" t="str">
            <v>1-2 wks</v>
          </cell>
          <cell r="Y119" t="str">
            <v>Y</v>
          </cell>
          <cell r="Z119">
            <v>136.5</v>
          </cell>
          <cell r="AA119">
            <v>109.15</v>
          </cell>
          <cell r="AB119">
            <v>0.54435171992672515</v>
          </cell>
          <cell r="AC119" t="str">
            <v>SH</v>
          </cell>
          <cell r="AD119">
            <v>1062411</v>
          </cell>
          <cell r="AE119" t="str">
            <v>POV0067005</v>
          </cell>
          <cell r="AF119" t="str">
            <v>Stephanie Hill</v>
          </cell>
        </row>
        <row r="120">
          <cell r="A120" t="str">
            <v>609-026501-001</v>
          </cell>
          <cell r="B120" t="str">
            <v>DIO,SMD,SCHOTTKY RECTIFIER,2A,40V</v>
          </cell>
          <cell r="C120" t="str">
            <v>DIO</v>
          </cell>
          <cell r="D120">
            <v>25</v>
          </cell>
          <cell r="E120">
            <v>1</v>
          </cell>
          <cell r="F120" t="str">
            <v>39 Weeks</v>
          </cell>
          <cell r="G120">
            <v>2500</v>
          </cell>
          <cell r="H120">
            <v>0.13848199999999999</v>
          </cell>
          <cell r="I120">
            <v>346.20499999999998</v>
          </cell>
          <cell r="J120">
            <v>0.16888048780487805</v>
          </cell>
          <cell r="K120">
            <v>75.996219512195125</v>
          </cell>
          <cell r="L120">
            <v>422.20121951219511</v>
          </cell>
          <cell r="O120"/>
          <cell r="Q120">
            <v>1</v>
          </cell>
          <cell r="R120" t="str">
            <v>MBRS240LT3G</v>
          </cell>
          <cell r="S120" t="str">
            <v>On Semiconductor</v>
          </cell>
          <cell r="T120" t="str">
            <v>Future</v>
          </cell>
          <cell r="U120">
            <v>7.2800000000000004E-2</v>
          </cell>
          <cell r="V120">
            <v>2500</v>
          </cell>
          <cell r="W120">
            <v>0</v>
          </cell>
          <cell r="X120" t="str">
            <v>1-2 wks</v>
          </cell>
          <cell r="Y120" t="str">
            <v>Y</v>
          </cell>
          <cell r="Z120">
            <v>182</v>
          </cell>
          <cell r="AA120">
            <v>164.20499999999998</v>
          </cell>
          <cell r="AB120">
            <v>0.56892592539102549</v>
          </cell>
          <cell r="AC120" t="str">
            <v>SH</v>
          </cell>
          <cell r="AD120">
            <v>1062721</v>
          </cell>
          <cell r="AE120" t="str">
            <v>POV0067005</v>
          </cell>
          <cell r="AF120" t="str">
            <v>Stephanie Hill</v>
          </cell>
        </row>
        <row r="121">
          <cell r="A121" t="str">
            <v>630-144729-001</v>
          </cell>
          <cell r="B121" t="str">
            <v>IC,SMD,DUAL PHOTOTRANSISTOR OPTOCOUPLER</v>
          </cell>
          <cell r="C121" t="str">
            <v>IC</v>
          </cell>
          <cell r="D121">
            <v>15</v>
          </cell>
          <cell r="E121">
            <v>1</v>
          </cell>
          <cell r="F121" t="str">
            <v>17 Weeks</v>
          </cell>
          <cell r="G121">
            <v>1000</v>
          </cell>
          <cell r="H121">
            <v>0.328434</v>
          </cell>
          <cell r="I121">
            <v>328.43400000000003</v>
          </cell>
          <cell r="J121">
            <v>0.40052926829268298</v>
          </cell>
          <cell r="K121">
            <v>72.095268292682931</v>
          </cell>
          <cell r="L121">
            <v>400.52926829268296</v>
          </cell>
          <cell r="O121"/>
          <cell r="Q121">
            <v>1</v>
          </cell>
          <cell r="R121" t="str">
            <v>MCT62SD</v>
          </cell>
          <cell r="S121" t="str">
            <v>On Semiconductor</v>
          </cell>
          <cell r="T121" t="str">
            <v>Future</v>
          </cell>
          <cell r="U121">
            <v>0.34</v>
          </cell>
          <cell r="V121">
            <v>1000</v>
          </cell>
          <cell r="W121">
            <v>0</v>
          </cell>
          <cell r="X121" t="str">
            <v>1-2 wks</v>
          </cell>
          <cell r="Y121" t="str">
            <v>Y</v>
          </cell>
          <cell r="Z121">
            <v>340</v>
          </cell>
          <cell r="AA121">
            <v>-11.565999999999974</v>
          </cell>
          <cell r="AB121" t="str">
            <v/>
          </cell>
          <cell r="AC121" t="str">
            <v>SH</v>
          </cell>
          <cell r="AD121">
            <v>1062721</v>
          </cell>
          <cell r="AE121" t="str">
            <v>POV0067005</v>
          </cell>
          <cell r="AF121" t="str">
            <v>Stephanie Hill</v>
          </cell>
        </row>
        <row r="122">
          <cell r="A122" t="str">
            <v>609-327223-001</v>
          </cell>
          <cell r="B122" t="str">
            <v>DIO,SMD,SCHOTTKY,40V,640MV,1A FWD,SOD123</v>
          </cell>
          <cell r="C122" t="str">
            <v>DIO</v>
          </cell>
          <cell r="D122">
            <v>15</v>
          </cell>
          <cell r="E122">
            <v>1</v>
          </cell>
          <cell r="F122" t="str">
            <v>11 Weeks</v>
          </cell>
          <cell r="G122">
            <v>3000</v>
          </cell>
          <cell r="H122">
            <v>4.7794999999999997E-2</v>
          </cell>
          <cell r="I122">
            <v>143.38499999999999</v>
          </cell>
          <cell r="J122">
            <v>5.8286585365853662E-2</v>
          </cell>
          <cell r="K122">
            <v>31.47475609756097</v>
          </cell>
          <cell r="L122">
            <v>174.85975609756099</v>
          </cell>
          <cell r="O122"/>
          <cell r="Q122">
            <v>1</v>
          </cell>
          <cell r="R122" t="str">
            <v>PMEG4010EGWX</v>
          </cell>
          <cell r="S122" t="str">
            <v>NEXPERIA</v>
          </cell>
          <cell r="T122" t="str">
            <v>Future</v>
          </cell>
          <cell r="U122">
            <v>2.6100000000000002E-2</v>
          </cell>
          <cell r="V122">
            <v>3000</v>
          </cell>
          <cell r="W122">
            <v>0</v>
          </cell>
          <cell r="X122" t="str">
            <v>1-2 wks</v>
          </cell>
          <cell r="Y122" t="str">
            <v>Y</v>
          </cell>
          <cell r="Z122">
            <v>78.300000000000011</v>
          </cell>
          <cell r="AA122">
            <v>65.08499999999998</v>
          </cell>
          <cell r="AB122">
            <v>0.55221257453708539</v>
          </cell>
          <cell r="AC122" t="str">
            <v>SH</v>
          </cell>
          <cell r="AD122">
            <v>1062721</v>
          </cell>
          <cell r="AE122" t="str">
            <v>POV0067005</v>
          </cell>
          <cell r="AF122" t="str">
            <v>Stephanie Hill</v>
          </cell>
        </row>
        <row r="123">
          <cell r="A123" t="str">
            <v>615-A00424-348</v>
          </cell>
          <cell r="B123" t="str">
            <v>RES,SMD,34.8KOHM,0.1%,1/16W,0402</v>
          </cell>
          <cell r="C123" t="str">
            <v>RES</v>
          </cell>
          <cell r="D123">
            <v>25</v>
          </cell>
          <cell r="E123">
            <v>1</v>
          </cell>
          <cell r="F123" t="str">
            <v>22 Weeks</v>
          </cell>
          <cell r="G123">
            <v>10000</v>
          </cell>
          <cell r="H123">
            <v>4.1116E-2</v>
          </cell>
          <cell r="I123">
            <v>411.16</v>
          </cell>
          <cell r="J123">
            <v>5.0141463414634151E-2</v>
          </cell>
          <cell r="K123">
            <v>90.254634146341516</v>
          </cell>
          <cell r="L123">
            <v>501.41463414634148</v>
          </cell>
          <cell r="O123"/>
          <cell r="Q123">
            <v>2</v>
          </cell>
          <cell r="R123" t="str">
            <v>RT0402BRD0734K8L</v>
          </cell>
          <cell r="S123" t="str">
            <v>Yageo</v>
          </cell>
          <cell r="T123" t="str">
            <v>Future</v>
          </cell>
          <cell r="U123">
            <v>1.66E-2</v>
          </cell>
          <cell r="V123">
            <v>10000</v>
          </cell>
          <cell r="W123">
            <v>0</v>
          </cell>
          <cell r="X123" t="str">
            <v>1-2 wks</v>
          </cell>
          <cell r="Y123" t="str">
            <v>Y</v>
          </cell>
          <cell r="Z123">
            <v>166</v>
          </cell>
          <cell r="AA123">
            <v>245.16000000000003</v>
          </cell>
          <cell r="AB123">
            <v>0.66893666699095244</v>
          </cell>
          <cell r="AC123" t="str">
            <v>SH</v>
          </cell>
          <cell r="AD123">
            <v>1062721</v>
          </cell>
          <cell r="AE123" t="str">
            <v>POV0067005</v>
          </cell>
          <cell r="AF123" t="str">
            <v>Stephanie Hill</v>
          </cell>
        </row>
        <row r="124">
          <cell r="A124" t="str">
            <v>613-A32959-001</v>
          </cell>
          <cell r="B124" t="str">
            <v>DIO,SMD,SCHOTTKY,200V,10A,TO-252-3</v>
          </cell>
          <cell r="C124" t="str">
            <v>DIO</v>
          </cell>
          <cell r="D124">
            <v>15</v>
          </cell>
          <cell r="E124">
            <v>1</v>
          </cell>
          <cell r="F124" t="str">
            <v>17 Weeks</v>
          </cell>
          <cell r="G124">
            <v>2500</v>
          </cell>
          <cell r="H124">
            <v>0.17905799999999999</v>
          </cell>
          <cell r="I124">
            <v>447.64499999999998</v>
          </cell>
          <cell r="J124">
            <v>0.21836341463414635</v>
          </cell>
          <cell r="K124">
            <v>98.263536585365841</v>
          </cell>
          <cell r="L124">
            <v>545.90853658536594</v>
          </cell>
          <cell r="O124"/>
          <cell r="Q124">
            <v>1</v>
          </cell>
          <cell r="R124" t="str">
            <v>SBRD10200TR</v>
          </cell>
          <cell r="S124" t="str">
            <v>SMC</v>
          </cell>
          <cell r="T124" t="str">
            <v>Future</v>
          </cell>
          <cell r="U124">
            <v>0.13500000000000001</v>
          </cell>
          <cell r="V124">
            <v>2500</v>
          </cell>
          <cell r="W124">
            <v>0</v>
          </cell>
          <cell r="X124" t="str">
            <v>1-2 wks</v>
          </cell>
          <cell r="Y124" t="str">
            <v>Y</v>
          </cell>
          <cell r="Z124">
            <v>337.5</v>
          </cell>
          <cell r="AA124">
            <v>110.14499999999998</v>
          </cell>
          <cell r="AB124">
            <v>0.3817645679053715</v>
          </cell>
          <cell r="AC124" t="str">
            <v>SH</v>
          </cell>
          <cell r="AD124">
            <v>1062721</v>
          </cell>
          <cell r="AE124" t="str">
            <v>POV0067005</v>
          </cell>
          <cell r="AF124" t="str">
            <v>Stephanie Hill</v>
          </cell>
        </row>
        <row r="125">
          <cell r="A125" t="str">
            <v>648-B34360-008</v>
          </cell>
          <cell r="B125" t="str">
            <v>CAP,SMD,CER,470NF,20%,10V,X5R,0201</v>
          </cell>
          <cell r="C125" t="str">
            <v>CAP</v>
          </cell>
          <cell r="D125">
            <v>25</v>
          </cell>
          <cell r="E125">
            <v>1</v>
          </cell>
          <cell r="F125" t="str">
            <v>29 Weeks</v>
          </cell>
          <cell r="G125">
            <v>15000</v>
          </cell>
          <cell r="H125">
            <v>2.3285E-2</v>
          </cell>
          <cell r="I125">
            <v>349.27499999999998</v>
          </cell>
          <cell r="J125">
            <v>2.8396341463414635E-2</v>
          </cell>
          <cell r="K125">
            <v>76.670121951219528</v>
          </cell>
          <cell r="L125">
            <v>425.94512195121951</v>
          </cell>
          <cell r="O125"/>
          <cell r="Q125">
            <v>1</v>
          </cell>
          <cell r="R125" t="str">
            <v>C0603X5R1A474M030BC</v>
          </cell>
          <cell r="S125" t="str">
            <v>TDK</v>
          </cell>
          <cell r="T125" t="str">
            <v>Future</v>
          </cell>
          <cell r="U125">
            <v>1.7399999999999999E-2</v>
          </cell>
          <cell r="V125">
            <v>15000</v>
          </cell>
          <cell r="W125">
            <v>0</v>
          </cell>
          <cell r="X125" t="str">
            <v>1-2 wks</v>
          </cell>
          <cell r="Y125" t="str">
            <v>Y</v>
          </cell>
          <cell r="Z125">
            <v>261</v>
          </cell>
          <cell r="AA125">
            <v>88.274999999999977</v>
          </cell>
          <cell r="AB125">
            <v>0.38724500751556801</v>
          </cell>
          <cell r="AC125" t="str">
            <v>SH</v>
          </cell>
          <cell r="AD125">
            <v>1062721</v>
          </cell>
          <cell r="AE125" t="str">
            <v>POV0067005</v>
          </cell>
          <cell r="AF125" t="str">
            <v>Stephanie Hill</v>
          </cell>
        </row>
        <row r="126">
          <cell r="A126" t="str">
            <v>648-A40023-474</v>
          </cell>
          <cell r="B126" t="str">
            <v>CAP,SMD,MLCC,0.47UF,±20%,10V,X5R,0201</v>
          </cell>
          <cell r="C126" t="str">
            <v>CAP</v>
          </cell>
          <cell r="D126">
            <v>25</v>
          </cell>
          <cell r="E126">
            <v>1</v>
          </cell>
          <cell r="F126" t="str">
            <v>10 Weeks</v>
          </cell>
          <cell r="G126">
            <v>15000</v>
          </cell>
          <cell r="H126">
            <v>1.5552E-2</v>
          </cell>
          <cell r="I126">
            <v>233.28</v>
          </cell>
          <cell r="J126">
            <v>1.8965853658536588E-2</v>
          </cell>
          <cell r="K126">
            <v>51.20780487804879</v>
          </cell>
          <cell r="L126">
            <v>284.48780487804879</v>
          </cell>
          <cell r="O126"/>
          <cell r="Q126">
            <v>1</v>
          </cell>
          <cell r="R126" t="str">
            <v>LMK063BBJ474MPLF</v>
          </cell>
          <cell r="S126" t="str">
            <v>Taiyo Yuden</v>
          </cell>
          <cell r="T126" t="str">
            <v>Future</v>
          </cell>
          <cell r="U126">
            <v>1.52E-2</v>
          </cell>
          <cell r="V126">
            <v>15000</v>
          </cell>
          <cell r="W126">
            <v>0</v>
          </cell>
          <cell r="X126" t="str">
            <v>1-2 wks</v>
          </cell>
          <cell r="Y126" t="str">
            <v>Y</v>
          </cell>
          <cell r="Z126">
            <v>228</v>
          </cell>
          <cell r="AA126">
            <v>5.2800000000000011</v>
          </cell>
          <cell r="AB126">
            <v>0.19855967078189307</v>
          </cell>
          <cell r="AC126" t="str">
            <v>SH</v>
          </cell>
          <cell r="AD126">
            <v>1062721</v>
          </cell>
          <cell r="AE126" t="str">
            <v>POV0067005</v>
          </cell>
          <cell r="AF126" t="str">
            <v>Stephanie Hill</v>
          </cell>
        </row>
        <row r="127">
          <cell r="A127" t="str">
            <v>648-198983-011</v>
          </cell>
          <cell r="B127" t="str">
            <v>CAP,CER,0402,X5R,10%,6.3V,4.7UF ROHS</v>
          </cell>
          <cell r="C127" t="str">
            <v>CAP</v>
          </cell>
          <cell r="D127">
            <v>30</v>
          </cell>
          <cell r="E127">
            <v>1</v>
          </cell>
          <cell r="F127" t="str">
            <v>27 Weeks</v>
          </cell>
          <cell r="G127">
            <v>10000</v>
          </cell>
          <cell r="H127">
            <v>5.6372999999999999E-2</v>
          </cell>
          <cell r="I127">
            <v>563.73</v>
          </cell>
          <cell r="J127">
            <v>6.8747560975609759E-2</v>
          </cell>
          <cell r="K127">
            <v>123.74560975609756</v>
          </cell>
          <cell r="L127">
            <v>687.47560975609758</v>
          </cell>
          <cell r="O127"/>
          <cell r="Q127">
            <v>1</v>
          </cell>
          <cell r="R127" t="str">
            <v>C1005X5R0J475K050</v>
          </cell>
          <cell r="S127" t="str">
            <v>TDK</v>
          </cell>
          <cell r="T127" t="str">
            <v>Future</v>
          </cell>
          <cell r="U127">
            <v>3.2399999999999998E-2</v>
          </cell>
          <cell r="V127">
            <v>10000</v>
          </cell>
          <cell r="W127">
            <v>0</v>
          </cell>
          <cell r="X127" t="str">
            <v>1-2 wks</v>
          </cell>
          <cell r="Y127" t="str">
            <v>Y</v>
          </cell>
          <cell r="Z127">
            <v>324</v>
          </cell>
          <cell r="AA127">
            <v>239.73000000000002</v>
          </cell>
          <cell r="AB127">
            <v>0.52871055292427227</v>
          </cell>
          <cell r="AC127" t="str">
            <v>SH</v>
          </cell>
          <cell r="AD127">
            <v>1062721</v>
          </cell>
          <cell r="AE127" t="str">
            <v>POV0067005</v>
          </cell>
          <cell r="AF127" t="str">
            <v>Stephanie Hill</v>
          </cell>
        </row>
        <row r="128">
          <cell r="A128" t="str">
            <v>648-A08430-224</v>
          </cell>
          <cell r="B128" t="str">
            <v>CAP,SMD,CER,0.22UF,±10% TOL,50V,X5R,0402</v>
          </cell>
          <cell r="C128" t="str">
            <v>CAP</v>
          </cell>
          <cell r="D128">
            <v>25</v>
          </cell>
          <cell r="E128">
            <v>1</v>
          </cell>
          <cell r="F128" t="str">
            <v>12 Weeks</v>
          </cell>
          <cell r="G128">
            <v>10000</v>
          </cell>
          <cell r="H128">
            <v>2.5735999999999998E-2</v>
          </cell>
          <cell r="I128">
            <v>257.35999999999996</v>
          </cell>
          <cell r="J128">
            <v>3.1385365853658538E-2</v>
          </cell>
          <cell r="K128">
            <v>56.493658536585372</v>
          </cell>
          <cell r="L128">
            <v>313.85365853658539</v>
          </cell>
          <cell r="O128"/>
          <cell r="Q128">
            <v>1</v>
          </cell>
          <cell r="R128" t="str">
            <v>UMK105BJ224KV-F</v>
          </cell>
          <cell r="S128" t="str">
            <v>TAIYO YUDEN CO., LTD.</v>
          </cell>
          <cell r="T128" t="str">
            <v>Future</v>
          </cell>
          <cell r="U128">
            <v>2.1999999999999999E-2</v>
          </cell>
          <cell r="V128">
            <v>10000</v>
          </cell>
          <cell r="W128">
            <v>0</v>
          </cell>
          <cell r="X128" t="str">
            <v>1-2 wks</v>
          </cell>
          <cell r="Y128" t="str">
            <v>Y</v>
          </cell>
          <cell r="Z128">
            <v>220</v>
          </cell>
          <cell r="AA128">
            <v>37.359999999999957</v>
          </cell>
          <cell r="AB128">
            <v>0.29903636928815669</v>
          </cell>
          <cell r="AC128" t="str">
            <v>SH</v>
          </cell>
          <cell r="AD128">
            <v>1062721</v>
          </cell>
          <cell r="AE128" t="str">
            <v>POV0067005</v>
          </cell>
          <cell r="AF128" t="str">
            <v>Stephanie Hill</v>
          </cell>
        </row>
        <row r="129">
          <cell r="A129" t="str">
            <v>609-290805-001</v>
          </cell>
          <cell r="B129" t="str">
            <v>DIO,SMD,ZENER,TVS,3.3VWM,13VC</v>
          </cell>
          <cell r="C129" t="str">
            <v>DIO</v>
          </cell>
          <cell r="D129">
            <v>30</v>
          </cell>
          <cell r="E129">
            <v>1</v>
          </cell>
          <cell r="F129" t="str">
            <v>16 Weeks</v>
          </cell>
          <cell r="G129">
            <v>10000</v>
          </cell>
          <cell r="H129">
            <v>0.24876400000000001</v>
          </cell>
          <cell r="I129">
            <v>2487.6400000000003</v>
          </cell>
          <cell r="J129">
            <v>0.3033707317073171</v>
          </cell>
          <cell r="K129">
            <v>546.06731707317113</v>
          </cell>
          <cell r="L129">
            <v>3033.707317073171</v>
          </cell>
          <cell r="O129"/>
          <cell r="Q129">
            <v>1</v>
          </cell>
          <cell r="R129" t="str">
            <v>RCLAMP3321P.TNT</v>
          </cell>
          <cell r="S129" t="str">
            <v>SEMTECH</v>
          </cell>
          <cell r="T129" t="str">
            <v>Future</v>
          </cell>
          <cell r="U129">
            <v>0.24</v>
          </cell>
          <cell r="V129">
            <v>10000</v>
          </cell>
          <cell r="W129">
            <v>0</v>
          </cell>
          <cell r="X129" t="str">
            <v>1-2 wks</v>
          </cell>
          <cell r="Y129" t="str">
            <v>Y</v>
          </cell>
          <cell r="Z129">
            <v>2400</v>
          </cell>
          <cell r="AA129">
            <v>87.640000000000327</v>
          </cell>
          <cell r="AB129">
            <v>0.20888874596002649</v>
          </cell>
          <cell r="AC129" t="str">
            <v>SH</v>
          </cell>
          <cell r="AD129">
            <v>1062721</v>
          </cell>
          <cell r="AE129" t="str">
            <v>POV0067005</v>
          </cell>
          <cell r="AF129" t="str">
            <v>Stephanie Hill</v>
          </cell>
        </row>
        <row r="130">
          <cell r="A130" t="str">
            <v>615-A00424-412</v>
          </cell>
          <cell r="B130" t="str">
            <v>RES,SMD,41.2KOHM,0.1%,1/16W,0402</v>
          </cell>
          <cell r="C130" t="str">
            <v>RES</v>
          </cell>
          <cell r="D130">
            <v>25</v>
          </cell>
          <cell r="E130">
            <v>1</v>
          </cell>
          <cell r="F130" t="str">
            <v>27 Weeks</v>
          </cell>
          <cell r="G130">
            <v>10000</v>
          </cell>
          <cell r="H130">
            <v>4.1116E-2</v>
          </cell>
          <cell r="I130">
            <v>411.16</v>
          </cell>
          <cell r="J130">
            <v>5.0141463414634151E-2</v>
          </cell>
          <cell r="K130">
            <v>90.254634146341516</v>
          </cell>
          <cell r="L130">
            <v>501.41463414634148</v>
          </cell>
          <cell r="O130"/>
          <cell r="Q130">
            <v>2</v>
          </cell>
          <cell r="R130" t="str">
            <v>RT0402BRD0741K2L</v>
          </cell>
          <cell r="S130" t="str">
            <v>Yageo</v>
          </cell>
          <cell r="T130" t="str">
            <v>Future</v>
          </cell>
          <cell r="U130">
            <v>1.6799999999999999E-2</v>
          </cell>
          <cell r="V130">
            <v>10000</v>
          </cell>
          <cell r="W130">
            <v>0</v>
          </cell>
          <cell r="X130" t="str">
            <v>1-2 wks</v>
          </cell>
          <cell r="Y130" t="str">
            <v>Y</v>
          </cell>
          <cell r="Z130">
            <v>168</v>
          </cell>
          <cell r="AA130">
            <v>243.16000000000003</v>
          </cell>
          <cell r="AB130">
            <v>0.66494795213542179</v>
          </cell>
          <cell r="AC130" t="str">
            <v>SH</v>
          </cell>
          <cell r="AD130">
            <v>1062721</v>
          </cell>
          <cell r="AE130" t="str">
            <v>POV0067005</v>
          </cell>
          <cell r="AF130" t="str">
            <v>Stephanie Hill</v>
          </cell>
        </row>
        <row r="131">
          <cell r="A131" t="str">
            <v>648-A80876-202</v>
          </cell>
          <cell r="B131" t="str">
            <v>CAP,SMD,CER,2000PF,+/-1%,50V,C0G,0603</v>
          </cell>
          <cell r="C131" t="str">
            <v>CAP</v>
          </cell>
          <cell r="D131">
            <v>25</v>
          </cell>
          <cell r="E131">
            <v>1</v>
          </cell>
          <cell r="F131" t="str">
            <v>17 Weeks</v>
          </cell>
          <cell r="G131">
            <v>10000</v>
          </cell>
          <cell r="H131">
            <v>3.1863000000000002E-2</v>
          </cell>
          <cell r="I131">
            <v>318.63000000000005</v>
          </cell>
          <cell r="J131">
            <v>3.8857317073170736E-2</v>
          </cell>
          <cell r="K131">
            <v>69.943170731707369</v>
          </cell>
          <cell r="L131">
            <v>388.57317073170736</v>
          </cell>
          <cell r="O131"/>
          <cell r="Q131">
            <v>1</v>
          </cell>
          <cell r="R131" t="str">
            <v>GCM1885C1H202FA16J</v>
          </cell>
          <cell r="S131" t="str">
            <v>Murata</v>
          </cell>
          <cell r="T131" t="str">
            <v>Future</v>
          </cell>
          <cell r="U131">
            <v>2.0299999999999999E-2</v>
          </cell>
          <cell r="V131">
            <v>10000</v>
          </cell>
          <cell r="W131">
            <v>0</v>
          </cell>
          <cell r="X131" t="str">
            <v>1-2 wks</v>
          </cell>
          <cell r="Y131" t="str">
            <v>Y</v>
          </cell>
          <cell r="Z131">
            <v>203</v>
          </cell>
          <cell r="AA131">
            <v>115.63000000000005</v>
          </cell>
          <cell r="AB131">
            <v>0.4775758717007188</v>
          </cell>
          <cell r="AC131" t="str">
            <v>SH</v>
          </cell>
          <cell r="AD131">
            <v>1062721</v>
          </cell>
          <cell r="AE131" t="str">
            <v>POV0067005</v>
          </cell>
          <cell r="AF131" t="str">
            <v>Stephanie Hill</v>
          </cell>
        </row>
        <row r="132">
          <cell r="A132" t="str">
            <v>615-123458-121</v>
          </cell>
          <cell r="B132" t="str">
            <v>RES,0402,THKF,1/16W,1% 1.21 ROHS</v>
          </cell>
          <cell r="C132" t="str">
            <v>RES</v>
          </cell>
          <cell r="D132">
            <v>25</v>
          </cell>
          <cell r="E132">
            <v>1</v>
          </cell>
          <cell r="F132" t="str">
            <v>21 Weeks</v>
          </cell>
          <cell r="G132">
            <v>10000</v>
          </cell>
          <cell r="H132">
            <v>6.1279999999999998E-3</v>
          </cell>
          <cell r="I132">
            <v>61.28</v>
          </cell>
          <cell r="J132">
            <v>7.4731707317073175E-3</v>
          </cell>
          <cell r="K132">
            <v>13.451707317073172</v>
          </cell>
          <cell r="L132">
            <v>74.731707317073173</v>
          </cell>
          <cell r="O132"/>
          <cell r="Q132">
            <v>2</v>
          </cell>
          <cell r="R132" t="str">
            <v>RC0402FR-071R21L</v>
          </cell>
          <cell r="S132" t="str">
            <v>YAGEO</v>
          </cell>
          <cell r="T132" t="str">
            <v>Future</v>
          </cell>
          <cell r="U132">
            <v>1.08E-3</v>
          </cell>
          <cell r="V132">
            <v>10000</v>
          </cell>
          <cell r="W132">
            <v>0</v>
          </cell>
          <cell r="X132" t="str">
            <v>1-2 wks</v>
          </cell>
          <cell r="Y132" t="str">
            <v>Y</v>
          </cell>
          <cell r="Z132">
            <v>10.8</v>
          </cell>
          <cell r="AA132">
            <v>50.480000000000004</v>
          </cell>
          <cell r="AB132">
            <v>0.85548302872062665</v>
          </cell>
          <cell r="AC132" t="str">
            <v>SH</v>
          </cell>
          <cell r="AD132">
            <v>1062721</v>
          </cell>
          <cell r="AE132" t="str">
            <v>POV0067005</v>
          </cell>
          <cell r="AF132" t="str">
            <v>Stephanie Hill</v>
          </cell>
        </row>
        <row r="133">
          <cell r="A133" t="str">
            <v>615-123459-750</v>
          </cell>
          <cell r="B133" t="str">
            <v>RES,0402,THKF,1/16W,1% 75.0 ROHS</v>
          </cell>
          <cell r="C133" t="str">
            <v>RES</v>
          </cell>
          <cell r="D133">
            <v>25</v>
          </cell>
          <cell r="E133">
            <v>1</v>
          </cell>
          <cell r="F133" t="str">
            <v>23 Weeks</v>
          </cell>
          <cell r="G133">
            <v>10000</v>
          </cell>
          <cell r="H133">
            <v>2.4510000000000001E-3</v>
          </cell>
          <cell r="I133">
            <v>24.51</v>
          </cell>
          <cell r="J133">
            <v>2.9890243902439026E-3</v>
          </cell>
          <cell r="K133">
            <v>5.3802439024390267</v>
          </cell>
          <cell r="L133">
            <v>29.890243902439025</v>
          </cell>
          <cell r="O133"/>
          <cell r="Q133">
            <v>1</v>
          </cell>
          <cell r="R133" t="str">
            <v>RC0402FR-0775RL</v>
          </cell>
          <cell r="S133" t="str">
            <v>YAGEO</v>
          </cell>
          <cell r="T133" t="str">
            <v>Rutronik UK via Astute Ltd</v>
          </cell>
          <cell r="U133">
            <v>4.9529999999999995E-4</v>
          </cell>
          <cell r="V133">
            <v>10000</v>
          </cell>
          <cell r="W133">
            <v>0</v>
          </cell>
          <cell r="X133">
            <v>1</v>
          </cell>
          <cell r="Y133" t="str">
            <v>Y</v>
          </cell>
          <cell r="Z133">
            <v>4.9529999999999994</v>
          </cell>
          <cell r="AA133">
            <v>19.557000000000002</v>
          </cell>
          <cell r="AB133">
            <v>0.83429375764993885</v>
          </cell>
          <cell r="AC133" t="str">
            <v>JH</v>
          </cell>
          <cell r="AD133">
            <v>1062721</v>
          </cell>
          <cell r="AE133" t="str">
            <v>POV0067002</v>
          </cell>
          <cell r="AF133" t="str">
            <v>JH</v>
          </cell>
        </row>
        <row r="134">
          <cell r="A134" t="str">
            <v>615-188548-194</v>
          </cell>
          <cell r="B134" t="str">
            <v>RES,0402,1% 1/16W,49.9 OHM ROHS</v>
          </cell>
          <cell r="C134" t="str">
            <v>RES</v>
          </cell>
          <cell r="D134">
            <v>60</v>
          </cell>
          <cell r="E134">
            <v>1</v>
          </cell>
          <cell r="F134" t="str">
            <v>15 Weeks</v>
          </cell>
          <cell r="G134">
            <v>10000</v>
          </cell>
          <cell r="H134">
            <v>3.6770000000000001E-3</v>
          </cell>
          <cell r="I134">
            <v>36.770000000000003</v>
          </cell>
          <cell r="J134">
            <v>4.4841463414634153E-3</v>
          </cell>
          <cell r="K134">
            <v>8.0714634146341524</v>
          </cell>
          <cell r="L134">
            <v>44.841463414634156</v>
          </cell>
          <cell r="O134"/>
          <cell r="Q134">
            <v>3</v>
          </cell>
          <cell r="R134" t="str">
            <v>AC0402FR-0749R9L</v>
          </cell>
          <cell r="S134" t="str">
            <v>YAGEO</v>
          </cell>
          <cell r="T134" t="str">
            <v>Rutronik UK via Astute Ltd</v>
          </cell>
          <cell r="U134">
            <v>6.223E-4</v>
          </cell>
          <cell r="V134">
            <v>10000</v>
          </cell>
          <cell r="W134">
            <v>0</v>
          </cell>
          <cell r="X134">
            <v>1</v>
          </cell>
          <cell r="Y134" t="str">
            <v>Y</v>
          </cell>
          <cell r="Z134">
            <v>6.2229999999999999</v>
          </cell>
          <cell r="AA134">
            <v>30.547000000000004</v>
          </cell>
          <cell r="AB134">
            <v>0.86122219200435146</v>
          </cell>
          <cell r="AC134" t="str">
            <v>JH</v>
          </cell>
          <cell r="AD134">
            <v>1062721</v>
          </cell>
          <cell r="AE134" t="str">
            <v>POV0067002</v>
          </cell>
          <cell r="AF134" t="str">
            <v>JH</v>
          </cell>
        </row>
        <row r="135">
          <cell r="A135" t="str">
            <v>615-188549-130</v>
          </cell>
          <cell r="B135" t="str">
            <v>RES,0402,1% 1/16W,22.1K ROHS</v>
          </cell>
          <cell r="C135" t="str">
            <v>RES</v>
          </cell>
          <cell r="D135">
            <v>25</v>
          </cell>
          <cell r="E135">
            <v>1</v>
          </cell>
          <cell r="F135" t="str">
            <v>19 Weeks</v>
          </cell>
          <cell r="G135">
            <v>10000</v>
          </cell>
          <cell r="H135">
            <v>3.3700000000000002E-3</v>
          </cell>
          <cell r="I135">
            <v>33.700000000000003</v>
          </cell>
          <cell r="J135">
            <v>4.1097560975609758E-3</v>
          </cell>
          <cell r="K135">
            <v>7.3975609756097569</v>
          </cell>
          <cell r="L135">
            <v>41.09756097560976</v>
          </cell>
          <cell r="O135"/>
          <cell r="Q135">
            <v>3</v>
          </cell>
          <cell r="R135" t="str">
            <v>AC0402FR-0722K1L</v>
          </cell>
          <cell r="S135" t="str">
            <v>YAGEO</v>
          </cell>
          <cell r="T135" t="str">
            <v>Rutronik UK via Astute Ltd</v>
          </cell>
          <cell r="U135">
            <v>6.223E-4</v>
          </cell>
          <cell r="V135">
            <v>10000</v>
          </cell>
          <cell r="W135">
            <v>0</v>
          </cell>
          <cell r="X135">
            <v>1</v>
          </cell>
          <cell r="Y135" t="str">
            <v>Y</v>
          </cell>
          <cell r="Z135">
            <v>6.2229999999999999</v>
          </cell>
          <cell r="AA135">
            <v>27.477000000000004</v>
          </cell>
          <cell r="AB135">
            <v>0.84857982195845705</v>
          </cell>
          <cell r="AC135" t="str">
            <v>JH</v>
          </cell>
          <cell r="AD135">
            <v>1062721</v>
          </cell>
          <cell r="AE135" t="str">
            <v>POV0067002</v>
          </cell>
          <cell r="AF135" t="str">
            <v>JH</v>
          </cell>
        </row>
        <row r="136">
          <cell r="A136" t="str">
            <v>615-123460-549</v>
          </cell>
          <cell r="B136" t="str">
            <v>RES,0402,THKF,1/16W,1% 549 ROHS</v>
          </cell>
          <cell r="C136" t="str">
            <v>RES</v>
          </cell>
          <cell r="D136">
            <v>25</v>
          </cell>
          <cell r="E136">
            <v>1</v>
          </cell>
          <cell r="F136" t="str">
            <v>50 Weeks</v>
          </cell>
          <cell r="G136">
            <v>10000</v>
          </cell>
          <cell r="H136">
            <v>2.6099999999999999E-3</v>
          </cell>
          <cell r="I136">
            <v>26.099999999999998</v>
          </cell>
          <cell r="J136">
            <v>3.1829268292682929E-3</v>
          </cell>
          <cell r="K136">
            <v>5.7292682926829279</v>
          </cell>
          <cell r="L136">
            <v>31.829268292682929</v>
          </cell>
          <cell r="M136" t="str">
            <v>CHINA</v>
          </cell>
          <cell r="N136">
            <v>8533210030</v>
          </cell>
          <cell r="O136">
            <v>0.35</v>
          </cell>
          <cell r="P136">
            <v>9.134999999999998</v>
          </cell>
          <cell r="Q136">
            <v>2</v>
          </cell>
          <cell r="R136" t="str">
            <v>RC0402FR-07549RL</v>
          </cell>
          <cell r="S136" t="str">
            <v>YAGEO</v>
          </cell>
          <cell r="T136" t="str">
            <v>Rutronik UK via Astute Ltd</v>
          </cell>
          <cell r="U136">
            <v>4.9529999999999995E-4</v>
          </cell>
          <cell r="V136">
            <v>10000</v>
          </cell>
          <cell r="W136">
            <v>0</v>
          </cell>
          <cell r="X136">
            <v>1</v>
          </cell>
          <cell r="Y136" t="str">
            <v>Y</v>
          </cell>
          <cell r="Z136">
            <v>4.9529999999999994</v>
          </cell>
          <cell r="AA136">
            <v>21.146999999999998</v>
          </cell>
          <cell r="AB136">
            <v>0.84438850574712643</v>
          </cell>
          <cell r="AC136" t="str">
            <v>JH</v>
          </cell>
          <cell r="AD136">
            <v>1062721</v>
          </cell>
          <cell r="AE136" t="str">
            <v>POV0067002</v>
          </cell>
          <cell r="AF136" t="str">
            <v>JH</v>
          </cell>
        </row>
        <row r="137">
          <cell r="A137" t="str">
            <v>615-123461-120</v>
          </cell>
          <cell r="B137" t="str">
            <v>RES,0402,THKF,1/16W,1% 1.20K ROHS</v>
          </cell>
          <cell r="C137" t="str">
            <v>RES</v>
          </cell>
          <cell r="D137">
            <v>15</v>
          </cell>
          <cell r="E137">
            <v>1</v>
          </cell>
          <cell r="F137" t="str">
            <v>4 Weeks</v>
          </cell>
          <cell r="G137">
            <v>10000</v>
          </cell>
          <cell r="H137">
            <v>3.6770000000000001E-3</v>
          </cell>
          <cell r="I137">
            <v>36.770000000000003</v>
          </cell>
          <cell r="J137">
            <v>4.4841463414634153E-3</v>
          </cell>
          <cell r="K137">
            <v>8.0714634146341524</v>
          </cell>
          <cell r="L137">
            <v>44.841463414634156</v>
          </cell>
          <cell r="O137"/>
          <cell r="Q137">
            <v>4</v>
          </cell>
          <cell r="R137" t="str">
            <v>RC0402FR-071K2L</v>
          </cell>
          <cell r="S137" t="str">
            <v>YAGEO</v>
          </cell>
          <cell r="T137" t="str">
            <v>Rutronik UK via Astute Ltd</v>
          </cell>
          <cell r="U137">
            <v>4.9529999999999995E-4</v>
          </cell>
          <cell r="V137">
            <v>10000</v>
          </cell>
          <cell r="W137">
            <v>0</v>
          </cell>
          <cell r="X137">
            <v>1</v>
          </cell>
          <cell r="Y137" t="str">
            <v>Y</v>
          </cell>
          <cell r="Z137">
            <v>4.9529999999999994</v>
          </cell>
          <cell r="AA137">
            <v>31.817000000000004</v>
          </cell>
          <cell r="AB137">
            <v>0.88954419363611648</v>
          </cell>
          <cell r="AC137" t="str">
            <v>JH</v>
          </cell>
          <cell r="AD137">
            <v>1062721</v>
          </cell>
          <cell r="AE137" t="str">
            <v>POV0067002</v>
          </cell>
          <cell r="AF137" t="str">
            <v>JH</v>
          </cell>
        </row>
        <row r="138">
          <cell r="A138" t="str">
            <v>664-068184-002</v>
          </cell>
          <cell r="B138" t="str">
            <v>LED,SMD,0603,ST,10MA,RED ROHS | CE!</v>
          </cell>
          <cell r="C138" t="str">
            <v>LED</v>
          </cell>
          <cell r="D138">
            <v>60</v>
          </cell>
          <cell r="E138"/>
          <cell r="F138" t="str">
            <v>23 Weeks</v>
          </cell>
          <cell r="G138">
            <v>8000</v>
          </cell>
          <cell r="H138">
            <v>4.5575999999999998E-2</v>
          </cell>
          <cell r="I138">
            <v>364.608</v>
          </cell>
          <cell r="J138">
            <v>5.5580487804878051E-2</v>
          </cell>
          <cell r="K138">
            <v>80.035902439024426</v>
          </cell>
          <cell r="L138">
            <v>444.64390243902443</v>
          </cell>
          <cell r="O138"/>
          <cell r="Q138">
            <v>2</v>
          </cell>
          <cell r="R138" t="str">
            <v>LTST-C190KRKT</v>
          </cell>
          <cell r="S138" t="str">
            <v>Lite-On</v>
          </cell>
          <cell r="T138" t="str">
            <v>Future</v>
          </cell>
          <cell r="U138">
            <v>2.4899999999999999E-2</v>
          </cell>
          <cell r="V138">
            <v>8000</v>
          </cell>
          <cell r="W138">
            <v>0</v>
          </cell>
          <cell r="X138" t="str">
            <v>1-2 wks</v>
          </cell>
          <cell r="Y138" t="str">
            <v>Y</v>
          </cell>
          <cell r="Z138">
            <v>199.2</v>
          </cell>
          <cell r="AA138">
            <v>165.40800000000002</v>
          </cell>
          <cell r="AB138">
            <v>0.55200105318588744</v>
          </cell>
          <cell r="AC138" t="str">
            <v>SH</v>
          </cell>
          <cell r="AD138">
            <v>1062721</v>
          </cell>
          <cell r="AE138" t="str">
            <v>POV0067005</v>
          </cell>
          <cell r="AF138" t="str">
            <v>Stephanie Hill</v>
          </cell>
        </row>
        <row r="139">
          <cell r="A139" t="str">
            <v>615-049171-324</v>
          </cell>
          <cell r="B139" t="str">
            <v>RES.SMD,0805,32.4K OHMS,0.1%,ROHS</v>
          </cell>
          <cell r="C139" t="str">
            <v>RES</v>
          </cell>
          <cell r="D139">
            <v>25</v>
          </cell>
          <cell r="E139">
            <v>1</v>
          </cell>
          <cell r="F139" t="str">
            <v>25 Weeks</v>
          </cell>
          <cell r="G139">
            <v>5000</v>
          </cell>
          <cell r="H139">
            <v>0.164217</v>
          </cell>
          <cell r="I139">
            <v>821.08500000000004</v>
          </cell>
          <cell r="J139">
            <v>0.20026463414634149</v>
          </cell>
          <cell r="K139">
            <v>180.23817073170744</v>
          </cell>
          <cell r="L139">
            <v>1001.3231707317075</v>
          </cell>
          <cell r="O139"/>
          <cell r="Q139">
            <v>2</v>
          </cell>
          <cell r="R139" t="str">
            <v>RG2012P-3242-B-T5</v>
          </cell>
          <cell r="S139" t="str">
            <v>Susumu</v>
          </cell>
          <cell r="T139" t="str">
            <v>Digikey</v>
          </cell>
          <cell r="U139">
            <v>5.203E-2</v>
          </cell>
          <cell r="V139">
            <v>5000</v>
          </cell>
          <cell r="W139">
            <v>0</v>
          </cell>
          <cell r="X139">
            <v>1</v>
          </cell>
          <cell r="Y139" t="str">
            <v>Y</v>
          </cell>
          <cell r="Z139">
            <v>260.14999999999998</v>
          </cell>
          <cell r="AA139">
            <v>560.93500000000006</v>
          </cell>
          <cell r="AB139">
            <v>0.74019376800209491</v>
          </cell>
          <cell r="AC139" t="str">
            <v>JH</v>
          </cell>
          <cell r="AD139">
            <v>1062721</v>
          </cell>
          <cell r="AE139" t="str">
            <v>POV0067001</v>
          </cell>
          <cell r="AF139" t="str">
            <v>JH</v>
          </cell>
        </row>
        <row r="140">
          <cell r="A140" t="str">
            <v>615-A14987-003</v>
          </cell>
          <cell r="B140" t="str">
            <v>RES,SMD,20K OHM,1%,1/4W,100PPM,0603</v>
          </cell>
          <cell r="C140" t="str">
            <v>RES</v>
          </cell>
          <cell r="D140">
            <v>15</v>
          </cell>
          <cell r="E140">
            <v>1</v>
          </cell>
          <cell r="F140" t="str">
            <v>19 Weeks</v>
          </cell>
          <cell r="G140">
            <v>5000</v>
          </cell>
          <cell r="H140">
            <v>2.1557E-2</v>
          </cell>
          <cell r="I140">
            <v>107.785</v>
          </cell>
          <cell r="J140">
            <v>2.6289024390243904E-2</v>
          </cell>
          <cell r="K140">
            <v>23.660121951219509</v>
          </cell>
          <cell r="L140">
            <v>131.44512195121953</v>
          </cell>
          <cell r="O140"/>
          <cell r="Q140">
            <v>1</v>
          </cell>
          <cell r="R140" t="str">
            <v>ESR03EZPF2002</v>
          </cell>
          <cell r="S140" t="str">
            <v>ROHM</v>
          </cell>
          <cell r="T140" t="str">
            <v>Future</v>
          </cell>
          <cell r="U140">
            <v>1.2699999999999999E-2</v>
          </cell>
          <cell r="V140">
            <v>5000</v>
          </cell>
          <cell r="W140">
            <v>0</v>
          </cell>
          <cell r="X140" t="str">
            <v>1-2 wks</v>
          </cell>
          <cell r="Y140" t="str">
            <v>Y</v>
          </cell>
          <cell r="Z140">
            <v>63.5</v>
          </cell>
          <cell r="AA140">
            <v>44.284999999999997</v>
          </cell>
          <cell r="AB140">
            <v>0.51690866075984609</v>
          </cell>
          <cell r="AC140" t="str">
            <v>SH</v>
          </cell>
          <cell r="AD140">
            <v>1062721</v>
          </cell>
          <cell r="AE140" t="str">
            <v>POV0067005</v>
          </cell>
          <cell r="AF140" t="str">
            <v>Stephanie Hill</v>
          </cell>
        </row>
        <row r="141">
          <cell r="A141" t="str">
            <v>615-080145-117</v>
          </cell>
          <cell r="B141" t="str">
            <v>RES,1206,TF,0.1%,25 PPM,402K ROHS</v>
          </cell>
          <cell r="C141" t="str">
            <v>RES</v>
          </cell>
          <cell r="D141">
            <v>15</v>
          </cell>
          <cell r="E141">
            <v>1</v>
          </cell>
          <cell r="F141" t="str">
            <v>21 Weeks</v>
          </cell>
          <cell r="G141">
            <v>5000</v>
          </cell>
          <cell r="H141">
            <v>0.242588</v>
          </cell>
          <cell r="I141">
            <v>1212.94</v>
          </cell>
          <cell r="J141">
            <v>0.2958390243902439</v>
          </cell>
          <cell r="K141">
            <v>266.25512195121951</v>
          </cell>
          <cell r="L141">
            <v>1479.1951219512196</v>
          </cell>
          <cell r="O141"/>
          <cell r="Q141">
            <v>2</v>
          </cell>
          <cell r="R141" t="str">
            <v>ERA-8AEB4023V</v>
          </cell>
          <cell r="S141" t="str">
            <v>Panasonic</v>
          </cell>
          <cell r="T141" t="str">
            <v>Future</v>
          </cell>
          <cell r="U141">
            <v>8.3400000000000002E-2</v>
          </cell>
          <cell r="V141">
            <v>5000</v>
          </cell>
          <cell r="W141">
            <v>0</v>
          </cell>
          <cell r="X141" t="str">
            <v>1-2 wks</v>
          </cell>
          <cell r="Y141" t="str">
            <v>Y</v>
          </cell>
          <cell r="Z141">
            <v>417</v>
          </cell>
          <cell r="AA141">
            <v>795.94</v>
          </cell>
          <cell r="AB141">
            <v>0.71808993025211465</v>
          </cell>
          <cell r="AC141" t="str">
            <v>SH</v>
          </cell>
          <cell r="AD141">
            <v>1062721</v>
          </cell>
          <cell r="AE141" t="str">
            <v>POV0067005</v>
          </cell>
          <cell r="AF141" t="str">
            <v>Stephanie Hill</v>
          </cell>
        </row>
        <row r="142">
          <cell r="A142" t="str">
            <v>615-B02355-001</v>
          </cell>
          <cell r="B142" t="str">
            <v>RES,SMD,.006OHM,1% TOL,1W,1206</v>
          </cell>
          <cell r="C142" t="str">
            <v>RES</v>
          </cell>
          <cell r="D142">
            <v>25</v>
          </cell>
          <cell r="E142">
            <v>1</v>
          </cell>
          <cell r="F142" t="str">
            <v>29 Weeks</v>
          </cell>
          <cell r="G142">
            <v>5000</v>
          </cell>
          <cell r="H142">
            <v>0.17647199999999999</v>
          </cell>
          <cell r="I142">
            <v>882.3599999999999</v>
          </cell>
          <cell r="J142">
            <v>0.21520975609756099</v>
          </cell>
          <cell r="K142">
            <v>193.68878048780493</v>
          </cell>
          <cell r="L142">
            <v>1076.0487804878048</v>
          </cell>
          <cell r="O142"/>
          <cell r="Q142">
            <v>1</v>
          </cell>
          <cell r="R142" t="str">
            <v>PMR18EZPFU6L00</v>
          </cell>
          <cell r="S142" t="str">
            <v>ROHM</v>
          </cell>
          <cell r="T142" t="str">
            <v>Future</v>
          </cell>
          <cell r="U142">
            <v>0.16</v>
          </cell>
          <cell r="V142">
            <v>5000</v>
          </cell>
          <cell r="W142">
            <v>0</v>
          </cell>
          <cell r="X142" t="str">
            <v>1-2 wks</v>
          </cell>
          <cell r="Y142" t="str">
            <v>Y</v>
          </cell>
          <cell r="Z142">
            <v>800</v>
          </cell>
          <cell r="AA142">
            <v>82.3599999999999</v>
          </cell>
          <cell r="AB142">
            <v>0.25653928101908519</v>
          </cell>
          <cell r="AC142" t="str">
            <v>SH</v>
          </cell>
          <cell r="AD142">
            <v>1062721</v>
          </cell>
          <cell r="AE142" t="str">
            <v>POV0067005</v>
          </cell>
          <cell r="AF142" t="str">
            <v>Stephanie Hill</v>
          </cell>
        </row>
        <row r="143">
          <cell r="A143" t="str">
            <v>615-052828-056</v>
          </cell>
          <cell r="B143" t="str">
            <v>RES,SMD,0805,MF,1/8W,0.1%,56K ROHS</v>
          </cell>
          <cell r="C143" t="str">
            <v>RES</v>
          </cell>
          <cell r="D143">
            <v>15</v>
          </cell>
          <cell r="E143">
            <v>1</v>
          </cell>
          <cell r="F143" t="str">
            <v>25 Weeks</v>
          </cell>
          <cell r="G143">
            <v>5000</v>
          </cell>
          <cell r="H143">
            <v>4.913E-2</v>
          </cell>
          <cell r="I143">
            <v>245.65</v>
          </cell>
          <cell r="J143">
            <v>5.9914634146341468E-2</v>
          </cell>
          <cell r="K143">
            <v>53.923170731707359</v>
          </cell>
          <cell r="L143">
            <v>299.57317073170736</v>
          </cell>
          <cell r="O143"/>
          <cell r="Q143">
            <v>2</v>
          </cell>
          <cell r="R143" t="str">
            <v>ERA-6AEB563V</v>
          </cell>
          <cell r="S143" t="str">
            <v>Panasonic</v>
          </cell>
          <cell r="T143" t="str">
            <v>Future</v>
          </cell>
          <cell r="U143">
            <v>2.8799999999999999E-2</v>
          </cell>
          <cell r="V143">
            <v>5000</v>
          </cell>
          <cell r="W143">
            <v>0</v>
          </cell>
          <cell r="X143" t="str">
            <v>1-2 wks</v>
          </cell>
          <cell r="Y143" t="str">
            <v>Y</v>
          </cell>
          <cell r="Z143">
            <v>144</v>
          </cell>
          <cell r="AA143">
            <v>101.65</v>
          </cell>
          <cell r="AB143">
            <v>0.5193161001424792</v>
          </cell>
          <cell r="AC143" t="str">
            <v>SH</v>
          </cell>
          <cell r="AD143">
            <v>1062411</v>
          </cell>
          <cell r="AE143" t="str">
            <v>POV0067005</v>
          </cell>
          <cell r="AF143" t="str">
            <v>Stephanie Hill</v>
          </cell>
        </row>
        <row r="144">
          <cell r="A144" t="str">
            <v>615-310567-274</v>
          </cell>
          <cell r="B144" t="str">
            <v>RES,SMD,11.8K,0.1%,1/10W,0603,ROHS</v>
          </cell>
          <cell r="C144" t="str">
            <v>RES</v>
          </cell>
          <cell r="D144">
            <v>15</v>
          </cell>
          <cell r="E144">
            <v>1</v>
          </cell>
          <cell r="F144" t="str">
            <v>21 Weeks</v>
          </cell>
          <cell r="G144">
            <v>5000</v>
          </cell>
          <cell r="H144">
            <v>3.424E-2</v>
          </cell>
          <cell r="I144">
            <v>171.2</v>
          </cell>
          <cell r="J144">
            <v>4.1756097560975612E-2</v>
          </cell>
          <cell r="K144">
            <v>37.580487804878061</v>
          </cell>
          <cell r="L144">
            <v>208.78048780487805</v>
          </cell>
          <cell r="O144"/>
          <cell r="Q144">
            <v>1</v>
          </cell>
          <cell r="R144" t="str">
            <v>ERA-3AEB1182V</v>
          </cell>
          <cell r="S144" t="str">
            <v>Panasonic</v>
          </cell>
          <cell r="T144" t="str">
            <v>Future</v>
          </cell>
          <cell r="U144">
            <v>2.7E-2</v>
          </cell>
          <cell r="V144">
            <v>5000</v>
          </cell>
          <cell r="W144">
            <v>0</v>
          </cell>
          <cell r="X144" t="str">
            <v>1-2 wks</v>
          </cell>
          <cell r="Y144" t="str">
            <v>Y</v>
          </cell>
          <cell r="Z144">
            <v>135</v>
          </cell>
          <cell r="AA144">
            <v>36.199999999999989</v>
          </cell>
          <cell r="AB144">
            <v>0.35338785046728971</v>
          </cell>
          <cell r="AC144" t="str">
            <v>SH</v>
          </cell>
          <cell r="AD144">
            <v>1062721</v>
          </cell>
          <cell r="AE144" t="str">
            <v>POV0067005</v>
          </cell>
          <cell r="AF144" t="str">
            <v>Stephanie Hill</v>
          </cell>
        </row>
        <row r="145">
          <cell r="A145" t="str">
            <v>615-325897-001</v>
          </cell>
          <cell r="B145" t="str">
            <v>RES,SMD,0805,10OHM,±1%,1/8W,THK FILM</v>
          </cell>
          <cell r="C145" t="str">
            <v>RES</v>
          </cell>
          <cell r="D145">
            <v>15</v>
          </cell>
          <cell r="E145">
            <v>1</v>
          </cell>
          <cell r="F145" t="str">
            <v>23 Weeks</v>
          </cell>
          <cell r="G145">
            <v>5000</v>
          </cell>
          <cell r="H145">
            <v>1.452E-2</v>
          </cell>
          <cell r="I145">
            <v>72.599999999999994</v>
          </cell>
          <cell r="J145">
            <v>1.7707317073170734E-2</v>
          </cell>
          <cell r="K145">
            <v>15.936585365853659</v>
          </cell>
          <cell r="L145">
            <v>88.536585365853668</v>
          </cell>
          <cell r="O145"/>
          <cell r="Q145">
            <v>1</v>
          </cell>
          <cell r="R145" t="str">
            <v>ERJ-6ENF10R0V</v>
          </cell>
          <cell r="S145" t="str">
            <v>Panasonic</v>
          </cell>
          <cell r="T145" t="str">
            <v>Future</v>
          </cell>
          <cell r="U145">
            <v>7.6E-3</v>
          </cell>
          <cell r="V145">
            <v>5000</v>
          </cell>
          <cell r="W145">
            <v>0</v>
          </cell>
          <cell r="X145" t="str">
            <v>1-2 wks</v>
          </cell>
          <cell r="Y145" t="str">
            <v>Y</v>
          </cell>
          <cell r="Z145">
            <v>38</v>
          </cell>
          <cell r="AA145">
            <v>34.599999999999994</v>
          </cell>
          <cell r="AB145">
            <v>0.57079889807162543</v>
          </cell>
          <cell r="AC145" t="str">
            <v>SH</v>
          </cell>
          <cell r="AD145">
            <v>1062721</v>
          </cell>
          <cell r="AE145" t="str">
            <v>POV0067005</v>
          </cell>
          <cell r="AF145" t="str">
            <v>Stephanie Hill</v>
          </cell>
        </row>
        <row r="146">
          <cell r="A146" t="str">
            <v>28-390234-00</v>
          </cell>
          <cell r="B146" t="str">
            <v>RES,THICK FILM,100 OHM,1/8W,1%,150V,SMT</v>
          </cell>
          <cell r="C146" t="str">
            <v>RES</v>
          </cell>
          <cell r="D146">
            <v>35</v>
          </cell>
          <cell r="E146">
            <v>1</v>
          </cell>
          <cell r="F146" t="str">
            <v>26 Weeks</v>
          </cell>
          <cell r="G146">
            <v>5000</v>
          </cell>
          <cell r="H146">
            <v>1.103E-2</v>
          </cell>
          <cell r="I146">
            <v>55.15</v>
          </cell>
          <cell r="J146">
            <v>1.3451219512195122E-2</v>
          </cell>
          <cell r="K146">
            <v>12.10609756097562</v>
          </cell>
          <cell r="L146">
            <v>67.256097560975604</v>
          </cell>
          <cell r="O146"/>
          <cell r="Q146">
            <v>1</v>
          </cell>
          <cell r="R146" t="str">
            <v>ERJ-6ENF1000V</v>
          </cell>
          <cell r="S146" t="str">
            <v>Panasonic</v>
          </cell>
          <cell r="T146" t="str">
            <v>Future</v>
          </cell>
          <cell r="U146">
            <v>8.77E-3</v>
          </cell>
          <cell r="V146">
            <v>5000</v>
          </cell>
          <cell r="W146">
            <v>0</v>
          </cell>
          <cell r="X146" t="str">
            <v>1-2 wks</v>
          </cell>
          <cell r="Y146" t="str">
            <v>Y</v>
          </cell>
          <cell r="Z146">
            <v>43.85</v>
          </cell>
          <cell r="AA146">
            <v>11.299999999999997</v>
          </cell>
          <cell r="AB146">
            <v>0.34801450589301897</v>
          </cell>
          <cell r="AC146" t="str">
            <v>SH</v>
          </cell>
          <cell r="AD146">
            <v>1062721</v>
          </cell>
          <cell r="AE146" t="str">
            <v>POV0067005</v>
          </cell>
          <cell r="AF146" t="str">
            <v>Stephanie Hill</v>
          </cell>
        </row>
        <row r="147">
          <cell r="A147" t="str">
            <v>619-000390-104</v>
          </cell>
          <cell r="B147" t="str">
            <v>RES 1/4W 5% 100K CF,ROHS</v>
          </cell>
          <cell r="C147" t="str">
            <v>RES</v>
          </cell>
          <cell r="D147">
            <v>15</v>
          </cell>
          <cell r="E147">
            <v>1</v>
          </cell>
          <cell r="F147" t="str">
            <v>15 Weeks</v>
          </cell>
          <cell r="G147">
            <v>5000</v>
          </cell>
          <cell r="H147">
            <v>1.1838E-2</v>
          </cell>
          <cell r="I147">
            <v>59.19</v>
          </cell>
          <cell r="J147">
            <v>1.4436585365853658E-2</v>
          </cell>
          <cell r="K147">
            <v>12.992926829268299</v>
          </cell>
          <cell r="L147">
            <v>72.182926829268297</v>
          </cell>
          <cell r="O147"/>
          <cell r="Q147">
            <v>2</v>
          </cell>
          <cell r="R147" t="str">
            <v>CF14JT100K</v>
          </cell>
          <cell r="S147" t="str">
            <v>Stackpole Electronics</v>
          </cell>
          <cell r="T147" t="str">
            <v>Future</v>
          </cell>
          <cell r="U147">
            <v>5.7000000000000002E-3</v>
          </cell>
          <cell r="V147">
            <v>5000</v>
          </cell>
          <cell r="W147">
            <v>0</v>
          </cell>
          <cell r="X147" t="str">
            <v>1-2 wks</v>
          </cell>
          <cell r="Y147" t="str">
            <v>Y</v>
          </cell>
          <cell r="Z147">
            <v>28.5</v>
          </cell>
          <cell r="AA147">
            <v>30.689999999999998</v>
          </cell>
          <cell r="AB147">
            <v>0.60516979219462752</v>
          </cell>
          <cell r="AC147" t="str">
            <v>SH</v>
          </cell>
          <cell r="AD147">
            <v>1062721</v>
          </cell>
          <cell r="AE147" t="str">
            <v>POV0067005</v>
          </cell>
          <cell r="AF147" t="str">
            <v>Stephanie Hill</v>
          </cell>
        </row>
        <row r="148">
          <cell r="A148" t="str">
            <v>615-221230-008</v>
          </cell>
          <cell r="B148" t="str">
            <v>RES,SMD, 100KOHM,TOL 1%,0603, 0.1W</v>
          </cell>
          <cell r="C148" t="str">
            <v>RES</v>
          </cell>
          <cell r="D148">
            <v>25</v>
          </cell>
          <cell r="E148">
            <v>1</v>
          </cell>
          <cell r="F148" t="str">
            <v>15 Weeks</v>
          </cell>
          <cell r="G148">
            <v>5000</v>
          </cell>
          <cell r="H148">
            <v>3.6770000000000001E-3</v>
          </cell>
          <cell r="I148">
            <v>18.385000000000002</v>
          </cell>
          <cell r="J148">
            <v>4.4841463414634153E-3</v>
          </cell>
          <cell r="K148">
            <v>4.0357317073170762</v>
          </cell>
          <cell r="L148">
            <v>22.420731707317078</v>
          </cell>
          <cell r="O148"/>
          <cell r="Q148">
            <v>1</v>
          </cell>
          <cell r="R148" t="str">
            <v>CRCW0603100KFKEA</v>
          </cell>
          <cell r="S148" t="str">
            <v>Vishay</v>
          </cell>
          <cell r="T148" t="str">
            <v>Future</v>
          </cell>
          <cell r="U148">
            <v>1.1900000000000001E-3</v>
          </cell>
          <cell r="V148">
            <v>5000</v>
          </cell>
          <cell r="W148">
            <v>0</v>
          </cell>
          <cell r="X148" t="str">
            <v>1-2 wks</v>
          </cell>
          <cell r="Y148" t="str">
            <v>Y</v>
          </cell>
          <cell r="Z148">
            <v>5.95</v>
          </cell>
          <cell r="AA148">
            <v>12.435000000000002</v>
          </cell>
          <cell r="AB148">
            <v>0.73462061463149309</v>
          </cell>
          <cell r="AC148" t="str">
            <v>SH</v>
          </cell>
          <cell r="AD148">
            <v>1062721</v>
          </cell>
          <cell r="AE148" t="str">
            <v>POV0067005</v>
          </cell>
          <cell r="AF148" t="str">
            <v>Stephanie Hill</v>
          </cell>
        </row>
        <row r="149">
          <cell r="A149" t="str">
            <v>615-068558-365</v>
          </cell>
          <cell r="B149" t="str">
            <v>RES,0603,THKF,1%,1/10W,100PPM,365 ROHS</v>
          </cell>
          <cell r="C149" t="str">
            <v>RES</v>
          </cell>
          <cell r="D149">
            <v>25</v>
          </cell>
          <cell r="E149">
            <v>1</v>
          </cell>
          <cell r="F149" t="str">
            <v>23 Weeks</v>
          </cell>
          <cell r="G149">
            <v>5000</v>
          </cell>
          <cell r="H149">
            <v>4.9020000000000001E-3</v>
          </cell>
          <cell r="I149">
            <v>24.51</v>
          </cell>
          <cell r="J149">
            <v>5.9780487804878052E-3</v>
          </cell>
          <cell r="K149">
            <v>5.3802439024390267</v>
          </cell>
          <cell r="L149">
            <v>29.890243902439025</v>
          </cell>
          <cell r="M149" t="str">
            <v>CHINA</v>
          </cell>
          <cell r="N149" t="str">
            <v>8533210030</v>
          </cell>
          <cell r="O149">
            <v>0.35</v>
          </cell>
          <cell r="P149">
            <v>8.5785</v>
          </cell>
          <cell r="Q149">
            <v>4</v>
          </cell>
          <cell r="R149" t="str">
            <v>CRCW0603365RFKEA</v>
          </cell>
          <cell r="S149" t="str">
            <v>Vishay</v>
          </cell>
          <cell r="T149" t="str">
            <v>Future</v>
          </cell>
          <cell r="U149">
            <v>2.0300000000000001E-3</v>
          </cell>
          <cell r="V149">
            <v>5000</v>
          </cell>
          <cell r="W149">
            <v>0</v>
          </cell>
          <cell r="X149" t="str">
            <v>1-2 wks</v>
          </cell>
          <cell r="Y149" t="str">
            <v>Y</v>
          </cell>
          <cell r="Z149">
            <v>10.15</v>
          </cell>
          <cell r="AA149">
            <v>14.360000000000001</v>
          </cell>
          <cell r="AB149">
            <v>0.66042431660546708</v>
          </cell>
          <cell r="AC149" t="str">
            <v>SH</v>
          </cell>
          <cell r="AD149">
            <v>1062721</v>
          </cell>
          <cell r="AE149" t="str">
            <v>POV0067005</v>
          </cell>
          <cell r="AF149" t="str">
            <v>Stephanie Hill</v>
          </cell>
        </row>
        <row r="150">
          <cell r="A150" t="str">
            <v>615-901294-184</v>
          </cell>
          <cell r="B150" t="str">
            <v>RES,SMD,0805,180K,5%,1/10W,ROHS</v>
          </cell>
          <cell r="C150" t="str">
            <v>RES</v>
          </cell>
          <cell r="D150">
            <v>15</v>
          </cell>
          <cell r="E150">
            <v>1</v>
          </cell>
          <cell r="F150" t="str">
            <v>15 Weeks</v>
          </cell>
          <cell r="G150">
            <v>5000</v>
          </cell>
          <cell r="H150">
            <v>4.9020000000000001E-3</v>
          </cell>
          <cell r="I150">
            <v>24.51</v>
          </cell>
          <cell r="J150">
            <v>5.9780487804878052E-3</v>
          </cell>
          <cell r="K150">
            <v>5.3802439024390267</v>
          </cell>
          <cell r="L150">
            <v>29.890243902439025</v>
          </cell>
          <cell r="O150"/>
          <cell r="Q150">
            <v>2</v>
          </cell>
          <cell r="R150" t="str">
            <v>CRCW0805180KJNEA</v>
          </cell>
          <cell r="S150" t="str">
            <v>Vishay</v>
          </cell>
          <cell r="T150" t="str">
            <v>Future</v>
          </cell>
          <cell r="U150">
            <v>2.7200000000000002E-3</v>
          </cell>
          <cell r="V150">
            <v>5000</v>
          </cell>
          <cell r="W150">
            <v>0</v>
          </cell>
          <cell r="X150" t="str">
            <v>1-2 wks</v>
          </cell>
          <cell r="Y150" t="str">
            <v>Y</v>
          </cell>
          <cell r="Z150">
            <v>13.600000000000001</v>
          </cell>
          <cell r="AA150">
            <v>10.91</v>
          </cell>
          <cell r="AB150">
            <v>0.54500203998368013</v>
          </cell>
          <cell r="AC150" t="str">
            <v>SH</v>
          </cell>
          <cell r="AD150">
            <v>1062721</v>
          </cell>
          <cell r="AE150" t="str">
            <v>POV0067005</v>
          </cell>
          <cell r="AF150" t="str">
            <v>Stephanie Hill</v>
          </cell>
        </row>
        <row r="151">
          <cell r="A151" t="str">
            <v>615-255712-047</v>
          </cell>
          <cell r="B151" t="str">
            <v>RES,SMD,1%TOL,0.1W,±100PPM,4.7KOHM,0603</v>
          </cell>
          <cell r="C151" t="str">
            <v>RES</v>
          </cell>
          <cell r="D151">
            <v>15</v>
          </cell>
          <cell r="E151">
            <v>1</v>
          </cell>
          <cell r="F151" t="str">
            <v>23 Weeks</v>
          </cell>
          <cell r="G151">
            <v>5000</v>
          </cell>
          <cell r="H151">
            <v>4.9020000000000001E-3</v>
          </cell>
          <cell r="I151">
            <v>24.51</v>
          </cell>
          <cell r="J151">
            <v>5.9780487804878052E-3</v>
          </cell>
          <cell r="K151">
            <v>5.3802439024390267</v>
          </cell>
          <cell r="L151">
            <v>29.890243902439025</v>
          </cell>
          <cell r="O151"/>
          <cell r="Q151">
            <v>1</v>
          </cell>
          <cell r="R151" t="str">
            <v>ERJ-3EKF4701V</v>
          </cell>
          <cell r="S151" t="str">
            <v>Panasonic</v>
          </cell>
          <cell r="T151" t="str">
            <v>Future</v>
          </cell>
          <cell r="U151">
            <v>4.2399999999999998E-3</v>
          </cell>
          <cell r="V151">
            <v>5000</v>
          </cell>
          <cell r="W151">
            <v>0</v>
          </cell>
          <cell r="X151" t="str">
            <v>1-2 wks</v>
          </cell>
          <cell r="Y151" t="str">
            <v>Y</v>
          </cell>
          <cell r="Z151">
            <v>21.2</v>
          </cell>
          <cell r="AA151">
            <v>3.3100000000000023</v>
          </cell>
          <cell r="AB151">
            <v>0.29073847409220732</v>
          </cell>
          <cell r="AC151" t="str">
            <v>SH</v>
          </cell>
          <cell r="AD151">
            <v>1062411</v>
          </cell>
          <cell r="AE151" t="str">
            <v>POV0067005</v>
          </cell>
          <cell r="AF151" t="str">
            <v>Stephanie Hill</v>
          </cell>
        </row>
        <row r="152">
          <cell r="A152" t="str">
            <v>615-A79047-003</v>
          </cell>
          <cell r="B152" t="str">
            <v>RES,SMD,THK,2.2K OHM,1%,1/4W,1206</v>
          </cell>
          <cell r="C152" t="str">
            <v>RES</v>
          </cell>
          <cell r="D152">
            <v>15</v>
          </cell>
          <cell r="E152">
            <v>1</v>
          </cell>
          <cell r="F152" t="str">
            <v>19 Weeks</v>
          </cell>
          <cell r="G152">
            <v>5000</v>
          </cell>
          <cell r="H152">
            <v>5.4530000000000004E-3</v>
          </cell>
          <cell r="I152">
            <v>27.265000000000001</v>
          </cell>
          <cell r="J152">
            <v>6.6500000000000005E-3</v>
          </cell>
          <cell r="K152">
            <v>5.9849999999999994</v>
          </cell>
          <cell r="L152">
            <v>33.25</v>
          </cell>
          <cell r="O152"/>
          <cell r="Q152">
            <v>1</v>
          </cell>
          <cell r="R152" t="str">
            <v>RMCF1206FT2K20</v>
          </cell>
          <cell r="S152" t="str">
            <v>Stackpole Electronics</v>
          </cell>
          <cell r="T152" t="str">
            <v>Future</v>
          </cell>
          <cell r="U152">
            <v>3.3400000000000001E-3</v>
          </cell>
          <cell r="V152">
            <v>5000</v>
          </cell>
          <cell r="W152">
            <v>0</v>
          </cell>
          <cell r="X152" t="str">
            <v>1-2 wks</v>
          </cell>
          <cell r="Y152" t="str">
            <v>Y</v>
          </cell>
          <cell r="Z152">
            <v>16.7</v>
          </cell>
          <cell r="AA152">
            <v>10.565000000000001</v>
          </cell>
          <cell r="AB152">
            <v>0.49774436090225571</v>
          </cell>
          <cell r="AC152" t="str">
            <v>SH</v>
          </cell>
          <cell r="AD152">
            <v>1062721</v>
          </cell>
          <cell r="AE152" t="str">
            <v>POV0067005</v>
          </cell>
          <cell r="AF152" t="str">
            <v>Stephanie Hill</v>
          </cell>
        </row>
        <row r="153">
          <cell r="A153" t="str">
            <v>615-116030-215</v>
          </cell>
          <cell r="B153" t="str">
            <v>RES,1206,1%,1/4W,100PPM,215K,ROHS</v>
          </cell>
          <cell r="C153" t="str">
            <v>RES</v>
          </cell>
          <cell r="D153">
            <v>15</v>
          </cell>
          <cell r="E153">
            <v>1</v>
          </cell>
          <cell r="F153" t="str">
            <v>29 Weeks</v>
          </cell>
          <cell r="G153">
            <v>5000</v>
          </cell>
          <cell r="H153">
            <v>8.5789999999999998E-3</v>
          </cell>
          <cell r="I153">
            <v>42.894999999999996</v>
          </cell>
          <cell r="J153">
            <v>1.046219512195122E-2</v>
          </cell>
          <cell r="K153">
            <v>9.4159756097561029</v>
          </cell>
          <cell r="L153">
            <v>52.310975609756099</v>
          </cell>
          <cell r="M153" t="str">
            <v>CHINA</v>
          </cell>
          <cell r="N153">
            <v>8533210030</v>
          </cell>
          <cell r="O153">
            <v>0.35</v>
          </cell>
          <cell r="P153">
            <v>15.013249999999998</v>
          </cell>
          <cell r="Q153">
            <v>3</v>
          </cell>
          <cell r="R153" t="str">
            <v>RC1206FR-07215KL</v>
          </cell>
          <cell r="S153" t="str">
            <v>YAGEO</v>
          </cell>
          <cell r="T153" t="str">
            <v>Rutronik UK via Astute Ltd</v>
          </cell>
          <cell r="U153">
            <v>2.2098E-3</v>
          </cell>
          <cell r="V153">
            <v>5000</v>
          </cell>
          <cell r="W153">
            <v>0</v>
          </cell>
          <cell r="X153">
            <v>1</v>
          </cell>
          <cell r="Y153" t="str">
            <v>Y</v>
          </cell>
          <cell r="Z153">
            <v>11.048999999999999</v>
          </cell>
          <cell r="AA153">
            <v>31.845999999999997</v>
          </cell>
          <cell r="AB153">
            <v>0.78878237556824804</v>
          </cell>
          <cell r="AC153" t="str">
            <v>JH</v>
          </cell>
          <cell r="AD153">
            <v>1062721</v>
          </cell>
          <cell r="AE153" t="str">
            <v>POV0067002</v>
          </cell>
          <cell r="AF153" t="str">
            <v>JH</v>
          </cell>
        </row>
        <row r="154">
          <cell r="A154" t="str">
            <v>615-901303-357</v>
          </cell>
          <cell r="B154" t="str">
            <v>RES,0805,357K,1%,1/10W,ROHS</v>
          </cell>
          <cell r="C154" t="str">
            <v>RES</v>
          </cell>
          <cell r="D154">
            <v>15</v>
          </cell>
          <cell r="E154">
            <v>1</v>
          </cell>
          <cell r="F154" t="str">
            <v>15 Weeks</v>
          </cell>
          <cell r="G154">
            <v>5000</v>
          </cell>
          <cell r="H154">
            <v>8.5789999999999998E-3</v>
          </cell>
          <cell r="I154">
            <v>42.894999999999996</v>
          </cell>
          <cell r="J154">
            <v>1.046219512195122E-2</v>
          </cell>
          <cell r="K154">
            <v>9.4159756097561029</v>
          </cell>
          <cell r="L154">
            <v>52.310975609756099</v>
          </cell>
          <cell r="O154"/>
          <cell r="Q154">
            <v>3</v>
          </cell>
          <cell r="R154" t="str">
            <v>RC0805FR-07357KL</v>
          </cell>
          <cell r="S154" t="str">
            <v>YAGEO</v>
          </cell>
          <cell r="T154" t="str">
            <v>Rutronik UK via Astute Ltd</v>
          </cell>
          <cell r="U154">
            <v>1.2319E-3</v>
          </cell>
          <cell r="V154">
            <v>5000</v>
          </cell>
          <cell r="W154">
            <v>0</v>
          </cell>
          <cell r="X154">
            <v>1</v>
          </cell>
          <cell r="Y154" t="str">
            <v>Y</v>
          </cell>
          <cell r="Z154">
            <v>6.1594999999999995</v>
          </cell>
          <cell r="AA154">
            <v>36.735499999999995</v>
          </cell>
          <cell r="AB154">
            <v>0.88225224385126477</v>
          </cell>
          <cell r="AC154" t="str">
            <v>JH</v>
          </cell>
          <cell r="AD154">
            <v>1062721</v>
          </cell>
          <cell r="AE154" t="str">
            <v>POV0067002</v>
          </cell>
          <cell r="AF154" t="str">
            <v>JH</v>
          </cell>
        </row>
        <row r="155">
          <cell r="A155" t="str">
            <v>648-B07531-105</v>
          </cell>
          <cell r="B155" t="str">
            <v>CAP,SMD,CER,1UF,+/-10%,50V,X5R,0603</v>
          </cell>
          <cell r="C155" t="str">
            <v>CAP</v>
          </cell>
          <cell r="D155">
            <v>15</v>
          </cell>
          <cell r="E155">
            <v>1</v>
          </cell>
          <cell r="F155" t="str">
            <v>21 Weeks</v>
          </cell>
          <cell r="G155">
            <v>4000</v>
          </cell>
          <cell r="H155">
            <v>2.6960999999999999E-2</v>
          </cell>
          <cell r="I155">
            <v>107.84399999999999</v>
          </cell>
          <cell r="J155">
            <v>3.287926829268293E-2</v>
          </cell>
          <cell r="K155">
            <v>23.673073170731726</v>
          </cell>
          <cell r="L155">
            <v>131.51707317073172</v>
          </cell>
          <cell r="O155"/>
          <cell r="Q155">
            <v>1</v>
          </cell>
          <cell r="R155" t="str">
            <v>GRT188R61H105KE13D</v>
          </cell>
          <cell r="S155" t="str">
            <v>Murata</v>
          </cell>
          <cell r="T155" t="str">
            <v>Future</v>
          </cell>
          <cell r="U155">
            <v>1.67E-2</v>
          </cell>
          <cell r="V155">
            <v>4000</v>
          </cell>
          <cell r="W155">
            <v>0</v>
          </cell>
          <cell r="X155" t="str">
            <v>1-2 wks</v>
          </cell>
          <cell r="Y155" t="str">
            <v>Y</v>
          </cell>
          <cell r="Z155">
            <v>66.8</v>
          </cell>
          <cell r="AA155">
            <v>41.043999999999997</v>
          </cell>
          <cell r="AB155">
            <v>0.49208115425985688</v>
          </cell>
          <cell r="AC155" t="str">
            <v>SH</v>
          </cell>
          <cell r="AD155">
            <v>1062721</v>
          </cell>
          <cell r="AE155" t="str">
            <v>POV0067005</v>
          </cell>
          <cell r="AF155" t="str">
            <v>Stephanie Hill</v>
          </cell>
        </row>
        <row r="156">
          <cell r="A156" t="str">
            <v>648-A35911-002</v>
          </cell>
          <cell r="B156" t="str">
            <v>CAP,SMD,CER,0.02UF,+/-5%,50V,NP0,1206</v>
          </cell>
          <cell r="C156" t="str">
            <v>CAP</v>
          </cell>
          <cell r="D156">
            <v>50</v>
          </cell>
          <cell r="E156">
            <v>1</v>
          </cell>
          <cell r="F156" t="str">
            <v>13 Weeks</v>
          </cell>
          <cell r="G156">
            <v>4000</v>
          </cell>
          <cell r="H156">
            <v>7.8836000000000003E-2</v>
          </cell>
          <cell r="I156">
            <v>315.34399999999999</v>
          </cell>
          <cell r="J156">
            <v>9.6141463414634157E-2</v>
          </cell>
          <cell r="K156">
            <v>69.221853658536588</v>
          </cell>
          <cell r="L156">
            <v>384.56585365853664</v>
          </cell>
          <cell r="O156"/>
          <cell r="Q156">
            <v>1</v>
          </cell>
          <cell r="R156" t="str">
            <v>GRM3195C1H203JA01D</v>
          </cell>
          <cell r="S156" t="str">
            <v>Murata</v>
          </cell>
          <cell r="T156" t="str">
            <v>Future</v>
          </cell>
          <cell r="U156">
            <v>5.0799999999999998E-2</v>
          </cell>
          <cell r="V156">
            <v>4000</v>
          </cell>
          <cell r="W156">
            <v>0</v>
          </cell>
          <cell r="X156" t="str">
            <v>1-2 wks</v>
          </cell>
          <cell r="Y156" t="str">
            <v>Y</v>
          </cell>
          <cell r="Z156">
            <v>203.2</v>
          </cell>
          <cell r="AA156">
            <v>112.14400000000001</v>
          </cell>
          <cell r="AB156">
            <v>0.47161195392967692</v>
          </cell>
          <cell r="AC156" t="str">
            <v>SH</v>
          </cell>
          <cell r="AD156">
            <v>1062721</v>
          </cell>
          <cell r="AE156" t="str">
            <v>POV0067005</v>
          </cell>
          <cell r="AF156" t="str">
            <v>Stephanie Hill</v>
          </cell>
        </row>
        <row r="157">
          <cell r="A157" t="str">
            <v>648-068442-101</v>
          </cell>
          <cell r="B157" t="str">
            <v>CAP,0603,CER,COG,5%,50V 100PF ROHS</v>
          </cell>
          <cell r="C157" t="str">
            <v>CAP</v>
          </cell>
          <cell r="D157">
            <v>25</v>
          </cell>
          <cell r="E157">
            <v>1</v>
          </cell>
          <cell r="F157" t="str">
            <v>36 Weeks</v>
          </cell>
          <cell r="G157">
            <v>4000</v>
          </cell>
          <cell r="H157">
            <v>1.7672E-2</v>
          </cell>
          <cell r="I157">
            <v>70.688000000000002</v>
          </cell>
          <cell r="J157">
            <v>2.1551219512195123E-2</v>
          </cell>
          <cell r="K157">
            <v>15.516878048780498</v>
          </cell>
          <cell r="L157">
            <v>86.204878048780486</v>
          </cell>
          <cell r="O157"/>
          <cell r="Q157">
            <v>3</v>
          </cell>
          <cell r="R157" t="str">
            <v>NMC0603NPO101J50TRPF</v>
          </cell>
          <cell r="S157" t="str">
            <v>NIC Components</v>
          </cell>
          <cell r="T157" t="str">
            <v>Future</v>
          </cell>
          <cell r="U157">
            <v>3.2100000000000002E-3</v>
          </cell>
          <cell r="V157">
            <v>4000</v>
          </cell>
          <cell r="W157">
            <v>0</v>
          </cell>
          <cell r="X157" t="str">
            <v>1-2 wks</v>
          </cell>
          <cell r="Y157" t="str">
            <v>Y</v>
          </cell>
          <cell r="Z157">
            <v>12.84</v>
          </cell>
          <cell r="AA157">
            <v>57.847999999999999</v>
          </cell>
          <cell r="AB157">
            <v>0.85105251244907199</v>
          </cell>
          <cell r="AC157" t="str">
            <v>SH</v>
          </cell>
          <cell r="AD157">
            <v>1062721</v>
          </cell>
          <cell r="AE157" t="str">
            <v>POV0067005</v>
          </cell>
          <cell r="AF157" t="str">
            <v>Stephanie Hill</v>
          </cell>
        </row>
        <row r="158">
          <cell r="A158" t="str">
            <v>609-B31647-001</v>
          </cell>
          <cell r="B158" t="str">
            <v>DIO,SMD,SCHOTTKY,RF,SER,30V,SOT-23</v>
          </cell>
          <cell r="C158" t="str">
            <v>DIO</v>
          </cell>
          <cell r="D158">
            <v>15</v>
          </cell>
          <cell r="E158">
            <v>1</v>
          </cell>
          <cell r="F158" t="str">
            <v>14 Weeks</v>
          </cell>
          <cell r="G158">
            <v>3000</v>
          </cell>
          <cell r="H158">
            <v>7.5981000000000007E-2</v>
          </cell>
          <cell r="I158">
            <v>227.94300000000001</v>
          </cell>
          <cell r="J158">
            <v>9.2659756097560983E-2</v>
          </cell>
          <cell r="K158">
            <v>50.036268292682934</v>
          </cell>
          <cell r="L158">
            <v>277.97926829268295</v>
          </cell>
          <cell r="M158" t="str">
            <v>CHINA</v>
          </cell>
          <cell r="N158" t="str">
            <v>8541100070</v>
          </cell>
          <cell r="O158">
            <v>0.35</v>
          </cell>
          <cell r="P158">
            <v>79.780050000000003</v>
          </cell>
          <cell r="Q158">
            <v>1</v>
          </cell>
          <cell r="R158" t="str">
            <v>MMBD452LT1G</v>
          </cell>
          <cell r="S158" t="str">
            <v>ONSEMI</v>
          </cell>
          <cell r="T158" t="str">
            <v>Future</v>
          </cell>
          <cell r="U158">
            <v>5.8599999999999999E-2</v>
          </cell>
          <cell r="V158">
            <v>3000</v>
          </cell>
          <cell r="W158">
            <v>0</v>
          </cell>
          <cell r="X158" t="str">
            <v>1-2 wks</v>
          </cell>
          <cell r="Y158" t="str">
            <v>Y</v>
          </cell>
          <cell r="Z158">
            <v>175.8</v>
          </cell>
          <cell r="AA158">
            <v>52.143000000000001</v>
          </cell>
          <cell r="AB158">
            <v>0.36757873678946051</v>
          </cell>
          <cell r="AC158" t="str">
            <v>SH</v>
          </cell>
          <cell r="AD158">
            <v>1062721</v>
          </cell>
          <cell r="AE158" t="str">
            <v>POV0067005</v>
          </cell>
          <cell r="AF158" t="str">
            <v>Stephanie Hill</v>
          </cell>
        </row>
        <row r="159">
          <cell r="A159" t="str">
            <v>609-117540-002</v>
          </cell>
          <cell r="B159" t="str">
            <v>DIO,SMD,ZENER,11V,500MW,SOD-123,ROHS</v>
          </cell>
          <cell r="C159" t="str">
            <v>DIO</v>
          </cell>
          <cell r="D159">
            <v>15</v>
          </cell>
          <cell r="E159">
            <v>1</v>
          </cell>
          <cell r="F159" t="str">
            <v>11 Weeks</v>
          </cell>
          <cell r="G159">
            <v>3000</v>
          </cell>
          <cell r="H159">
            <v>2.2058999999999999E-2</v>
          </cell>
          <cell r="I159">
            <v>66.176999999999992</v>
          </cell>
          <cell r="J159">
            <v>2.6901219512195124E-2</v>
          </cell>
          <cell r="K159">
            <v>14.526658536585373</v>
          </cell>
          <cell r="L159">
            <v>80.703658536585365</v>
          </cell>
          <cell r="O159"/>
          <cell r="Q159">
            <v>1</v>
          </cell>
          <cell r="R159" t="str">
            <v>MMSZ11T1G</v>
          </cell>
          <cell r="S159" t="str">
            <v>On Semiconductor</v>
          </cell>
          <cell r="T159" t="str">
            <v>Future</v>
          </cell>
          <cell r="U159">
            <v>1.4500000000000001E-2</v>
          </cell>
          <cell r="V159">
            <v>3000</v>
          </cell>
          <cell r="W159">
            <v>0</v>
          </cell>
          <cell r="X159" t="str">
            <v>1-2 wks</v>
          </cell>
          <cell r="Y159" t="str">
            <v>Y</v>
          </cell>
          <cell r="Z159">
            <v>43.5</v>
          </cell>
          <cell r="AA159">
            <v>22.676999999999992</v>
          </cell>
          <cell r="AB159">
            <v>0.46099097873883677</v>
          </cell>
          <cell r="AC159" t="str">
            <v>SH</v>
          </cell>
          <cell r="AD159">
            <v>1062721</v>
          </cell>
          <cell r="AE159" t="str">
            <v>POV0067005</v>
          </cell>
          <cell r="AF159" t="str">
            <v>Stephanie Hill</v>
          </cell>
        </row>
        <row r="160">
          <cell r="A160" t="str">
            <v>609-068260-001</v>
          </cell>
          <cell r="B160" t="str">
            <v>DIO,SMD,PWR,MBR140SFT1G,40V,1A,ROHS</v>
          </cell>
          <cell r="C160" t="str">
            <v>DIO</v>
          </cell>
          <cell r="D160">
            <v>15</v>
          </cell>
          <cell r="E160">
            <v>1</v>
          </cell>
          <cell r="F160" t="str">
            <v>19 Weeks</v>
          </cell>
          <cell r="G160">
            <v>3000</v>
          </cell>
          <cell r="H160">
            <v>9.4364000000000003E-2</v>
          </cell>
          <cell r="I160">
            <v>283.09199999999998</v>
          </cell>
          <cell r="J160">
            <v>0.11507804878048782</v>
          </cell>
          <cell r="K160">
            <v>62.142146341463445</v>
          </cell>
          <cell r="L160">
            <v>345.23414634146343</v>
          </cell>
          <cell r="O160"/>
          <cell r="Q160">
            <v>1</v>
          </cell>
          <cell r="R160" t="str">
            <v>MBR140SFT1G</v>
          </cell>
          <cell r="S160" t="str">
            <v>On Semiconductor</v>
          </cell>
          <cell r="T160" t="str">
            <v>Future</v>
          </cell>
          <cell r="U160">
            <v>8.5099999999999995E-2</v>
          </cell>
          <cell r="V160">
            <v>3000</v>
          </cell>
          <cell r="W160">
            <v>0</v>
          </cell>
          <cell r="X160" t="str">
            <v>1-2 wks</v>
          </cell>
          <cell r="Y160" t="str">
            <v>Y</v>
          </cell>
          <cell r="Z160">
            <v>255.29999999999998</v>
          </cell>
          <cell r="AA160">
            <v>27.792000000000002</v>
          </cell>
          <cell r="AB160">
            <v>0.26050188631257687</v>
          </cell>
          <cell r="AC160" t="str">
            <v>SH</v>
          </cell>
          <cell r="AD160">
            <v>1062721</v>
          </cell>
          <cell r="AE160" t="str">
            <v>POV0067005</v>
          </cell>
          <cell r="AF160" t="str">
            <v>Stephanie Hill</v>
          </cell>
        </row>
        <row r="161">
          <cell r="A161" t="str">
            <v>609-287457-001</v>
          </cell>
          <cell r="B161" t="str">
            <v>DIO,SMD,TVS,RCLAMP,3.3VWM,10.5VC</v>
          </cell>
          <cell r="C161" t="str">
            <v>DIO</v>
          </cell>
          <cell r="D161">
            <v>25</v>
          </cell>
          <cell r="E161">
            <v>1</v>
          </cell>
          <cell r="F161" t="str">
            <v>16 Weeks</v>
          </cell>
          <cell r="G161">
            <v>3000</v>
          </cell>
          <cell r="H161">
            <v>0.43260199999999999</v>
          </cell>
          <cell r="I161">
            <v>1297.806</v>
          </cell>
          <cell r="J161">
            <v>0.52756341463414635</v>
          </cell>
          <cell r="K161">
            <v>284.88424390243904</v>
          </cell>
          <cell r="L161">
            <v>1582.6902439024391</v>
          </cell>
          <cell r="O161"/>
          <cell r="Q161">
            <v>1</v>
          </cell>
          <cell r="R161" t="str">
            <v>RCLAMP3324T.TCT</v>
          </cell>
          <cell r="S161" t="str">
            <v>SEMTECH</v>
          </cell>
          <cell r="T161" t="str">
            <v>Future</v>
          </cell>
          <cell r="U161">
            <v>0.38</v>
          </cell>
          <cell r="V161">
            <v>3000</v>
          </cell>
          <cell r="W161">
            <v>0</v>
          </cell>
          <cell r="X161" t="str">
            <v>1-2 wks</v>
          </cell>
          <cell r="Y161" t="str">
            <v>Y</v>
          </cell>
          <cell r="Z161">
            <v>1140</v>
          </cell>
          <cell r="AA161">
            <v>157.80600000000004</v>
          </cell>
          <cell r="AB161">
            <v>0.27970744471823994</v>
          </cell>
          <cell r="AC161" t="str">
            <v>SH</v>
          </cell>
          <cell r="AD161">
            <v>1062721</v>
          </cell>
          <cell r="AE161" t="str">
            <v>POV0067005</v>
          </cell>
          <cell r="AF161" t="str">
            <v>Stephanie Hill</v>
          </cell>
        </row>
        <row r="162">
          <cell r="A162" t="str">
            <v>648-122562-001</v>
          </cell>
          <cell r="B162" t="str">
            <v>CAP,SMD,FILM 0.1UF 16V</v>
          </cell>
          <cell r="C162" t="str">
            <v>CAP</v>
          </cell>
          <cell r="D162">
            <v>25</v>
          </cell>
          <cell r="E162">
            <v>1</v>
          </cell>
          <cell r="F162" t="str">
            <v>25 Weeks</v>
          </cell>
          <cell r="G162">
            <v>3000</v>
          </cell>
          <cell r="H162">
            <v>0.21138599999999999</v>
          </cell>
          <cell r="I162">
            <v>634.15800000000002</v>
          </cell>
          <cell r="J162">
            <v>0.25778780487804881</v>
          </cell>
          <cell r="K162">
            <v>139.20541463414634</v>
          </cell>
          <cell r="L162">
            <v>773.36341463414647</v>
          </cell>
          <cell r="O162"/>
          <cell r="Q162">
            <v>1</v>
          </cell>
          <cell r="R162" t="str">
            <v>ECP-U1C104MA5</v>
          </cell>
          <cell r="S162" t="str">
            <v>Panasonic</v>
          </cell>
          <cell r="T162" t="str">
            <v>Future</v>
          </cell>
          <cell r="U162">
            <v>0.14499999999999999</v>
          </cell>
          <cell r="V162">
            <v>3000</v>
          </cell>
          <cell r="W162">
            <v>0</v>
          </cell>
          <cell r="X162" t="str">
            <v>1-2 wks</v>
          </cell>
          <cell r="Y162" t="str">
            <v>Y</v>
          </cell>
          <cell r="Z162">
            <v>434.99999999999994</v>
          </cell>
          <cell r="AA162">
            <v>199.15800000000007</v>
          </cell>
          <cell r="AB162">
            <v>0.43752187940544807</v>
          </cell>
          <cell r="AC162" t="str">
            <v>SH</v>
          </cell>
          <cell r="AD162">
            <v>1062721</v>
          </cell>
          <cell r="AE162" t="str">
            <v>POV0067005</v>
          </cell>
          <cell r="AF162" t="str">
            <v>Stephanie Hill</v>
          </cell>
        </row>
        <row r="163">
          <cell r="A163" t="str">
            <v>609-004010-100</v>
          </cell>
          <cell r="B163" t="str">
            <v>DIO,SMD,ZENER,225MW,MMBZ,10V,ROHS</v>
          </cell>
          <cell r="C163" t="str">
            <v>DIO</v>
          </cell>
          <cell r="D163">
            <v>25</v>
          </cell>
          <cell r="E163">
            <v>1</v>
          </cell>
          <cell r="F163" t="str">
            <v>21 Weeks</v>
          </cell>
          <cell r="G163">
            <v>3000</v>
          </cell>
          <cell r="H163">
            <v>1.9608E-2</v>
          </cell>
          <cell r="I163">
            <v>58.823999999999998</v>
          </cell>
          <cell r="J163">
            <v>2.3912195121951221E-2</v>
          </cell>
          <cell r="K163">
            <v>12.912585365853658</v>
          </cell>
          <cell r="L163">
            <v>71.736585365853657</v>
          </cell>
          <cell r="O163"/>
          <cell r="Q163">
            <v>1</v>
          </cell>
          <cell r="R163" t="str">
            <v>MMBZ5240BLT1G</v>
          </cell>
          <cell r="S163" t="str">
            <v>On Semiconductor</v>
          </cell>
          <cell r="T163" t="str">
            <v>Future</v>
          </cell>
          <cell r="U163">
            <v>1.11E-2</v>
          </cell>
          <cell r="V163">
            <v>3000</v>
          </cell>
          <cell r="W163">
            <v>0</v>
          </cell>
          <cell r="X163" t="str">
            <v>1-2 wks</v>
          </cell>
          <cell r="Y163" t="str">
            <v>Y</v>
          </cell>
          <cell r="Z163">
            <v>33.300000000000004</v>
          </cell>
          <cell r="AA163">
            <v>25.523999999999994</v>
          </cell>
          <cell r="AB163">
            <v>0.53580171358629125</v>
          </cell>
          <cell r="AC163" t="str">
            <v>SH</v>
          </cell>
          <cell r="AD163">
            <v>1062721</v>
          </cell>
          <cell r="AE163" t="str">
            <v>POV0067005</v>
          </cell>
          <cell r="AF163" t="str">
            <v>Stephanie Hill</v>
          </cell>
        </row>
        <row r="164">
          <cell r="A164" t="str">
            <v>626-267696-001</v>
          </cell>
          <cell r="B164" t="str">
            <v>XSTR,SMD,PNP,50V,.05A,300MW,SOT-23</v>
          </cell>
          <cell r="C164" t="str">
            <v>XSTR</v>
          </cell>
          <cell r="D164">
            <v>15</v>
          </cell>
          <cell r="E164">
            <v>1</v>
          </cell>
          <cell r="F164" t="str">
            <v>21 Weeks</v>
          </cell>
          <cell r="G164">
            <v>3000</v>
          </cell>
          <cell r="H164">
            <v>3.0637999999999999E-2</v>
          </cell>
          <cell r="I164">
            <v>91.914000000000001</v>
          </cell>
          <cell r="J164">
            <v>3.7363414634146344E-2</v>
          </cell>
          <cell r="K164">
            <v>20.176243902439026</v>
          </cell>
          <cell r="L164">
            <v>112.09024390243903</v>
          </cell>
          <cell r="O164"/>
          <cell r="Q164">
            <v>1</v>
          </cell>
          <cell r="R164" t="str">
            <v>MMBT5087LT1G</v>
          </cell>
          <cell r="S164" t="str">
            <v>On Semiconductor</v>
          </cell>
          <cell r="T164" t="str">
            <v>Future</v>
          </cell>
          <cell r="U164">
            <v>1.7899999999999999E-2</v>
          </cell>
          <cell r="V164">
            <v>3000</v>
          </cell>
          <cell r="W164">
            <v>0</v>
          </cell>
          <cell r="X164" t="str">
            <v>1-2 wks</v>
          </cell>
          <cell r="Y164" t="str">
            <v>Y</v>
          </cell>
          <cell r="Z164">
            <v>53.699999999999996</v>
          </cell>
          <cell r="AA164">
            <v>38.214000000000006</v>
          </cell>
          <cell r="AB164">
            <v>0.52092173118349772</v>
          </cell>
          <cell r="AC164" t="str">
            <v>SH</v>
          </cell>
          <cell r="AD164">
            <v>1062721</v>
          </cell>
          <cell r="AE164" t="str">
            <v>POV0067005</v>
          </cell>
          <cell r="AF164" t="str">
            <v>Stephanie Hill</v>
          </cell>
        </row>
        <row r="165">
          <cell r="A165" t="str">
            <v>609-034003-030</v>
          </cell>
          <cell r="B165" t="str">
            <v>DIO,SMD,PWR,TVS,600W 51V ROHS</v>
          </cell>
          <cell r="C165" t="str">
            <v>DIO</v>
          </cell>
          <cell r="D165">
            <v>15</v>
          </cell>
          <cell r="E165">
            <v>1</v>
          </cell>
          <cell r="F165" t="str">
            <v>15 Weeks</v>
          </cell>
          <cell r="G165">
            <v>3000</v>
          </cell>
          <cell r="H165">
            <v>6.3774999999999998E-2</v>
          </cell>
          <cell r="I165">
            <v>191.32499999999999</v>
          </cell>
          <cell r="J165">
            <v>7.7774390243902439E-2</v>
          </cell>
          <cell r="K165">
            <v>41.998170731707319</v>
          </cell>
          <cell r="L165">
            <v>233.32317073170731</v>
          </cell>
          <cell r="O165"/>
          <cell r="Q165">
            <v>1</v>
          </cell>
          <cell r="R165" t="str">
            <v>SMBJ51A</v>
          </cell>
          <cell r="S165" t="str">
            <v>Littelfuse</v>
          </cell>
          <cell r="T165" t="str">
            <v>Rutronik UK via Astute Ltd</v>
          </cell>
          <cell r="U165">
            <v>4.1186100000000003E-2</v>
          </cell>
          <cell r="V165">
            <v>3000</v>
          </cell>
          <cell r="W165">
            <v>0</v>
          </cell>
          <cell r="X165">
            <v>1</v>
          </cell>
          <cell r="Y165" t="str">
            <v>Y</v>
          </cell>
          <cell r="Z165">
            <v>123.5583</v>
          </cell>
          <cell r="AA165">
            <v>67.766699999999986</v>
          </cell>
          <cell r="AB165">
            <v>0.47044136417091331</v>
          </cell>
          <cell r="AC165" t="str">
            <v>JH</v>
          </cell>
          <cell r="AD165">
            <v>1062721</v>
          </cell>
          <cell r="AE165" t="str">
            <v>POV0067002</v>
          </cell>
          <cell r="AF165" t="str">
            <v>JH</v>
          </cell>
        </row>
        <row r="166">
          <cell r="A166" t="str">
            <v>609-098296-002</v>
          </cell>
          <cell r="B166" t="str">
            <v>DIO,SMD,SCHOTTKY,1A,30V,SMB,ROHS</v>
          </cell>
          <cell r="C166" t="str">
            <v>DIO</v>
          </cell>
          <cell r="D166">
            <v>40</v>
          </cell>
          <cell r="E166">
            <v>1</v>
          </cell>
          <cell r="F166" t="str">
            <v>27 Weeks</v>
          </cell>
          <cell r="G166">
            <v>3000</v>
          </cell>
          <cell r="H166">
            <v>0.54</v>
          </cell>
          <cell r="I166">
            <v>1620</v>
          </cell>
          <cell r="J166">
            <v>0.65853658536585369</v>
          </cell>
          <cell r="K166">
            <v>355.6097560975611</v>
          </cell>
          <cell r="L166">
            <v>1975.6097560975611</v>
          </cell>
          <cell r="O166"/>
          <cell r="Q166">
            <v>2</v>
          </cell>
          <cell r="R166" t="str">
            <v>MBRS130T3G</v>
          </cell>
          <cell r="S166" t="str">
            <v>ONSEMI</v>
          </cell>
          <cell r="T166" t="str">
            <v>Future</v>
          </cell>
          <cell r="U166">
            <v>9.7100000000000006E-2</v>
          </cell>
          <cell r="V166">
            <v>3000</v>
          </cell>
          <cell r="W166">
            <v>0</v>
          </cell>
          <cell r="X166" t="str">
            <v>1-2 wks</v>
          </cell>
          <cell r="Y166" t="str">
            <v>Y</v>
          </cell>
          <cell r="Z166">
            <v>291.3</v>
          </cell>
          <cell r="AA166">
            <v>1328.7</v>
          </cell>
          <cell r="AB166">
            <v>0.85255185185185189</v>
          </cell>
          <cell r="AC166" t="str">
            <v>SH</v>
          </cell>
          <cell r="AD166">
            <v>1062721</v>
          </cell>
          <cell r="AE166" t="str">
            <v>POV0067005</v>
          </cell>
          <cell r="AF166" t="str">
            <v>Stephanie Hill</v>
          </cell>
        </row>
        <row r="167">
          <cell r="A167" t="str">
            <v>626-A32953-001</v>
          </cell>
          <cell r="B167" t="str">
            <v>XSTR,SMD,MOSFET,P-CHAN,40VDS,50A,TO-252</v>
          </cell>
          <cell r="C167" t="str">
            <v>XSTR</v>
          </cell>
          <cell r="D167">
            <v>15</v>
          </cell>
          <cell r="E167">
            <v>1</v>
          </cell>
          <cell r="F167" t="str">
            <v>3 Weeks</v>
          </cell>
          <cell r="G167">
            <v>2000</v>
          </cell>
          <cell r="H167">
            <v>1.1274599999999999</v>
          </cell>
          <cell r="I167">
            <v>2254.9199999999996</v>
          </cell>
          <cell r="J167">
            <v>1.3749512195121951</v>
          </cell>
          <cell r="K167">
            <v>494.98243902439026</v>
          </cell>
          <cell r="L167">
            <v>2749.9024390243903</v>
          </cell>
          <cell r="O167"/>
          <cell r="Q167">
            <v>1</v>
          </cell>
          <cell r="R167" t="str">
            <v>SUD50P04-09L-E3</v>
          </cell>
          <cell r="S167" t="str">
            <v>Vishay Semiconductors</v>
          </cell>
          <cell r="T167" t="str">
            <v>Future</v>
          </cell>
          <cell r="U167">
            <v>0.88500000000000001</v>
          </cell>
          <cell r="V167">
            <v>2000</v>
          </cell>
          <cell r="W167">
            <v>0</v>
          </cell>
          <cell r="X167" t="str">
            <v>1-2 wks</v>
          </cell>
          <cell r="Y167" t="str">
            <v>Y</v>
          </cell>
          <cell r="Z167">
            <v>1770</v>
          </cell>
          <cell r="AA167">
            <v>484.91999999999962</v>
          </cell>
          <cell r="AB167">
            <v>0.35634080144750147</v>
          </cell>
          <cell r="AC167" t="str">
            <v>SH</v>
          </cell>
          <cell r="AD167">
            <v>1062721</v>
          </cell>
          <cell r="AE167" t="str">
            <v>POV0067005</v>
          </cell>
          <cell r="AF167" t="str">
            <v>Stephanie Hill</v>
          </cell>
        </row>
        <row r="168">
          <cell r="A168" t="str">
            <v>615-067318-102</v>
          </cell>
          <cell r="B168" t="str">
            <v>RES,SMD,2512,THKF,5%,1W,1K,ROHS</v>
          </cell>
          <cell r="C168" t="str">
            <v>RES</v>
          </cell>
          <cell r="D168">
            <v>25</v>
          </cell>
          <cell r="E168">
            <v>1</v>
          </cell>
          <cell r="F168" t="str">
            <v>17 Weeks</v>
          </cell>
          <cell r="G168">
            <v>2000</v>
          </cell>
          <cell r="H168">
            <v>6.3934000000000005E-2</v>
          </cell>
          <cell r="I168">
            <v>127.86800000000001</v>
          </cell>
          <cell r="J168">
            <v>7.7968292682926835E-2</v>
          </cell>
          <cell r="K168">
            <v>28.068585365853679</v>
          </cell>
          <cell r="L168">
            <v>155.93658536585366</v>
          </cell>
          <cell r="O168"/>
          <cell r="Q168">
            <v>1</v>
          </cell>
          <cell r="R168" t="str">
            <v>CRCW25121K00JNEG</v>
          </cell>
          <cell r="S168" t="str">
            <v>Vishay</v>
          </cell>
          <cell r="T168" t="str">
            <v>Future</v>
          </cell>
          <cell r="U168">
            <v>3.2199999999999999E-2</v>
          </cell>
          <cell r="V168">
            <v>2000</v>
          </cell>
          <cell r="W168">
            <v>0</v>
          </cell>
          <cell r="X168" t="str">
            <v>1-2 wks</v>
          </cell>
          <cell r="Y168" t="str">
            <v>Y</v>
          </cell>
          <cell r="Z168">
            <v>64.400000000000006</v>
          </cell>
          <cell r="AA168">
            <v>63.468000000000004</v>
          </cell>
          <cell r="AB168">
            <v>0.58701160571839706</v>
          </cell>
          <cell r="AC168" t="str">
            <v>SH</v>
          </cell>
          <cell r="AD168">
            <v>1062721</v>
          </cell>
          <cell r="AE168" t="str">
            <v>POV0067005</v>
          </cell>
          <cell r="AF168" t="str">
            <v>Stephanie Hill</v>
          </cell>
        </row>
        <row r="169">
          <cell r="A169" t="str">
            <v>29-445233-00</v>
          </cell>
          <cell r="B169" t="str">
            <v>CAP,SMD,MLCC,10UF,35V,10%,X5R,1210</v>
          </cell>
          <cell r="C169" t="str">
            <v>CAP</v>
          </cell>
          <cell r="D169">
            <v>15</v>
          </cell>
          <cell r="E169">
            <v>1</v>
          </cell>
          <cell r="F169" t="str">
            <v>13 Weeks</v>
          </cell>
          <cell r="G169">
            <v>2000</v>
          </cell>
          <cell r="H169">
            <v>7.7206999999999998E-2</v>
          </cell>
          <cell r="I169">
            <v>154.41399999999999</v>
          </cell>
          <cell r="J169">
            <v>9.4154878048780491E-2</v>
          </cell>
          <cell r="K169">
            <v>33.895756097560991</v>
          </cell>
          <cell r="L169">
            <v>188.30975609756098</v>
          </cell>
          <cell r="O169"/>
          <cell r="Q169">
            <v>1</v>
          </cell>
          <cell r="R169" t="str">
            <v>CL32A106KLULNNE</v>
          </cell>
          <cell r="S169" t="str">
            <v>Samsung Electro-Mechanics</v>
          </cell>
          <cell r="T169" t="str">
            <v>Future</v>
          </cell>
          <cell r="U169">
            <v>5.0500000000000003E-2</v>
          </cell>
          <cell r="V169">
            <v>2000</v>
          </cell>
          <cell r="W169">
            <v>0</v>
          </cell>
          <cell r="X169" t="str">
            <v>1-2 wks</v>
          </cell>
          <cell r="Y169" t="str">
            <v>Y</v>
          </cell>
          <cell r="Z169">
            <v>101</v>
          </cell>
          <cell r="AA169">
            <v>53.413999999999987</v>
          </cell>
          <cell r="AB169">
            <v>0.46364966907145722</v>
          </cell>
          <cell r="AC169" t="str">
            <v>SH</v>
          </cell>
          <cell r="AD169">
            <v>1062721</v>
          </cell>
          <cell r="AE169" t="str">
            <v>POV0067005</v>
          </cell>
          <cell r="AF169" t="str">
            <v>Stephanie Hill</v>
          </cell>
        </row>
        <row r="170">
          <cell r="A170" t="str">
            <v>607-098383-103</v>
          </cell>
          <cell r="B170" t="str">
            <v>RNET,ISOL 10K 8 RES SOM16,ROHS</v>
          </cell>
          <cell r="C170" t="str">
            <v>RNET</v>
          </cell>
          <cell r="D170">
            <v>15</v>
          </cell>
          <cell r="E170">
            <v>1</v>
          </cell>
          <cell r="F170" t="str">
            <v>18 Weeks</v>
          </cell>
          <cell r="G170">
            <v>2000</v>
          </cell>
          <cell r="H170">
            <v>0.81008000000000002</v>
          </cell>
          <cell r="I170">
            <v>1620.16</v>
          </cell>
          <cell r="J170">
            <v>0.98790243902439034</v>
          </cell>
          <cell r="K170">
            <v>355.64487804878058</v>
          </cell>
          <cell r="L170">
            <v>1975.8048780487807</v>
          </cell>
          <cell r="O170"/>
          <cell r="Q170">
            <v>2</v>
          </cell>
          <cell r="R170" t="str">
            <v>SOMC160310K0GEA</v>
          </cell>
          <cell r="S170" t="str">
            <v>Vishay</v>
          </cell>
          <cell r="T170" t="str">
            <v>Future</v>
          </cell>
          <cell r="U170">
            <v>1.05</v>
          </cell>
          <cell r="V170">
            <v>2000</v>
          </cell>
          <cell r="W170">
            <v>0</v>
          </cell>
          <cell r="X170" t="str">
            <v>1-2 wks</v>
          </cell>
          <cell r="Y170" t="str">
            <v>Y</v>
          </cell>
          <cell r="Z170">
            <v>2100</v>
          </cell>
          <cell r="AA170">
            <v>-479.83999999999992</v>
          </cell>
          <cell r="AB170" t="str">
            <v/>
          </cell>
          <cell r="AC170" t="str">
            <v>SH</v>
          </cell>
          <cell r="AD170">
            <v>1062721</v>
          </cell>
          <cell r="AE170" t="str">
            <v>POV0067005</v>
          </cell>
          <cell r="AF170" t="str">
            <v>Stephanie Hill</v>
          </cell>
        </row>
        <row r="171">
          <cell r="A171" t="str">
            <v>682-117131-003</v>
          </cell>
          <cell r="B171" t="str">
            <v>FUSE,SMD,2920,RESETABLE,30V,0.75A,ROHS</v>
          </cell>
          <cell r="C171" t="str">
            <v>FUSE</v>
          </cell>
          <cell r="D171">
            <v>25</v>
          </cell>
          <cell r="E171" t="str">
            <v>2A</v>
          </cell>
          <cell r="F171" t="str">
            <v>16 Weeks</v>
          </cell>
          <cell r="G171">
            <v>1500</v>
          </cell>
          <cell r="H171">
            <v>0.25490400000000002</v>
          </cell>
          <cell r="I171">
            <v>382.35600000000005</v>
          </cell>
          <cell r="J171">
            <v>0.31085853658536589</v>
          </cell>
          <cell r="K171">
            <v>83.931804878048808</v>
          </cell>
          <cell r="L171">
            <v>466.2878048780488</v>
          </cell>
          <cell r="M171" t="str">
            <v>TAIWAN</v>
          </cell>
          <cell r="N171">
            <v>8533408070</v>
          </cell>
          <cell r="O171">
            <v>0.35</v>
          </cell>
          <cell r="P171">
            <v>133.8246</v>
          </cell>
          <cell r="Q171">
            <v>1</v>
          </cell>
          <cell r="R171" t="str">
            <v>2920L075DR</v>
          </cell>
          <cell r="S171" t="str">
            <v>Littelfuse</v>
          </cell>
          <cell r="T171" t="str">
            <v>Rutronik UK via Astute Ltd</v>
          </cell>
          <cell r="U171">
            <v>0.13864681000000001</v>
          </cell>
          <cell r="V171">
            <v>1500</v>
          </cell>
          <cell r="W171">
            <v>0</v>
          </cell>
          <cell r="X171">
            <v>1</v>
          </cell>
          <cell r="Y171" t="str">
            <v>Y</v>
          </cell>
          <cell r="Z171">
            <v>207.97021500000002</v>
          </cell>
          <cell r="AA171">
            <v>174.38578500000003</v>
          </cell>
          <cell r="AB171">
            <v>0.55398744546966694</v>
          </cell>
          <cell r="AC171" t="str">
            <v>JH</v>
          </cell>
          <cell r="AD171">
            <v>1062721</v>
          </cell>
          <cell r="AE171" t="str">
            <v>POV0067002</v>
          </cell>
          <cell r="AF171" t="str">
            <v>JH</v>
          </cell>
        </row>
        <row r="172">
          <cell r="A172" t="str">
            <v>668-238349-004</v>
          </cell>
          <cell r="B172" t="str">
            <v>CONN,HDR,SMD,RTANG,1.5MM PITCH,4CKT</v>
          </cell>
          <cell r="C172" t="str">
            <v>CONN</v>
          </cell>
          <cell r="D172">
            <v>25</v>
          </cell>
          <cell r="E172">
            <v>1</v>
          </cell>
          <cell r="F172" t="str">
            <v>15 Weeks</v>
          </cell>
          <cell r="G172">
            <v>1000</v>
          </cell>
          <cell r="H172">
            <v>0.39583699999999999</v>
          </cell>
          <cell r="I172">
            <v>395.83699999999999</v>
          </cell>
          <cell r="J172">
            <v>0.48272804878048781</v>
          </cell>
          <cell r="K172">
            <v>86.891048780487836</v>
          </cell>
          <cell r="L172">
            <v>482.72804878048782</v>
          </cell>
          <cell r="O172"/>
          <cell r="Q172">
            <v>1</v>
          </cell>
          <cell r="R172" t="str">
            <v>87438-0443</v>
          </cell>
          <cell r="S172" t="str">
            <v>MOLEX, LLC</v>
          </cell>
          <cell r="T172" t="str">
            <v>Future</v>
          </cell>
          <cell r="U172">
            <v>0.13500000000000001</v>
          </cell>
          <cell r="V172">
            <v>1000</v>
          </cell>
          <cell r="W172">
            <v>0</v>
          </cell>
          <cell r="X172" t="str">
            <v>1-2 wks</v>
          </cell>
          <cell r="Y172" t="str">
            <v>Y</v>
          </cell>
          <cell r="Z172">
            <v>135</v>
          </cell>
          <cell r="AA172">
            <v>260.83699999999999</v>
          </cell>
          <cell r="AB172">
            <v>0.72033943264525546</v>
          </cell>
          <cell r="AC172" t="str">
            <v>SH</v>
          </cell>
          <cell r="AD172">
            <v>1062721</v>
          </cell>
          <cell r="AE172" t="str">
            <v>POV0067005</v>
          </cell>
          <cell r="AF172" t="str">
            <v>Stephanie Hill</v>
          </cell>
        </row>
        <row r="173">
          <cell r="A173" t="str">
            <v>648-099503-106</v>
          </cell>
          <cell r="B173" t="str">
            <v>CAP,SMD,10UF,20%,35V,ALUM,VERT,ROHS</v>
          </cell>
          <cell r="C173" t="str">
            <v>CAP</v>
          </cell>
          <cell r="D173">
            <v>25</v>
          </cell>
          <cell r="E173">
            <v>1</v>
          </cell>
          <cell r="F173" t="str">
            <v>24 Weeks</v>
          </cell>
          <cell r="G173">
            <v>1000</v>
          </cell>
          <cell r="H173">
            <v>7.9658000000000007E-2</v>
          </cell>
          <cell r="I173">
            <v>79.658000000000001</v>
          </cell>
          <cell r="J173">
            <v>9.7143902439024404E-2</v>
          </cell>
          <cell r="K173">
            <v>17.4859024390244</v>
          </cell>
          <cell r="L173">
            <v>97.143902439024401</v>
          </cell>
          <cell r="O173"/>
          <cell r="Q173">
            <v>2</v>
          </cell>
          <cell r="R173" t="str">
            <v>EEE-1VA100SR</v>
          </cell>
          <cell r="S173" t="str">
            <v>Panasonic</v>
          </cell>
          <cell r="T173" t="str">
            <v>Future</v>
          </cell>
          <cell r="U173">
            <v>0.05</v>
          </cell>
          <cell r="V173">
            <v>1000</v>
          </cell>
          <cell r="W173">
            <v>0</v>
          </cell>
          <cell r="X173" t="str">
            <v>1-2 wks</v>
          </cell>
          <cell r="Y173" t="str">
            <v>Y</v>
          </cell>
          <cell r="Z173">
            <v>50</v>
          </cell>
          <cell r="AA173">
            <v>29.658000000000001</v>
          </cell>
          <cell r="AB173">
            <v>0.48529965602952629</v>
          </cell>
          <cell r="AC173" t="str">
            <v>SH</v>
          </cell>
          <cell r="AD173">
            <v>1062721</v>
          </cell>
          <cell r="AE173" t="str">
            <v>POV0067005</v>
          </cell>
          <cell r="AF173" t="str">
            <v>Stephanie Hill</v>
          </cell>
        </row>
        <row r="174">
          <cell r="A174" t="str">
            <v>648-054586-220</v>
          </cell>
          <cell r="B174" t="str">
            <v>CAP,SMD,AL,ELCTLT,22UF,EEE1,20%,35V,ROHS</v>
          </cell>
          <cell r="C174" t="str">
            <v>CAP</v>
          </cell>
          <cell r="D174">
            <v>15</v>
          </cell>
          <cell r="E174">
            <v>1</v>
          </cell>
          <cell r="F174" t="str">
            <v>24 Weeks</v>
          </cell>
          <cell r="G174">
            <v>1000</v>
          </cell>
          <cell r="H174">
            <v>8.7010000000000004E-2</v>
          </cell>
          <cell r="I174">
            <v>87.01</v>
          </cell>
          <cell r="J174">
            <v>0.10610975609756099</v>
          </cell>
          <cell r="K174">
            <v>19.099756097560984</v>
          </cell>
          <cell r="L174">
            <v>106.10975609756099</v>
          </cell>
          <cell r="O174"/>
          <cell r="Q174">
            <v>1</v>
          </cell>
          <cell r="R174" t="str">
            <v>EEE-1VA220WR</v>
          </cell>
          <cell r="S174" t="str">
            <v>Panasonic</v>
          </cell>
          <cell r="T174" t="str">
            <v>Future</v>
          </cell>
          <cell r="U174">
            <v>5.4800000000000001E-2</v>
          </cell>
          <cell r="V174">
            <v>1000</v>
          </cell>
          <cell r="W174">
            <v>0</v>
          </cell>
          <cell r="X174" t="str">
            <v>1-2 wks</v>
          </cell>
          <cell r="Y174" t="str">
            <v>Y</v>
          </cell>
          <cell r="Z174">
            <v>54.800000000000004</v>
          </cell>
          <cell r="AA174">
            <v>32.21</v>
          </cell>
          <cell r="AB174">
            <v>0.48355361452706591</v>
          </cell>
          <cell r="AC174" t="str">
            <v>SH</v>
          </cell>
          <cell r="AD174">
            <v>1062721</v>
          </cell>
          <cell r="AE174" t="str">
            <v>POV0067005</v>
          </cell>
          <cell r="AF174" t="str">
            <v>Stephanie Hill</v>
          </cell>
        </row>
        <row r="175">
          <cell r="A175" t="str">
            <v>615-044084-103</v>
          </cell>
          <cell r="B175" t="str">
            <v>RES,SMD,1206,H-P,WRAPARO.TF,0.1%,10K,ROH</v>
          </cell>
          <cell r="C175" t="str">
            <v>RES</v>
          </cell>
          <cell r="D175">
            <v>25</v>
          </cell>
          <cell r="E175">
            <v>1</v>
          </cell>
          <cell r="F175" t="str">
            <v>32 Weeks</v>
          </cell>
          <cell r="G175">
            <v>1000</v>
          </cell>
          <cell r="H175">
            <v>0.22</v>
          </cell>
          <cell r="I175">
            <v>220</v>
          </cell>
          <cell r="J175">
            <v>0.26829268292682928</v>
          </cell>
          <cell r="K175">
            <v>48.292682926829286</v>
          </cell>
          <cell r="L175">
            <v>268.29268292682929</v>
          </cell>
          <cell r="O175"/>
          <cell r="Q175">
            <v>2</v>
          </cell>
          <cell r="R175" t="str">
            <v>TNPW120610K0BEEA</v>
          </cell>
          <cell r="S175" t="str">
            <v>Vishay</v>
          </cell>
          <cell r="T175" t="str">
            <v>Future</v>
          </cell>
          <cell r="U175">
            <v>0.13100000000000001</v>
          </cell>
          <cell r="V175">
            <v>1000</v>
          </cell>
          <cell r="W175">
            <v>0</v>
          </cell>
          <cell r="X175" t="str">
            <v>1-2 wks</v>
          </cell>
          <cell r="Y175" t="str">
            <v>Y</v>
          </cell>
          <cell r="Z175">
            <v>131</v>
          </cell>
          <cell r="AA175">
            <v>89</v>
          </cell>
          <cell r="AB175">
            <v>0.51172727272727281</v>
          </cell>
          <cell r="AC175" t="str">
            <v>SH</v>
          </cell>
          <cell r="AD175">
            <v>1062721</v>
          </cell>
          <cell r="AE175" t="str">
            <v>POV0067005</v>
          </cell>
          <cell r="AF175" t="str">
            <v>Stephanie Hill</v>
          </cell>
        </row>
        <row r="176">
          <cell r="A176" t="str">
            <v>632-A91703-001</v>
          </cell>
          <cell r="B176" t="str">
            <v>RLY,DPDT,24VDC,5A,SMT MTG,GULL WING</v>
          </cell>
          <cell r="C176" t="str">
            <v>RLY</v>
          </cell>
          <cell r="D176">
            <v>25</v>
          </cell>
          <cell r="E176">
            <v>3</v>
          </cell>
          <cell r="F176" t="str">
            <v>29 Weeks</v>
          </cell>
          <cell r="G176">
            <v>1000</v>
          </cell>
          <cell r="H176">
            <v>2.8836020000000002</v>
          </cell>
          <cell r="I176">
            <v>2883.6020000000003</v>
          </cell>
          <cell r="J176">
            <v>3.5165878048780495</v>
          </cell>
          <cell r="K176">
            <v>632.98580487804884</v>
          </cell>
          <cell r="L176">
            <v>3516.5878048780496</v>
          </cell>
          <cell r="O176"/>
          <cell r="Q176">
            <v>1</v>
          </cell>
          <cell r="R176" t="str">
            <v>3-1462039-7</v>
          </cell>
          <cell r="S176" t="str">
            <v>TE Connectivity / P&amp;B</v>
          </cell>
          <cell r="T176" t="str">
            <v>Future</v>
          </cell>
          <cell r="U176">
            <v>2.2999999999999998</v>
          </cell>
          <cell r="V176">
            <v>1000</v>
          </cell>
          <cell r="W176">
            <v>0</v>
          </cell>
          <cell r="X176" t="str">
            <v>1-2 wks</v>
          </cell>
          <cell r="Y176" t="str">
            <v>Y</v>
          </cell>
          <cell r="Z176">
            <v>2300</v>
          </cell>
          <cell r="AA176">
            <v>583.60200000000032</v>
          </cell>
          <cell r="AB176">
            <v>0.345956896964283</v>
          </cell>
          <cell r="AC176" t="str">
            <v>SH</v>
          </cell>
          <cell r="AD176">
            <v>1062721</v>
          </cell>
          <cell r="AE176" t="str">
            <v>POV0067005</v>
          </cell>
          <cell r="AF176" t="str">
            <v>Stephanie Hill</v>
          </cell>
        </row>
        <row r="177">
          <cell r="A177" t="str">
            <v>609-258986-001</v>
          </cell>
          <cell r="B177" t="str">
            <v>DIO,SMD,SCHOTTKY,RECT,40V,5A,SGL,PKG-57T</v>
          </cell>
          <cell r="C177" t="str">
            <v>DIO</v>
          </cell>
          <cell r="D177">
            <v>25</v>
          </cell>
          <cell r="E177">
            <v>1</v>
          </cell>
          <cell r="F177" t="str">
            <v>11 Weeks</v>
          </cell>
          <cell r="G177">
            <v>850</v>
          </cell>
          <cell r="H177">
            <v>0.242649</v>
          </cell>
          <cell r="I177">
            <v>206.25165000000001</v>
          </cell>
          <cell r="J177">
            <v>0.29591341463414639</v>
          </cell>
          <cell r="K177">
            <v>45.274752439024411</v>
          </cell>
          <cell r="L177">
            <v>251.52640243902442</v>
          </cell>
          <cell r="M177" t="str">
            <v>CHINA</v>
          </cell>
          <cell r="N177" t="str">
            <v>8541100080</v>
          </cell>
          <cell r="O177">
            <v>0.35</v>
          </cell>
          <cell r="P177">
            <v>72.188077500000006</v>
          </cell>
          <cell r="Q177">
            <v>1</v>
          </cell>
          <cell r="R177" t="str">
            <v>SSC54-E3/57T</v>
          </cell>
          <cell r="S177" t="str">
            <v>Vishay General Semiconductor</v>
          </cell>
          <cell r="T177" t="str">
            <v>Future</v>
          </cell>
          <cell r="U177">
            <v>0.108</v>
          </cell>
          <cell r="V177">
            <v>850</v>
          </cell>
          <cell r="W177">
            <v>0</v>
          </cell>
          <cell r="X177" t="str">
            <v>1-2 wks</v>
          </cell>
          <cell r="Y177" t="str">
            <v>Y</v>
          </cell>
          <cell r="Z177">
            <v>91.8</v>
          </cell>
          <cell r="AA177">
            <v>114.45165000000001</v>
          </cell>
          <cell r="AB177">
            <v>0.63502837431846004</v>
          </cell>
          <cell r="AC177" t="str">
            <v>SH</v>
          </cell>
          <cell r="AD177">
            <v>1062721</v>
          </cell>
          <cell r="AE177" t="str">
            <v>POV0067005</v>
          </cell>
          <cell r="AF177" t="str">
            <v>Stephanie Hill</v>
          </cell>
        </row>
        <row r="178">
          <cell r="A178" t="str">
            <v>668-293080-006</v>
          </cell>
          <cell r="B178" t="str">
            <v>CONN,HDR,RTANG,2 ROWS,6 CKT,PCB MT</v>
          </cell>
          <cell r="C178" t="str">
            <v>CONN</v>
          </cell>
          <cell r="D178">
            <v>15</v>
          </cell>
          <cell r="E178">
            <v>1</v>
          </cell>
          <cell r="F178" t="str">
            <v>10 Weeks</v>
          </cell>
          <cell r="G178">
            <v>600</v>
          </cell>
          <cell r="H178">
            <v>1.1200000000000001</v>
          </cell>
          <cell r="I178">
            <v>672.00000000000011</v>
          </cell>
          <cell r="J178">
            <v>1.3658536585365855</v>
          </cell>
          <cell r="K178">
            <v>147.51219512195132</v>
          </cell>
          <cell r="L178">
            <v>819.51219512195132</v>
          </cell>
          <cell r="O178"/>
          <cell r="Q178">
            <v>1</v>
          </cell>
          <cell r="R178" t="str">
            <v>43045-0600</v>
          </cell>
          <cell r="S178" t="str">
            <v>MOLEX, LLC</v>
          </cell>
          <cell r="T178" t="str">
            <v>Future</v>
          </cell>
          <cell r="U178">
            <v>0.42</v>
          </cell>
          <cell r="V178">
            <v>600</v>
          </cell>
          <cell r="W178">
            <v>0</v>
          </cell>
          <cell r="X178" t="str">
            <v>1-2 wks</v>
          </cell>
          <cell r="Y178" t="str">
            <v>Y</v>
          </cell>
          <cell r="Z178">
            <v>252</v>
          </cell>
          <cell r="AA178">
            <v>420.00000000000011</v>
          </cell>
          <cell r="AB178">
            <v>0.69250000000000012</v>
          </cell>
          <cell r="AC178" t="str">
            <v>SH</v>
          </cell>
          <cell r="AD178">
            <v>1062721</v>
          </cell>
          <cell r="AE178" t="str">
            <v>POV0067005</v>
          </cell>
          <cell r="AF178" t="str">
            <v>Stephanie Hill</v>
          </cell>
        </row>
        <row r="179">
          <cell r="A179" t="str">
            <v>646-130453-010</v>
          </cell>
          <cell r="B179" t="str">
            <v>SW,SMD,DIP STRAIGHT 10 POLES,ROHS</v>
          </cell>
          <cell r="C179" t="str">
            <v>SW</v>
          </cell>
          <cell r="D179">
            <v>15</v>
          </cell>
          <cell r="E179">
            <v>1</v>
          </cell>
          <cell r="F179" t="str">
            <v>12 Weeks</v>
          </cell>
          <cell r="G179">
            <v>500</v>
          </cell>
          <cell r="H179">
            <v>3.7758389999999999</v>
          </cell>
          <cell r="I179">
            <v>1887.9195</v>
          </cell>
          <cell r="J179">
            <v>4.6046817073170736</v>
          </cell>
          <cell r="K179">
            <v>414.42135365853665</v>
          </cell>
          <cell r="L179">
            <v>2302.3408536585366</v>
          </cell>
          <cell r="O179"/>
          <cell r="Q179">
            <v>1</v>
          </cell>
          <cell r="R179" t="str">
            <v>76HPSB10GWRT</v>
          </cell>
          <cell r="S179" t="str">
            <v>Grayhill</v>
          </cell>
          <cell r="T179" t="str">
            <v>Future</v>
          </cell>
          <cell r="U179">
            <v>3.4</v>
          </cell>
          <cell r="V179">
            <v>500</v>
          </cell>
          <cell r="W179">
            <v>0</v>
          </cell>
          <cell r="X179" t="str">
            <v>1-2 wks</v>
          </cell>
          <cell r="Y179" t="str">
            <v>Y</v>
          </cell>
          <cell r="Z179">
            <v>1700</v>
          </cell>
          <cell r="AA179">
            <v>187.91949999999997</v>
          </cell>
          <cell r="AB179">
            <v>0.26162105958437321</v>
          </cell>
          <cell r="AC179" t="str">
            <v>SH</v>
          </cell>
          <cell r="AD179">
            <v>1062721</v>
          </cell>
          <cell r="AE179" t="str">
            <v>POV0067005</v>
          </cell>
          <cell r="AF179" t="str">
            <v>Stephanie Hill</v>
          </cell>
        </row>
        <row r="180">
          <cell r="A180" t="str">
            <v>668-A93181-050</v>
          </cell>
          <cell r="B180" t="str">
            <v>CONN,HDR,BD STACK,50PIN,VERT,2ROW,2.54MM</v>
          </cell>
          <cell r="C180" t="str">
            <v>CONN</v>
          </cell>
          <cell r="D180">
            <v>25</v>
          </cell>
          <cell r="E180">
            <v>1</v>
          </cell>
          <cell r="F180" t="str">
            <v>8 Weeks</v>
          </cell>
          <cell r="G180">
            <v>500</v>
          </cell>
          <cell r="H180">
            <v>8.1740849999999998</v>
          </cell>
          <cell r="I180">
            <v>4087.0425</v>
          </cell>
          <cell r="J180">
            <v>9.9683963414634142</v>
          </cell>
          <cell r="K180">
            <v>897.15567073170723</v>
          </cell>
          <cell r="L180">
            <v>4984.1981707317073</v>
          </cell>
          <cell r="O180"/>
          <cell r="Q180">
            <v>1</v>
          </cell>
          <cell r="R180" t="str">
            <v>DW-25-07-G-D-200</v>
          </cell>
          <cell r="S180" t="str">
            <v>SAMTEC</v>
          </cell>
          <cell r="T180" t="str">
            <v>Sager</v>
          </cell>
          <cell r="U180">
            <v>3.68</v>
          </cell>
          <cell r="V180">
            <v>500</v>
          </cell>
          <cell r="W180">
            <v>0</v>
          </cell>
          <cell r="Y180" t="str">
            <v>Y</v>
          </cell>
          <cell r="Z180">
            <v>1840</v>
          </cell>
          <cell r="AA180">
            <v>2247.0425</v>
          </cell>
          <cell r="AB180">
            <v>0.63083329816120093</v>
          </cell>
          <cell r="AC180" t="str">
            <v>JH</v>
          </cell>
          <cell r="AD180">
            <v>1062721</v>
          </cell>
          <cell r="AE180" t="str">
            <v>POV0067004</v>
          </cell>
          <cell r="AF180" t="str">
            <v>JH</v>
          </cell>
        </row>
        <row r="181">
          <cell r="A181" t="str">
            <v>668-A35830-005</v>
          </cell>
          <cell r="B181" t="str">
            <v>CONN,HDR,SHRD,TOPENTRY,5P,WHT,BD GDE,TH</v>
          </cell>
          <cell r="C181" t="str">
            <v>CONN</v>
          </cell>
          <cell r="D181">
            <v>25</v>
          </cell>
          <cell r="E181">
            <v>1</v>
          </cell>
          <cell r="F181" t="str">
            <v>19 Weeks</v>
          </cell>
          <cell r="G181">
            <v>500</v>
          </cell>
          <cell r="H181">
            <v>0.15522</v>
          </cell>
          <cell r="I181">
            <v>77.61</v>
          </cell>
          <cell r="J181">
            <v>0.18929268292682927</v>
          </cell>
          <cell r="K181">
            <v>17.036341463414644</v>
          </cell>
          <cell r="L181">
            <v>94.646341463414629</v>
          </cell>
          <cell r="O181"/>
          <cell r="Q181">
            <v>1</v>
          </cell>
          <cell r="R181" t="str">
            <v>B5B-XH-AM(LF)(SN)</v>
          </cell>
          <cell r="S181" t="str">
            <v>J.S.T. MFG. CO.,LTD.</v>
          </cell>
          <cell r="T181" t="str">
            <v>Future</v>
          </cell>
          <cell r="U181">
            <v>9.5100000000000004E-2</v>
          </cell>
          <cell r="V181">
            <v>500</v>
          </cell>
          <cell r="W181">
            <v>0</v>
          </cell>
          <cell r="X181" t="str">
            <v>1-2 wks</v>
          </cell>
          <cell r="Y181" t="str">
            <v>Y</v>
          </cell>
          <cell r="Z181">
            <v>47.550000000000004</v>
          </cell>
          <cell r="AA181">
            <v>30.059999999999995</v>
          </cell>
          <cell r="AB181">
            <v>0.49760340162350203</v>
          </cell>
          <cell r="AC181" t="str">
            <v>SH</v>
          </cell>
          <cell r="AD181">
            <v>1062721</v>
          </cell>
          <cell r="AE181" t="str">
            <v>POV0067005</v>
          </cell>
          <cell r="AF181" t="str">
            <v>Stephanie Hill</v>
          </cell>
        </row>
        <row r="182">
          <cell r="A182" t="str">
            <v>668-A96376-004</v>
          </cell>
          <cell r="B182" t="str">
            <v>CONN,HDR,SHRD,SIDEENTRY,4P,WHT,2.5MM,TH</v>
          </cell>
          <cell r="C182" t="str">
            <v>CONN</v>
          </cell>
          <cell r="D182">
            <v>25</v>
          </cell>
          <cell r="E182">
            <v>1</v>
          </cell>
          <cell r="F182" t="str">
            <v>19 Weeks</v>
          </cell>
          <cell r="G182">
            <v>500</v>
          </cell>
          <cell r="H182">
            <v>0.15922</v>
          </cell>
          <cell r="I182">
            <v>79.61</v>
          </cell>
          <cell r="J182">
            <v>0.19417073170731708</v>
          </cell>
          <cell r="K182">
            <v>17.475365853658545</v>
          </cell>
          <cell r="L182">
            <v>97.085365853658544</v>
          </cell>
          <cell r="O182"/>
          <cell r="Q182">
            <v>1</v>
          </cell>
          <cell r="R182" t="str">
            <v>S4B-XH-A-1(LF)(SN)</v>
          </cell>
          <cell r="S182" t="str">
            <v>J.S.T. MFG. CO.,LTD.</v>
          </cell>
          <cell r="T182" t="str">
            <v>Future</v>
          </cell>
          <cell r="U182">
            <v>0.10199999999999999</v>
          </cell>
          <cell r="V182">
            <v>500</v>
          </cell>
          <cell r="W182">
            <v>0</v>
          </cell>
          <cell r="X182" t="str">
            <v>1-2 wks</v>
          </cell>
          <cell r="Y182" t="str">
            <v>Y</v>
          </cell>
          <cell r="Z182">
            <v>51</v>
          </cell>
          <cell r="AA182">
            <v>28.61</v>
          </cell>
          <cell r="AB182">
            <v>0.47468910940836584</v>
          </cell>
          <cell r="AC182" t="str">
            <v>SH</v>
          </cell>
          <cell r="AD182">
            <v>1062721</v>
          </cell>
          <cell r="AE182" t="str">
            <v>POV0067005</v>
          </cell>
          <cell r="AF182" t="str">
            <v>Stephanie Hill</v>
          </cell>
        </row>
        <row r="183">
          <cell r="A183" t="str">
            <v>645-000381-008</v>
          </cell>
          <cell r="B183" t="str">
            <v>SWITCH  DIP ROCKER SPST 8-POS,ROHS</v>
          </cell>
          <cell r="C183" t="str">
            <v>SW</v>
          </cell>
          <cell r="D183">
            <v>25</v>
          </cell>
          <cell r="E183">
            <v>1</v>
          </cell>
          <cell r="F183" t="str">
            <v>12 Weeks</v>
          </cell>
          <cell r="G183">
            <v>500</v>
          </cell>
          <cell r="H183">
            <v>2.7042700000000002</v>
          </cell>
          <cell r="I183">
            <v>1352.135</v>
          </cell>
          <cell r="J183">
            <v>3.2978902439024393</v>
          </cell>
          <cell r="K183">
            <v>296.81012195121957</v>
          </cell>
          <cell r="L183">
            <v>1648.9451219512196</v>
          </cell>
          <cell r="M183" t="str">
            <v>CHINA</v>
          </cell>
          <cell r="N183">
            <v>8536509065</v>
          </cell>
          <cell r="O183">
            <v>0.35</v>
          </cell>
          <cell r="P183">
            <v>473.24724999999995</v>
          </cell>
          <cell r="Q183">
            <v>2</v>
          </cell>
          <cell r="R183" t="str">
            <v>76SB08ST</v>
          </cell>
          <cell r="S183" t="str">
            <v>Grayhill</v>
          </cell>
          <cell r="T183" t="str">
            <v>Future</v>
          </cell>
          <cell r="U183">
            <v>0.8</v>
          </cell>
          <cell r="V183">
            <v>500</v>
          </cell>
          <cell r="W183">
            <v>0</v>
          </cell>
          <cell r="X183" t="str">
            <v>1-2 wks</v>
          </cell>
          <cell r="Y183" t="str">
            <v>Y</v>
          </cell>
          <cell r="Z183">
            <v>400</v>
          </cell>
          <cell r="AA183">
            <v>952.13499999999999</v>
          </cell>
          <cell r="AB183">
            <v>0.75742067175245076</v>
          </cell>
          <cell r="AC183" t="str">
            <v>SH</v>
          </cell>
          <cell r="AD183">
            <v>1062721</v>
          </cell>
          <cell r="AE183" t="str">
            <v>POV0067005</v>
          </cell>
          <cell r="AF183" t="str">
            <v>Stephanie Hill</v>
          </cell>
        </row>
        <row r="184">
          <cell r="A184" t="str">
            <v>646-130453-008</v>
          </cell>
          <cell r="B184" t="str">
            <v>SW,SMD,DIP STRAIGHT 8 POLES,ROHS</v>
          </cell>
          <cell r="C184" t="str">
            <v>SW</v>
          </cell>
          <cell r="D184">
            <v>15</v>
          </cell>
          <cell r="E184">
            <v>1</v>
          </cell>
          <cell r="F184" t="str">
            <v>15 Weeks</v>
          </cell>
          <cell r="G184">
            <v>500</v>
          </cell>
          <cell r="H184">
            <v>3.4395600000000002</v>
          </cell>
          <cell r="I184">
            <v>1719.7800000000002</v>
          </cell>
          <cell r="J184">
            <v>4.1945853658536594</v>
          </cell>
          <cell r="K184">
            <v>377.51268292682926</v>
          </cell>
          <cell r="L184">
            <v>2097.2926829268299</v>
          </cell>
          <cell r="O184"/>
          <cell r="Q184">
            <v>1</v>
          </cell>
          <cell r="R184" t="str">
            <v>76HPSB08GWRT</v>
          </cell>
          <cell r="S184" t="str">
            <v>Grayhill</v>
          </cell>
          <cell r="T184" t="str">
            <v>Future</v>
          </cell>
          <cell r="U184">
            <v>1.4</v>
          </cell>
          <cell r="V184">
            <v>500</v>
          </cell>
          <cell r="W184">
            <v>0</v>
          </cell>
          <cell r="X184" t="str">
            <v>1-2 wks</v>
          </cell>
          <cell r="Y184" t="str">
            <v>Y</v>
          </cell>
          <cell r="Z184">
            <v>700</v>
          </cell>
          <cell r="AA184">
            <v>1019.7800000000002</v>
          </cell>
          <cell r="AB184">
            <v>0.66623637907174182</v>
          </cell>
          <cell r="AC184" t="str">
            <v>SH</v>
          </cell>
          <cell r="AD184">
            <v>1062721</v>
          </cell>
          <cell r="AE184" t="str">
            <v>POV0067005</v>
          </cell>
          <cell r="AF184" t="str">
            <v>Stephanie Hill</v>
          </cell>
        </row>
        <row r="185">
          <cell r="A185" t="str">
            <v>668-346844-004</v>
          </cell>
          <cell r="B185" t="str">
            <v>CONN,HDR,MALE,5POS,3A,RTANG,SLDR,THT</v>
          </cell>
          <cell r="C185" t="str">
            <v>CONN</v>
          </cell>
          <cell r="D185">
            <v>15</v>
          </cell>
          <cell r="E185">
            <v>1</v>
          </cell>
          <cell r="F185" t="str">
            <v>24 Weeks</v>
          </cell>
          <cell r="G185">
            <v>500</v>
          </cell>
          <cell r="H185">
            <v>0.73958900000000005</v>
          </cell>
          <cell r="I185">
            <v>369.79450000000003</v>
          </cell>
          <cell r="J185">
            <v>0.90193780487804887</v>
          </cell>
          <cell r="K185">
            <v>81.174402439024448</v>
          </cell>
          <cell r="L185">
            <v>450.96890243902442</v>
          </cell>
          <cell r="O185"/>
          <cell r="Q185">
            <v>1</v>
          </cell>
          <cell r="R185" t="str">
            <v>5-103635-4</v>
          </cell>
          <cell r="S185" t="str">
            <v>TE CONNECTIVITY</v>
          </cell>
          <cell r="T185" t="str">
            <v>Future</v>
          </cell>
          <cell r="U185">
            <v>0.51</v>
          </cell>
          <cell r="V185">
            <v>500</v>
          </cell>
          <cell r="W185">
            <v>0</v>
          </cell>
          <cell r="X185" t="str">
            <v>1-2 wks</v>
          </cell>
          <cell r="Y185" t="str">
            <v>Y</v>
          </cell>
          <cell r="Z185">
            <v>255</v>
          </cell>
          <cell r="AA185">
            <v>114.79450000000003</v>
          </cell>
          <cell r="AB185">
            <v>0.43455081132899487</v>
          </cell>
          <cell r="AC185" t="str">
            <v>SH</v>
          </cell>
          <cell r="AD185">
            <v>1062721</v>
          </cell>
          <cell r="AE185" t="str">
            <v>POV0067005</v>
          </cell>
          <cell r="AF185" t="str">
            <v>Stephanie Hill</v>
          </cell>
        </row>
        <row r="186">
          <cell r="A186" t="str">
            <v>648-019150-476</v>
          </cell>
          <cell r="B186" t="str">
            <v>CAP,SMD,TANT,47UF,10%,35V,LOW ESR</v>
          </cell>
          <cell r="C186" t="str">
            <v>CAP</v>
          </cell>
          <cell r="D186">
            <v>25</v>
          </cell>
          <cell r="E186">
            <v>1</v>
          </cell>
          <cell r="F186" t="str">
            <v>16 Weeks</v>
          </cell>
          <cell r="G186">
            <v>400</v>
          </cell>
          <cell r="H186">
            <v>1.56864</v>
          </cell>
          <cell r="I186">
            <v>627.45600000000002</v>
          </cell>
          <cell r="J186">
            <v>1.9129756097560977</v>
          </cell>
          <cell r="K186">
            <v>137.73424390243906</v>
          </cell>
          <cell r="L186">
            <v>765.19024390243908</v>
          </cell>
          <cell r="O186"/>
          <cell r="Q186">
            <v>2</v>
          </cell>
          <cell r="R186" t="str">
            <v>TPSE476K035R0200</v>
          </cell>
          <cell r="S186" t="str">
            <v>Kyocera AVX Components</v>
          </cell>
          <cell r="T186" t="str">
            <v>Future</v>
          </cell>
          <cell r="U186">
            <v>0.62</v>
          </cell>
          <cell r="V186">
            <v>400</v>
          </cell>
          <cell r="W186">
            <v>0</v>
          </cell>
          <cell r="X186" t="str">
            <v>1-2 wks</v>
          </cell>
          <cell r="Y186" t="str">
            <v>Y</v>
          </cell>
          <cell r="Z186">
            <v>248</v>
          </cell>
          <cell r="AA186">
            <v>379.45600000000002</v>
          </cell>
          <cell r="AB186">
            <v>0.67589759281925743</v>
          </cell>
          <cell r="AC186" t="str">
            <v>SH</v>
          </cell>
          <cell r="AD186">
            <v>1062721</v>
          </cell>
          <cell r="AE186" t="str">
            <v>POV0067005</v>
          </cell>
          <cell r="AF186" t="str">
            <v>Stephanie Hill</v>
          </cell>
        </row>
        <row r="187">
          <cell r="A187" t="str">
            <v>670-095989-375</v>
          </cell>
          <cell r="B187" t="str">
            <v>PTC,RXE SERIES 3.75A,ROHS</v>
          </cell>
          <cell r="C187" t="str">
            <v>PTC</v>
          </cell>
          <cell r="D187">
            <v>25</v>
          </cell>
          <cell r="E187">
            <v>1</v>
          </cell>
          <cell r="F187" t="str">
            <v>17 Weeks</v>
          </cell>
          <cell r="G187">
            <v>250</v>
          </cell>
          <cell r="H187">
            <v>0.54779900000000004</v>
          </cell>
          <cell r="I187">
            <v>136.94975000000002</v>
          </cell>
          <cell r="J187">
            <v>0.6680475609756098</v>
          </cell>
          <cell r="K187">
            <v>30.062140243902462</v>
          </cell>
          <cell r="L187">
            <v>167.01189024390246</v>
          </cell>
          <cell r="O187"/>
          <cell r="Q187">
            <v>1</v>
          </cell>
          <cell r="R187" t="str">
            <v>RXEF375</v>
          </cell>
          <cell r="S187" t="str">
            <v>Littelfuse</v>
          </cell>
          <cell r="T187" t="str">
            <v>Future</v>
          </cell>
          <cell r="U187">
            <v>0.39500000000000002</v>
          </cell>
          <cell r="V187">
            <v>250</v>
          </cell>
          <cell r="W187">
            <v>0</v>
          </cell>
          <cell r="X187" t="str">
            <v>1-2 wks</v>
          </cell>
          <cell r="Y187" t="str">
            <v>Y</v>
          </cell>
          <cell r="Z187">
            <v>98.75</v>
          </cell>
          <cell r="AA187">
            <v>38.199750000000023</v>
          </cell>
          <cell r="AB187">
            <v>0.40872473297687661</v>
          </cell>
          <cell r="AC187" t="str">
            <v>SH</v>
          </cell>
          <cell r="AD187">
            <v>1062721</v>
          </cell>
          <cell r="AE187" t="str">
            <v>POV0067005</v>
          </cell>
          <cell r="AF187" t="str">
            <v>Stephanie Hill</v>
          </cell>
        </row>
        <row r="188">
          <cell r="A188" t="str">
            <v>670-097092-900</v>
          </cell>
          <cell r="B188" t="str">
            <v>FUSE,PTC,RUEF, 9.0A ROHS</v>
          </cell>
          <cell r="C188" t="str">
            <v>FUSE</v>
          </cell>
          <cell r="D188">
            <v>25</v>
          </cell>
          <cell r="E188" t="str">
            <v>N/A</v>
          </cell>
          <cell r="F188" t="str">
            <v>17 Weeks</v>
          </cell>
          <cell r="G188">
            <v>250</v>
          </cell>
          <cell r="H188">
            <v>0.47461199999999998</v>
          </cell>
          <cell r="I188">
            <v>118.65299999999999</v>
          </cell>
          <cell r="J188">
            <v>0.57879512195121952</v>
          </cell>
          <cell r="K188">
            <v>26.045780487804876</v>
          </cell>
          <cell r="L188">
            <v>144.69878048780487</v>
          </cell>
          <cell r="O188"/>
          <cell r="Q188">
            <v>2</v>
          </cell>
          <cell r="R188" t="str">
            <v>RUEF900</v>
          </cell>
          <cell r="S188" t="str">
            <v>Littelfuse</v>
          </cell>
          <cell r="T188" t="str">
            <v>Future</v>
          </cell>
          <cell r="U188">
            <v>0.42</v>
          </cell>
          <cell r="V188">
            <v>250</v>
          </cell>
          <cell r="W188">
            <v>0</v>
          </cell>
          <cell r="X188" t="str">
            <v>1-2 wks</v>
          </cell>
          <cell r="Y188" t="str">
            <v>Y</v>
          </cell>
          <cell r="Z188">
            <v>105</v>
          </cell>
          <cell r="AA188">
            <v>13.652999999999992</v>
          </cell>
          <cell r="AB188">
            <v>0.27435463072994359</v>
          </cell>
          <cell r="AC188" t="str">
            <v>SH</v>
          </cell>
          <cell r="AD188">
            <v>1062721</v>
          </cell>
          <cell r="AE188" t="str">
            <v>POV0067005</v>
          </cell>
          <cell r="AF188" t="str">
            <v>Stephanie Hill</v>
          </cell>
        </row>
        <row r="189">
          <cell r="A189" t="str">
            <v>668-099048-008</v>
          </cell>
          <cell r="B189" t="str">
            <v>CONN,MDLR JK,8P8,RJ45,VERT SH,ROHS</v>
          </cell>
          <cell r="C189" t="str">
            <v>CONN</v>
          </cell>
          <cell r="D189">
            <v>15</v>
          </cell>
          <cell r="E189">
            <v>1</v>
          </cell>
          <cell r="F189" t="str">
            <v>3 Weeks</v>
          </cell>
          <cell r="G189">
            <v>216</v>
          </cell>
          <cell r="H189">
            <v>2.7981500000000001</v>
          </cell>
          <cell r="I189">
            <v>604.40039999999999</v>
          </cell>
          <cell r="J189">
            <v>3.412378048780488</v>
          </cell>
          <cell r="K189">
            <v>132.67325853658542</v>
          </cell>
          <cell r="L189">
            <v>737.07365853658541</v>
          </cell>
          <cell r="O189"/>
          <cell r="Q189">
            <v>2</v>
          </cell>
          <cell r="R189" t="str">
            <v>5557969-1</v>
          </cell>
          <cell r="S189" t="str">
            <v>TE CONNECTIVITY</v>
          </cell>
          <cell r="T189" t="str">
            <v>Future</v>
          </cell>
          <cell r="U189">
            <v>1.27</v>
          </cell>
          <cell r="V189">
            <v>216</v>
          </cell>
          <cell r="W189">
            <v>0</v>
          </cell>
          <cell r="X189" t="str">
            <v>1-2 wks</v>
          </cell>
          <cell r="Y189" t="str">
            <v>Y</v>
          </cell>
          <cell r="Z189">
            <v>274.32</v>
          </cell>
          <cell r="AA189">
            <v>330.0804</v>
          </cell>
          <cell r="AB189">
            <v>0.62782552758072296</v>
          </cell>
          <cell r="AC189" t="str">
            <v>SH</v>
          </cell>
          <cell r="AD189">
            <v>1062721</v>
          </cell>
          <cell r="AE189" t="str">
            <v>POV0067005</v>
          </cell>
          <cell r="AF189" t="str">
            <v>Stephanie Hill</v>
          </cell>
        </row>
        <row r="190">
          <cell r="A190" t="str">
            <v>795-A93075-001</v>
          </cell>
          <cell r="B190" t="str">
            <v>LED,FIBER OPT,50MBPS,650NM,1.9V FWD,RED</v>
          </cell>
          <cell r="C190" t="str">
            <v>LED</v>
          </cell>
          <cell r="D190">
            <v>25</v>
          </cell>
          <cell r="E190" t="str">
            <v>N/A</v>
          </cell>
          <cell r="F190" t="str">
            <v>3 Weeks</v>
          </cell>
          <cell r="G190">
            <v>200</v>
          </cell>
          <cell r="H190">
            <v>10.604497</v>
          </cell>
          <cell r="I190">
            <v>2120.8994000000002</v>
          </cell>
          <cell r="J190">
            <v>12.932313414634148</v>
          </cell>
          <cell r="K190">
            <v>465.56328292682929</v>
          </cell>
          <cell r="L190">
            <v>2586.4626829268295</v>
          </cell>
          <cell r="O190"/>
          <cell r="Q190">
            <v>1</v>
          </cell>
          <cell r="R190" t="str">
            <v>IF-E98</v>
          </cell>
          <cell r="S190" t="str">
            <v>Industrial Fiber Optics</v>
          </cell>
          <cell r="T190" t="str">
            <v>Digikey</v>
          </cell>
          <cell r="U190">
            <v>10.764099999999999</v>
          </cell>
          <cell r="V190">
            <v>200</v>
          </cell>
          <cell r="W190">
            <v>0</v>
          </cell>
          <cell r="X190">
            <v>1</v>
          </cell>
          <cell r="Y190" t="str">
            <v>Y</v>
          </cell>
          <cell r="Z190">
            <v>2152.8199999999997</v>
          </cell>
          <cell r="AA190">
            <v>-31.920599999999467</v>
          </cell>
          <cell r="AB190" t="str">
            <v/>
          </cell>
          <cell r="AC190" t="str">
            <v>JH</v>
          </cell>
          <cell r="AD190">
            <v>1062721</v>
          </cell>
          <cell r="AE190" t="str">
            <v>POV0067001</v>
          </cell>
          <cell r="AF190" t="str">
            <v>JH</v>
          </cell>
        </row>
        <row r="191">
          <cell r="A191" t="str">
            <v>631-318336-001</v>
          </cell>
          <cell r="B191" t="str">
            <v>IC,PHOTOCOUPLER,4 CHAN,35V,50 MA,DIP16</v>
          </cell>
          <cell r="C191" t="str">
            <v>IC</v>
          </cell>
          <cell r="D191">
            <v>15</v>
          </cell>
          <cell r="E191">
            <v>1</v>
          </cell>
          <cell r="F191" t="str">
            <v>15 Weeks</v>
          </cell>
          <cell r="G191">
            <v>200</v>
          </cell>
          <cell r="H191">
            <v>0.52696500000000002</v>
          </cell>
          <cell r="I191">
            <v>105.393</v>
          </cell>
          <cell r="J191">
            <v>0.64264024390243912</v>
          </cell>
          <cell r="K191">
            <v>23.135048780487807</v>
          </cell>
          <cell r="L191">
            <v>128.52804878048784</v>
          </cell>
          <cell r="O191"/>
          <cell r="Q191">
            <v>1</v>
          </cell>
          <cell r="R191" t="str">
            <v>LTV-845</v>
          </cell>
          <cell r="S191" t="str">
            <v>LITE-ON</v>
          </cell>
          <cell r="T191" t="str">
            <v>Future</v>
          </cell>
          <cell r="U191">
            <v>0.40500000000000003</v>
          </cell>
          <cell r="V191">
            <v>200</v>
          </cell>
          <cell r="W191">
            <v>0</v>
          </cell>
          <cell r="X191" t="str">
            <v>1-2 wks</v>
          </cell>
          <cell r="Y191" t="str">
            <v>Y</v>
          </cell>
          <cell r="Z191">
            <v>81</v>
          </cell>
          <cell r="AA191">
            <v>24.393000000000001</v>
          </cell>
          <cell r="AB191">
            <v>0.3697873672824572</v>
          </cell>
          <cell r="AC191" t="str">
            <v>SH</v>
          </cell>
          <cell r="AD191">
            <v>1062721</v>
          </cell>
          <cell r="AE191" t="str">
            <v>POV0067005</v>
          </cell>
          <cell r="AF191" t="str">
            <v>Stephanie Hill</v>
          </cell>
        </row>
        <row r="192">
          <cell r="A192" t="str">
            <v>618-B36776-100</v>
          </cell>
          <cell r="B192" t="str">
            <v>RES,THK FILM,10 OHM,5%,200W,SOT227</v>
          </cell>
          <cell r="C192" t="str">
            <v>RES</v>
          </cell>
          <cell r="D192">
            <v>75</v>
          </cell>
          <cell r="E192" t="str">
            <v>N/A</v>
          </cell>
          <cell r="F192" t="str">
            <v>20 Weeks</v>
          </cell>
          <cell r="G192">
            <v>150</v>
          </cell>
          <cell r="H192">
            <v>29.195399999999999</v>
          </cell>
          <cell r="I192">
            <v>4379.3099999999995</v>
          </cell>
          <cell r="J192">
            <v>35.604146341463419</v>
          </cell>
          <cell r="K192">
            <v>961.31195121951259</v>
          </cell>
          <cell r="L192">
            <v>5340.621951219513</v>
          </cell>
          <cell r="O192"/>
          <cell r="Q192">
            <v>1</v>
          </cell>
          <cell r="R192" t="str">
            <v>TGHLV10R0JE</v>
          </cell>
          <cell r="S192" t="str">
            <v>Ohmite</v>
          </cell>
          <cell r="T192" t="str">
            <v>Digikey</v>
          </cell>
          <cell r="U192">
            <v>26.3</v>
          </cell>
          <cell r="V192">
            <v>150</v>
          </cell>
          <cell r="W192">
            <v>0</v>
          </cell>
          <cell r="X192">
            <v>1</v>
          </cell>
          <cell r="Y192" t="str">
            <v>Y</v>
          </cell>
          <cell r="Z192">
            <v>3945</v>
          </cell>
          <cell r="AA192">
            <v>434.30999999999949</v>
          </cell>
          <cell r="AB192">
            <v>0.26132198908047166</v>
          </cell>
          <cell r="AC192" t="str">
            <v>JH</v>
          </cell>
          <cell r="AD192">
            <v>1062721</v>
          </cell>
          <cell r="AE192" t="str">
            <v>POV0067001</v>
          </cell>
          <cell r="AF192" t="str">
            <v>JH</v>
          </cell>
        </row>
        <row r="193">
          <cell r="A193" t="str">
            <v>660-150506-003</v>
          </cell>
          <cell r="B193" t="str">
            <v>PS,CONV,DC/DC,7-42VIN,3.3VOUT,1A</v>
          </cell>
          <cell r="C193" t="str">
            <v>PS</v>
          </cell>
          <cell r="D193">
            <v>15</v>
          </cell>
          <cell r="E193">
            <v>1</v>
          </cell>
          <cell r="F193" t="str">
            <v>37 Weeks</v>
          </cell>
          <cell r="G193">
            <v>100</v>
          </cell>
          <cell r="H193">
            <v>9.3891679999999997</v>
          </cell>
          <cell r="I193">
            <v>938.91679999999997</v>
          </cell>
          <cell r="J193">
            <v>11.450204878048782</v>
          </cell>
          <cell r="K193">
            <v>206.10368780487806</v>
          </cell>
          <cell r="L193">
            <v>1145.0204878048783</v>
          </cell>
          <cell r="O193"/>
          <cell r="Q193">
            <v>2</v>
          </cell>
          <cell r="R193" t="str">
            <v>R-78C3.3-1.0</v>
          </cell>
          <cell r="S193" t="str">
            <v>RECOM</v>
          </cell>
          <cell r="T193" t="str">
            <v>Future</v>
          </cell>
          <cell r="U193">
            <v>7.79</v>
          </cell>
          <cell r="V193">
            <v>100</v>
          </cell>
          <cell r="W193">
            <v>0</v>
          </cell>
          <cell r="X193" t="str">
            <v>1-2 wks</v>
          </cell>
          <cell r="Y193" t="str">
            <v>Y</v>
          </cell>
          <cell r="Z193">
            <v>779</v>
          </cell>
          <cell r="AA193">
            <v>159.91679999999997</v>
          </cell>
          <cell r="AB193">
            <v>0.31966282848490957</v>
          </cell>
          <cell r="AC193" t="str">
            <v>SH</v>
          </cell>
          <cell r="AD193">
            <v>1062721</v>
          </cell>
          <cell r="AE193" t="str">
            <v>POV0067005</v>
          </cell>
          <cell r="AF193" t="str">
            <v>Stephanie Hill</v>
          </cell>
        </row>
        <row r="194">
          <cell r="A194" t="str">
            <v>671-219755-004</v>
          </cell>
          <cell r="B194" t="str">
            <v>TP,PCB,MINIATURE LOOP,ORANGE</v>
          </cell>
          <cell r="C194" t="str">
            <v>TP</v>
          </cell>
          <cell r="D194">
            <v>25</v>
          </cell>
          <cell r="E194" t="str">
            <v>N/A</v>
          </cell>
          <cell r="F194" t="str">
            <v>3 Weeks</v>
          </cell>
          <cell r="G194">
            <v>100</v>
          </cell>
          <cell r="H194">
            <v>0.24510000000000001</v>
          </cell>
          <cell r="I194">
            <v>24.51</v>
          </cell>
          <cell r="J194">
            <v>0.29890243902439029</v>
          </cell>
          <cell r="K194">
            <v>5.3802439024390267</v>
          </cell>
          <cell r="L194">
            <v>29.890243902439028</v>
          </cell>
          <cell r="O194"/>
          <cell r="Q194">
            <v>1</v>
          </cell>
          <cell r="R194">
            <v>5003</v>
          </cell>
          <cell r="S194" t="str">
            <v>KEYSTONE ELECTRONICS CORP</v>
          </cell>
          <cell r="T194" t="str">
            <v>Future</v>
          </cell>
          <cell r="U194">
            <v>0.13600000000000001</v>
          </cell>
          <cell r="V194">
            <v>100</v>
          </cell>
          <cell r="W194">
            <v>0</v>
          </cell>
          <cell r="X194" t="str">
            <v>1-2 wks</v>
          </cell>
          <cell r="Y194" t="str">
            <v>Y</v>
          </cell>
          <cell r="Z194">
            <v>13.600000000000001</v>
          </cell>
          <cell r="AA194">
            <v>10.91</v>
          </cell>
          <cell r="AB194">
            <v>0.54500203998368013</v>
          </cell>
          <cell r="AC194" t="str">
            <v>SH</v>
          </cell>
          <cell r="AD194">
            <v>1062721</v>
          </cell>
          <cell r="AE194" t="str">
            <v>POV0067005</v>
          </cell>
          <cell r="AF194" t="str">
            <v>Stephanie Hill</v>
          </cell>
        </row>
        <row r="195">
          <cell r="A195" t="str">
            <v>662-094083-001</v>
          </cell>
          <cell r="B195" t="str">
            <v>LED,PCB,RA,5MM,HIGH,EFF GRN ROHS</v>
          </cell>
          <cell r="C195" t="str">
            <v>LED</v>
          </cell>
          <cell r="D195">
            <v>15</v>
          </cell>
          <cell r="E195">
            <v>1</v>
          </cell>
          <cell r="F195" t="str">
            <v>15 Weeks</v>
          </cell>
          <cell r="G195">
            <v>100</v>
          </cell>
          <cell r="H195">
            <v>0.54534800000000005</v>
          </cell>
          <cell r="I195">
            <v>54.534800000000004</v>
          </cell>
          <cell r="J195">
            <v>0.66505853658536596</v>
          </cell>
          <cell r="K195">
            <v>11.97105365853659</v>
          </cell>
          <cell r="L195">
            <v>66.505853658536594</v>
          </cell>
          <cell r="O195"/>
          <cell r="Q195">
            <v>2</v>
          </cell>
          <cell r="R195" t="str">
            <v>550-2205F</v>
          </cell>
          <cell r="S195" t="str">
            <v>Dialight</v>
          </cell>
          <cell r="T195" t="str">
            <v>Future</v>
          </cell>
          <cell r="U195">
            <v>0.33500000000000002</v>
          </cell>
          <cell r="V195">
            <v>100</v>
          </cell>
          <cell r="W195">
            <v>0</v>
          </cell>
          <cell r="X195" t="str">
            <v>1-2 wks</v>
          </cell>
          <cell r="Y195" t="str">
            <v>Y</v>
          </cell>
          <cell r="Z195">
            <v>33.5</v>
          </cell>
          <cell r="AA195">
            <v>21.034800000000004</v>
          </cell>
          <cell r="AB195">
            <v>0.49628494099180709</v>
          </cell>
          <cell r="AC195" t="str">
            <v>SH</v>
          </cell>
          <cell r="AD195">
            <v>1062721</v>
          </cell>
          <cell r="AE195" t="str">
            <v>POV0067005</v>
          </cell>
          <cell r="AF195" t="str">
            <v>Stephanie Hill</v>
          </cell>
        </row>
        <row r="196">
          <cell r="A196" t="str">
            <v>644-A02502-024</v>
          </cell>
          <cell r="B196" t="str">
            <v>RLY,PWR,SPDT,24V,10A,SEALED,AG-NI,THT</v>
          </cell>
          <cell r="C196" t="str">
            <v>RLY</v>
          </cell>
          <cell r="D196">
            <v>15</v>
          </cell>
          <cell r="E196">
            <v>1</v>
          </cell>
          <cell r="F196" t="str">
            <v>24 Weeks</v>
          </cell>
          <cell r="G196">
            <v>100</v>
          </cell>
          <cell r="H196">
            <v>1.8985449999999999</v>
          </cell>
          <cell r="I196">
            <v>189.8545</v>
          </cell>
          <cell r="J196">
            <v>2.3152987804878049</v>
          </cell>
          <cell r="K196">
            <v>41.675378048780516</v>
          </cell>
          <cell r="L196">
            <v>231.52987804878049</v>
          </cell>
          <cell r="O196"/>
          <cell r="Q196">
            <v>1</v>
          </cell>
          <cell r="R196" t="str">
            <v>JW1FSN-DC24V</v>
          </cell>
          <cell r="S196" t="str">
            <v>Panasonic Industrial Devices</v>
          </cell>
          <cell r="T196" t="str">
            <v>Future</v>
          </cell>
          <cell r="U196">
            <v>1.24</v>
          </cell>
          <cell r="V196">
            <v>100</v>
          </cell>
          <cell r="W196">
            <v>0</v>
          </cell>
          <cell r="X196" t="str">
            <v>1-2 wks</v>
          </cell>
          <cell r="Y196" t="str">
            <v>Y</v>
          </cell>
          <cell r="Z196">
            <v>124</v>
          </cell>
          <cell r="AA196">
            <v>65.854500000000002</v>
          </cell>
          <cell r="AB196">
            <v>0.46443197290556715</v>
          </cell>
          <cell r="AC196" t="str">
            <v>SH</v>
          </cell>
          <cell r="AD196">
            <v>1062721</v>
          </cell>
          <cell r="AE196" t="str">
            <v>POV0067005</v>
          </cell>
          <cell r="AF196" t="str">
            <v>Stephanie Hill</v>
          </cell>
        </row>
        <row r="197">
          <cell r="A197" t="str">
            <v>671-119709-001</v>
          </cell>
          <cell r="B197" t="str">
            <v>TERM,PCB,6-32,30A</v>
          </cell>
          <cell r="C197" t="str">
            <v>TERM</v>
          </cell>
          <cell r="D197">
            <v>25</v>
          </cell>
          <cell r="E197" t="str">
            <v>N/A</v>
          </cell>
          <cell r="F197" t="str">
            <v>3 Weeks</v>
          </cell>
          <cell r="G197">
            <v>100</v>
          </cell>
          <cell r="H197">
            <v>0.43995400000000001</v>
          </cell>
          <cell r="I197">
            <v>43.995400000000004</v>
          </cell>
          <cell r="J197">
            <v>0.53652926829268299</v>
          </cell>
          <cell r="K197">
            <v>9.6575268292682992</v>
          </cell>
          <cell r="L197">
            <v>53.652926829268296</v>
          </cell>
          <cell r="O197"/>
          <cell r="Q197">
            <v>1</v>
          </cell>
          <cell r="R197">
            <v>7786</v>
          </cell>
          <cell r="S197" t="str">
            <v>KEYSTONE ELECTRONICS</v>
          </cell>
          <cell r="T197" t="str">
            <v>Future</v>
          </cell>
          <cell r="U197">
            <v>0.435</v>
          </cell>
          <cell r="V197">
            <v>100</v>
          </cell>
          <cell r="W197">
            <v>0</v>
          </cell>
          <cell r="X197" t="str">
            <v>1-2 wks</v>
          </cell>
          <cell r="Y197" t="str">
            <v>Y</v>
          </cell>
          <cell r="Z197">
            <v>43.5</v>
          </cell>
          <cell r="AA197">
            <v>0.49540000000000362</v>
          </cell>
          <cell r="AB197">
            <v>0.18923341985753062</v>
          </cell>
          <cell r="AC197" t="str">
            <v>SH</v>
          </cell>
          <cell r="AD197">
            <v>1062721</v>
          </cell>
          <cell r="AE197" t="str">
            <v>POV0067005</v>
          </cell>
          <cell r="AF197" t="str">
            <v>Stephanie Hill</v>
          </cell>
        </row>
        <row r="198">
          <cell r="A198" t="str">
            <v>632-024687-001</v>
          </cell>
          <cell r="B198" t="str">
            <v>RLY,SMD,DPDT,2FC,S-SIDED,STABLE 12V</v>
          </cell>
          <cell r="C198" t="str">
            <v>RLY</v>
          </cell>
          <cell r="D198">
            <v>15</v>
          </cell>
          <cell r="E198" t="str">
            <v>N/A</v>
          </cell>
          <cell r="F198" t="str">
            <v>43 Weeks</v>
          </cell>
          <cell r="G198">
            <v>100</v>
          </cell>
          <cell r="H198">
            <v>1.7731760000000001</v>
          </cell>
          <cell r="I198">
            <v>177.3176</v>
          </cell>
          <cell r="J198">
            <v>2.1624097560975613</v>
          </cell>
          <cell r="K198">
            <v>38.923375609756107</v>
          </cell>
          <cell r="L198">
            <v>216.24097560975613</v>
          </cell>
          <cell r="O198"/>
          <cell r="Q198">
            <v>1</v>
          </cell>
          <cell r="R198" t="str">
            <v>TQ2SA-12V</v>
          </cell>
          <cell r="S198" t="str">
            <v>Panasonic Industrial Devices</v>
          </cell>
          <cell r="T198" t="str">
            <v>Future</v>
          </cell>
          <cell r="U198">
            <v>1.1200000000000001</v>
          </cell>
          <cell r="V198">
            <v>100</v>
          </cell>
          <cell r="W198">
            <v>0</v>
          </cell>
          <cell r="X198" t="str">
            <v>1-2 wks</v>
          </cell>
          <cell r="Y198" t="str">
            <v>Y</v>
          </cell>
          <cell r="Z198">
            <v>112.00000000000001</v>
          </cell>
          <cell r="AA198">
            <v>65.317599999999985</v>
          </cell>
          <cell r="AB198">
            <v>0.48205931052529472</v>
          </cell>
          <cell r="AC198" t="str">
            <v>SH</v>
          </cell>
          <cell r="AD198">
            <v>1062721</v>
          </cell>
          <cell r="AE198" t="str">
            <v>POV0067005</v>
          </cell>
          <cell r="AF198" t="str">
            <v>Stephanie Hill</v>
          </cell>
        </row>
        <row r="199">
          <cell r="A199" t="str">
            <v>646-243658-002</v>
          </cell>
          <cell r="B199" t="str">
            <v>SW,SMD,DIP,SPST,4CKT,.025A/24VDC,1.27MM</v>
          </cell>
          <cell r="C199" t="str">
            <v>SW</v>
          </cell>
          <cell r="D199">
            <v>25</v>
          </cell>
          <cell r="E199">
            <v>1</v>
          </cell>
          <cell r="F199" t="str">
            <v>18 Weeks</v>
          </cell>
          <cell r="G199">
            <v>75</v>
          </cell>
          <cell r="H199">
            <v>1.91178</v>
          </cell>
          <cell r="I199">
            <v>143.3835</v>
          </cell>
          <cell r="J199">
            <v>2.3314390243902441</v>
          </cell>
          <cell r="K199">
            <v>31.47442682926831</v>
          </cell>
          <cell r="L199">
            <v>174.85792682926831</v>
          </cell>
          <cell r="O199"/>
          <cell r="Q199">
            <v>1</v>
          </cell>
          <cell r="R199" t="str">
            <v>KAN1104RT</v>
          </cell>
          <cell r="S199" t="str">
            <v>E-SWITCH</v>
          </cell>
          <cell r="T199" t="str">
            <v>Future</v>
          </cell>
          <cell r="U199">
            <v>1.43</v>
          </cell>
          <cell r="V199">
            <v>75</v>
          </cell>
          <cell r="W199">
            <v>0</v>
          </cell>
          <cell r="X199" t="str">
            <v>1-2 wks</v>
          </cell>
          <cell r="Y199" t="str">
            <v>Y</v>
          </cell>
          <cell r="Z199">
            <v>107.25</v>
          </cell>
          <cell r="AA199">
            <v>36.133499999999998</v>
          </cell>
          <cell r="AB199">
            <v>0.38664490684074537</v>
          </cell>
          <cell r="AC199" t="str">
            <v>SH</v>
          </cell>
          <cell r="AD199">
            <v>1062721</v>
          </cell>
          <cell r="AE199" t="str">
            <v>POV0067005</v>
          </cell>
          <cell r="AF199" t="str">
            <v>Stephanie Hill</v>
          </cell>
        </row>
        <row r="200">
          <cell r="A200" t="str">
            <v>668-346844-001</v>
          </cell>
          <cell r="B200" t="str">
            <v>CONN,HDR,MALE,2POS,3A,RTANG,SLDR,THT</v>
          </cell>
          <cell r="C200" t="str">
            <v>CONN</v>
          </cell>
          <cell r="D200">
            <v>25</v>
          </cell>
          <cell r="E200">
            <v>1</v>
          </cell>
          <cell r="F200" t="str">
            <v>3 Weeks</v>
          </cell>
          <cell r="G200">
            <v>71</v>
          </cell>
          <cell r="H200">
            <v>0.87234800000000001</v>
          </cell>
          <cell r="I200">
            <v>61.936708000000003</v>
          </cell>
          <cell r="J200">
            <v>1.063839024390244</v>
          </cell>
          <cell r="K200">
            <v>13.595862731707321</v>
          </cell>
          <cell r="L200">
            <v>75.532570731707324</v>
          </cell>
          <cell r="O200"/>
          <cell r="Q200">
            <v>1</v>
          </cell>
          <cell r="R200" t="str">
            <v>5-103635-1</v>
          </cell>
          <cell r="S200" t="str">
            <v>TE CONNECTIVITY</v>
          </cell>
          <cell r="T200" t="str">
            <v>Future</v>
          </cell>
          <cell r="U200">
            <v>0.435</v>
          </cell>
          <cell r="V200">
            <v>71</v>
          </cell>
          <cell r="W200">
            <v>0</v>
          </cell>
          <cell r="X200" t="str">
            <v>1-2 wks</v>
          </cell>
          <cell r="Y200" t="str">
            <v>Y</v>
          </cell>
          <cell r="Z200">
            <v>30.885000000000002</v>
          </cell>
          <cell r="AA200">
            <v>31.051708000000001</v>
          </cell>
          <cell r="AB200">
            <v>0.59110355041795248</v>
          </cell>
          <cell r="AC200" t="str">
            <v>SH</v>
          </cell>
          <cell r="AD200">
            <v>1062721</v>
          </cell>
          <cell r="AE200" t="str">
            <v>POV0067005</v>
          </cell>
          <cell r="AF200" t="str">
            <v>Stephanie Hill</v>
          </cell>
        </row>
        <row r="201">
          <cell r="A201" t="str">
            <v>668-034058-004</v>
          </cell>
          <cell r="B201" t="str">
            <v>CONN,DSUB,DUAL PORT,15P/15P,F/M ROHS</v>
          </cell>
          <cell r="C201" t="str">
            <v>CONN</v>
          </cell>
          <cell r="D201">
            <v>25</v>
          </cell>
          <cell r="E201" t="str">
            <v>N/A</v>
          </cell>
          <cell r="F201" t="str">
            <v>3 Weeks</v>
          </cell>
          <cell r="G201">
            <v>70</v>
          </cell>
          <cell r="H201">
            <v>9.0809549999999994</v>
          </cell>
          <cell r="I201">
            <v>635.66684999999995</v>
          </cell>
          <cell r="J201">
            <v>11.074335365853658</v>
          </cell>
          <cell r="K201">
            <v>139.53662560975613</v>
          </cell>
          <cell r="L201">
            <v>775.20347560975608</v>
          </cell>
          <cell r="O201"/>
          <cell r="Q201">
            <v>1</v>
          </cell>
          <cell r="R201" t="str">
            <v>178-015-313R571</v>
          </cell>
          <cell r="S201" t="str">
            <v>NORCOMP</v>
          </cell>
          <cell r="T201" t="str">
            <v>Future</v>
          </cell>
          <cell r="U201">
            <v>6.95</v>
          </cell>
          <cell r="V201">
            <v>70</v>
          </cell>
          <cell r="W201">
            <v>0</v>
          </cell>
          <cell r="X201" t="str">
            <v>1-2 wks</v>
          </cell>
          <cell r="Y201" t="str">
            <v>Y</v>
          </cell>
          <cell r="Z201">
            <v>486.5</v>
          </cell>
          <cell r="AA201">
            <v>149.16684999999995</v>
          </cell>
          <cell r="AB201">
            <v>0.37242283438250712</v>
          </cell>
          <cell r="AC201" t="str">
            <v>SH</v>
          </cell>
          <cell r="AD201">
            <v>1062721</v>
          </cell>
          <cell r="AE201" t="str">
            <v>POV0067005</v>
          </cell>
          <cell r="AF201" t="str">
            <v>Stephanie Hill</v>
          </cell>
        </row>
        <row r="202">
          <cell r="A202" t="str">
            <v>39-433734-00</v>
          </cell>
          <cell r="B202" t="str">
            <v>CONN,USB,MINI-B TYPE SKT,5POS,SMT,30VAC,</v>
          </cell>
          <cell r="C202" t="str">
            <v>CONN</v>
          </cell>
          <cell r="D202">
            <v>15</v>
          </cell>
          <cell r="E202">
            <v>1</v>
          </cell>
          <cell r="F202" t="str">
            <v>3 Weeks</v>
          </cell>
          <cell r="G202">
            <v>60</v>
          </cell>
          <cell r="H202">
            <v>1.1482939999999999</v>
          </cell>
          <cell r="I202">
            <v>68.897639999999996</v>
          </cell>
          <cell r="J202">
            <v>1.4003585365853659</v>
          </cell>
          <cell r="K202">
            <v>15.123872195121962</v>
          </cell>
          <cell r="L202">
            <v>84.021512195121957</v>
          </cell>
          <cell r="O202"/>
          <cell r="Q202">
            <v>1</v>
          </cell>
          <cell r="R202">
            <v>65100516121</v>
          </cell>
          <cell r="S202" t="str">
            <v>WURTH ELEKTRONIK</v>
          </cell>
          <cell r="T202" t="str">
            <v>Digikey</v>
          </cell>
          <cell r="U202">
            <v>1.17</v>
          </cell>
          <cell r="V202">
            <v>60</v>
          </cell>
          <cell r="W202">
            <v>0</v>
          </cell>
          <cell r="Y202" t="str">
            <v>Y</v>
          </cell>
          <cell r="Z202">
            <v>70.199999999999989</v>
          </cell>
          <cell r="AA202">
            <v>-1.3023599999999931</v>
          </cell>
          <cell r="AB202" t="str">
            <v/>
          </cell>
          <cell r="AC202" t="str">
            <v>JH</v>
          </cell>
          <cell r="AD202">
            <v>1062721</v>
          </cell>
          <cell r="AE202" t="str">
            <v>POV0067001</v>
          </cell>
          <cell r="AF202" t="str">
            <v>JH</v>
          </cell>
        </row>
        <row r="203">
          <cell r="A203" t="str">
            <v>618-B36776-102</v>
          </cell>
          <cell r="B203" t="str">
            <v>RES,THK FILM,1K OHM,5%,200W,SOT227</v>
          </cell>
          <cell r="C203" t="str">
            <v>RES</v>
          </cell>
          <cell r="D203">
            <v>30</v>
          </cell>
          <cell r="E203" t="str">
            <v>N/A</v>
          </cell>
          <cell r="F203" t="str">
            <v>20 Weeks</v>
          </cell>
          <cell r="G203">
            <v>60</v>
          </cell>
          <cell r="H203">
            <v>37.2438</v>
          </cell>
          <cell r="I203">
            <v>2234.6280000000002</v>
          </cell>
          <cell r="J203">
            <v>45.419268292682929</v>
          </cell>
          <cell r="K203">
            <v>490.52809756097577</v>
          </cell>
          <cell r="L203">
            <v>2725.1560975609759</v>
          </cell>
          <cell r="O203"/>
          <cell r="Q203">
            <v>1</v>
          </cell>
          <cell r="R203" t="str">
            <v>TGHLV1K00JE</v>
          </cell>
          <cell r="S203" t="str">
            <v>Ohmite</v>
          </cell>
          <cell r="T203" t="str">
            <v>Digikey</v>
          </cell>
          <cell r="U203">
            <v>33.889000000000003</v>
          </cell>
          <cell r="V203">
            <v>60</v>
          </cell>
          <cell r="W203">
            <v>0</v>
          </cell>
          <cell r="X203">
            <v>1</v>
          </cell>
          <cell r="Y203" t="str">
            <v>Y</v>
          </cell>
          <cell r="Z203">
            <v>2033.3400000000001</v>
          </cell>
          <cell r="AA203">
            <v>201.28800000000001</v>
          </cell>
          <cell r="AB203">
            <v>0.25386292483581163</v>
          </cell>
          <cell r="AD203">
            <v>1062721</v>
          </cell>
          <cell r="AE203" t="str">
            <v xml:space="preserve">POV0067035 </v>
          </cell>
          <cell r="AF203" t="str">
            <v>JH</v>
          </cell>
        </row>
        <row r="204">
          <cell r="A204" t="str">
            <v>668-098496-003</v>
          </cell>
          <cell r="B204" t="str">
            <v>CONN,HDR 3P VERT MTE,ROHS</v>
          </cell>
          <cell r="C204" t="str">
            <v>CONN</v>
          </cell>
          <cell r="D204">
            <v>25</v>
          </cell>
          <cell r="E204">
            <v>1</v>
          </cell>
          <cell r="F204" t="str">
            <v>19 Weeks</v>
          </cell>
          <cell r="G204">
            <v>52</v>
          </cell>
          <cell r="H204">
            <v>1.2236130000000001</v>
          </cell>
          <cell r="I204">
            <v>63.627876000000001</v>
          </cell>
          <cell r="J204">
            <v>1.4922109756097564</v>
          </cell>
          <cell r="K204">
            <v>13.96709473170732</v>
          </cell>
          <cell r="L204">
            <v>77.594970731707335</v>
          </cell>
          <cell r="O204"/>
          <cell r="Q204">
            <v>1</v>
          </cell>
          <cell r="R204" t="str">
            <v>5-104363-2</v>
          </cell>
          <cell r="S204" t="str">
            <v>TE CONNECTIVITY</v>
          </cell>
          <cell r="T204" t="str">
            <v>Future</v>
          </cell>
          <cell r="U204">
            <v>0.49</v>
          </cell>
          <cell r="V204">
            <v>52</v>
          </cell>
          <cell r="W204">
            <v>0</v>
          </cell>
          <cell r="X204" t="str">
            <v>1-2 wks</v>
          </cell>
          <cell r="Y204" t="str">
            <v>Y</v>
          </cell>
          <cell r="Z204">
            <v>25.48</v>
          </cell>
          <cell r="AA204">
            <v>38.147875999999997</v>
          </cell>
          <cell r="AB204">
            <v>0.67162820270788237</v>
          </cell>
          <cell r="AC204" t="str">
            <v>SH</v>
          </cell>
          <cell r="AD204">
            <v>1062721</v>
          </cell>
          <cell r="AE204" t="str">
            <v>POV0067005</v>
          </cell>
          <cell r="AF204" t="str">
            <v>Stephanie Hill</v>
          </cell>
        </row>
        <row r="205">
          <cell r="A205" t="str">
            <v>668-064219-044</v>
          </cell>
          <cell r="B205" t="str">
            <v>CONN,RCPT,HD D-SUB, RA, FEMALE,ROHS,44P</v>
          </cell>
          <cell r="C205" t="str">
            <v>CONN</v>
          </cell>
          <cell r="D205">
            <v>15</v>
          </cell>
          <cell r="E205">
            <v>1</v>
          </cell>
          <cell r="F205" t="str">
            <v>27 Weeks</v>
          </cell>
          <cell r="G205">
            <v>50</v>
          </cell>
          <cell r="H205">
            <v>8.9554639999999992</v>
          </cell>
          <cell r="I205">
            <v>447.77319999999997</v>
          </cell>
          <cell r="J205">
            <v>10.92129756097561</v>
          </cell>
          <cell r="K205">
            <v>98.291678048780568</v>
          </cell>
          <cell r="L205">
            <v>546.06487804878054</v>
          </cell>
          <cell r="O205"/>
          <cell r="Q205">
            <v>1</v>
          </cell>
          <cell r="R205" t="str">
            <v>K66X-B44S-N</v>
          </cell>
          <cell r="S205" t="str">
            <v>KYCON, INC</v>
          </cell>
          <cell r="T205" t="str">
            <v>Digikey</v>
          </cell>
          <cell r="U205">
            <v>6.3902000000000001</v>
          </cell>
          <cell r="V205">
            <v>50</v>
          </cell>
          <cell r="W205">
            <v>0</v>
          </cell>
          <cell r="Y205" t="str">
            <v>Y</v>
          </cell>
          <cell r="Z205">
            <v>319.51</v>
          </cell>
          <cell r="AA205">
            <v>128.26319999999998</v>
          </cell>
          <cell r="AB205">
            <v>0.41488637551331797</v>
          </cell>
          <cell r="AD205">
            <v>1062721</v>
          </cell>
          <cell r="AE205" t="str">
            <v xml:space="preserve">POV0067035 </v>
          </cell>
          <cell r="AF205" t="str">
            <v>JH</v>
          </cell>
        </row>
        <row r="206">
          <cell r="A206" t="str">
            <v>668-900922-034</v>
          </cell>
          <cell r="B206" t="str">
            <v>CONN,SKT,STR,.1 X .1, 34 PIN</v>
          </cell>
          <cell r="C206" t="str">
            <v>CONN</v>
          </cell>
          <cell r="D206">
            <v>25</v>
          </cell>
          <cell r="E206">
            <v>1</v>
          </cell>
          <cell r="F206" t="str">
            <v>7 Weeks</v>
          </cell>
          <cell r="G206">
            <v>400</v>
          </cell>
          <cell r="H206">
            <v>4.7794499999999998</v>
          </cell>
          <cell r="I206">
            <v>1911.78</v>
          </cell>
          <cell r="J206">
            <v>5.8285975609756102</v>
          </cell>
          <cell r="K206">
            <v>419.65902439024399</v>
          </cell>
          <cell r="L206">
            <v>2331.439024390244</v>
          </cell>
          <cell r="O206"/>
          <cell r="Q206">
            <v>1</v>
          </cell>
          <cell r="R206" t="str">
            <v>SSW-117-01-G-D</v>
          </cell>
          <cell r="S206" t="str">
            <v>SAMTEC</v>
          </cell>
          <cell r="T206" t="str">
            <v>Sager</v>
          </cell>
          <cell r="U206">
            <v>3.2170000000000001</v>
          </cell>
          <cell r="V206">
            <v>400</v>
          </cell>
          <cell r="W206">
            <v>0</v>
          </cell>
          <cell r="Y206" t="str">
            <v>Y</v>
          </cell>
          <cell r="Z206">
            <v>1286.8</v>
          </cell>
          <cell r="AA206">
            <v>624.98</v>
          </cell>
          <cell r="AB206">
            <v>0.44806620008578402</v>
          </cell>
          <cell r="AC206" t="str">
            <v>JH</v>
          </cell>
          <cell r="AD206">
            <v>1062721</v>
          </cell>
          <cell r="AE206" t="str">
            <v>POV0067004</v>
          </cell>
          <cell r="AF206" t="str">
            <v>JH</v>
          </cell>
        </row>
        <row r="207">
          <cell r="A207" t="str">
            <v>660-A86741-008</v>
          </cell>
          <cell r="B207" t="str">
            <v>PS,DC-DC,9-36V INPUT,+/-15V,.333A,PCB,TH</v>
          </cell>
          <cell r="C207" t="str">
            <v>PS</v>
          </cell>
          <cell r="D207">
            <v>15</v>
          </cell>
          <cell r="E207">
            <v>1</v>
          </cell>
          <cell r="F207" t="str">
            <v>25 Weeks</v>
          </cell>
          <cell r="G207">
            <v>30</v>
          </cell>
          <cell r="H207">
            <v>38.559600000000003</v>
          </cell>
          <cell r="I207">
            <v>1156.788</v>
          </cell>
          <cell r="J207">
            <v>47.023902439024397</v>
          </cell>
          <cell r="K207">
            <v>253.92907317073173</v>
          </cell>
          <cell r="L207">
            <v>1410.717073170732</v>
          </cell>
          <cell r="O207"/>
          <cell r="Q207">
            <v>1</v>
          </cell>
          <cell r="R207" t="str">
            <v>THN10-2423WIR</v>
          </cell>
          <cell r="S207" t="str">
            <v>TRACO POWER</v>
          </cell>
          <cell r="T207" t="str">
            <v>Sager</v>
          </cell>
          <cell r="U207">
            <v>34.68</v>
          </cell>
          <cell r="V207">
            <v>26</v>
          </cell>
          <cell r="W207">
            <v>4</v>
          </cell>
          <cell r="Y207" t="str">
            <v>Y</v>
          </cell>
          <cell r="Z207">
            <v>901.68</v>
          </cell>
          <cell r="AA207">
            <v>100.8696000000001</v>
          </cell>
          <cell r="AB207">
            <v>0.26250272305729327</v>
          </cell>
          <cell r="AC207" t="str">
            <v>JH</v>
          </cell>
          <cell r="AD207">
            <v>1062721</v>
          </cell>
          <cell r="AE207" t="str">
            <v>POV0067004</v>
          </cell>
          <cell r="AF207" t="str">
            <v>JH</v>
          </cell>
        </row>
        <row r="208">
          <cell r="A208" t="str">
            <v>621-095110-104</v>
          </cell>
          <cell r="B208" t="str">
            <v>POT TRIM,100K,25T,PCMT,ROHS</v>
          </cell>
          <cell r="C208" t="str">
            <v>POT</v>
          </cell>
          <cell r="D208">
            <v>25</v>
          </cell>
          <cell r="E208" t="str">
            <v>N/A</v>
          </cell>
          <cell r="F208" t="str">
            <v>14 Weeks</v>
          </cell>
          <cell r="G208">
            <v>500</v>
          </cell>
          <cell r="H208">
            <v>1.5395799999999999</v>
          </cell>
          <cell r="I208">
            <v>769.79</v>
          </cell>
          <cell r="J208">
            <v>1.8775365853658537</v>
          </cell>
          <cell r="K208">
            <v>168.97829268292685</v>
          </cell>
          <cell r="L208">
            <v>938.76829268292681</v>
          </cell>
          <cell r="O208"/>
          <cell r="Q208">
            <v>1</v>
          </cell>
          <cell r="R208" t="str">
            <v>3296W-1-104LF</v>
          </cell>
          <cell r="S208" t="str">
            <v>Bourns</v>
          </cell>
          <cell r="T208" t="str">
            <v>Master Electronics</v>
          </cell>
          <cell r="U208">
            <v>0.995</v>
          </cell>
          <cell r="V208">
            <v>500</v>
          </cell>
          <cell r="W208">
            <v>0</v>
          </cell>
          <cell r="X208">
            <v>1</v>
          </cell>
          <cell r="Y208" t="str">
            <v>Y</v>
          </cell>
          <cell r="Z208">
            <v>497.5</v>
          </cell>
          <cell r="AA208">
            <v>272.28999999999996</v>
          </cell>
          <cell r="AB208">
            <v>0.47005027345120098</v>
          </cell>
          <cell r="AC208" t="str">
            <v>SH</v>
          </cell>
          <cell r="AD208">
            <v>1062721</v>
          </cell>
          <cell r="AE208" t="str">
            <v xml:space="preserve">POV0067034 </v>
          </cell>
          <cell r="AF208" t="str">
            <v>SH</v>
          </cell>
        </row>
        <row r="209">
          <cell r="A209" t="str">
            <v>621-095110-302</v>
          </cell>
          <cell r="B209" t="str">
            <v>POT TRIM,3K,25T,PCMT,ROHS</v>
          </cell>
          <cell r="C209" t="str">
            <v>POT</v>
          </cell>
          <cell r="D209">
            <v>15</v>
          </cell>
          <cell r="E209" t="str">
            <v>N/A</v>
          </cell>
          <cell r="F209" t="str">
            <v>10 Weeks</v>
          </cell>
          <cell r="G209">
            <v>500</v>
          </cell>
          <cell r="H209">
            <v>1.13849</v>
          </cell>
          <cell r="I209">
            <v>569.245</v>
          </cell>
          <cell r="J209">
            <v>1.3884024390243903</v>
          </cell>
          <cell r="K209">
            <v>124.95621951219516</v>
          </cell>
          <cell r="L209">
            <v>694.20121951219517</v>
          </cell>
          <cell r="O209"/>
          <cell r="Q209">
            <v>1</v>
          </cell>
          <cell r="R209" t="str">
            <v>3296W-1-302LF</v>
          </cell>
          <cell r="S209" t="str">
            <v>Bourns</v>
          </cell>
          <cell r="T209" t="str">
            <v>Master Electronics</v>
          </cell>
          <cell r="U209">
            <v>0.86399999999999999</v>
          </cell>
          <cell r="V209">
            <v>500</v>
          </cell>
          <cell r="W209">
            <v>0</v>
          </cell>
          <cell r="X209">
            <v>1</v>
          </cell>
          <cell r="Y209" t="str">
            <v>Y</v>
          </cell>
          <cell r="Z209">
            <v>432</v>
          </cell>
          <cell r="AA209">
            <v>137.245</v>
          </cell>
          <cell r="AB209">
            <v>0.37770204393538809</v>
          </cell>
          <cell r="AC209" t="str">
            <v>SH</v>
          </cell>
          <cell r="AD209">
            <v>1062721</v>
          </cell>
          <cell r="AE209" t="str">
            <v xml:space="preserve">POV0067034 </v>
          </cell>
          <cell r="AF209" t="str">
            <v>SH</v>
          </cell>
        </row>
        <row r="210">
          <cell r="A210" t="str">
            <v>632-B14832-001</v>
          </cell>
          <cell r="B210" t="str">
            <v>RLY,SMD,REED,SPST-NO,5VDC COIL V,GULLWG</v>
          </cell>
          <cell r="C210" t="str">
            <v>RLY</v>
          </cell>
          <cell r="D210">
            <v>50</v>
          </cell>
          <cell r="E210">
            <v>2</v>
          </cell>
          <cell r="F210" t="str">
            <v>72 Weeks</v>
          </cell>
          <cell r="G210">
            <v>100</v>
          </cell>
          <cell r="H210">
            <v>7.2717489999999998</v>
          </cell>
          <cell r="I210">
            <v>727.17489999999998</v>
          </cell>
          <cell r="J210">
            <v>8.8679865853658537</v>
          </cell>
          <cell r="K210">
            <v>159.62375853658546</v>
          </cell>
          <cell r="L210">
            <v>886.79865853658532</v>
          </cell>
          <cell r="O210"/>
          <cell r="Q210">
            <v>1</v>
          </cell>
          <cell r="R210" t="str">
            <v>9290-05-00</v>
          </cell>
          <cell r="S210" t="str">
            <v>COTO TECHNOLOGY, INC.</v>
          </cell>
          <cell r="T210" t="str">
            <v>Master Electronics</v>
          </cell>
          <cell r="U210">
            <v>6.32</v>
          </cell>
          <cell r="V210">
            <v>109</v>
          </cell>
          <cell r="W210">
            <v>-9</v>
          </cell>
          <cell r="Y210" t="str">
            <v>Y</v>
          </cell>
          <cell r="Z210">
            <v>688.88</v>
          </cell>
          <cell r="AA210">
            <v>38.294899999999984</v>
          </cell>
          <cell r="AB210">
            <v>0.22318330844477718</v>
          </cell>
          <cell r="AC210" t="str">
            <v>SH</v>
          </cell>
          <cell r="AD210">
            <v>1062721</v>
          </cell>
          <cell r="AE210" t="str">
            <v xml:space="preserve">POV0067034 </v>
          </cell>
          <cell r="AF210" t="str">
            <v>SH</v>
          </cell>
        </row>
        <row r="211">
          <cell r="A211" t="str">
            <v>615-121726-207</v>
          </cell>
          <cell r="B211" t="str">
            <v>RES,SMD,5.49K,1/10W,1%,0402</v>
          </cell>
          <cell r="C211" t="str">
            <v>RES</v>
          </cell>
          <cell r="D211">
            <v>15</v>
          </cell>
          <cell r="E211">
            <v>1</v>
          </cell>
          <cell r="F211" t="str">
            <v>23 Weeks</v>
          </cell>
          <cell r="G211">
            <v>10000</v>
          </cell>
          <cell r="H211">
            <v>6.0000000000000001E-3</v>
          </cell>
          <cell r="I211">
            <v>60</v>
          </cell>
          <cell r="J211">
            <v>7.3170731707317077E-3</v>
          </cell>
          <cell r="K211">
            <v>13.170731707317074</v>
          </cell>
          <cell r="L211">
            <v>73.170731707317074</v>
          </cell>
          <cell r="M211" t="str">
            <v>CHINA</v>
          </cell>
          <cell r="N211" t="str">
            <v>8533210030</v>
          </cell>
          <cell r="O211">
            <v>0.35</v>
          </cell>
          <cell r="P211">
            <v>21</v>
          </cell>
          <cell r="Q211">
            <v>1</v>
          </cell>
          <cell r="R211" t="str">
            <v>ERJ-2RKF5491X</v>
          </cell>
          <cell r="S211" t="str">
            <v>Panasonic</v>
          </cell>
          <cell r="T211" t="str">
            <v>Master Electronics</v>
          </cell>
          <cell r="U211">
            <v>2.7000000000000001E-3</v>
          </cell>
          <cell r="V211">
            <v>10000</v>
          </cell>
          <cell r="W211">
            <v>0</v>
          </cell>
          <cell r="Y211" t="str">
            <v>Y</v>
          </cell>
          <cell r="Z211">
            <v>27</v>
          </cell>
          <cell r="AA211">
            <v>33</v>
          </cell>
          <cell r="AB211">
            <v>0.63100000000000001</v>
          </cell>
          <cell r="AC211" t="str">
            <v>SH</v>
          </cell>
          <cell r="AD211">
            <v>1062721</v>
          </cell>
          <cell r="AE211" t="str">
            <v xml:space="preserve">POV0067034 </v>
          </cell>
          <cell r="AF211" t="str">
            <v>SH</v>
          </cell>
        </row>
        <row r="212">
          <cell r="A212" t="str">
            <v>34-295469-00</v>
          </cell>
          <cell r="B212" t="str">
            <v>CB,PC MT,6.3A</v>
          </cell>
          <cell r="C212" t="str">
            <v>CB</v>
          </cell>
          <cell r="D212">
            <v>25</v>
          </cell>
          <cell r="E212" t="str">
            <v>N/A</v>
          </cell>
          <cell r="F212" t="str">
            <v>12 Weeks</v>
          </cell>
          <cell r="G212">
            <v>50</v>
          </cell>
          <cell r="H212">
            <v>10.453514999999999</v>
          </cell>
          <cell r="I212">
            <v>522.67574999999999</v>
          </cell>
          <cell r="J212">
            <v>12.748189024390244</v>
          </cell>
          <cell r="K212">
            <v>114.73370121951223</v>
          </cell>
          <cell r="L212">
            <v>637.40945121951222</v>
          </cell>
          <cell r="M212" t="str">
            <v>TAIWAN</v>
          </cell>
          <cell r="N212" t="str">
            <v>8536200040</v>
          </cell>
          <cell r="O212">
            <v>0.35</v>
          </cell>
          <cell r="P212">
            <v>182.93651249999999</v>
          </cell>
          <cell r="Q212">
            <v>1</v>
          </cell>
          <cell r="R212" t="str">
            <v>1410-G110-L2F1-S01-6.3A</v>
          </cell>
          <cell r="S212" t="str">
            <v>E-T-A ENGINEERING TECHNOLOGY</v>
          </cell>
          <cell r="T212" t="str">
            <v>Master Electronics</v>
          </cell>
          <cell r="U212">
            <v>10.41</v>
          </cell>
          <cell r="V212">
            <v>50</v>
          </cell>
          <cell r="W212">
            <v>0</v>
          </cell>
          <cell r="X212">
            <v>1</v>
          </cell>
          <cell r="Y212" t="str">
            <v>Y</v>
          </cell>
          <cell r="Z212">
            <v>520.5</v>
          </cell>
          <cell r="AA212">
            <v>2.1757499999999936</v>
          </cell>
          <cell r="AB212">
            <v>0.1834134260102942</v>
          </cell>
          <cell r="AC212" t="str">
            <v>SH</v>
          </cell>
          <cell r="AD212">
            <v>1062721</v>
          </cell>
          <cell r="AE212" t="str">
            <v xml:space="preserve">POV0067034 </v>
          </cell>
          <cell r="AF212" t="str">
            <v>SH</v>
          </cell>
        </row>
        <row r="213">
          <cell r="A213" t="str">
            <v>668-A49130-026</v>
          </cell>
          <cell r="B213" t="str">
            <v>CONN,HDR,26PIN,2ROW,2.54MM PITCH,AU PLD</v>
          </cell>
          <cell r="C213" t="str">
            <v>CONN</v>
          </cell>
          <cell r="D213">
            <v>25</v>
          </cell>
          <cell r="E213">
            <v>1</v>
          </cell>
          <cell r="F213" t="str">
            <v>9 Weeks</v>
          </cell>
          <cell r="G213">
            <v>200</v>
          </cell>
          <cell r="H213">
            <v>2.5122749999999998</v>
          </cell>
          <cell r="I213">
            <v>502.45499999999998</v>
          </cell>
          <cell r="J213">
            <v>3.0637499999999998</v>
          </cell>
          <cell r="K213">
            <v>110.29500000000002</v>
          </cell>
          <cell r="L213">
            <v>612.75</v>
          </cell>
          <cell r="O213"/>
          <cell r="Q213">
            <v>1</v>
          </cell>
          <cell r="R213" t="str">
            <v>TSW-113-07-G-D</v>
          </cell>
          <cell r="S213" t="str">
            <v>SAMTEC</v>
          </cell>
          <cell r="T213" t="str">
            <v>Master Electronics</v>
          </cell>
          <cell r="U213">
            <v>1.7749999999999999</v>
          </cell>
          <cell r="V213">
            <v>200</v>
          </cell>
          <cell r="W213">
            <v>0</v>
          </cell>
          <cell r="X213">
            <v>1</v>
          </cell>
          <cell r="Y213" t="str">
            <v>Y</v>
          </cell>
          <cell r="Z213">
            <v>355</v>
          </cell>
          <cell r="AA213">
            <v>147.45499999999998</v>
          </cell>
          <cell r="AB213">
            <v>0.42064463484292125</v>
          </cell>
          <cell r="AC213" t="str">
            <v>SH</v>
          </cell>
          <cell r="AD213">
            <v>1062721</v>
          </cell>
          <cell r="AE213" t="str">
            <v xml:space="preserve">POV0067034 </v>
          </cell>
          <cell r="AF213" t="str">
            <v>SH</v>
          </cell>
        </row>
        <row r="214">
          <cell r="A214" t="str">
            <v>635-121981-001</v>
          </cell>
          <cell r="B214" t="str">
            <v>OSC,SMD,XTAL,12MHZ,20PF</v>
          </cell>
          <cell r="C214" t="str">
            <v>OSC</v>
          </cell>
          <cell r="D214">
            <v>15</v>
          </cell>
          <cell r="E214">
            <v>1</v>
          </cell>
          <cell r="F214" t="str">
            <v>15 Weeks</v>
          </cell>
          <cell r="G214">
            <v>1000</v>
          </cell>
          <cell r="H214">
            <v>0.40038299999999999</v>
          </cell>
          <cell r="I214">
            <v>400.38299999999998</v>
          </cell>
          <cell r="J214">
            <v>0.48827195121951222</v>
          </cell>
          <cell r="K214">
            <v>87.888951219512194</v>
          </cell>
          <cell r="L214">
            <v>488.27195121951223</v>
          </cell>
          <cell r="O214"/>
          <cell r="Q214">
            <v>1</v>
          </cell>
          <cell r="R214" t="str">
            <v>ECS-120-20-30B-TR</v>
          </cell>
          <cell r="S214" t="str">
            <v>ECS, Inc. International</v>
          </cell>
          <cell r="T214" t="str">
            <v>Master Electronics</v>
          </cell>
          <cell r="U214">
            <v>0.33760000000000001</v>
          </cell>
          <cell r="V214">
            <v>1000</v>
          </cell>
          <cell r="W214">
            <v>0</v>
          </cell>
          <cell r="X214">
            <v>1</v>
          </cell>
          <cell r="Y214" t="str">
            <v>Y</v>
          </cell>
          <cell r="Z214">
            <v>337.6</v>
          </cell>
          <cell r="AA214">
            <v>62.782999999999959</v>
          </cell>
          <cell r="AB214">
            <v>0.30858203270368623</v>
          </cell>
          <cell r="AC214" t="str">
            <v>SH</v>
          </cell>
          <cell r="AD214">
            <v>1062721</v>
          </cell>
          <cell r="AE214" t="str">
            <v xml:space="preserve">POV0067034 </v>
          </cell>
          <cell r="AF214" t="str">
            <v>SH</v>
          </cell>
        </row>
        <row r="215">
          <cell r="A215" t="str">
            <v>615-312994-195</v>
          </cell>
          <cell r="B215" t="str">
            <v>RES,SMD,499,1%,1/20W,0201</v>
          </cell>
          <cell r="C215" t="str">
            <v>RES</v>
          </cell>
          <cell r="D215">
            <v>25</v>
          </cell>
          <cell r="E215">
            <v>1</v>
          </cell>
          <cell r="F215" t="str">
            <v>21 Weeks</v>
          </cell>
          <cell r="G215">
            <v>15000</v>
          </cell>
          <cell r="H215">
            <v>4.9020000000000001E-3</v>
          </cell>
          <cell r="I215">
            <v>73.53</v>
          </cell>
          <cell r="J215">
            <v>5.9780487804878052E-3</v>
          </cell>
          <cell r="K215">
            <v>16.140731707317073</v>
          </cell>
          <cell r="L215">
            <v>89.670731707317074</v>
          </cell>
          <cell r="O215"/>
          <cell r="Q215">
            <v>1</v>
          </cell>
          <cell r="R215" t="str">
            <v>ERJ-1GNF4990C</v>
          </cell>
          <cell r="S215" t="str">
            <v>Panasonic</v>
          </cell>
          <cell r="T215" t="str">
            <v>Master Electronics</v>
          </cell>
          <cell r="U215">
            <v>4.7999999999999996E-3</v>
          </cell>
          <cell r="V215">
            <v>15000</v>
          </cell>
          <cell r="W215">
            <v>0</v>
          </cell>
          <cell r="X215">
            <v>1</v>
          </cell>
          <cell r="Y215" t="str">
            <v>Y</v>
          </cell>
          <cell r="Z215">
            <v>72</v>
          </cell>
          <cell r="AA215">
            <v>1.5300000000000011</v>
          </cell>
          <cell r="AB215">
            <v>0.19706242350061198</v>
          </cell>
          <cell r="AC215" t="str">
            <v>SH</v>
          </cell>
          <cell r="AD215">
            <v>1062721</v>
          </cell>
          <cell r="AE215" t="str">
            <v xml:space="preserve">POV0067034 </v>
          </cell>
          <cell r="AF215" t="str">
            <v>SH</v>
          </cell>
        </row>
        <row r="216">
          <cell r="A216" t="str">
            <v>610-208000-001</v>
          </cell>
          <cell r="B216" t="str">
            <v>DIO,SIG,GEN PURP, 100V, DO-35</v>
          </cell>
          <cell r="C216" t="str">
            <v>DIO</v>
          </cell>
          <cell r="D216">
            <v>25</v>
          </cell>
          <cell r="E216" t="str">
            <v>N/A</v>
          </cell>
          <cell r="F216" t="str">
            <v>3 Weeks</v>
          </cell>
          <cell r="G216">
            <v>10000</v>
          </cell>
          <cell r="H216">
            <v>3.3089E-2</v>
          </cell>
          <cell r="I216">
            <v>330.89</v>
          </cell>
          <cell r="J216">
            <v>4.0352439024390244E-2</v>
          </cell>
          <cell r="K216">
            <v>72.634390243902487</v>
          </cell>
          <cell r="L216">
            <v>403.52439024390242</v>
          </cell>
          <cell r="M216" t="str">
            <v>CHINA</v>
          </cell>
          <cell r="N216">
            <v>8541100080</v>
          </cell>
          <cell r="O216">
            <v>0.35</v>
          </cell>
          <cell r="P216">
            <v>115.81149999999998</v>
          </cell>
          <cell r="Q216">
            <v>1</v>
          </cell>
          <cell r="R216" t="str">
            <v>1N914ATR</v>
          </cell>
          <cell r="S216" t="str">
            <v>On Semiconductor</v>
          </cell>
          <cell r="T216" t="str">
            <v>Arrow</v>
          </cell>
          <cell r="U216">
            <v>1.2699999999999999E-2</v>
          </cell>
          <cell r="V216">
            <v>10000</v>
          </cell>
          <cell r="W216">
            <v>0</v>
          </cell>
          <cell r="X216">
            <v>1</v>
          </cell>
          <cell r="Y216" t="str">
            <v>Y</v>
          </cell>
          <cell r="Z216">
            <v>127</v>
          </cell>
          <cell r="AA216">
            <v>203.89</v>
          </cell>
          <cell r="AB216">
            <v>0.68527305146725492</v>
          </cell>
          <cell r="AC216" t="str">
            <v>JH</v>
          </cell>
          <cell r="AD216">
            <v>1062721</v>
          </cell>
          <cell r="AE216" t="str">
            <v>POV0067028</v>
          </cell>
          <cell r="AF216" t="str">
            <v>JH</v>
          </cell>
        </row>
        <row r="217">
          <cell r="A217" t="str">
            <v>723-B29816-003</v>
          </cell>
          <cell r="B217" t="str">
            <v>STDF,SURF MTG,M2X0.4 THD,3MM LG,CS</v>
          </cell>
          <cell r="C217" t="str">
            <v>STDF</v>
          </cell>
          <cell r="D217">
            <v>25</v>
          </cell>
          <cell r="E217" t="str">
            <v>N/A</v>
          </cell>
          <cell r="F217" t="str">
            <v>12 Weeks</v>
          </cell>
          <cell r="G217">
            <v>1000</v>
          </cell>
          <cell r="H217">
            <v>0.46568999999999999</v>
          </cell>
          <cell r="I217">
            <v>465.69</v>
          </cell>
          <cell r="J217">
            <v>0.56791463414634147</v>
          </cell>
          <cell r="K217">
            <v>102.22463414634154</v>
          </cell>
          <cell r="L217">
            <v>567.91463414634143</v>
          </cell>
          <cell r="O217"/>
          <cell r="Q217">
            <v>1</v>
          </cell>
          <cell r="R217" t="str">
            <v>SMTSO-M2-3ET</v>
          </cell>
          <cell r="S217" t="str">
            <v>PENN ENGINEERING</v>
          </cell>
          <cell r="T217" t="str">
            <v>DB Roberts</v>
          </cell>
          <cell r="U217">
            <v>0.37594</v>
          </cell>
          <cell r="V217">
            <v>1000</v>
          </cell>
          <cell r="W217">
            <v>0</v>
          </cell>
          <cell r="Y217" t="str">
            <v>Y</v>
          </cell>
          <cell r="Z217">
            <v>375.94</v>
          </cell>
          <cell r="AA217">
            <v>89.75</v>
          </cell>
          <cell r="AB217">
            <v>0.33803431467285106</v>
          </cell>
          <cell r="AD217">
            <v>1062721</v>
          </cell>
          <cell r="AE217" t="str">
            <v>POV0067027</v>
          </cell>
          <cell r="AF217" t="str">
            <v>SH</v>
          </cell>
        </row>
        <row r="218">
          <cell r="A218" t="str">
            <v>660-B05108-001</v>
          </cell>
          <cell r="B218" t="str">
            <v>PS,DC-DC,4.5-5.5VINPUT,5VOUT,0.5W,SOIC16</v>
          </cell>
          <cell r="C218" t="str">
            <v>PS</v>
          </cell>
          <cell r="D218">
            <v>15</v>
          </cell>
          <cell r="E218">
            <v>3</v>
          </cell>
          <cell r="F218" t="str">
            <v>9 Weeks</v>
          </cell>
          <cell r="G218">
            <v>500</v>
          </cell>
          <cell r="H218">
            <v>3.5243910000000001</v>
          </cell>
          <cell r="I218">
            <v>1762.1955</v>
          </cell>
          <cell r="J218">
            <v>4.2980378048780494</v>
          </cell>
          <cell r="K218">
            <v>386.82340243902468</v>
          </cell>
          <cell r="L218">
            <v>2149.0189024390247</v>
          </cell>
          <cell r="N218"/>
          <cell r="O218"/>
          <cell r="Q218">
            <v>1</v>
          </cell>
          <cell r="R218" t="str">
            <v>R05C05TE05SR</v>
          </cell>
          <cell r="S218" t="str">
            <v>Recom</v>
          </cell>
          <cell r="T218" t="str">
            <v>Master Electronics</v>
          </cell>
          <cell r="U218">
            <v>3.1429999999999998</v>
          </cell>
          <cell r="V218">
            <v>500</v>
          </cell>
          <cell r="W218">
            <v>0</v>
          </cell>
          <cell r="X218">
            <v>1</v>
          </cell>
          <cell r="Y218" t="str">
            <v>Y</v>
          </cell>
          <cell r="Z218">
            <v>1571.5</v>
          </cell>
          <cell r="AA218">
            <v>190.69550000000004</v>
          </cell>
          <cell r="AB218">
            <v>0.26873607383516762</v>
          </cell>
          <cell r="AC218" t="str">
            <v>SH</v>
          </cell>
          <cell r="AD218">
            <v>1062721</v>
          </cell>
          <cell r="AE218" t="str">
            <v xml:space="preserve">POV0067034 </v>
          </cell>
          <cell r="AF218" t="str">
            <v>SH</v>
          </cell>
        </row>
        <row r="219">
          <cell r="A219" t="str">
            <v>641-006530-001</v>
          </cell>
          <cell r="B219" t="str">
            <v>INDUCTOR 44uH,ROHS</v>
          </cell>
          <cell r="C219" t="str">
            <v>IDCTR</v>
          </cell>
          <cell r="D219">
            <v>25</v>
          </cell>
          <cell r="E219" t="str">
            <v>N/A</v>
          </cell>
          <cell r="F219" t="str">
            <v>24 Weeks</v>
          </cell>
          <cell r="G219">
            <v>100</v>
          </cell>
          <cell r="H219">
            <v>11.69</v>
          </cell>
          <cell r="I219">
            <v>1169</v>
          </cell>
          <cell r="J219">
            <v>14.25609756097561</v>
          </cell>
          <cell r="K219">
            <v>256.6097560975611</v>
          </cell>
          <cell r="L219">
            <v>1425.6097560975609</v>
          </cell>
          <cell r="O219"/>
          <cell r="Q219">
            <v>1</v>
          </cell>
          <cell r="R219" t="str">
            <v>Z-14E</v>
          </cell>
          <cell r="S219" t="str">
            <v>OHMITE MANUFACTURING COMPANY</v>
          </cell>
          <cell r="T219" t="str">
            <v>Master Electronics</v>
          </cell>
          <cell r="U219">
            <v>10.9</v>
          </cell>
          <cell r="V219">
            <v>100</v>
          </cell>
          <cell r="W219">
            <v>0</v>
          </cell>
          <cell r="X219">
            <v>1</v>
          </cell>
          <cell r="Y219" t="str">
            <v>Y</v>
          </cell>
          <cell r="Z219">
            <v>1090</v>
          </cell>
          <cell r="AA219">
            <v>79</v>
          </cell>
          <cell r="AB219">
            <v>0.23541488451668091</v>
          </cell>
          <cell r="AC219" t="str">
            <v>SH</v>
          </cell>
          <cell r="AD219">
            <v>1062721</v>
          </cell>
          <cell r="AE219" t="str">
            <v xml:space="preserve">POV0067034 </v>
          </cell>
          <cell r="AF219" t="str">
            <v>SH</v>
          </cell>
        </row>
        <row r="220">
          <cell r="A220" t="str">
            <v>615-116028-715</v>
          </cell>
          <cell r="B220" t="str">
            <v>RES,1206,1% 1/4W,7.15K ROHS</v>
          </cell>
          <cell r="C220" t="str">
            <v>RES</v>
          </cell>
          <cell r="D220">
            <v>15</v>
          </cell>
          <cell r="E220">
            <v>1</v>
          </cell>
          <cell r="F220" t="str">
            <v>31 Weeks</v>
          </cell>
          <cell r="G220">
            <v>5000</v>
          </cell>
          <cell r="H220">
            <v>9.1540000000000007E-3</v>
          </cell>
          <cell r="I220">
            <v>45.77</v>
          </cell>
          <cell r="J220">
            <v>1.1163414634146343E-2</v>
          </cell>
          <cell r="K220">
            <v>10.047073170731714</v>
          </cell>
          <cell r="L220">
            <v>55.817073170731717</v>
          </cell>
          <cell r="O220"/>
          <cell r="Q220">
            <v>3</v>
          </cell>
          <cell r="R220" t="str">
            <v>CRCW12067K15FKEA</v>
          </cell>
          <cell r="S220" t="str">
            <v>Vishay</v>
          </cell>
          <cell r="T220" t="str">
            <v>Arrow</v>
          </cell>
          <cell r="U220">
            <v>8.9999999999999998E-4</v>
          </cell>
          <cell r="V220">
            <v>6000</v>
          </cell>
          <cell r="W220">
            <v>-1000</v>
          </cell>
          <cell r="X220">
            <v>1</v>
          </cell>
          <cell r="Y220" t="str">
            <v>Y</v>
          </cell>
          <cell r="Z220">
            <v>5.3999999999999995</v>
          </cell>
          <cell r="AA220">
            <v>40.370000000000005</v>
          </cell>
          <cell r="AB220">
            <v>0.90325540747214339</v>
          </cell>
          <cell r="AC220" t="str">
            <v>JH</v>
          </cell>
          <cell r="AD220">
            <v>1062721</v>
          </cell>
          <cell r="AE220" t="str">
            <v>POV0067028</v>
          </cell>
          <cell r="AF220" t="str">
            <v>JH</v>
          </cell>
        </row>
        <row r="221">
          <cell r="A221" t="str">
            <v>615-049171-715</v>
          </cell>
          <cell r="B221" t="str">
            <v>RES.SMD,0805,71.5K OHMS,0.1%,ROHS</v>
          </cell>
          <cell r="C221" t="str">
            <v>RES</v>
          </cell>
          <cell r="D221">
            <v>25</v>
          </cell>
          <cell r="E221">
            <v>1</v>
          </cell>
          <cell r="F221" t="str">
            <v>25 Weeks</v>
          </cell>
          <cell r="G221">
            <v>5000</v>
          </cell>
          <cell r="H221">
            <v>0.164217</v>
          </cell>
          <cell r="I221">
            <v>821.08500000000004</v>
          </cell>
          <cell r="J221">
            <v>0.20026463414634149</v>
          </cell>
          <cell r="K221">
            <v>180.23817073170744</v>
          </cell>
          <cell r="L221">
            <v>1001.3231707317075</v>
          </cell>
          <cell r="O221"/>
          <cell r="Q221">
            <v>2</v>
          </cell>
          <cell r="R221" t="str">
            <v>RG2012P-7152-B-T5</v>
          </cell>
          <cell r="S221" t="str">
            <v>Susumu</v>
          </cell>
          <cell r="T221" t="str">
            <v>Mouser</v>
          </cell>
          <cell r="U221">
            <v>5.0599999999999999E-2</v>
          </cell>
          <cell r="V221">
            <v>5000</v>
          </cell>
          <cell r="W221">
            <v>0</v>
          </cell>
          <cell r="X221">
            <v>24</v>
          </cell>
          <cell r="Y221" t="str">
            <v>Y</v>
          </cell>
          <cell r="Z221">
            <v>253</v>
          </cell>
          <cell r="AA221">
            <v>568.08500000000004</v>
          </cell>
          <cell r="AB221">
            <v>0.7473343198329041</v>
          </cell>
          <cell r="AC221" t="str">
            <v>JH</v>
          </cell>
          <cell r="AD221">
            <v>1062721</v>
          </cell>
          <cell r="AE221" t="str">
            <v>POV0067036</v>
          </cell>
          <cell r="AF221" t="str">
            <v>JH</v>
          </cell>
        </row>
        <row r="222">
          <cell r="A222" t="str">
            <v>615-A61037-267</v>
          </cell>
          <cell r="B222" t="str">
            <v>RES,SMD,267OHM,0.4W,200V,0.1%,1206,ROHS</v>
          </cell>
          <cell r="C222" t="str">
            <v>RES</v>
          </cell>
          <cell r="D222">
            <v>25</v>
          </cell>
          <cell r="E222">
            <v>1</v>
          </cell>
          <cell r="F222" t="str">
            <v>53 Weeks</v>
          </cell>
          <cell r="G222">
            <v>5000</v>
          </cell>
          <cell r="H222">
            <v>0.29044399999999998</v>
          </cell>
          <cell r="I222">
            <v>1452.2199999999998</v>
          </cell>
          <cell r="J222">
            <v>0.35420000000000001</v>
          </cell>
          <cell r="K222">
            <v>318.77999999999997</v>
          </cell>
          <cell r="L222">
            <v>1771</v>
          </cell>
          <cell r="O222"/>
          <cell r="Q222">
            <v>1</v>
          </cell>
          <cell r="R222" t="str">
            <v>RQ73C2B267RBTD</v>
          </cell>
          <cell r="S222" t="str">
            <v>TE Connectivity / Holsworthy</v>
          </cell>
          <cell r="T222" t="str">
            <v>Mouser</v>
          </cell>
          <cell r="U222">
            <v>0.28399999999999997</v>
          </cell>
          <cell r="V222">
            <v>5000</v>
          </cell>
          <cell r="W222">
            <v>0</v>
          </cell>
          <cell r="X222">
            <v>1</v>
          </cell>
          <cell r="Y222" t="str">
            <v>Y</v>
          </cell>
          <cell r="Z222">
            <v>1419.9999999999998</v>
          </cell>
          <cell r="AA222">
            <v>32.220000000000027</v>
          </cell>
          <cell r="AB222">
            <v>0.19819311123658967</v>
          </cell>
          <cell r="AC222" t="str">
            <v>JH</v>
          </cell>
          <cell r="AD222">
            <v>1062721</v>
          </cell>
          <cell r="AE222" t="str">
            <v>POV0067036</v>
          </cell>
          <cell r="AF222" t="str">
            <v>JH</v>
          </cell>
        </row>
        <row r="223">
          <cell r="A223" t="str">
            <v>615-162861-030</v>
          </cell>
          <cell r="B223" t="str">
            <v>RES,0805,TF,1/8W,0.1%,25PPM,82.5 ROHS</v>
          </cell>
          <cell r="C223" t="str">
            <v>RES</v>
          </cell>
          <cell r="D223">
            <v>15</v>
          </cell>
          <cell r="E223">
            <v>1</v>
          </cell>
          <cell r="F223" t="str">
            <v>25 Weeks</v>
          </cell>
          <cell r="G223">
            <v>5000</v>
          </cell>
          <cell r="H223">
            <v>5.1263000000000003E-2</v>
          </cell>
          <cell r="I223">
            <v>256.315</v>
          </cell>
          <cell r="J223">
            <v>6.2515853658536596E-2</v>
          </cell>
          <cell r="K223">
            <v>56.264268292682971</v>
          </cell>
          <cell r="L223">
            <v>312.57926829268297</v>
          </cell>
          <cell r="O223"/>
          <cell r="Q223">
            <v>1</v>
          </cell>
          <cell r="R223" t="str">
            <v>RG2012P-82R5-B-T5</v>
          </cell>
          <cell r="S223" t="str">
            <v>SUSUMU</v>
          </cell>
          <cell r="T223" t="str">
            <v>Digikey</v>
          </cell>
          <cell r="U223">
            <v>5.203E-2</v>
          </cell>
          <cell r="V223">
            <v>5000</v>
          </cell>
          <cell r="W223">
            <v>0</v>
          </cell>
          <cell r="Y223" t="str">
            <v>Y</v>
          </cell>
          <cell r="Z223">
            <v>260.14999999999998</v>
          </cell>
          <cell r="AA223">
            <v>-3.8349999999999795</v>
          </cell>
          <cell r="AB223" t="str">
            <v/>
          </cell>
          <cell r="AC223" t="str">
            <v>JH</v>
          </cell>
          <cell r="AD223">
            <v>1062721</v>
          </cell>
          <cell r="AE223" t="str">
            <v xml:space="preserve">POV0067035 </v>
          </cell>
          <cell r="AF223" t="str">
            <v>JH</v>
          </cell>
        </row>
        <row r="224">
          <cell r="A224" t="str">
            <v>615-098743-272</v>
          </cell>
          <cell r="B224" t="str">
            <v>RES,SMD,THKF,2.7K,2010 5% 1/2W</v>
          </cell>
          <cell r="C224" t="str">
            <v>RES</v>
          </cell>
          <cell r="D224">
            <v>25</v>
          </cell>
          <cell r="E224">
            <v>1</v>
          </cell>
          <cell r="F224" t="str">
            <v>9 Weeks</v>
          </cell>
          <cell r="G224">
            <v>4000</v>
          </cell>
          <cell r="H224">
            <v>3.7990999999999997E-2</v>
          </cell>
          <cell r="I224">
            <v>151.964</v>
          </cell>
          <cell r="J224">
            <v>4.633048780487805E-2</v>
          </cell>
          <cell r="K224">
            <v>33.357951219512216</v>
          </cell>
          <cell r="L224">
            <v>185.32195121951219</v>
          </cell>
          <cell r="M224" t="str">
            <v>CHINA</v>
          </cell>
          <cell r="N224">
            <v>8533290000</v>
          </cell>
          <cell r="O224">
            <v>0.35</v>
          </cell>
          <cell r="P224">
            <v>53.187399999999997</v>
          </cell>
          <cell r="Q224">
            <v>2</v>
          </cell>
          <cell r="R224" t="str">
            <v>CRCW20102K70JNEF</v>
          </cell>
          <cell r="S224" t="str">
            <v>Vishay</v>
          </cell>
          <cell r="T224" t="str">
            <v>Arrow</v>
          </cell>
          <cell r="U224">
            <v>1.7600000000000001E-2</v>
          </cell>
          <cell r="V224">
            <v>4000</v>
          </cell>
          <cell r="W224">
            <v>0</v>
          </cell>
          <cell r="X224">
            <v>1</v>
          </cell>
          <cell r="Y224" t="str">
            <v>Y</v>
          </cell>
          <cell r="Z224">
            <v>70.400000000000006</v>
          </cell>
          <cell r="AA224">
            <v>81.563999999999993</v>
          </cell>
          <cell r="AB224">
            <v>0.62012055486825823</v>
          </cell>
          <cell r="AC224" t="str">
            <v>JH</v>
          </cell>
          <cell r="AD224">
            <v>1062721</v>
          </cell>
          <cell r="AE224" t="str">
            <v>POV0067028</v>
          </cell>
          <cell r="AF224" t="str">
            <v>JH</v>
          </cell>
        </row>
        <row r="225">
          <cell r="A225" t="str">
            <v>682-336597-020</v>
          </cell>
          <cell r="B225" t="str">
            <v>FUSE,SMD,20A,1206,ROHS</v>
          </cell>
          <cell r="C225" t="str">
            <v>FUSE</v>
          </cell>
          <cell r="D225">
            <v>25</v>
          </cell>
          <cell r="E225">
            <v>1</v>
          </cell>
          <cell r="F225" t="str">
            <v>21 Weeks</v>
          </cell>
          <cell r="G225">
            <v>3000</v>
          </cell>
          <cell r="H225">
            <v>0.45336100000000001</v>
          </cell>
          <cell r="I225">
            <v>1360.0830000000001</v>
          </cell>
          <cell r="J225">
            <v>0.55287926829268297</v>
          </cell>
          <cell r="K225">
            <v>298.5548048780488</v>
          </cell>
          <cell r="L225">
            <v>1658.6378048780489</v>
          </cell>
          <cell r="O225"/>
          <cell r="Q225">
            <v>2</v>
          </cell>
          <cell r="R225" t="str">
            <v>SF-1206HH20M-2</v>
          </cell>
          <cell r="S225" t="str">
            <v>Bourns</v>
          </cell>
          <cell r="T225" t="str">
            <v>Mouser</v>
          </cell>
          <cell r="U225">
            <v>0.28100000000000003</v>
          </cell>
          <cell r="V225">
            <v>3000</v>
          </cell>
          <cell r="W225">
            <v>0</v>
          </cell>
          <cell r="X225">
            <v>1</v>
          </cell>
          <cell r="Y225" t="str">
            <v>Y</v>
          </cell>
          <cell r="Z225">
            <v>843.00000000000011</v>
          </cell>
          <cell r="AA225">
            <v>517.08299999999997</v>
          </cell>
          <cell r="AB225">
            <v>0.49175160633578974</v>
          </cell>
          <cell r="AC225" t="str">
            <v>JH</v>
          </cell>
          <cell r="AD225">
            <v>1062721</v>
          </cell>
          <cell r="AE225" t="str">
            <v>POV0067036</v>
          </cell>
          <cell r="AF225" t="str">
            <v>JH</v>
          </cell>
        </row>
        <row r="226">
          <cell r="A226" t="str">
            <v>682-A56420-030</v>
          </cell>
          <cell r="B226" t="str">
            <v>FUSE,SMD,30A,24VDC,SGL BLOW,1206</v>
          </cell>
          <cell r="C226" t="str">
            <v>FUSE</v>
          </cell>
          <cell r="D226">
            <v>25</v>
          </cell>
          <cell r="E226">
            <v>1</v>
          </cell>
          <cell r="F226" t="str">
            <v>24 Weeks</v>
          </cell>
          <cell r="G226">
            <v>3000</v>
          </cell>
          <cell r="H226">
            <v>0.39951300000000001</v>
          </cell>
          <cell r="I226">
            <v>1198.539</v>
          </cell>
          <cell r="J226">
            <v>0.48721097560975613</v>
          </cell>
          <cell r="K226">
            <v>263.09392682926841</v>
          </cell>
          <cell r="L226">
            <v>1461.6329268292684</v>
          </cell>
          <cell r="O226"/>
          <cell r="Q226">
            <v>1</v>
          </cell>
          <cell r="R226" t="str">
            <v>SF-1206HH30M-2</v>
          </cell>
          <cell r="S226" t="str">
            <v>Bourns</v>
          </cell>
          <cell r="T226" t="str">
            <v>Arrow</v>
          </cell>
          <cell r="U226">
            <v>0.21</v>
          </cell>
          <cell r="V226">
            <v>3000</v>
          </cell>
          <cell r="W226">
            <v>0</v>
          </cell>
          <cell r="X226">
            <v>1</v>
          </cell>
          <cell r="Y226" t="str">
            <v>Y</v>
          </cell>
          <cell r="Z226">
            <v>630</v>
          </cell>
          <cell r="AA226">
            <v>568.53899999999999</v>
          </cell>
          <cell r="AB226">
            <v>0.56897522733928563</v>
          </cell>
          <cell r="AC226" t="str">
            <v>JH</v>
          </cell>
          <cell r="AD226">
            <v>1062721</v>
          </cell>
          <cell r="AE226" t="str">
            <v>POV0067028</v>
          </cell>
          <cell r="AF226" t="str">
            <v>JH</v>
          </cell>
        </row>
        <row r="227">
          <cell r="A227" t="str">
            <v>723-036612-004</v>
          </cell>
          <cell r="B227" t="str">
            <v>STDF,SST,PEMNUT,PC BOARD,4-40,KFS2</v>
          </cell>
          <cell r="C227" t="str">
            <v>STDF</v>
          </cell>
          <cell r="D227">
            <v>15</v>
          </cell>
          <cell r="E227" t="str">
            <v>N/A</v>
          </cell>
          <cell r="F227" t="str">
            <v>12 Weeks</v>
          </cell>
          <cell r="G227">
            <v>1000</v>
          </cell>
          <cell r="H227">
            <v>0.24632599999999999</v>
          </cell>
          <cell r="I227">
            <v>246.32599999999999</v>
          </cell>
          <cell r="J227">
            <v>0.30039756097560977</v>
          </cell>
          <cell r="K227">
            <v>54.071560975609799</v>
          </cell>
          <cell r="L227">
            <v>300.39756097560979</v>
          </cell>
          <cell r="O227"/>
          <cell r="Q227">
            <v>1</v>
          </cell>
          <cell r="R227" t="str">
            <v>KFS2-440</v>
          </cell>
          <cell r="S227" t="str">
            <v>PENN ENGINEERING</v>
          </cell>
          <cell r="T227" t="str">
            <v>DB Roberts</v>
          </cell>
          <cell r="U227">
            <v>0.18340000000000001</v>
          </cell>
          <cell r="V227">
            <v>1000</v>
          </cell>
          <cell r="W227">
            <v>0</v>
          </cell>
          <cell r="Y227" t="str">
            <v>Y</v>
          </cell>
          <cell r="Z227">
            <v>183.4</v>
          </cell>
          <cell r="AA227">
            <v>62.925999999999988</v>
          </cell>
          <cell r="AB227">
            <v>0.38947573540754943</v>
          </cell>
          <cell r="AD227">
            <v>1062721</v>
          </cell>
          <cell r="AE227" t="str">
            <v>POV0067027</v>
          </cell>
          <cell r="AF227" t="str">
            <v>SH</v>
          </cell>
        </row>
        <row r="228">
          <cell r="A228" t="str">
            <v>668-014495-044</v>
          </cell>
          <cell r="B228" t="str">
            <v>CONN,RCPT,HIGH DENSITY DSUB,44 ROHS</v>
          </cell>
          <cell r="C228" t="str">
            <v>CONN</v>
          </cell>
          <cell r="D228">
            <v>15</v>
          </cell>
          <cell r="E228">
            <v>1</v>
          </cell>
          <cell r="F228" t="str">
            <v>27 Weeks</v>
          </cell>
          <cell r="G228">
            <v>1015</v>
          </cell>
          <cell r="H228">
            <v>11.35</v>
          </cell>
          <cell r="I228">
            <v>11520.25</v>
          </cell>
          <cell r="J228">
            <v>13.841463414634147</v>
          </cell>
          <cell r="K228">
            <v>2528.8353658536598</v>
          </cell>
          <cell r="L228">
            <v>14049.085365853658</v>
          </cell>
          <cell r="O228"/>
          <cell r="Q228">
            <v>6</v>
          </cell>
          <cell r="R228" t="str">
            <v>K86X-BD-44S-BR</v>
          </cell>
          <cell r="S228" t="str">
            <v>KYCON, INC</v>
          </cell>
          <cell r="T228" t="str">
            <v>Digikey / Mouser</v>
          </cell>
          <cell r="U228">
            <v>6.71</v>
          </cell>
          <cell r="V228">
            <v>919</v>
          </cell>
          <cell r="W228">
            <v>96</v>
          </cell>
          <cell r="Y228" t="str">
            <v>Y</v>
          </cell>
          <cell r="Z228">
            <v>6166.49</v>
          </cell>
          <cell r="AA228">
            <v>4264.16</v>
          </cell>
          <cell r="AB228">
            <v>0.51522466960352431</v>
          </cell>
          <cell r="AC228" t="str">
            <v>JH</v>
          </cell>
          <cell r="AD228">
            <v>1062721</v>
          </cell>
          <cell r="AE228" t="str">
            <v>POV0067035 - Digikey / POV0067036 - Mouser</v>
          </cell>
          <cell r="AF228" t="str">
            <v>JH</v>
          </cell>
        </row>
        <row r="229">
          <cell r="A229" t="str">
            <v>668-A26902-062</v>
          </cell>
          <cell r="B229" t="str">
            <v>CONN,PLUG,D-SUB,HD,62POSN,RTANG,4-40SCR</v>
          </cell>
          <cell r="C229" t="str">
            <v>CONN</v>
          </cell>
          <cell r="D229">
            <v>25</v>
          </cell>
          <cell r="E229">
            <v>1</v>
          </cell>
          <cell r="F229" t="str">
            <v>24 Weeks</v>
          </cell>
          <cell r="G229">
            <v>280</v>
          </cell>
          <cell r="H229">
            <v>10.93146</v>
          </cell>
          <cell r="I229">
            <v>3060.8087999999998</v>
          </cell>
          <cell r="J229">
            <v>13.331048780487805</v>
          </cell>
          <cell r="K229">
            <v>671.8848585365854</v>
          </cell>
          <cell r="L229">
            <v>3732.6936585365856</v>
          </cell>
          <cell r="O229"/>
          <cell r="Q229">
            <v>1</v>
          </cell>
          <cell r="R229" t="str">
            <v>181-062-113R561</v>
          </cell>
          <cell r="S229" t="str">
            <v>NORCOMP</v>
          </cell>
          <cell r="T229" t="str">
            <v>Digikey</v>
          </cell>
          <cell r="U229">
            <v>11.39683</v>
          </cell>
          <cell r="V229">
            <v>280</v>
          </cell>
          <cell r="W229">
            <v>0</v>
          </cell>
          <cell r="Y229" t="str">
            <v>Y</v>
          </cell>
          <cell r="Z229">
            <v>3191.1124</v>
          </cell>
          <cell r="AA229">
            <v>-130.30360000000019</v>
          </cell>
          <cell r="AB229" t="str">
            <v/>
          </cell>
          <cell r="AC229" t="str">
            <v>JH</v>
          </cell>
          <cell r="AD229">
            <v>1062721</v>
          </cell>
          <cell r="AE229" t="str">
            <v xml:space="preserve">POV0067035 </v>
          </cell>
          <cell r="AF229" t="str">
            <v>JH</v>
          </cell>
        </row>
        <row r="230">
          <cell r="A230" t="str">
            <v>667-B30855-003</v>
          </cell>
          <cell r="B230" t="str">
            <v>CONN,SMD,HDR,3POSN,2 ROW,2.54MM PITCH</v>
          </cell>
          <cell r="C230" t="str">
            <v>CONN</v>
          </cell>
          <cell r="D230">
            <v>25</v>
          </cell>
          <cell r="E230">
            <v>1</v>
          </cell>
          <cell r="F230" t="str">
            <v>5 Weeks</v>
          </cell>
          <cell r="G230">
            <v>200</v>
          </cell>
          <cell r="H230">
            <v>0.62745600000000001</v>
          </cell>
          <cell r="I230">
            <v>125.49120000000001</v>
          </cell>
          <cell r="J230">
            <v>0.76519024390243906</v>
          </cell>
          <cell r="K230">
            <v>27.546848780487821</v>
          </cell>
          <cell r="L230">
            <v>153.0380487804878</v>
          </cell>
          <cell r="O230"/>
          <cell r="Q230">
            <v>1</v>
          </cell>
          <cell r="R230" t="str">
            <v>HW-03-08-F-D-350-SM</v>
          </cell>
          <cell r="S230" t="str">
            <v>SAMTEC</v>
          </cell>
          <cell r="T230" t="str">
            <v>Mouser</v>
          </cell>
          <cell r="U230">
            <v>0.61</v>
          </cell>
          <cell r="V230">
            <v>200</v>
          </cell>
          <cell r="W230">
            <v>0</v>
          </cell>
          <cell r="Y230" t="str">
            <v>Y</v>
          </cell>
          <cell r="Z230">
            <v>122</v>
          </cell>
          <cell r="AA230">
            <v>3.4912000000000063</v>
          </cell>
          <cell r="AB230">
            <v>0.20281262749897999</v>
          </cell>
          <cell r="AC230" t="str">
            <v>JH</v>
          </cell>
          <cell r="AD230">
            <v>1062721</v>
          </cell>
          <cell r="AE230" t="str">
            <v>POV0067036</v>
          </cell>
          <cell r="AF230" t="str">
            <v>JH</v>
          </cell>
        </row>
        <row r="231">
          <cell r="A231" t="str">
            <v>32-10023-00</v>
          </cell>
          <cell r="B231" t="str">
            <v>LED,RED RECTANGULAR,ROHS</v>
          </cell>
          <cell r="C231" t="str">
            <v>LED</v>
          </cell>
          <cell r="D231">
            <v>15</v>
          </cell>
          <cell r="E231">
            <v>2</v>
          </cell>
          <cell r="F231" t="str">
            <v>3 Weeks</v>
          </cell>
          <cell r="G231">
            <v>200</v>
          </cell>
          <cell r="H231">
            <v>6.3726000000000005E-2</v>
          </cell>
          <cell r="I231">
            <v>12.745200000000001</v>
          </cell>
          <cell r="J231">
            <v>7.7714634146341471E-2</v>
          </cell>
          <cell r="K231">
            <v>2.797726829268294</v>
          </cell>
          <cell r="L231">
            <v>15.542926829268294</v>
          </cell>
          <cell r="O231"/>
          <cell r="Q231">
            <v>1</v>
          </cell>
          <cell r="R231" t="str">
            <v>MT112TB-RG-A</v>
          </cell>
          <cell r="S231" t="str">
            <v>MARKTECH OPTOELECTRONICS</v>
          </cell>
          <cell r="T231" t="str">
            <v>Mouser</v>
          </cell>
          <cell r="U231">
            <v>6.6000000000000003E-2</v>
          </cell>
          <cell r="V231">
            <v>200</v>
          </cell>
          <cell r="W231">
            <v>0</v>
          </cell>
          <cell r="Y231" t="str">
            <v>Y</v>
          </cell>
          <cell r="Z231">
            <v>13.200000000000001</v>
          </cell>
          <cell r="AA231">
            <v>-0.45480000000000054</v>
          </cell>
          <cell r="AB231" t="str">
            <v/>
          </cell>
          <cell r="AC231" t="str">
            <v>JH</v>
          </cell>
          <cell r="AD231">
            <v>1062721</v>
          </cell>
          <cell r="AE231" t="str">
            <v>POV0067036</v>
          </cell>
          <cell r="AF231" t="str">
            <v>JH</v>
          </cell>
        </row>
        <row r="232">
          <cell r="A232" t="str">
            <v>667-A11760-160</v>
          </cell>
          <cell r="B232" t="str">
            <v>CONN,SMD,VITA57.1 FMC MEZZ LPC,160POS,PB</v>
          </cell>
          <cell r="C232" t="str">
            <v>CONN</v>
          </cell>
          <cell r="D232">
            <v>25</v>
          </cell>
          <cell r="E232">
            <v>1</v>
          </cell>
          <cell r="F232" t="str">
            <v>10 Weeks</v>
          </cell>
          <cell r="G232">
            <v>200</v>
          </cell>
          <cell r="H232">
            <v>13.149615000000001</v>
          </cell>
          <cell r="I232">
            <v>2629.9230000000002</v>
          </cell>
          <cell r="J232">
            <v>16.03611585365854</v>
          </cell>
          <cell r="K232">
            <v>577.30017073170757</v>
          </cell>
          <cell r="L232">
            <v>3207.2231707317078</v>
          </cell>
          <cell r="O232"/>
          <cell r="Q232">
            <v>1</v>
          </cell>
          <cell r="R232" t="str">
            <v>ASP-134604-04</v>
          </cell>
          <cell r="S232" t="str">
            <v>SAMTEC</v>
          </cell>
          <cell r="T232" t="str">
            <v>Mouser</v>
          </cell>
          <cell r="U232">
            <v>12.65</v>
          </cell>
          <cell r="V232">
            <v>200</v>
          </cell>
          <cell r="W232">
            <v>0</v>
          </cell>
          <cell r="X232">
            <v>1</v>
          </cell>
          <cell r="Y232" t="str">
            <v>Y</v>
          </cell>
          <cell r="Z232">
            <v>2530</v>
          </cell>
          <cell r="AA232">
            <v>99.923000000000229</v>
          </cell>
          <cell r="AB232">
            <v>0.21115561178026898</v>
          </cell>
          <cell r="AC232" t="str">
            <v>JH</v>
          </cell>
          <cell r="AD232">
            <v>1062721</v>
          </cell>
          <cell r="AE232" t="str">
            <v>POV0067036</v>
          </cell>
          <cell r="AF232" t="str">
            <v>JH</v>
          </cell>
        </row>
        <row r="233">
          <cell r="A233" t="str">
            <v>670-265857-007</v>
          </cell>
          <cell r="B233" t="str">
            <v>CB,THRM,1P,4A,28 VDC,240 VAC,PCB MTG</v>
          </cell>
          <cell r="C233" t="str">
            <v>CB</v>
          </cell>
          <cell r="D233">
            <v>15</v>
          </cell>
          <cell r="E233" t="str">
            <v>N/A</v>
          </cell>
          <cell r="F233" t="str">
            <v>11 Weeks</v>
          </cell>
          <cell r="G233">
            <v>200</v>
          </cell>
          <cell r="H233">
            <v>9.0899009999999993</v>
          </cell>
          <cell r="I233">
            <v>1817.9802</v>
          </cell>
          <cell r="J233">
            <v>11.085245121951219</v>
          </cell>
          <cell r="K233">
            <v>399.06882439024412</v>
          </cell>
          <cell r="L233">
            <v>2217.0490243902441</v>
          </cell>
          <cell r="O233"/>
          <cell r="Q233">
            <v>1</v>
          </cell>
          <cell r="R233" t="str">
            <v>1410-G110-L2F1-S01-4A</v>
          </cell>
          <cell r="S233" t="str">
            <v>E-T-A</v>
          </cell>
          <cell r="T233" t="str">
            <v>Digikey</v>
          </cell>
          <cell r="U233">
            <v>9.2265999999999995</v>
          </cell>
          <cell r="V233">
            <v>200</v>
          </cell>
          <cell r="W233">
            <v>0</v>
          </cell>
          <cell r="X233">
            <v>1</v>
          </cell>
          <cell r="Y233" t="str">
            <v>Y</v>
          </cell>
          <cell r="Z233">
            <v>1845.32</v>
          </cell>
          <cell r="AA233">
            <v>-27.339799999999968</v>
          </cell>
          <cell r="AB233" t="str">
            <v/>
          </cell>
          <cell r="AC233" t="str">
            <v>JH</v>
          </cell>
          <cell r="AD233">
            <v>1062721</v>
          </cell>
          <cell r="AE233" t="str">
            <v xml:space="preserve">POV0067035 </v>
          </cell>
          <cell r="AF233" t="str">
            <v>JH</v>
          </cell>
        </row>
        <row r="234">
          <cell r="A234" t="str">
            <v>667-072912-009</v>
          </cell>
          <cell r="B234" t="str">
            <v>CONN,SMD,D-SUB,MR,7.3MM,9P ROHS</v>
          </cell>
          <cell r="C234" t="str">
            <v>CONN</v>
          </cell>
          <cell r="D234">
            <v>15</v>
          </cell>
          <cell r="E234">
            <v>1</v>
          </cell>
          <cell r="F234" t="str">
            <v>3 Weeks</v>
          </cell>
          <cell r="G234">
            <v>160</v>
          </cell>
          <cell r="H234">
            <v>4.1054250000000003</v>
          </cell>
          <cell r="I234">
            <v>656.86800000000005</v>
          </cell>
          <cell r="J234">
            <v>5.0066158536585377</v>
          </cell>
          <cell r="K234">
            <v>144.19053658536586</v>
          </cell>
          <cell r="L234">
            <v>801.05853658536603</v>
          </cell>
          <cell r="O234"/>
          <cell r="Q234">
            <v>2</v>
          </cell>
          <cell r="R234">
            <v>9551666816741</v>
          </cell>
          <cell r="S234" t="str">
            <v>KYCON, INC</v>
          </cell>
          <cell r="T234" t="str">
            <v>Mouser</v>
          </cell>
          <cell r="U234">
            <v>4.13</v>
          </cell>
          <cell r="V234">
            <v>160</v>
          </cell>
          <cell r="W234">
            <v>0</v>
          </cell>
          <cell r="X234">
            <v>1</v>
          </cell>
          <cell r="Y234" t="str">
            <v>Y</v>
          </cell>
          <cell r="Z234">
            <v>660.8</v>
          </cell>
          <cell r="AA234">
            <v>-3.9319999999999027</v>
          </cell>
          <cell r="AB234" t="str">
            <v/>
          </cell>
          <cell r="AC234" t="str">
            <v>JH</v>
          </cell>
          <cell r="AD234">
            <v>1061234</v>
          </cell>
          <cell r="AE234" t="str">
            <v>POV0067036</v>
          </cell>
          <cell r="AF234" t="str">
            <v>JH</v>
          </cell>
        </row>
        <row r="235">
          <cell r="A235" t="str">
            <v>668-131891-001</v>
          </cell>
          <cell r="B235" t="str">
            <v>CONN,JACK,RF,BULKHEAD,THRU HOLE</v>
          </cell>
          <cell r="C235" t="str">
            <v>CONN</v>
          </cell>
          <cell r="D235">
            <v>25</v>
          </cell>
          <cell r="E235">
            <v>1</v>
          </cell>
          <cell r="F235" t="str">
            <v>3 Weeks</v>
          </cell>
          <cell r="G235">
            <v>100</v>
          </cell>
          <cell r="H235">
            <v>62.160668999999999</v>
          </cell>
          <cell r="I235">
            <v>6216.0668999999998</v>
          </cell>
          <cell r="J235">
            <v>75.805693902439032</v>
          </cell>
          <cell r="K235">
            <v>1364.5024902439027</v>
          </cell>
          <cell r="L235">
            <v>7580.5693902439034</v>
          </cell>
          <cell r="O235"/>
          <cell r="Q235">
            <v>1</v>
          </cell>
          <cell r="R235" t="str">
            <v>CJT-T-P-HH-RA-BH1</v>
          </cell>
          <cell r="S235" t="str">
            <v>SAMTEC</v>
          </cell>
          <cell r="T235" t="str">
            <v>Digikey</v>
          </cell>
          <cell r="U235">
            <v>48.0565</v>
          </cell>
          <cell r="V235">
            <v>100</v>
          </cell>
          <cell r="W235">
            <v>0</v>
          </cell>
          <cell r="Y235" t="str">
            <v>Y</v>
          </cell>
          <cell r="Z235">
            <v>4805.6499999999996</v>
          </cell>
          <cell r="AA235">
            <v>1410.4169000000002</v>
          </cell>
          <cell r="AB235">
            <v>0.36605685501872587</v>
          </cell>
          <cell r="AC235" t="str">
            <v>JH</v>
          </cell>
          <cell r="AD235">
            <v>1062721</v>
          </cell>
          <cell r="AE235" t="str">
            <v xml:space="preserve">POV0067035 </v>
          </cell>
          <cell r="AF235" t="str">
            <v>JH</v>
          </cell>
        </row>
        <row r="236">
          <cell r="A236" t="str">
            <v>723-A22202-001</v>
          </cell>
          <cell r="B236" t="str">
            <v>STDF,RND,PCB,M3,12MM LONG</v>
          </cell>
          <cell r="C236" t="str">
            <v>STDF</v>
          </cell>
          <cell r="D236">
            <v>25</v>
          </cell>
          <cell r="E236" t="str">
            <v>N/A</v>
          </cell>
          <cell r="F236" t="str">
            <v>3 Weeks</v>
          </cell>
          <cell r="G236">
            <v>100</v>
          </cell>
          <cell r="H236">
            <v>0.40196399999999999</v>
          </cell>
          <cell r="I236">
            <v>40.196399999999997</v>
          </cell>
          <cell r="J236">
            <v>0.49020000000000002</v>
          </cell>
          <cell r="K236">
            <v>8.823599999999999</v>
          </cell>
          <cell r="L236">
            <v>49.02</v>
          </cell>
          <cell r="O236"/>
          <cell r="Q236">
            <v>1</v>
          </cell>
          <cell r="R236" t="str">
            <v>KFE-M3-12-ET</v>
          </cell>
          <cell r="S236" t="str">
            <v>PENN ENGINEERING</v>
          </cell>
          <cell r="T236" t="str">
            <v>DB Roberts</v>
          </cell>
          <cell r="U236">
            <v>0.36864000000000002</v>
          </cell>
          <cell r="V236">
            <v>100</v>
          </cell>
          <cell r="W236">
            <v>0</v>
          </cell>
          <cell r="Y236" t="str">
            <v>Y</v>
          </cell>
          <cell r="Z236">
            <v>36.864000000000004</v>
          </cell>
          <cell r="AA236">
            <v>3.3323999999999927</v>
          </cell>
          <cell r="AB236">
            <v>0.24798041615667066</v>
          </cell>
          <cell r="AD236">
            <v>1062721</v>
          </cell>
          <cell r="AE236" t="str">
            <v>POV0067027</v>
          </cell>
          <cell r="AF236" t="str">
            <v>SH</v>
          </cell>
        </row>
        <row r="237">
          <cell r="A237" t="str">
            <v>668-244954-004</v>
          </cell>
          <cell r="B237" t="str">
            <v>CONN,RA,JACK,RF,8POS</v>
          </cell>
          <cell r="C237" t="str">
            <v>CONN</v>
          </cell>
          <cell r="D237">
            <v>25</v>
          </cell>
          <cell r="E237">
            <v>1</v>
          </cell>
          <cell r="F237" t="str">
            <v>12 Weeks</v>
          </cell>
          <cell r="G237">
            <v>55</v>
          </cell>
          <cell r="H237">
            <v>34.578462999999999</v>
          </cell>
          <cell r="I237">
            <v>1901.8154649999999</v>
          </cell>
          <cell r="J237">
            <v>42.168857317073176</v>
          </cell>
          <cell r="K237">
            <v>417.47168743902444</v>
          </cell>
          <cell r="L237">
            <v>2319.2871524390248</v>
          </cell>
          <cell r="O237"/>
          <cell r="Q237">
            <v>1</v>
          </cell>
          <cell r="R237" t="str">
            <v>GRF1-J-P-08-E-RA-TH1-E</v>
          </cell>
          <cell r="S237" t="str">
            <v>SAMTEC</v>
          </cell>
          <cell r="T237" t="str">
            <v>Mouser</v>
          </cell>
          <cell r="U237">
            <v>30.68</v>
          </cell>
          <cell r="V237">
            <v>55</v>
          </cell>
          <cell r="W237">
            <v>0</v>
          </cell>
          <cell r="Y237" t="str">
            <v>Y</v>
          </cell>
          <cell r="Z237">
            <v>1687.4</v>
          </cell>
          <cell r="AA237">
            <v>214.41546499999981</v>
          </cell>
          <cell r="AB237">
            <v>0.27244886506378274</v>
          </cell>
          <cell r="AC237" t="str">
            <v>JH</v>
          </cell>
          <cell r="AD237">
            <v>1062721</v>
          </cell>
          <cell r="AE237" t="str">
            <v>POV0067036</v>
          </cell>
          <cell r="AF237" t="str">
            <v>JH</v>
          </cell>
        </row>
        <row r="238">
          <cell r="A238" t="str">
            <v>668-290744-001</v>
          </cell>
          <cell r="B238" t="str">
            <v>CONN,SMA,JACK,STR,50 OHM,PCB</v>
          </cell>
          <cell r="C238" t="str">
            <v>CONN</v>
          </cell>
          <cell r="D238">
            <v>25</v>
          </cell>
          <cell r="E238">
            <v>1</v>
          </cell>
          <cell r="F238" t="str">
            <v>3 Weeks</v>
          </cell>
          <cell r="G238">
            <v>50</v>
          </cell>
          <cell r="H238">
            <v>5.2206299999999999</v>
          </cell>
          <cell r="I238">
            <v>261.03149999999999</v>
          </cell>
          <cell r="J238">
            <v>6.3666219512195124</v>
          </cell>
          <cell r="K238">
            <v>57.299597560975656</v>
          </cell>
          <cell r="L238">
            <v>318.33109756097559</v>
          </cell>
          <cell r="O238"/>
          <cell r="Q238">
            <v>1</v>
          </cell>
          <cell r="R238">
            <v>132291</v>
          </cell>
          <cell r="S238" t="str">
            <v>AMPHENOL</v>
          </cell>
          <cell r="T238" t="str">
            <v>Master Electronics</v>
          </cell>
          <cell r="U238">
            <v>4.133</v>
          </cell>
          <cell r="V238">
            <v>50</v>
          </cell>
          <cell r="W238">
            <v>0</v>
          </cell>
          <cell r="Y238" t="str">
            <v>Y</v>
          </cell>
          <cell r="Z238">
            <v>206.65</v>
          </cell>
          <cell r="AA238">
            <v>54.381499999999988</v>
          </cell>
          <cell r="AB238">
            <v>0.35083313699687579</v>
          </cell>
          <cell r="AC238" t="str">
            <v>SH</v>
          </cell>
          <cell r="AD238">
            <v>1062721</v>
          </cell>
          <cell r="AE238" t="str">
            <v xml:space="preserve">POV0067034 </v>
          </cell>
          <cell r="AF238" t="str">
            <v>SH</v>
          </cell>
        </row>
        <row r="239">
          <cell r="A239" t="str">
            <v>648-250747-101</v>
          </cell>
          <cell r="B239" t="str">
            <v>CAP,SMD,0603,CER,C0G,1%,50V,100PF</v>
          </cell>
          <cell r="C239" t="str">
            <v>CAP</v>
          </cell>
          <cell r="D239">
            <v>15</v>
          </cell>
          <cell r="E239">
            <v>1</v>
          </cell>
          <cell r="F239" t="str">
            <v>30 Weeks</v>
          </cell>
          <cell r="G239">
            <v>4000</v>
          </cell>
          <cell r="H239">
            <v>6.1275000000000003E-2</v>
          </cell>
          <cell r="I239">
            <v>245.10000000000002</v>
          </cell>
          <cell r="J239">
            <v>7.4725609756097572E-2</v>
          </cell>
          <cell r="K239">
            <v>53.802439024390253</v>
          </cell>
          <cell r="L239">
            <v>298.90243902439028</v>
          </cell>
          <cell r="O239"/>
          <cell r="Q239">
            <v>1</v>
          </cell>
          <cell r="R239" t="str">
            <v>C0603C101F5GAC</v>
          </cell>
          <cell r="S239" t="str">
            <v>Kemet</v>
          </cell>
          <cell r="T239" t="str">
            <v>Avnet Abacus via Astute Ltd</v>
          </cell>
          <cell r="U239">
            <v>3.1600000000000003E-2</v>
          </cell>
          <cell r="V239">
            <v>4000</v>
          </cell>
          <cell r="W239">
            <v>0</v>
          </cell>
          <cell r="X239" t="str">
            <v>1-2 wks</v>
          </cell>
          <cell r="Y239" t="str">
            <v>Y</v>
          </cell>
          <cell r="Z239">
            <v>126.4</v>
          </cell>
          <cell r="AA239">
            <v>118.70000000000002</v>
          </cell>
          <cell r="AB239">
            <v>0.57711954304365576</v>
          </cell>
          <cell r="AC239" t="str">
            <v>JH</v>
          </cell>
          <cell r="AD239">
            <v>1062721</v>
          </cell>
          <cell r="AE239" t="str">
            <v xml:space="preserve">POV0067053 </v>
          </cell>
          <cell r="AF239" t="str">
            <v>JH</v>
          </cell>
        </row>
        <row r="240">
          <cell r="A240" t="str">
            <v>39-452851-00</v>
          </cell>
          <cell r="B240" t="str">
            <v>CONN,DC POWER,JACK,2POS,RIGHT ANGLE,THRU</v>
          </cell>
          <cell r="C240" t="str">
            <v>CONN</v>
          </cell>
          <cell r="D240">
            <v>15</v>
          </cell>
          <cell r="E240">
            <v>1</v>
          </cell>
          <cell r="F240" t="str">
            <v>11 Weeks</v>
          </cell>
          <cell r="G240">
            <v>500</v>
          </cell>
          <cell r="H240">
            <v>1.1482939999999999</v>
          </cell>
          <cell r="I240">
            <v>574.14699999999993</v>
          </cell>
          <cell r="J240">
            <v>1.4003585365853659</v>
          </cell>
          <cell r="K240">
            <v>126.03226829268294</v>
          </cell>
          <cell r="L240">
            <v>700.17926829268299</v>
          </cell>
          <cell r="O240"/>
          <cell r="Q240">
            <v>1</v>
          </cell>
          <cell r="R240" t="str">
            <v>RAPC722X</v>
          </cell>
          <cell r="S240" t="str">
            <v>Switchcraft</v>
          </cell>
          <cell r="T240" t="str">
            <v>Avnet Abacus via Astute Ltd</v>
          </cell>
          <cell r="U240">
            <v>0.69599999999999995</v>
          </cell>
          <cell r="V240">
            <v>500</v>
          </cell>
          <cell r="W240">
            <v>0</v>
          </cell>
          <cell r="X240">
            <v>2</v>
          </cell>
          <cell r="Y240" t="str">
            <v>Y</v>
          </cell>
          <cell r="Z240">
            <v>348</v>
          </cell>
          <cell r="AA240">
            <v>226.14699999999993</v>
          </cell>
          <cell r="AB240">
            <v>0.50298442733306981</v>
          </cell>
          <cell r="AC240" t="str">
            <v>JH</v>
          </cell>
          <cell r="AD240">
            <v>1062721</v>
          </cell>
          <cell r="AE240" t="str">
            <v xml:space="preserve">POV0067053 </v>
          </cell>
          <cell r="AF240" t="str">
            <v>JH</v>
          </cell>
        </row>
        <row r="241">
          <cell r="A241" t="str">
            <v>648-A72845-001</v>
          </cell>
          <cell r="B241" t="str">
            <v>CAP,SMD,CER,47UF,20%,10VDC,X7R,1210</v>
          </cell>
          <cell r="C241" t="str">
            <v>CAP</v>
          </cell>
          <cell r="D241">
            <v>25</v>
          </cell>
          <cell r="E241">
            <v>1</v>
          </cell>
          <cell r="F241" t="str">
            <v>17 Weeks</v>
          </cell>
          <cell r="G241">
            <v>1000</v>
          </cell>
          <cell r="H241">
            <v>0.272061</v>
          </cell>
          <cell r="I241">
            <v>272.06099999999998</v>
          </cell>
          <cell r="J241">
            <v>0.33178170731707318</v>
          </cell>
          <cell r="K241">
            <v>59.720707317073163</v>
          </cell>
          <cell r="L241">
            <v>331.7817073170732</v>
          </cell>
          <cell r="O241"/>
          <cell r="Q241">
            <v>1</v>
          </cell>
          <cell r="R241" t="str">
            <v>GRM32ER71A476ME15L</v>
          </cell>
          <cell r="S241" t="str">
            <v>Murata</v>
          </cell>
          <cell r="T241" t="str">
            <v>Avnet Abacus via Astute Ltd</v>
          </cell>
          <cell r="U241">
            <v>0.16939000000000001</v>
          </cell>
          <cell r="V241">
            <v>1000</v>
          </cell>
          <cell r="W241">
            <v>0</v>
          </cell>
          <cell r="X241" t="str">
            <v>1-2 wks</v>
          </cell>
          <cell r="Y241" t="str">
            <v>Y</v>
          </cell>
          <cell r="Z241">
            <v>169.39000000000001</v>
          </cell>
          <cell r="AA241">
            <v>102.67099999999996</v>
          </cell>
          <cell r="AB241">
            <v>0.48945346815603852</v>
          </cell>
          <cell r="AC241" t="str">
            <v>JH</v>
          </cell>
          <cell r="AD241">
            <v>1062721</v>
          </cell>
          <cell r="AE241" t="str">
            <v xml:space="preserve">POV0067053 </v>
          </cell>
          <cell r="AF241" t="str">
            <v>JH</v>
          </cell>
        </row>
        <row r="242">
          <cell r="A242" t="str">
            <v>668-277308-003</v>
          </cell>
          <cell r="B242" t="str">
            <v>CONN,PLUG,DSUB,15POS,VERT,7.5A,125V</v>
          </cell>
          <cell r="C242" t="str">
            <v>CONN</v>
          </cell>
          <cell r="D242">
            <v>25</v>
          </cell>
          <cell r="E242">
            <v>1</v>
          </cell>
          <cell r="F242" t="str">
            <v>9 Weeks</v>
          </cell>
          <cell r="G242">
            <v>50</v>
          </cell>
          <cell r="H242">
            <v>8.9422280000000001</v>
          </cell>
          <cell r="I242">
            <v>447.1114</v>
          </cell>
          <cell r="J242">
            <v>10.905156097560976</v>
          </cell>
          <cell r="K242">
            <v>98.14640487804877</v>
          </cell>
          <cell r="L242">
            <v>545.25780487804877</v>
          </cell>
          <cell r="O242"/>
          <cell r="Q242">
            <v>1</v>
          </cell>
          <cell r="R242" t="str">
            <v>163A16169X</v>
          </cell>
          <cell r="S242" t="str">
            <v>Amphenol</v>
          </cell>
          <cell r="T242" t="str">
            <v>Avnet Abacus via Astute Ltd</v>
          </cell>
          <cell r="U242">
            <v>3.78</v>
          </cell>
          <cell r="V242">
            <v>50</v>
          </cell>
          <cell r="W242">
            <v>0</v>
          </cell>
          <cell r="X242" t="str">
            <v>1-2 wks</v>
          </cell>
          <cell r="Y242" t="str">
            <v>Y</v>
          </cell>
          <cell r="Z242">
            <v>189</v>
          </cell>
          <cell r="AA242">
            <v>258.1114</v>
          </cell>
          <cell r="AB242">
            <v>0.65337497545354473</v>
          </cell>
          <cell r="AC242" t="str">
            <v>JH</v>
          </cell>
          <cell r="AD242">
            <v>1062721</v>
          </cell>
          <cell r="AE242" t="str">
            <v xml:space="preserve">POV0067053 </v>
          </cell>
          <cell r="AF242" t="str">
            <v>JH</v>
          </cell>
        </row>
        <row r="243">
          <cell r="A243" t="str">
            <v>608-114716-106</v>
          </cell>
          <cell r="B243" t="str">
            <v>RES,SMD,POT,1M,10%,MULTI TURN</v>
          </cell>
          <cell r="C243" t="str">
            <v>RES</v>
          </cell>
          <cell r="D243">
            <v>15</v>
          </cell>
          <cell r="E243" t="str">
            <v>N/A</v>
          </cell>
          <cell r="F243" t="str">
            <v>25 Weeks</v>
          </cell>
          <cell r="G243">
            <v>500</v>
          </cell>
          <cell r="H243">
            <v>4.9877849999999997</v>
          </cell>
          <cell r="I243">
            <v>2493.8924999999999</v>
          </cell>
          <cell r="J243">
            <v>6.0826646341463411</v>
          </cell>
          <cell r="K243">
            <v>547.43981707317107</v>
          </cell>
          <cell r="L243">
            <v>3041.3323170731705</v>
          </cell>
          <cell r="O243"/>
          <cell r="Q243">
            <v>1</v>
          </cell>
          <cell r="R243" t="str">
            <v>TSM4YJ105KR05</v>
          </cell>
          <cell r="S243" t="str">
            <v>Vishay</v>
          </cell>
          <cell r="T243" t="str">
            <v>Avnet Abacus via Astute Ltd</v>
          </cell>
          <cell r="U243">
            <v>3.28</v>
          </cell>
          <cell r="V243">
            <v>500</v>
          </cell>
          <cell r="W243">
            <v>0</v>
          </cell>
          <cell r="X243">
            <v>17</v>
          </cell>
          <cell r="Y243" t="str">
            <v>Y</v>
          </cell>
          <cell r="Z243">
            <v>1640</v>
          </cell>
          <cell r="AA243">
            <v>853.89249999999993</v>
          </cell>
          <cell r="AB243">
            <v>0.46076264313718407</v>
          </cell>
          <cell r="AC243" t="str">
            <v>JH</v>
          </cell>
          <cell r="AD243">
            <v>1062721</v>
          </cell>
          <cell r="AE243" t="str">
            <v>POV0067053</v>
          </cell>
          <cell r="AF243" t="str">
            <v>JH</v>
          </cell>
        </row>
        <row r="244">
          <cell r="A244" t="str">
            <v>668-324407-004</v>
          </cell>
          <cell r="B244" t="str">
            <v>CONN,HDR,2CKT,18A,VERT MT,THROUGH-HOLE</v>
          </cell>
          <cell r="C244" t="str">
            <v>CONN</v>
          </cell>
          <cell r="D244">
            <v>15</v>
          </cell>
          <cell r="E244" t="str">
            <v>N/A</v>
          </cell>
          <cell r="F244" t="str">
            <v>16 Weeks</v>
          </cell>
          <cell r="G244">
            <v>1050</v>
          </cell>
          <cell r="H244">
            <v>0.95799999999999996</v>
          </cell>
          <cell r="I244">
            <v>1005.9</v>
          </cell>
          <cell r="J244">
            <v>1.1682926829268292</v>
          </cell>
          <cell r="K244">
            <v>220.80731707317079</v>
          </cell>
          <cell r="L244">
            <v>1226.7073170731705</v>
          </cell>
          <cell r="O244"/>
          <cell r="Q244">
            <v>1</v>
          </cell>
          <cell r="R244" t="str">
            <v>43160-6302</v>
          </cell>
          <cell r="S244" t="str">
            <v>MOLEX, LLC</v>
          </cell>
          <cell r="T244" t="str">
            <v>Waldom</v>
          </cell>
          <cell r="U244">
            <v>0.69</v>
          </cell>
          <cell r="V244">
            <v>1050</v>
          </cell>
          <cell r="W244">
            <v>0</v>
          </cell>
          <cell r="X244">
            <v>16</v>
          </cell>
          <cell r="Y244" t="str">
            <v>Y</v>
          </cell>
          <cell r="Z244">
            <v>724.5</v>
          </cell>
          <cell r="AA244">
            <v>281.39999999999998</v>
          </cell>
          <cell r="AB244">
            <v>0.40939457202505214</v>
          </cell>
          <cell r="AC244" t="str">
            <v>JH</v>
          </cell>
          <cell r="AD244">
            <v>1062721</v>
          </cell>
          <cell r="AE244" t="str">
            <v xml:space="preserve">POV0067050 </v>
          </cell>
          <cell r="AF244" t="str">
            <v>JH</v>
          </cell>
        </row>
        <row r="245">
          <cell r="A245" t="str">
            <v>615-312994-316</v>
          </cell>
          <cell r="B245" t="str">
            <v>RES,SMD,5.76K,1%,1/20W,0201</v>
          </cell>
          <cell r="C245" t="str">
            <v>RES</v>
          </cell>
          <cell r="D245">
            <v>60</v>
          </cell>
          <cell r="E245">
            <v>1</v>
          </cell>
          <cell r="F245" t="str">
            <v>21 Weeks</v>
          </cell>
          <cell r="G245">
            <v>15000</v>
          </cell>
          <cell r="H245">
            <v>7.3530000000000002E-3</v>
          </cell>
          <cell r="I245">
            <v>110.295</v>
          </cell>
          <cell r="J245">
            <v>8.9670731707317073E-3</v>
          </cell>
          <cell r="K245">
            <v>24.211097560975631</v>
          </cell>
          <cell r="L245">
            <v>134.5060975609756</v>
          </cell>
          <cell r="O245"/>
          <cell r="Q245">
            <v>1</v>
          </cell>
          <cell r="R245" t="str">
            <v>ERJ-1GNF5761C</v>
          </cell>
          <cell r="S245" t="str">
            <v>Panasonic</v>
          </cell>
          <cell r="T245" t="str">
            <v>Waldom</v>
          </cell>
          <cell r="U245">
            <v>3.8999999999999998E-3</v>
          </cell>
          <cell r="V245">
            <v>15000</v>
          </cell>
          <cell r="W245">
            <v>0</v>
          </cell>
          <cell r="Y245" t="str">
            <v>Y</v>
          </cell>
          <cell r="Z245">
            <v>58.5</v>
          </cell>
          <cell r="AA245">
            <v>51.795000000000002</v>
          </cell>
          <cell r="AB245">
            <v>0.56507547939616476</v>
          </cell>
          <cell r="AC245" t="str">
            <v>JH</v>
          </cell>
          <cell r="AD245">
            <v>1062721</v>
          </cell>
          <cell r="AE245" t="str">
            <v xml:space="preserve">POV0067050 </v>
          </cell>
          <cell r="AF245" t="str">
            <v>JH</v>
          </cell>
        </row>
        <row r="246">
          <cell r="A246" t="str">
            <v>615-123461-137</v>
          </cell>
          <cell r="B246" t="str">
            <v>RES,0402,THKF,1/16W,1%,1.37K,ROHS</v>
          </cell>
          <cell r="C246" t="str">
            <v>RES</v>
          </cell>
          <cell r="D246">
            <v>15</v>
          </cell>
          <cell r="E246">
            <v>1</v>
          </cell>
          <cell r="F246" t="str">
            <v>23 Weeks</v>
          </cell>
          <cell r="G246">
            <v>10000</v>
          </cell>
          <cell r="H246">
            <v>3.6770000000000001E-3</v>
          </cell>
          <cell r="I246">
            <v>36.770000000000003</v>
          </cell>
          <cell r="J246">
            <v>4.4841463414634153E-3</v>
          </cell>
          <cell r="K246">
            <v>8.0714634146341524</v>
          </cell>
          <cell r="L246">
            <v>44.841463414634156</v>
          </cell>
          <cell r="O246"/>
          <cell r="Q246">
            <v>4</v>
          </cell>
          <cell r="R246" t="str">
            <v>RC0402FR-071K37L</v>
          </cell>
          <cell r="S246" t="str">
            <v>YAGEO</v>
          </cell>
          <cell r="T246" t="str">
            <v>Oneyac</v>
          </cell>
          <cell r="U246">
            <v>2.5000000000000001E-4</v>
          </cell>
          <cell r="V246">
            <v>10000</v>
          </cell>
          <cell r="W246">
            <v>0</v>
          </cell>
          <cell r="X246" t="str">
            <v>1-2 wks</v>
          </cell>
          <cell r="Y246" t="str">
            <v>Y</v>
          </cell>
          <cell r="Z246">
            <v>2.5</v>
          </cell>
          <cell r="AA246">
            <v>34.270000000000003</v>
          </cell>
          <cell r="AB246">
            <v>0.94424802828392718</v>
          </cell>
          <cell r="AC246" t="str">
            <v>JH</v>
          </cell>
          <cell r="AD246">
            <v>1062721</v>
          </cell>
          <cell r="AE246" t="str">
            <v>POV0067026</v>
          </cell>
          <cell r="AF246" t="str">
            <v>TX</v>
          </cell>
        </row>
        <row r="247">
          <cell r="A247" t="str">
            <v>615-123462-105</v>
          </cell>
          <cell r="B247" t="str">
            <v>RES,0402,THKF,1/16W,1%,10.5K,ROHS</v>
          </cell>
          <cell r="C247" t="str">
            <v>RES</v>
          </cell>
          <cell r="D247">
            <v>25</v>
          </cell>
          <cell r="E247">
            <v>1</v>
          </cell>
          <cell r="F247" t="str">
            <v>22 Weeks</v>
          </cell>
          <cell r="G247">
            <v>10000</v>
          </cell>
          <cell r="H247">
            <v>2.5739999999999999E-3</v>
          </cell>
          <cell r="I247">
            <v>25.74</v>
          </cell>
          <cell r="J247">
            <v>3.1390243902439025E-3</v>
          </cell>
          <cell r="K247">
            <v>5.6502439024390263</v>
          </cell>
          <cell r="L247">
            <v>31.390243902439025</v>
          </cell>
          <cell r="M247" t="str">
            <v>CHINA</v>
          </cell>
          <cell r="N247">
            <v>8533210030</v>
          </cell>
          <cell r="O247">
            <v>0.35</v>
          </cell>
          <cell r="P247">
            <v>9.0089999999999986</v>
          </cell>
          <cell r="Q247">
            <v>1</v>
          </cell>
          <cell r="R247" t="str">
            <v>RC0402FR-0710K5L</v>
          </cell>
          <cell r="S247" t="str">
            <v>YAGEO</v>
          </cell>
          <cell r="T247" t="str">
            <v>Oneyac</v>
          </cell>
          <cell r="U247">
            <v>2.5000000000000001E-4</v>
          </cell>
          <cell r="V247">
            <v>10000</v>
          </cell>
          <cell r="W247">
            <v>0</v>
          </cell>
          <cell r="X247" t="str">
            <v>1-2 wks</v>
          </cell>
          <cell r="Y247" t="str">
            <v>Y</v>
          </cell>
          <cell r="Z247">
            <v>2.5</v>
          </cell>
          <cell r="AA247">
            <v>23.24</v>
          </cell>
          <cell r="AB247">
            <v>0.9203574203574203</v>
          </cell>
          <cell r="AC247" t="str">
            <v>JH</v>
          </cell>
          <cell r="AD247">
            <v>1062721</v>
          </cell>
          <cell r="AE247" t="str">
            <v>POV0067026</v>
          </cell>
          <cell r="AF247" t="str">
            <v>TX</v>
          </cell>
        </row>
        <row r="248">
          <cell r="A248" t="str">
            <v>615-123461-102</v>
          </cell>
          <cell r="B248" t="str">
            <v>RES,0402,THKF,1/16W,1% 1.02K ROHS</v>
          </cell>
          <cell r="C248" t="str">
            <v>RES</v>
          </cell>
          <cell r="D248">
            <v>30</v>
          </cell>
          <cell r="E248">
            <v>1</v>
          </cell>
          <cell r="F248" t="str">
            <v>23 Weeks</v>
          </cell>
          <cell r="G248">
            <v>10000</v>
          </cell>
          <cell r="H248">
            <v>1.8140000000000001E-3</v>
          </cell>
          <cell r="I248">
            <v>18.14</v>
          </cell>
          <cell r="J248">
            <v>2.2121951219512197E-3</v>
          </cell>
          <cell r="K248">
            <v>3.9819512195121973</v>
          </cell>
          <cell r="L248">
            <v>22.121951219512198</v>
          </cell>
          <cell r="O248"/>
          <cell r="Q248">
            <v>1</v>
          </cell>
          <cell r="R248" t="str">
            <v>RC0402FR-071K02L</v>
          </cell>
          <cell r="S248" t="str">
            <v>YAGEO</v>
          </cell>
          <cell r="T248" t="str">
            <v>Oneyac</v>
          </cell>
          <cell r="U248">
            <v>2.5000000000000001E-4</v>
          </cell>
          <cell r="V248">
            <v>10000</v>
          </cell>
          <cell r="W248">
            <v>0</v>
          </cell>
          <cell r="X248" t="str">
            <v>1-2 wks</v>
          </cell>
          <cell r="Y248" t="str">
            <v>Y</v>
          </cell>
          <cell r="Z248">
            <v>2.5</v>
          </cell>
          <cell r="AA248">
            <v>15.64</v>
          </cell>
          <cell r="AB248">
            <v>0.88699007717750833</v>
          </cell>
          <cell r="AC248" t="str">
            <v>JH</v>
          </cell>
          <cell r="AD248">
            <v>1062721</v>
          </cell>
          <cell r="AE248" t="str">
            <v>POV0067026</v>
          </cell>
          <cell r="AF248" t="str">
            <v>TX</v>
          </cell>
        </row>
        <row r="249">
          <cell r="A249" t="str">
            <v>615-123461-115</v>
          </cell>
          <cell r="B249" t="str">
            <v>RES,0402,THKF,1/16W,1%,1.15K,ROHS</v>
          </cell>
          <cell r="C249" t="str">
            <v>RES</v>
          </cell>
          <cell r="D249">
            <v>30</v>
          </cell>
          <cell r="E249">
            <v>1</v>
          </cell>
          <cell r="F249" t="str">
            <v>23 Weeks</v>
          </cell>
          <cell r="G249">
            <v>10000</v>
          </cell>
          <cell r="H249">
            <v>2.4510000000000001E-3</v>
          </cell>
          <cell r="I249">
            <v>24.51</v>
          </cell>
          <cell r="J249">
            <v>2.9890243902439026E-3</v>
          </cell>
          <cell r="K249">
            <v>5.3802439024390267</v>
          </cell>
          <cell r="L249">
            <v>29.890243902439025</v>
          </cell>
          <cell r="O249"/>
          <cell r="Q249">
            <v>1</v>
          </cell>
          <cell r="R249" t="str">
            <v>RC0402FR-071K15L</v>
          </cell>
          <cell r="S249" t="str">
            <v>YAGEO</v>
          </cell>
          <cell r="T249" t="str">
            <v>Oneyac</v>
          </cell>
          <cell r="U249">
            <v>2.5000000000000001E-4</v>
          </cell>
          <cell r="V249">
            <v>10000</v>
          </cell>
          <cell r="W249">
            <v>0</v>
          </cell>
          <cell r="X249" t="str">
            <v>1-2 wks</v>
          </cell>
          <cell r="Y249" t="str">
            <v>Y</v>
          </cell>
          <cell r="Z249">
            <v>2.5</v>
          </cell>
          <cell r="AA249">
            <v>22.01</v>
          </cell>
          <cell r="AB249">
            <v>0.91636066911464709</v>
          </cell>
          <cell r="AC249" t="str">
            <v>JH</v>
          </cell>
          <cell r="AD249">
            <v>1062721</v>
          </cell>
          <cell r="AE249" t="str">
            <v>POV0067026</v>
          </cell>
          <cell r="AF249" t="str">
            <v>TX</v>
          </cell>
        </row>
        <row r="250">
          <cell r="A250" t="str">
            <v>615-123461-169</v>
          </cell>
          <cell r="B250" t="str">
            <v>RES,0402,THKF,1/16W,1% 1.69K ROHS</v>
          </cell>
          <cell r="C250" t="str">
            <v>RES</v>
          </cell>
          <cell r="D250">
            <v>25</v>
          </cell>
          <cell r="E250">
            <v>1</v>
          </cell>
          <cell r="F250" t="str">
            <v>23 Weeks</v>
          </cell>
          <cell r="G250">
            <v>10000</v>
          </cell>
          <cell r="H250">
            <v>2.4510000000000001E-3</v>
          </cell>
          <cell r="I250">
            <v>24.51</v>
          </cell>
          <cell r="J250">
            <v>2.9890243902439026E-3</v>
          </cell>
          <cell r="K250">
            <v>5.3802439024390267</v>
          </cell>
          <cell r="L250">
            <v>29.890243902439025</v>
          </cell>
          <cell r="O250"/>
          <cell r="Q250">
            <v>1</v>
          </cell>
          <cell r="R250" t="str">
            <v>RC0402FR-071K69L</v>
          </cell>
          <cell r="S250" t="str">
            <v>YAGEO</v>
          </cell>
          <cell r="T250" t="str">
            <v>Oneyac</v>
          </cell>
          <cell r="U250">
            <v>2.5000000000000001E-4</v>
          </cell>
          <cell r="V250">
            <v>10000</v>
          </cell>
          <cell r="W250">
            <v>0</v>
          </cell>
          <cell r="X250" t="str">
            <v>1-2 wks</v>
          </cell>
          <cell r="Y250" t="str">
            <v>Y</v>
          </cell>
          <cell r="Z250">
            <v>2.5</v>
          </cell>
          <cell r="AA250">
            <v>22.01</v>
          </cell>
          <cell r="AB250">
            <v>0.91636066911464709</v>
          </cell>
          <cell r="AC250" t="str">
            <v>JH</v>
          </cell>
          <cell r="AD250">
            <v>1062721</v>
          </cell>
          <cell r="AE250" t="str">
            <v>POV0067026</v>
          </cell>
          <cell r="AF250" t="str">
            <v>TX</v>
          </cell>
        </row>
        <row r="251">
          <cell r="A251" t="str">
            <v>615-123461-187</v>
          </cell>
          <cell r="B251" t="str">
            <v>RES,0402,THKF,1/16W,1% 1.87K ROHS</v>
          </cell>
          <cell r="C251" t="str">
            <v>RES</v>
          </cell>
          <cell r="D251">
            <v>25</v>
          </cell>
          <cell r="E251">
            <v>1</v>
          </cell>
          <cell r="F251" t="str">
            <v>13 Weeks</v>
          </cell>
          <cell r="G251">
            <v>10000</v>
          </cell>
          <cell r="H251">
            <v>2.4510000000000001E-3</v>
          </cell>
          <cell r="I251">
            <v>24.51</v>
          </cell>
          <cell r="J251">
            <v>2.9890243902439026E-3</v>
          </cell>
          <cell r="K251">
            <v>5.3802439024390267</v>
          </cell>
          <cell r="L251">
            <v>29.890243902439025</v>
          </cell>
          <cell r="O251"/>
          <cell r="Q251">
            <v>1</v>
          </cell>
          <cell r="R251" t="str">
            <v>RC0402FR-071K87L</v>
          </cell>
          <cell r="S251" t="str">
            <v>YAGEO</v>
          </cell>
          <cell r="T251" t="str">
            <v>Oneyac</v>
          </cell>
          <cell r="U251">
            <v>2.5000000000000001E-4</v>
          </cell>
          <cell r="V251">
            <v>10000</v>
          </cell>
          <cell r="W251">
            <v>0</v>
          </cell>
          <cell r="X251" t="str">
            <v>1-2 wks</v>
          </cell>
          <cell r="Y251" t="str">
            <v>Y</v>
          </cell>
          <cell r="Z251">
            <v>2.5</v>
          </cell>
          <cell r="AA251">
            <v>22.01</v>
          </cell>
          <cell r="AB251">
            <v>0.91636066911464709</v>
          </cell>
          <cell r="AC251" t="str">
            <v>JH</v>
          </cell>
          <cell r="AD251">
            <v>1062721</v>
          </cell>
          <cell r="AE251" t="str">
            <v>POV0067026</v>
          </cell>
          <cell r="AF251" t="str">
            <v>TX</v>
          </cell>
        </row>
        <row r="252">
          <cell r="A252" t="str">
            <v>615-123462-215</v>
          </cell>
          <cell r="B252" t="str">
            <v>RES,0402,THKF,1/16W,1% 21.5K ROHS</v>
          </cell>
          <cell r="C252" t="str">
            <v>RES</v>
          </cell>
          <cell r="D252">
            <v>25</v>
          </cell>
          <cell r="E252">
            <v>1</v>
          </cell>
          <cell r="F252" t="str">
            <v>23 Weeks</v>
          </cell>
          <cell r="G252">
            <v>10000</v>
          </cell>
          <cell r="H252">
            <v>2.4510000000000001E-3</v>
          </cell>
          <cell r="I252">
            <v>24.51</v>
          </cell>
          <cell r="J252">
            <v>2.9890243902439026E-3</v>
          </cell>
          <cell r="K252">
            <v>5.3802439024390267</v>
          </cell>
          <cell r="L252">
            <v>29.890243902439025</v>
          </cell>
          <cell r="O252"/>
          <cell r="Q252">
            <v>1</v>
          </cell>
          <cell r="R252" t="str">
            <v>RC0402FR-0721K5L</v>
          </cell>
          <cell r="S252" t="str">
            <v>YAGEO</v>
          </cell>
          <cell r="T252" t="str">
            <v>Oneyac</v>
          </cell>
          <cell r="U252">
            <v>2.5000000000000001E-4</v>
          </cell>
          <cell r="V252">
            <v>10000</v>
          </cell>
          <cell r="W252">
            <v>0</v>
          </cell>
          <cell r="X252" t="str">
            <v>1-2 wks</v>
          </cell>
          <cell r="Y252" t="str">
            <v>Y</v>
          </cell>
          <cell r="Z252">
            <v>2.5</v>
          </cell>
          <cell r="AA252">
            <v>22.01</v>
          </cell>
          <cell r="AB252">
            <v>0.91636066911464709</v>
          </cell>
          <cell r="AC252" t="str">
            <v>JH</v>
          </cell>
          <cell r="AD252">
            <v>1062721</v>
          </cell>
          <cell r="AE252" t="str">
            <v>POV0067026</v>
          </cell>
          <cell r="AF252" t="str">
            <v>TX</v>
          </cell>
        </row>
        <row r="253">
          <cell r="A253" t="str">
            <v>615-123462-220</v>
          </cell>
          <cell r="B253" t="str">
            <v>RES,0402,THKF,1/16W,1% 22K ROHS</v>
          </cell>
          <cell r="C253" t="str">
            <v>RES</v>
          </cell>
          <cell r="D253">
            <v>25</v>
          </cell>
          <cell r="E253">
            <v>1</v>
          </cell>
          <cell r="F253" t="str">
            <v>23 Weeks</v>
          </cell>
          <cell r="G253">
            <v>10000</v>
          </cell>
          <cell r="H253">
            <v>2.5739999999999999E-3</v>
          </cell>
          <cell r="I253">
            <v>25.74</v>
          </cell>
          <cell r="J253">
            <v>3.1390243902439025E-3</v>
          </cell>
          <cell r="K253">
            <v>5.6502439024390263</v>
          </cell>
          <cell r="L253">
            <v>31.390243902439025</v>
          </cell>
          <cell r="O253"/>
          <cell r="Q253">
            <v>1</v>
          </cell>
          <cell r="R253" t="str">
            <v>RC0402FR-0722KL</v>
          </cell>
          <cell r="S253" t="str">
            <v>YAGEO</v>
          </cell>
          <cell r="T253" t="str">
            <v>Oneyac</v>
          </cell>
          <cell r="U253">
            <v>2.5000000000000001E-4</v>
          </cell>
          <cell r="V253">
            <v>10000</v>
          </cell>
          <cell r="W253">
            <v>0</v>
          </cell>
          <cell r="X253" t="str">
            <v>1-2 wks</v>
          </cell>
          <cell r="Y253" t="str">
            <v>Y</v>
          </cell>
          <cell r="Z253">
            <v>2.5</v>
          </cell>
          <cell r="AA253">
            <v>23.24</v>
          </cell>
          <cell r="AB253">
            <v>0.9203574203574203</v>
          </cell>
          <cell r="AC253" t="str">
            <v>JH</v>
          </cell>
          <cell r="AD253">
            <v>1062721</v>
          </cell>
          <cell r="AE253" t="str">
            <v>POV0067026</v>
          </cell>
          <cell r="AF253" t="str">
            <v>TX</v>
          </cell>
        </row>
        <row r="254">
          <cell r="A254" t="str">
            <v>615-233527-001</v>
          </cell>
          <cell r="B254" t="str">
            <v>RES,SMD,0402,1%,1/16W,22 OHM</v>
          </cell>
          <cell r="C254" t="str">
            <v>RES</v>
          </cell>
          <cell r="D254">
            <v>25</v>
          </cell>
          <cell r="E254">
            <v>1</v>
          </cell>
          <cell r="F254" t="str">
            <v>23 Weeks</v>
          </cell>
          <cell r="G254">
            <v>10000</v>
          </cell>
          <cell r="H254">
            <v>2.4510000000000001E-3</v>
          </cell>
          <cell r="I254">
            <v>24.51</v>
          </cell>
          <cell r="J254">
            <v>2.9890243902439026E-3</v>
          </cell>
          <cell r="K254">
            <v>5.3802439024390267</v>
          </cell>
          <cell r="L254">
            <v>29.890243902439025</v>
          </cell>
          <cell r="O254"/>
          <cell r="Q254">
            <v>1</v>
          </cell>
          <cell r="R254" t="str">
            <v>RC0402FR-0722RL</v>
          </cell>
          <cell r="S254" t="str">
            <v>YAGEO</v>
          </cell>
          <cell r="T254" t="str">
            <v>Oneyac</v>
          </cell>
          <cell r="U254">
            <v>2.5000000000000001E-4</v>
          </cell>
          <cell r="V254">
            <v>10000</v>
          </cell>
          <cell r="W254">
            <v>0</v>
          </cell>
          <cell r="X254" t="str">
            <v>1-2 wks</v>
          </cell>
          <cell r="Y254" t="str">
            <v>Y</v>
          </cell>
          <cell r="Z254">
            <v>2.5</v>
          </cell>
          <cell r="AA254">
            <v>22.01</v>
          </cell>
          <cell r="AB254">
            <v>0.91636066911464709</v>
          </cell>
          <cell r="AC254" t="str">
            <v>JH</v>
          </cell>
          <cell r="AD254">
            <v>1062721</v>
          </cell>
          <cell r="AE254" t="str">
            <v>POV0067026</v>
          </cell>
          <cell r="AF254" t="str">
            <v>TX</v>
          </cell>
        </row>
        <row r="255">
          <cell r="A255" t="str">
            <v>615-123458-249</v>
          </cell>
          <cell r="B255" t="str">
            <v>RES,0402,THKF,1/16W,1% 2.49 ROHS</v>
          </cell>
          <cell r="C255" t="str">
            <v>RES</v>
          </cell>
          <cell r="D255">
            <v>25</v>
          </cell>
          <cell r="E255">
            <v>1</v>
          </cell>
          <cell r="F255" t="str">
            <v>15 Weeks</v>
          </cell>
          <cell r="G255">
            <v>10000</v>
          </cell>
          <cell r="H255">
            <v>4.9020000000000001E-3</v>
          </cell>
          <cell r="I255">
            <v>49.02</v>
          </cell>
          <cell r="J255">
            <v>5.9780487804878052E-3</v>
          </cell>
          <cell r="K255">
            <v>10.760487804878053</v>
          </cell>
          <cell r="L255">
            <v>59.780487804878049</v>
          </cell>
          <cell r="O255"/>
          <cell r="Q255">
            <v>2</v>
          </cell>
          <cell r="R255" t="str">
            <v>RC0402FR-072R49L</v>
          </cell>
          <cell r="S255" t="str">
            <v>YAGEO</v>
          </cell>
          <cell r="T255" t="str">
            <v>Oneyac</v>
          </cell>
          <cell r="U255">
            <v>6.0999999999999997E-4</v>
          </cell>
          <cell r="V255">
            <v>10000</v>
          </cell>
          <cell r="W255">
            <v>0</v>
          </cell>
          <cell r="X255" t="str">
            <v>1-2 wks</v>
          </cell>
          <cell r="Y255" t="str">
            <v>Y</v>
          </cell>
          <cell r="Z255">
            <v>6.1</v>
          </cell>
          <cell r="AA255">
            <v>42.92</v>
          </cell>
          <cell r="AB255">
            <v>0.89796001631986944</v>
          </cell>
          <cell r="AC255" t="str">
            <v>JH</v>
          </cell>
          <cell r="AD255">
            <v>1062721</v>
          </cell>
          <cell r="AE255" t="str">
            <v>POV0067026</v>
          </cell>
          <cell r="AF255" t="str">
            <v>TX</v>
          </cell>
        </row>
        <row r="256">
          <cell r="A256" t="str">
            <v>615-123460-348</v>
          </cell>
          <cell r="B256" t="str">
            <v>RES,0402,THKF,1/16W,1% 348 ROHS</v>
          </cell>
          <cell r="C256" t="str">
            <v>RES</v>
          </cell>
          <cell r="D256">
            <v>15</v>
          </cell>
          <cell r="E256">
            <v>1</v>
          </cell>
          <cell r="F256" t="str">
            <v>50 Weeks</v>
          </cell>
          <cell r="G256">
            <v>10000</v>
          </cell>
          <cell r="H256">
            <v>5.4660000000000004E-3</v>
          </cell>
          <cell r="I256">
            <v>54.660000000000004</v>
          </cell>
          <cell r="J256">
            <v>6.6658536585365866E-3</v>
          </cell>
          <cell r="K256">
            <v>11.998536585365862</v>
          </cell>
          <cell r="L256">
            <v>66.658536585365866</v>
          </cell>
          <cell r="O256"/>
          <cell r="Q256">
            <v>2</v>
          </cell>
          <cell r="R256" t="str">
            <v>RC0402FR-07348RL</v>
          </cell>
          <cell r="S256" t="str">
            <v>YAGEO</v>
          </cell>
          <cell r="T256" t="str">
            <v>Oneyac</v>
          </cell>
          <cell r="U256">
            <v>2.5000000000000001E-4</v>
          </cell>
          <cell r="V256">
            <v>10000</v>
          </cell>
          <cell r="W256">
            <v>0</v>
          </cell>
          <cell r="X256" t="str">
            <v>1-2 wks</v>
          </cell>
          <cell r="Y256" t="str">
            <v>Y</v>
          </cell>
          <cell r="Z256">
            <v>2.5</v>
          </cell>
          <cell r="AA256">
            <v>52.160000000000004</v>
          </cell>
          <cell r="AB256">
            <v>0.96249542627149653</v>
          </cell>
          <cell r="AC256" t="str">
            <v>JH</v>
          </cell>
          <cell r="AD256">
            <v>1062721</v>
          </cell>
          <cell r="AE256" t="str">
            <v>POV0067026</v>
          </cell>
          <cell r="AF256" t="str">
            <v>TX</v>
          </cell>
        </row>
        <row r="257">
          <cell r="A257" t="str">
            <v>615-123462-475</v>
          </cell>
          <cell r="B257" t="str">
            <v>RES,0402,THKF,1/16W,1%, 47.5K ROHS</v>
          </cell>
          <cell r="C257" t="str">
            <v>RES</v>
          </cell>
          <cell r="D257">
            <v>15</v>
          </cell>
          <cell r="E257">
            <v>1</v>
          </cell>
          <cell r="F257" t="str">
            <v>23 Weeks</v>
          </cell>
          <cell r="G257">
            <v>10000</v>
          </cell>
          <cell r="H257">
            <v>2.4510000000000001E-3</v>
          </cell>
          <cell r="I257">
            <v>24.51</v>
          </cell>
          <cell r="J257">
            <v>2.9890243902439026E-3</v>
          </cell>
          <cell r="K257">
            <v>5.3802439024390267</v>
          </cell>
          <cell r="L257">
            <v>29.890243902439025</v>
          </cell>
          <cell r="O257"/>
          <cell r="Q257">
            <v>1</v>
          </cell>
          <cell r="R257" t="str">
            <v>RC0402FR-0747K5L</v>
          </cell>
          <cell r="S257" t="str">
            <v>YAGEO</v>
          </cell>
          <cell r="T257" t="str">
            <v>Oneyac</v>
          </cell>
          <cell r="U257">
            <v>2.5000000000000001E-4</v>
          </cell>
          <cell r="V257">
            <v>10000</v>
          </cell>
          <cell r="W257">
            <v>0</v>
          </cell>
          <cell r="X257" t="str">
            <v>1-2 wks</v>
          </cell>
          <cell r="Y257" t="str">
            <v>Y</v>
          </cell>
          <cell r="Z257">
            <v>2.5</v>
          </cell>
          <cell r="AA257">
            <v>22.01</v>
          </cell>
          <cell r="AB257">
            <v>0.91636066911464709</v>
          </cell>
          <cell r="AC257" t="str">
            <v>JH</v>
          </cell>
          <cell r="AD257">
            <v>1062721</v>
          </cell>
          <cell r="AE257" t="str">
            <v>POV0067026</v>
          </cell>
          <cell r="AF257" t="str">
            <v>TX</v>
          </cell>
        </row>
        <row r="258">
          <cell r="A258" t="str">
            <v>615-123461-402</v>
          </cell>
          <cell r="B258" t="str">
            <v>RES,0402,THKF,1/16W,1% 4.02K ROHS</v>
          </cell>
          <cell r="C258" t="str">
            <v>RES</v>
          </cell>
          <cell r="D258">
            <v>25</v>
          </cell>
          <cell r="E258">
            <v>1</v>
          </cell>
          <cell r="F258" t="str">
            <v>19 Weeks</v>
          </cell>
          <cell r="G258">
            <v>10000</v>
          </cell>
          <cell r="H258">
            <v>3.2599999999999999E-3</v>
          </cell>
          <cell r="I258">
            <v>32.6</v>
          </cell>
          <cell r="J258">
            <v>3.975609756097561E-3</v>
          </cell>
          <cell r="K258">
            <v>7.1560975609756099</v>
          </cell>
          <cell r="L258">
            <v>39.756097560975611</v>
          </cell>
          <cell r="M258" t="str">
            <v>CHINA</v>
          </cell>
          <cell r="N258" t="str">
            <v>8533210030</v>
          </cell>
          <cell r="O258">
            <v>0.35</v>
          </cell>
          <cell r="P258">
            <v>11.41</v>
          </cell>
          <cell r="Q258">
            <v>4</v>
          </cell>
          <cell r="R258" t="str">
            <v>RC0402FR-074K02L</v>
          </cell>
          <cell r="S258" t="str">
            <v>YAGEO</v>
          </cell>
          <cell r="T258" t="str">
            <v>Oneyac</v>
          </cell>
          <cell r="U258">
            <v>2.5000000000000001E-4</v>
          </cell>
          <cell r="V258">
            <v>10000</v>
          </cell>
          <cell r="W258">
            <v>0</v>
          </cell>
          <cell r="X258" t="str">
            <v>1-2 wks</v>
          </cell>
          <cell r="Y258" t="str">
            <v>Y</v>
          </cell>
          <cell r="Z258">
            <v>2.5</v>
          </cell>
          <cell r="AA258">
            <v>30.1</v>
          </cell>
          <cell r="AB258">
            <v>0.93711656441717794</v>
          </cell>
          <cell r="AC258" t="str">
            <v>JH</v>
          </cell>
          <cell r="AD258">
            <v>1062721</v>
          </cell>
          <cell r="AE258" t="str">
            <v>POV0067026</v>
          </cell>
          <cell r="AF258" t="str">
            <v>TX</v>
          </cell>
        </row>
        <row r="259">
          <cell r="A259" t="str">
            <v>615-123459-523</v>
          </cell>
          <cell r="B259" t="str">
            <v>RES,0402,THKF,1/16W,1%,52.3,ROHS</v>
          </cell>
          <cell r="C259" t="str">
            <v>RES</v>
          </cell>
          <cell r="D259">
            <v>25</v>
          </cell>
          <cell r="E259">
            <v>1</v>
          </cell>
          <cell r="F259" t="str">
            <v>21 Weeks</v>
          </cell>
          <cell r="G259">
            <v>10000</v>
          </cell>
          <cell r="H259">
            <v>1.8140000000000001E-3</v>
          </cell>
          <cell r="I259">
            <v>18.14</v>
          </cell>
          <cell r="J259">
            <v>2.2121951219512197E-3</v>
          </cell>
          <cell r="K259">
            <v>3.9819512195121973</v>
          </cell>
          <cell r="L259">
            <v>22.121951219512198</v>
          </cell>
          <cell r="O259"/>
          <cell r="Q259">
            <v>1</v>
          </cell>
          <cell r="R259" t="str">
            <v>RC0402FR-0752R3L</v>
          </cell>
          <cell r="S259" t="str">
            <v>YAGEO</v>
          </cell>
          <cell r="T259" t="str">
            <v>Oneyac</v>
          </cell>
          <cell r="U259">
            <v>2.5000000000000001E-4</v>
          </cell>
          <cell r="V259">
            <v>10000</v>
          </cell>
          <cell r="W259">
            <v>0</v>
          </cell>
          <cell r="X259" t="str">
            <v>1-2 wks</v>
          </cell>
          <cell r="Y259" t="str">
            <v>Y</v>
          </cell>
          <cell r="Z259">
            <v>2.5</v>
          </cell>
          <cell r="AA259">
            <v>15.64</v>
          </cell>
          <cell r="AB259">
            <v>0.88699007717750833</v>
          </cell>
          <cell r="AC259" t="str">
            <v>JH</v>
          </cell>
          <cell r="AD259">
            <v>1062721</v>
          </cell>
          <cell r="AE259" t="str">
            <v>POV0067026</v>
          </cell>
          <cell r="AF259" t="str">
            <v>TX</v>
          </cell>
        </row>
        <row r="260">
          <cell r="A260" t="str">
            <v>615-123461-590</v>
          </cell>
          <cell r="B260" t="str">
            <v>RES,0402,THKF,1/16W,1%,5.90K,ROHS</v>
          </cell>
          <cell r="C260" t="str">
            <v>RES</v>
          </cell>
          <cell r="D260">
            <v>25</v>
          </cell>
          <cell r="E260">
            <v>1</v>
          </cell>
          <cell r="F260" t="str">
            <v>23 Weeks</v>
          </cell>
          <cell r="G260">
            <v>10000</v>
          </cell>
          <cell r="H260">
            <v>2.4510000000000001E-3</v>
          </cell>
          <cell r="I260">
            <v>24.51</v>
          </cell>
          <cell r="J260">
            <v>2.9890243902439026E-3</v>
          </cell>
          <cell r="K260">
            <v>5.3802439024390267</v>
          </cell>
          <cell r="L260">
            <v>29.890243902439025</v>
          </cell>
          <cell r="O260"/>
          <cell r="Q260">
            <v>1</v>
          </cell>
          <cell r="R260" t="str">
            <v>RC0402FR-075K9L</v>
          </cell>
          <cell r="S260" t="str">
            <v>YAGEO</v>
          </cell>
          <cell r="T260" t="str">
            <v>Oneyac</v>
          </cell>
          <cell r="U260">
            <v>2.5000000000000001E-4</v>
          </cell>
          <cell r="V260">
            <v>10000</v>
          </cell>
          <cell r="W260">
            <v>0</v>
          </cell>
          <cell r="X260" t="str">
            <v>1-2 wks</v>
          </cell>
          <cell r="Y260" t="str">
            <v>Y</v>
          </cell>
          <cell r="Z260">
            <v>2.5</v>
          </cell>
          <cell r="AA260">
            <v>22.01</v>
          </cell>
          <cell r="AB260">
            <v>0.91636066911464709</v>
          </cell>
          <cell r="AC260" t="str">
            <v>JH</v>
          </cell>
          <cell r="AD260">
            <v>1062721</v>
          </cell>
          <cell r="AE260" t="str">
            <v>POV0067026</v>
          </cell>
          <cell r="AF260" t="str">
            <v>TX</v>
          </cell>
        </row>
        <row r="261">
          <cell r="A261" t="str">
            <v>615-123458-511</v>
          </cell>
          <cell r="B261" t="str">
            <v>RES,0402,THKF,1/16W,1%,5.11,ROHS</v>
          </cell>
          <cell r="C261" t="str">
            <v>RES</v>
          </cell>
          <cell r="D261">
            <v>25</v>
          </cell>
          <cell r="E261">
            <v>1</v>
          </cell>
          <cell r="F261" t="str">
            <v>19 Weeks</v>
          </cell>
          <cell r="G261">
            <v>10000</v>
          </cell>
          <cell r="H261">
            <v>6.1279999999999998E-3</v>
          </cell>
          <cell r="I261">
            <v>61.28</v>
          </cell>
          <cell r="J261">
            <v>7.4731707317073175E-3</v>
          </cell>
          <cell r="K261">
            <v>13.451707317073172</v>
          </cell>
          <cell r="L261">
            <v>74.731707317073173</v>
          </cell>
          <cell r="O261"/>
          <cell r="Q261">
            <v>2</v>
          </cell>
          <cell r="R261" t="str">
            <v>RC0402FR-075R11L</v>
          </cell>
          <cell r="S261" t="str">
            <v>YAGEO</v>
          </cell>
          <cell r="T261" t="str">
            <v>Oneyac</v>
          </cell>
          <cell r="U261">
            <v>6.0999999999999997E-4</v>
          </cell>
          <cell r="V261">
            <v>10000</v>
          </cell>
          <cell r="W261">
            <v>0</v>
          </cell>
          <cell r="X261" t="str">
            <v>1-2 wks</v>
          </cell>
          <cell r="Y261" t="str">
            <v>Y</v>
          </cell>
          <cell r="Z261">
            <v>6.1</v>
          </cell>
          <cell r="AA261">
            <v>55.18</v>
          </cell>
          <cell r="AB261">
            <v>0.91837467362924285</v>
          </cell>
          <cell r="AC261" t="str">
            <v>JH</v>
          </cell>
          <cell r="AD261">
            <v>1062721</v>
          </cell>
          <cell r="AE261" t="str">
            <v>POV0067026</v>
          </cell>
          <cell r="AF261" t="str">
            <v>TX</v>
          </cell>
        </row>
        <row r="262">
          <cell r="A262" t="str">
            <v>615-123458-825</v>
          </cell>
          <cell r="B262" t="str">
            <v>RES,0402,THKF,1/16W,1% 8.25 ROHS</v>
          </cell>
          <cell r="C262" t="str">
            <v>RES</v>
          </cell>
          <cell r="D262">
            <v>60</v>
          </cell>
          <cell r="E262">
            <v>1</v>
          </cell>
          <cell r="F262" t="str">
            <v>3 Weeks</v>
          </cell>
          <cell r="G262">
            <v>10000</v>
          </cell>
          <cell r="H262">
            <v>4.9020000000000001E-3</v>
          </cell>
          <cell r="I262">
            <v>49.02</v>
          </cell>
          <cell r="J262">
            <v>5.9780487804878052E-3</v>
          </cell>
          <cell r="K262">
            <v>10.760487804878053</v>
          </cell>
          <cell r="L262">
            <v>59.780487804878049</v>
          </cell>
          <cell r="O262"/>
          <cell r="Q262">
            <v>2</v>
          </cell>
          <cell r="R262" t="str">
            <v>RC0402FR-078R25L</v>
          </cell>
          <cell r="S262" t="str">
            <v>YAGEO</v>
          </cell>
          <cell r="T262" t="str">
            <v>Oneyac</v>
          </cell>
          <cell r="U262">
            <v>6.0999999999999997E-4</v>
          </cell>
          <cell r="V262">
            <v>10000</v>
          </cell>
          <cell r="W262">
            <v>0</v>
          </cell>
          <cell r="X262" t="str">
            <v>1-2 wks</v>
          </cell>
          <cell r="Y262" t="str">
            <v>Y</v>
          </cell>
          <cell r="Z262">
            <v>6.1</v>
          </cell>
          <cell r="AA262">
            <v>42.92</v>
          </cell>
          <cell r="AB262">
            <v>0.89796001631986944</v>
          </cell>
          <cell r="AC262" t="str">
            <v>JH</v>
          </cell>
          <cell r="AD262">
            <v>1062721</v>
          </cell>
          <cell r="AE262" t="str">
            <v>POV0067026</v>
          </cell>
          <cell r="AF262" t="str">
            <v>TX</v>
          </cell>
        </row>
        <row r="263">
          <cell r="A263" t="str">
            <v>28-426179-00</v>
          </cell>
          <cell r="B263" t="str">
            <v>RES,THICK FILM,10K OHM,1%,1/10W,50V,SMT</v>
          </cell>
          <cell r="C263" t="str">
            <v>RES</v>
          </cell>
          <cell r="D263">
            <v>15</v>
          </cell>
          <cell r="E263">
            <v>1</v>
          </cell>
          <cell r="F263" t="str">
            <v>27 Weeks</v>
          </cell>
          <cell r="G263">
            <v>10000</v>
          </cell>
          <cell r="H263">
            <v>3.627E-3</v>
          </cell>
          <cell r="I263">
            <v>36.270000000000003</v>
          </cell>
          <cell r="J263">
            <v>4.4231707317073177E-3</v>
          </cell>
          <cell r="K263">
            <v>7.9617073170731771</v>
          </cell>
          <cell r="L263">
            <v>44.23170731707318</v>
          </cell>
          <cell r="O263"/>
          <cell r="Q263">
            <v>1</v>
          </cell>
          <cell r="R263" t="str">
            <v>RC0603FR-0710KL</v>
          </cell>
          <cell r="S263" t="str">
            <v>YAGEO</v>
          </cell>
          <cell r="T263" t="str">
            <v>Oneyac</v>
          </cell>
          <cell r="U263">
            <v>4.6999999999999999E-4</v>
          </cell>
          <cell r="V263">
            <v>10000</v>
          </cell>
          <cell r="W263">
            <v>0</v>
          </cell>
          <cell r="X263" t="str">
            <v>1-2 wks</v>
          </cell>
          <cell r="Y263" t="str">
            <v>Y</v>
          </cell>
          <cell r="Z263">
            <v>4.7</v>
          </cell>
          <cell r="AA263">
            <v>31.570000000000004</v>
          </cell>
          <cell r="AB263">
            <v>0.89374138406396475</v>
          </cell>
          <cell r="AC263" t="str">
            <v>JH</v>
          </cell>
          <cell r="AD263">
            <v>1062721</v>
          </cell>
          <cell r="AE263" t="str">
            <v>POV0067026</v>
          </cell>
          <cell r="AF263" t="str">
            <v>TX</v>
          </cell>
        </row>
        <row r="264">
          <cell r="A264" t="str">
            <v>648-228694-005</v>
          </cell>
          <cell r="B264" t="str">
            <v>CAP,SMD,CER,18PF,50V,5%,NP0,0402</v>
          </cell>
          <cell r="C264" t="str">
            <v>CAP</v>
          </cell>
          <cell r="D264">
            <v>25</v>
          </cell>
          <cell r="E264">
            <v>1</v>
          </cell>
          <cell r="F264" t="str">
            <v>3 Weeks</v>
          </cell>
          <cell r="G264">
            <v>10000</v>
          </cell>
          <cell r="H264">
            <v>5.7600000000000004E-3</v>
          </cell>
          <cell r="I264">
            <v>57.6</v>
          </cell>
          <cell r="J264">
            <v>7.0243902439024401E-3</v>
          </cell>
          <cell r="K264">
            <v>12.643902439024394</v>
          </cell>
          <cell r="L264">
            <v>70.243902439024396</v>
          </cell>
          <cell r="O264"/>
          <cell r="Q264">
            <v>3</v>
          </cell>
          <cell r="R264" t="str">
            <v>CC0402JRNPO9BN180</v>
          </cell>
          <cell r="S264" t="str">
            <v>Yageo</v>
          </cell>
          <cell r="T264" t="str">
            <v>Oneyac</v>
          </cell>
          <cell r="U264">
            <v>3.6000000000000002E-4</v>
          </cell>
          <cell r="V264">
            <v>10000</v>
          </cell>
          <cell r="W264">
            <v>0</v>
          </cell>
          <cell r="X264" t="str">
            <v>1-2 wks</v>
          </cell>
          <cell r="Y264" t="str">
            <v>Y</v>
          </cell>
          <cell r="Z264">
            <v>3.6</v>
          </cell>
          <cell r="AA264">
            <v>54</v>
          </cell>
          <cell r="AB264">
            <v>0.94874999999999998</v>
          </cell>
          <cell r="AC264" t="str">
            <v>JH</v>
          </cell>
          <cell r="AD264">
            <v>1062721</v>
          </cell>
          <cell r="AE264" t="str">
            <v>POV0067026</v>
          </cell>
          <cell r="AF264" t="str">
            <v>TX</v>
          </cell>
        </row>
        <row r="265">
          <cell r="A265" t="str">
            <v>648-124321-333</v>
          </cell>
          <cell r="B265" t="str">
            <v>CAP,SMD,0402,CER,X7R,10%,50V,33NF ROHS</v>
          </cell>
          <cell r="C265" t="str">
            <v>CAP</v>
          </cell>
          <cell r="D265">
            <v>15</v>
          </cell>
          <cell r="E265">
            <v>1</v>
          </cell>
          <cell r="F265" t="str">
            <v>15 Weeks</v>
          </cell>
          <cell r="G265">
            <v>10000</v>
          </cell>
          <cell r="H265">
            <v>6.1279999999999998E-3</v>
          </cell>
          <cell r="I265">
            <v>61.28</v>
          </cell>
          <cell r="J265">
            <v>7.4731707317073175E-3</v>
          </cell>
          <cell r="K265">
            <v>13.451707317073172</v>
          </cell>
          <cell r="L265">
            <v>74.731707317073173</v>
          </cell>
          <cell r="M265" t="str">
            <v>TAIWAN</v>
          </cell>
          <cell r="N265">
            <v>8532240020</v>
          </cell>
          <cell r="O265">
            <v>0.35</v>
          </cell>
          <cell r="P265">
            <v>21.448</v>
          </cell>
          <cell r="Q265">
            <v>3</v>
          </cell>
          <cell r="R265" t="str">
            <v>CC0402KRX7R9BB333</v>
          </cell>
          <cell r="S265" t="str">
            <v>Yageo</v>
          </cell>
          <cell r="T265" t="str">
            <v>Oneyac</v>
          </cell>
          <cell r="U265">
            <v>8.7000000000000001E-4</v>
          </cell>
          <cell r="V265">
            <v>10000</v>
          </cell>
          <cell r="W265">
            <v>0</v>
          </cell>
          <cell r="X265" t="str">
            <v>1-2 wks</v>
          </cell>
          <cell r="Y265" t="str">
            <v>Y</v>
          </cell>
          <cell r="Z265">
            <v>8.6999999999999993</v>
          </cell>
          <cell r="AA265">
            <v>52.58</v>
          </cell>
          <cell r="AB265">
            <v>0.88358355091383811</v>
          </cell>
          <cell r="AC265" t="str">
            <v>JH</v>
          </cell>
          <cell r="AD265">
            <v>1062721</v>
          </cell>
          <cell r="AE265" t="str">
            <v>POV0067026</v>
          </cell>
          <cell r="AF265" t="str">
            <v>TX</v>
          </cell>
        </row>
        <row r="266">
          <cell r="A266" t="str">
            <v>648-124321-681</v>
          </cell>
          <cell r="B266" t="str">
            <v>CAP,SMD,0402,CER,X7R,10%,50V,680PF ROHS</v>
          </cell>
          <cell r="C266" t="str">
            <v>CAP</v>
          </cell>
          <cell r="D266">
            <v>15</v>
          </cell>
          <cell r="E266">
            <v>1</v>
          </cell>
          <cell r="F266" t="str">
            <v>3 Weeks</v>
          </cell>
          <cell r="G266">
            <v>10000</v>
          </cell>
          <cell r="H266">
            <v>3.6770000000000001E-3</v>
          </cell>
          <cell r="I266">
            <v>36.770000000000003</v>
          </cell>
          <cell r="J266">
            <v>4.4841463414634153E-3</v>
          </cell>
          <cell r="K266">
            <v>8.0714634146341524</v>
          </cell>
          <cell r="L266">
            <v>44.841463414634156</v>
          </cell>
          <cell r="O266"/>
          <cell r="Q266">
            <v>4</v>
          </cell>
          <cell r="R266" t="str">
            <v>CC0402KRX7R9BB681</v>
          </cell>
          <cell r="S266" t="str">
            <v>Yageo</v>
          </cell>
          <cell r="T266" t="str">
            <v>Oneyac</v>
          </cell>
          <cell r="U266">
            <v>3.8000000000000002E-4</v>
          </cell>
          <cell r="V266">
            <v>10000</v>
          </cell>
          <cell r="W266">
            <v>0</v>
          </cell>
          <cell r="X266" t="str">
            <v>1-2 wks</v>
          </cell>
          <cell r="Y266" t="str">
            <v>Y</v>
          </cell>
          <cell r="Z266">
            <v>3.8000000000000003</v>
          </cell>
          <cell r="AA266">
            <v>32.970000000000006</v>
          </cell>
          <cell r="AB266">
            <v>0.9152570029915692</v>
          </cell>
          <cell r="AC266" t="str">
            <v>JH</v>
          </cell>
          <cell r="AD266">
            <v>1062721</v>
          </cell>
          <cell r="AE266" t="str">
            <v>POV0067026</v>
          </cell>
          <cell r="AF266" t="str">
            <v>TX</v>
          </cell>
        </row>
        <row r="267">
          <cell r="A267" t="str">
            <v>615-A74149-001</v>
          </cell>
          <cell r="B267" t="str">
            <v>RES,SMD,THK FILM,0OHM,1%,1/16W,0402</v>
          </cell>
          <cell r="C267" t="str">
            <v>RES</v>
          </cell>
          <cell r="D267">
            <v>15</v>
          </cell>
          <cell r="E267">
            <v>1</v>
          </cell>
          <cell r="F267" t="str">
            <v>23 Weeks</v>
          </cell>
          <cell r="G267">
            <v>10000</v>
          </cell>
          <cell r="H267">
            <v>1.446E-3</v>
          </cell>
          <cell r="I267">
            <v>14.46</v>
          </cell>
          <cell r="J267">
            <v>1.7634146341463416E-3</v>
          </cell>
          <cell r="K267">
            <v>3.1741463414634161</v>
          </cell>
          <cell r="L267">
            <v>17.634146341463417</v>
          </cell>
          <cell r="O267"/>
          <cell r="Q267">
            <v>1</v>
          </cell>
          <cell r="R267" t="str">
            <v>RC0402FR-070RL</v>
          </cell>
          <cell r="S267" t="str">
            <v>YAGEO</v>
          </cell>
          <cell r="T267" t="str">
            <v>Oneyac</v>
          </cell>
          <cell r="U267">
            <v>2.5000000000000001E-4</v>
          </cell>
          <cell r="V267">
            <v>10000</v>
          </cell>
          <cell r="W267">
            <v>0</v>
          </cell>
          <cell r="X267" t="str">
            <v>1-2 wks</v>
          </cell>
          <cell r="Y267" t="str">
            <v>Y</v>
          </cell>
          <cell r="Z267">
            <v>2.5</v>
          </cell>
          <cell r="AA267">
            <v>11.96</v>
          </cell>
          <cell r="AB267">
            <v>0.85822959889349937</v>
          </cell>
          <cell r="AC267" t="str">
            <v>JH</v>
          </cell>
          <cell r="AD267">
            <v>1062721</v>
          </cell>
          <cell r="AE267" t="str">
            <v>POV0067026</v>
          </cell>
          <cell r="AF267" t="str">
            <v>TX</v>
          </cell>
        </row>
        <row r="268">
          <cell r="A268" t="str">
            <v>615-123463-120</v>
          </cell>
          <cell r="B268" t="str">
            <v>RES,0402,THKF,1/16W,1% 120K ROHS</v>
          </cell>
          <cell r="C268" t="str">
            <v>RES</v>
          </cell>
          <cell r="D268">
            <v>25</v>
          </cell>
          <cell r="E268">
            <v>1</v>
          </cell>
          <cell r="F268" t="str">
            <v>15 Weeks</v>
          </cell>
          <cell r="G268">
            <v>10000</v>
          </cell>
          <cell r="H268">
            <v>3.6770000000000001E-3</v>
          </cell>
          <cell r="I268">
            <v>36.770000000000003</v>
          </cell>
          <cell r="J268">
            <v>4.4841463414634153E-3</v>
          </cell>
          <cell r="K268">
            <v>8.0714634146341524</v>
          </cell>
          <cell r="L268">
            <v>44.841463414634156</v>
          </cell>
          <cell r="O268"/>
          <cell r="Q268">
            <v>4</v>
          </cell>
          <cell r="R268" t="str">
            <v>RC0402FR-07120KL</v>
          </cell>
          <cell r="S268" t="str">
            <v>YAGEO</v>
          </cell>
          <cell r="T268" t="str">
            <v>Oneyac</v>
          </cell>
          <cell r="U268">
            <v>2.5000000000000001E-4</v>
          </cell>
          <cell r="V268">
            <v>10000</v>
          </cell>
          <cell r="W268">
            <v>0</v>
          </cell>
          <cell r="X268" t="str">
            <v>1-2 wks</v>
          </cell>
          <cell r="Y268" t="str">
            <v>Y</v>
          </cell>
          <cell r="Z268">
            <v>2.5</v>
          </cell>
          <cell r="AA268">
            <v>34.270000000000003</v>
          </cell>
          <cell r="AB268">
            <v>0.94424802828392718</v>
          </cell>
          <cell r="AC268" t="str">
            <v>JH</v>
          </cell>
          <cell r="AD268">
            <v>1062721</v>
          </cell>
          <cell r="AE268" t="str">
            <v>POV0067026</v>
          </cell>
          <cell r="AF268" t="str">
            <v>TX</v>
          </cell>
        </row>
        <row r="269">
          <cell r="A269" t="str">
            <v>615-123463-124</v>
          </cell>
          <cell r="B269" t="str">
            <v>RES,0402,THKF,1/16W,1% 124K ROHS</v>
          </cell>
          <cell r="C269" t="str">
            <v>RES</v>
          </cell>
          <cell r="D269">
            <v>15</v>
          </cell>
          <cell r="E269">
            <v>1</v>
          </cell>
          <cell r="F269" t="str">
            <v>15 Weeks</v>
          </cell>
          <cell r="G269">
            <v>10000</v>
          </cell>
          <cell r="H269">
            <v>3.6770000000000001E-3</v>
          </cell>
          <cell r="I269">
            <v>36.770000000000003</v>
          </cell>
          <cell r="J269">
            <v>4.4841463414634153E-3</v>
          </cell>
          <cell r="K269">
            <v>8.0714634146341524</v>
          </cell>
          <cell r="L269">
            <v>44.841463414634156</v>
          </cell>
          <cell r="O269"/>
          <cell r="Q269">
            <v>4</v>
          </cell>
          <cell r="R269" t="str">
            <v>RC0402FR-07124KL</v>
          </cell>
          <cell r="S269" t="str">
            <v>YAGEO</v>
          </cell>
          <cell r="T269" t="str">
            <v>Oneyac</v>
          </cell>
          <cell r="U269">
            <v>2.5000000000000001E-4</v>
          </cell>
          <cell r="V269">
            <v>10000</v>
          </cell>
          <cell r="W269">
            <v>0</v>
          </cell>
          <cell r="X269" t="str">
            <v>1-2 wks</v>
          </cell>
          <cell r="Y269" t="str">
            <v>Y</v>
          </cell>
          <cell r="Z269">
            <v>2.5</v>
          </cell>
          <cell r="AA269">
            <v>34.270000000000003</v>
          </cell>
          <cell r="AB269">
            <v>0.94424802828392718</v>
          </cell>
          <cell r="AC269" t="str">
            <v>JH</v>
          </cell>
          <cell r="AD269">
            <v>1062721</v>
          </cell>
          <cell r="AE269" t="str">
            <v>POV0067026</v>
          </cell>
          <cell r="AF269" t="str">
            <v>TX</v>
          </cell>
        </row>
        <row r="270">
          <cell r="A270" t="str">
            <v>615-123462-127</v>
          </cell>
          <cell r="B270" t="str">
            <v>RES,0402,THKF,1/16W,1%,12.7K,ROHS</v>
          </cell>
          <cell r="C270" t="str">
            <v>RES</v>
          </cell>
          <cell r="D270">
            <v>15</v>
          </cell>
          <cell r="E270">
            <v>1</v>
          </cell>
          <cell r="F270" t="str">
            <v>4 Weeks</v>
          </cell>
          <cell r="G270">
            <v>10000</v>
          </cell>
          <cell r="H270">
            <v>2.4510000000000001E-3</v>
          </cell>
          <cell r="I270">
            <v>24.51</v>
          </cell>
          <cell r="J270">
            <v>2.9890243902439026E-3</v>
          </cell>
          <cell r="K270">
            <v>5.3802439024390267</v>
          </cell>
          <cell r="L270">
            <v>29.890243902439025</v>
          </cell>
          <cell r="O270"/>
          <cell r="Q270">
            <v>1</v>
          </cell>
          <cell r="R270" t="str">
            <v>RC0402FR-0712K7L</v>
          </cell>
          <cell r="S270" t="str">
            <v>YAGEO</v>
          </cell>
          <cell r="T270" t="str">
            <v>Oneyac</v>
          </cell>
          <cell r="U270">
            <v>2.5000000000000001E-4</v>
          </cell>
          <cell r="V270">
            <v>10000</v>
          </cell>
          <cell r="W270">
            <v>0</v>
          </cell>
          <cell r="X270" t="str">
            <v>1-2 wks</v>
          </cell>
          <cell r="Y270" t="str">
            <v>Y</v>
          </cell>
          <cell r="Z270">
            <v>2.5</v>
          </cell>
          <cell r="AA270">
            <v>22.01</v>
          </cell>
          <cell r="AB270">
            <v>0.91636066911464709</v>
          </cell>
          <cell r="AC270" t="str">
            <v>JH</v>
          </cell>
          <cell r="AD270">
            <v>1062721</v>
          </cell>
          <cell r="AE270" t="str">
            <v>POV0067026</v>
          </cell>
          <cell r="AF270" t="str">
            <v>TX</v>
          </cell>
        </row>
        <row r="271">
          <cell r="A271" t="str">
            <v>615-068559-324</v>
          </cell>
          <cell r="B271" t="str">
            <v>RES,SMD,THKF,1%,1/10W,100PPM,3.24K,ROHS</v>
          </cell>
          <cell r="C271" t="str">
            <v>RES</v>
          </cell>
          <cell r="D271">
            <v>25</v>
          </cell>
          <cell r="E271">
            <v>1</v>
          </cell>
          <cell r="F271" t="str">
            <v>23 Weeks</v>
          </cell>
          <cell r="G271">
            <v>5000</v>
          </cell>
          <cell r="H271">
            <v>4.9020000000000001E-3</v>
          </cell>
          <cell r="I271">
            <v>24.51</v>
          </cell>
          <cell r="J271">
            <v>5.9780487804878052E-3</v>
          </cell>
          <cell r="K271">
            <v>5.3802439024390267</v>
          </cell>
          <cell r="L271">
            <v>29.890243902439025</v>
          </cell>
          <cell r="O271"/>
          <cell r="Q271">
            <v>4</v>
          </cell>
          <cell r="R271" t="str">
            <v>AC0603FR-073K24L</v>
          </cell>
          <cell r="S271" t="str">
            <v>YAGEO</v>
          </cell>
          <cell r="T271" t="str">
            <v>Oneyac</v>
          </cell>
          <cell r="U271">
            <v>1.2099999999999999E-3</v>
          </cell>
          <cell r="V271">
            <v>5000</v>
          </cell>
          <cell r="W271">
            <v>0</v>
          </cell>
          <cell r="X271" t="str">
            <v>1-2 wks</v>
          </cell>
          <cell r="Y271" t="str">
            <v>Y</v>
          </cell>
          <cell r="Z271">
            <v>6.05</v>
          </cell>
          <cell r="AA271">
            <v>18.46</v>
          </cell>
          <cell r="AB271">
            <v>0.79759281925744596</v>
          </cell>
          <cell r="AC271" t="str">
            <v>JH</v>
          </cell>
          <cell r="AD271">
            <v>1062721</v>
          </cell>
          <cell r="AE271" t="str">
            <v>POV0067026</v>
          </cell>
          <cell r="AF271" t="str">
            <v>TX</v>
          </cell>
        </row>
        <row r="272">
          <cell r="A272" t="str">
            <v>615-068559-412</v>
          </cell>
          <cell r="B272" t="str">
            <v>RES,0603,THKF,1%,1/10W,100PPM,4.12K ROHS</v>
          </cell>
          <cell r="C272" t="str">
            <v>RES</v>
          </cell>
          <cell r="D272">
            <v>15</v>
          </cell>
          <cell r="E272">
            <v>1</v>
          </cell>
          <cell r="F272" t="str">
            <v>16 Weeks</v>
          </cell>
          <cell r="G272">
            <v>5000</v>
          </cell>
          <cell r="H272">
            <v>4.9020000000000001E-3</v>
          </cell>
          <cell r="I272">
            <v>24.51</v>
          </cell>
          <cell r="J272">
            <v>5.9780487804878052E-3</v>
          </cell>
          <cell r="K272">
            <v>5.3802439024390267</v>
          </cell>
          <cell r="L272">
            <v>29.890243902439025</v>
          </cell>
          <cell r="M272" t="str">
            <v>TAIWAN</v>
          </cell>
          <cell r="N272">
            <v>8533210030</v>
          </cell>
          <cell r="O272">
            <v>0.35</v>
          </cell>
          <cell r="P272">
            <v>8.5785</v>
          </cell>
          <cell r="Q272">
            <v>4</v>
          </cell>
          <cell r="R272" t="str">
            <v>AC0603FR-074K12L</v>
          </cell>
          <cell r="S272" t="str">
            <v>YAGEO</v>
          </cell>
          <cell r="T272" t="str">
            <v>Oneyac</v>
          </cell>
          <cell r="U272">
            <v>1.2099999999999999E-3</v>
          </cell>
          <cell r="V272">
            <v>5000</v>
          </cell>
          <cell r="W272">
            <v>0</v>
          </cell>
          <cell r="X272" t="str">
            <v>1-2 wks</v>
          </cell>
          <cell r="Y272" t="str">
            <v>Y</v>
          </cell>
          <cell r="Z272">
            <v>6.05</v>
          </cell>
          <cell r="AA272">
            <v>18.46</v>
          </cell>
          <cell r="AB272">
            <v>0.79759281925744596</v>
          </cell>
          <cell r="AC272" t="str">
            <v>JH</v>
          </cell>
          <cell r="AD272">
            <v>1062721</v>
          </cell>
          <cell r="AE272" t="str">
            <v>POV0067026</v>
          </cell>
          <cell r="AF272" t="str">
            <v>TX</v>
          </cell>
        </row>
        <row r="273">
          <cell r="A273" t="str">
            <v>615-068562-100</v>
          </cell>
          <cell r="B273" t="str">
            <v>RES,0603,THKF,1%,1/10W,100PPM,1M ROHS</v>
          </cell>
          <cell r="C273" t="str">
            <v>RES</v>
          </cell>
          <cell r="D273">
            <v>15</v>
          </cell>
          <cell r="E273">
            <v>1</v>
          </cell>
          <cell r="F273" t="str">
            <v>27 Weeks</v>
          </cell>
          <cell r="G273">
            <v>5000</v>
          </cell>
          <cell r="H273">
            <v>4.9020000000000001E-3</v>
          </cell>
          <cell r="I273">
            <v>24.51</v>
          </cell>
          <cell r="J273">
            <v>5.9780487804878052E-3</v>
          </cell>
          <cell r="K273">
            <v>5.3802439024390267</v>
          </cell>
          <cell r="L273">
            <v>29.890243902439025</v>
          </cell>
          <cell r="O273"/>
          <cell r="Q273">
            <v>2</v>
          </cell>
          <cell r="R273" t="str">
            <v>RC0603FR-071ML</v>
          </cell>
          <cell r="S273" t="str">
            <v>YAGEO</v>
          </cell>
          <cell r="T273" t="str">
            <v>Oneyac</v>
          </cell>
          <cell r="U273">
            <v>4.6999999999999999E-4</v>
          </cell>
          <cell r="V273">
            <v>5000</v>
          </cell>
          <cell r="W273">
            <v>0</v>
          </cell>
          <cell r="X273" t="str">
            <v>1-2 wks</v>
          </cell>
          <cell r="Y273" t="str">
            <v>Y</v>
          </cell>
          <cell r="Z273">
            <v>2.35</v>
          </cell>
          <cell r="AA273">
            <v>22.16</v>
          </cell>
          <cell r="AB273">
            <v>0.92137902896776824</v>
          </cell>
          <cell r="AC273" t="str">
            <v>JH</v>
          </cell>
          <cell r="AD273">
            <v>1062721</v>
          </cell>
          <cell r="AE273" t="str">
            <v>POV0067026</v>
          </cell>
          <cell r="AF273" t="str">
            <v>TX</v>
          </cell>
        </row>
        <row r="274">
          <cell r="A274" t="str">
            <v>615-301314-001</v>
          </cell>
          <cell r="B274" t="str">
            <v>RES,SMD,4.7K OHM,1%,1/10W,50V</v>
          </cell>
          <cell r="C274" t="str">
            <v>RES</v>
          </cell>
          <cell r="D274">
            <v>25</v>
          </cell>
          <cell r="E274">
            <v>1</v>
          </cell>
          <cell r="F274" t="str">
            <v>27 Weeks</v>
          </cell>
          <cell r="G274">
            <v>5000</v>
          </cell>
          <cell r="H274">
            <v>3.6770000000000001E-3</v>
          </cell>
          <cell r="I274">
            <v>18.385000000000002</v>
          </cell>
          <cell r="J274">
            <v>4.4841463414634153E-3</v>
          </cell>
          <cell r="K274">
            <v>4.0357317073170762</v>
          </cell>
          <cell r="L274">
            <v>22.420731707317078</v>
          </cell>
          <cell r="O274"/>
          <cell r="Q274">
            <v>1</v>
          </cell>
          <cell r="R274" t="str">
            <v>RC0603FR-074K7L</v>
          </cell>
          <cell r="S274" t="str">
            <v>YAGEO</v>
          </cell>
          <cell r="T274" t="str">
            <v>Oneyac</v>
          </cell>
          <cell r="U274">
            <v>4.6999999999999999E-4</v>
          </cell>
          <cell r="V274">
            <v>5000</v>
          </cell>
          <cell r="W274">
            <v>0</v>
          </cell>
          <cell r="X274" t="str">
            <v>1-2 wks</v>
          </cell>
          <cell r="Y274" t="str">
            <v>Y</v>
          </cell>
          <cell r="Z274">
            <v>2.35</v>
          </cell>
          <cell r="AA274">
            <v>16.035</v>
          </cell>
          <cell r="AB274">
            <v>0.89518629317378295</v>
          </cell>
          <cell r="AC274" t="str">
            <v>JH</v>
          </cell>
          <cell r="AD274">
            <v>1062721</v>
          </cell>
          <cell r="AE274" t="str">
            <v>POV0067026</v>
          </cell>
          <cell r="AF274" t="str">
            <v>TX</v>
          </cell>
        </row>
        <row r="275">
          <cell r="A275" t="str">
            <v>615-051883-220</v>
          </cell>
          <cell r="B275" t="str">
            <v>RES, SMD,TF,0603,22 OHM, 5%, 1/10W, ROHS</v>
          </cell>
          <cell r="C275" t="str">
            <v>RES</v>
          </cell>
          <cell r="D275">
            <v>25</v>
          </cell>
          <cell r="E275">
            <v>1</v>
          </cell>
          <cell r="F275" t="str">
            <v>19 Weeks</v>
          </cell>
          <cell r="G275">
            <v>5000</v>
          </cell>
          <cell r="H275">
            <v>3.088E-3</v>
          </cell>
          <cell r="I275">
            <v>15.44</v>
          </cell>
          <cell r="J275">
            <v>3.7658536585365855E-3</v>
          </cell>
          <cell r="K275">
            <v>3.3892682926829263</v>
          </cell>
          <cell r="L275">
            <v>18.829268292682926</v>
          </cell>
          <cell r="O275"/>
          <cell r="Q275">
            <v>4</v>
          </cell>
          <cell r="R275" t="str">
            <v>RC0603JR-0722RL</v>
          </cell>
          <cell r="S275" t="str">
            <v>YAGEO</v>
          </cell>
          <cell r="T275" t="str">
            <v>Oneyac</v>
          </cell>
          <cell r="U275">
            <v>4.4999999999999999E-4</v>
          </cell>
          <cell r="V275">
            <v>5000</v>
          </cell>
          <cell r="W275">
            <v>0</v>
          </cell>
          <cell r="X275" t="str">
            <v>1-2 wks</v>
          </cell>
          <cell r="Y275" t="str">
            <v>Y</v>
          </cell>
          <cell r="Z275">
            <v>2.25</v>
          </cell>
          <cell r="AA275">
            <v>13.19</v>
          </cell>
          <cell r="AB275">
            <v>0.88050518134715028</v>
          </cell>
          <cell r="AC275" t="str">
            <v>JH</v>
          </cell>
          <cell r="AD275">
            <v>1062721</v>
          </cell>
          <cell r="AE275" t="str">
            <v>POV0067026</v>
          </cell>
          <cell r="AF275" t="str">
            <v>TX</v>
          </cell>
        </row>
        <row r="276">
          <cell r="A276" t="str">
            <v>615-901300-150</v>
          </cell>
          <cell r="B276" t="str">
            <v>RES,SMD,0805,150,1%,1/10W,ROHS</v>
          </cell>
          <cell r="C276" t="str">
            <v>RES</v>
          </cell>
          <cell r="D276">
            <v>15</v>
          </cell>
          <cell r="E276">
            <v>1</v>
          </cell>
          <cell r="F276" t="str">
            <v>31 Weeks</v>
          </cell>
          <cell r="G276">
            <v>5000</v>
          </cell>
          <cell r="H276">
            <v>6.0289999999999996E-3</v>
          </cell>
          <cell r="I276">
            <v>30.145</v>
          </cell>
          <cell r="J276">
            <v>7.3524390243902438E-3</v>
          </cell>
          <cell r="K276">
            <v>6.6171951219512231</v>
          </cell>
          <cell r="L276">
            <v>36.762195121951223</v>
          </cell>
          <cell r="O276"/>
          <cell r="Q276">
            <v>3</v>
          </cell>
          <cell r="R276" t="str">
            <v>RC0805FR-07150RL</v>
          </cell>
          <cell r="S276" t="str">
            <v>YAGEO</v>
          </cell>
          <cell r="T276" t="str">
            <v>Oneyac</v>
          </cell>
          <cell r="U276">
            <v>8.9999999999999998E-4</v>
          </cell>
          <cell r="V276">
            <v>5000</v>
          </cell>
          <cell r="W276">
            <v>0</v>
          </cell>
          <cell r="X276" t="str">
            <v>1-2 wks</v>
          </cell>
          <cell r="Y276" t="str">
            <v>Y</v>
          </cell>
          <cell r="Z276">
            <v>4.5</v>
          </cell>
          <cell r="AA276">
            <v>25.645</v>
          </cell>
          <cell r="AB276">
            <v>0.8775916404047106</v>
          </cell>
          <cell r="AC276" t="str">
            <v>JH</v>
          </cell>
          <cell r="AD276">
            <v>1062721</v>
          </cell>
          <cell r="AE276" t="str">
            <v>POV0067026</v>
          </cell>
          <cell r="AF276" t="str">
            <v>TX</v>
          </cell>
        </row>
        <row r="277">
          <cell r="A277" t="str">
            <v>615-901302-221</v>
          </cell>
          <cell r="B277" t="str">
            <v>RES,0805,22.1K,1%,1/10W,ROHS</v>
          </cell>
          <cell r="C277" t="str">
            <v>RES</v>
          </cell>
          <cell r="D277">
            <v>15</v>
          </cell>
          <cell r="E277">
            <v>1</v>
          </cell>
          <cell r="F277" t="str">
            <v>19 Weeks</v>
          </cell>
          <cell r="G277">
            <v>5000</v>
          </cell>
          <cell r="H277">
            <v>6.1279999999999998E-3</v>
          </cell>
          <cell r="I277">
            <v>30.64</v>
          </cell>
          <cell r="J277">
            <v>7.4731707317073175E-3</v>
          </cell>
          <cell r="K277">
            <v>6.725853658536586</v>
          </cell>
          <cell r="L277">
            <v>37.365853658536587</v>
          </cell>
          <cell r="O277"/>
          <cell r="Q277">
            <v>3</v>
          </cell>
          <cell r="R277" t="str">
            <v>RC0805FR-0722K1L</v>
          </cell>
          <cell r="S277" t="str">
            <v>YAGEO</v>
          </cell>
          <cell r="T277" t="str">
            <v>Oneyac</v>
          </cell>
          <cell r="U277">
            <v>8.9999999999999998E-4</v>
          </cell>
          <cell r="V277">
            <v>5000</v>
          </cell>
          <cell r="W277">
            <v>0</v>
          </cell>
          <cell r="X277" t="str">
            <v>1-2 wks</v>
          </cell>
          <cell r="Y277" t="str">
            <v>Y</v>
          </cell>
          <cell r="Z277">
            <v>4.5</v>
          </cell>
          <cell r="AA277">
            <v>26.14</v>
          </cell>
          <cell r="AB277">
            <v>0.87956919060052219</v>
          </cell>
          <cell r="AC277" t="str">
            <v>JH</v>
          </cell>
          <cell r="AD277">
            <v>1062721</v>
          </cell>
          <cell r="AE277" t="str">
            <v>POV0067026</v>
          </cell>
          <cell r="AF277" t="str">
            <v>TX</v>
          </cell>
        </row>
        <row r="278">
          <cell r="A278" t="str">
            <v>615-901294-104</v>
          </cell>
          <cell r="B278" t="str">
            <v>RES,SMD,0805,100K,5%,1/10W,ROHS</v>
          </cell>
          <cell r="C278" t="str">
            <v>RES</v>
          </cell>
          <cell r="D278">
            <v>15</v>
          </cell>
          <cell r="E278">
            <v>1</v>
          </cell>
          <cell r="F278" t="str">
            <v>3 Weeks</v>
          </cell>
          <cell r="G278">
            <v>5000</v>
          </cell>
          <cell r="H278">
            <v>3.6770000000000001E-3</v>
          </cell>
          <cell r="I278">
            <v>18.385000000000002</v>
          </cell>
          <cell r="J278">
            <v>4.4841463414634153E-3</v>
          </cell>
          <cell r="K278">
            <v>4.0357317073170762</v>
          </cell>
          <cell r="L278">
            <v>22.420731707317078</v>
          </cell>
          <cell r="O278"/>
          <cell r="Q278">
            <v>3</v>
          </cell>
          <cell r="R278" t="str">
            <v>RC0805JR-07100KL</v>
          </cell>
          <cell r="S278" t="str">
            <v>YAGEO</v>
          </cell>
          <cell r="T278" t="str">
            <v>Oneyac</v>
          </cell>
          <cell r="U278">
            <v>7.3999999999999999E-4</v>
          </cell>
          <cell r="V278">
            <v>5000</v>
          </cell>
          <cell r="W278">
            <v>0</v>
          </cell>
          <cell r="X278" t="str">
            <v>1-2 wks</v>
          </cell>
          <cell r="Y278" t="str">
            <v>Y</v>
          </cell>
          <cell r="Z278">
            <v>3.6999999999999997</v>
          </cell>
          <cell r="AA278">
            <v>14.685000000000002</v>
          </cell>
          <cell r="AB278">
            <v>0.83497416372042432</v>
          </cell>
          <cell r="AC278" t="str">
            <v>JH</v>
          </cell>
          <cell r="AD278">
            <v>1062721</v>
          </cell>
          <cell r="AE278" t="str">
            <v>POV0067026</v>
          </cell>
          <cell r="AF278" t="str">
            <v>TX</v>
          </cell>
        </row>
        <row r="279">
          <cell r="A279" t="str">
            <v>615-901294-681</v>
          </cell>
          <cell r="B279" t="str">
            <v>RES,SMD,0805,680 OHM,5%,1/10W,ROHS</v>
          </cell>
          <cell r="C279" t="str">
            <v>RES</v>
          </cell>
          <cell r="D279">
            <v>25</v>
          </cell>
          <cell r="E279">
            <v>1</v>
          </cell>
          <cell r="F279" t="str">
            <v>3 Weeks</v>
          </cell>
          <cell r="G279">
            <v>5000</v>
          </cell>
          <cell r="H279">
            <v>4.9020000000000001E-3</v>
          </cell>
          <cell r="I279">
            <v>24.51</v>
          </cell>
          <cell r="J279">
            <v>5.9780487804878052E-3</v>
          </cell>
          <cell r="K279">
            <v>5.3802439024390267</v>
          </cell>
          <cell r="L279">
            <v>29.890243902439025</v>
          </cell>
          <cell r="O279"/>
          <cell r="Q279">
            <v>3</v>
          </cell>
          <cell r="R279" t="str">
            <v>RC0805JR-07680RL</v>
          </cell>
          <cell r="S279" t="str">
            <v>YAGEO</v>
          </cell>
          <cell r="T279" t="str">
            <v>Oneyac</v>
          </cell>
          <cell r="U279">
            <v>7.3999999999999999E-4</v>
          </cell>
          <cell r="V279">
            <v>5000</v>
          </cell>
          <cell r="W279">
            <v>0</v>
          </cell>
          <cell r="X279" t="str">
            <v>1-2 wks</v>
          </cell>
          <cell r="Y279" t="str">
            <v>Y</v>
          </cell>
          <cell r="Z279">
            <v>3.6999999999999997</v>
          </cell>
          <cell r="AA279">
            <v>20.810000000000002</v>
          </cell>
          <cell r="AB279">
            <v>0.87621379028967772</v>
          </cell>
          <cell r="AC279" t="str">
            <v>JH</v>
          </cell>
          <cell r="AD279">
            <v>1062721</v>
          </cell>
          <cell r="AE279" t="str">
            <v>POV0067026</v>
          </cell>
          <cell r="AF279" t="str">
            <v>TX</v>
          </cell>
        </row>
        <row r="280">
          <cell r="A280" t="str">
            <v>615-032231-040</v>
          </cell>
          <cell r="B280" t="str">
            <v>RES,SMD,THKF,1206,0 OHM,5%,1/4W,ROHS</v>
          </cell>
          <cell r="C280" t="str">
            <v>RES</v>
          </cell>
          <cell r="D280">
            <v>25</v>
          </cell>
          <cell r="E280">
            <v>1</v>
          </cell>
          <cell r="F280" t="str">
            <v>24 Weeks</v>
          </cell>
          <cell r="G280">
            <v>5000</v>
          </cell>
          <cell r="H280">
            <v>6.1279999999999998E-3</v>
          </cell>
          <cell r="I280">
            <v>30.64</v>
          </cell>
          <cell r="J280">
            <v>7.4731707317073175E-3</v>
          </cell>
          <cell r="K280">
            <v>6.725853658536586</v>
          </cell>
          <cell r="L280">
            <v>37.365853658536587</v>
          </cell>
          <cell r="O280"/>
          <cell r="Q280">
            <v>2</v>
          </cell>
          <cell r="R280" t="str">
            <v>RC1206JR-070RL</v>
          </cell>
          <cell r="S280" t="str">
            <v>YAGEO</v>
          </cell>
          <cell r="T280" t="str">
            <v>Oneyac</v>
          </cell>
          <cell r="U280">
            <v>1.2600000000000001E-3</v>
          </cell>
          <cell r="V280">
            <v>5000</v>
          </cell>
          <cell r="W280">
            <v>0</v>
          </cell>
          <cell r="X280" t="str">
            <v>1-2 wks</v>
          </cell>
          <cell r="Y280" t="str">
            <v>Y</v>
          </cell>
          <cell r="Z280">
            <v>6.3</v>
          </cell>
          <cell r="AA280">
            <v>24.34</v>
          </cell>
          <cell r="AB280">
            <v>0.83139686684073111</v>
          </cell>
          <cell r="AC280" t="str">
            <v>JH</v>
          </cell>
          <cell r="AD280">
            <v>1062721</v>
          </cell>
          <cell r="AE280" t="str">
            <v>POV0067026</v>
          </cell>
          <cell r="AF280" t="str">
            <v>TX</v>
          </cell>
        </row>
        <row r="281">
          <cell r="A281" t="str">
            <v>668-335595-001</v>
          </cell>
          <cell r="B281" t="str">
            <v>CONN,RCPT,DSUB HD,26 POSN,2.5A,W/BD LOCK</v>
          </cell>
          <cell r="C281" t="str">
            <v>CONN</v>
          </cell>
          <cell r="D281">
            <v>15</v>
          </cell>
          <cell r="E281">
            <v>1</v>
          </cell>
          <cell r="F281" t="str">
            <v>13 Weeks</v>
          </cell>
          <cell r="G281">
            <v>1540</v>
          </cell>
          <cell r="H281">
            <v>1.8137399999999999</v>
          </cell>
          <cell r="I281">
            <v>2793.1596</v>
          </cell>
          <cell r="J281">
            <v>2.2118780487804877</v>
          </cell>
          <cell r="K281">
            <v>613.13259512195145</v>
          </cell>
          <cell r="L281">
            <v>3406.292195121951</v>
          </cell>
          <cell r="O281"/>
          <cell r="Q281">
            <v>1</v>
          </cell>
          <cell r="R281" t="str">
            <v>10090929-S264XLF</v>
          </cell>
          <cell r="S281" t="str">
            <v>AMPHENOL ICC</v>
          </cell>
          <cell r="T281" t="str">
            <v>Waldom</v>
          </cell>
          <cell r="U281">
            <v>1.39</v>
          </cell>
          <cell r="V281">
            <v>1540</v>
          </cell>
          <cell r="W281">
            <v>0</v>
          </cell>
          <cell r="Y281" t="str">
            <v>Y</v>
          </cell>
          <cell r="Z281">
            <v>2140.6</v>
          </cell>
          <cell r="AA281">
            <v>652.55960000000005</v>
          </cell>
          <cell r="AB281">
            <v>0.37157475713167265</v>
          </cell>
          <cell r="AC281" t="str">
            <v>JH</v>
          </cell>
          <cell r="AD281">
            <v>1062721</v>
          </cell>
          <cell r="AE281" t="str">
            <v xml:space="preserve">POV0067050 </v>
          </cell>
          <cell r="AF281" t="str">
            <v>JH</v>
          </cell>
        </row>
        <row r="282">
          <cell r="A282" t="str">
            <v>667-A73672-003</v>
          </cell>
          <cell r="B282" t="str">
            <v>CONN,SMD,HDR,3PIN,1MM PITCH,SN PLD,RTANG</v>
          </cell>
          <cell r="C282" t="str">
            <v>CONN</v>
          </cell>
          <cell r="D282">
            <v>25</v>
          </cell>
          <cell r="E282">
            <v>1</v>
          </cell>
          <cell r="F282" t="str">
            <v>3 Weeks</v>
          </cell>
          <cell r="G282">
            <v>1300</v>
          </cell>
          <cell r="H282">
            <v>0.307674</v>
          </cell>
          <cell r="I282">
            <v>399.97620000000001</v>
          </cell>
          <cell r="J282">
            <v>0.37521219512195125</v>
          </cell>
          <cell r="K282">
            <v>87.799653658536613</v>
          </cell>
          <cell r="L282">
            <v>487.77585365853662</v>
          </cell>
          <cell r="O282"/>
          <cell r="Q282">
            <v>1</v>
          </cell>
          <cell r="R282">
            <v>5019530307</v>
          </cell>
          <cell r="S282" t="str">
            <v>MOLEX, LLC</v>
          </cell>
          <cell r="T282" t="str">
            <v>Waldom</v>
          </cell>
          <cell r="U282">
            <v>0.31</v>
          </cell>
          <cell r="V282">
            <v>1300</v>
          </cell>
          <cell r="W282">
            <v>0</v>
          </cell>
          <cell r="Y282" t="str">
            <v>Y</v>
          </cell>
          <cell r="Z282">
            <v>403</v>
          </cell>
          <cell r="AA282">
            <v>-3.0237999999999943</v>
          </cell>
          <cell r="AB282" t="str">
            <v/>
          </cell>
          <cell r="AC282" t="str">
            <v>JH</v>
          </cell>
          <cell r="AD282">
            <v>1062721</v>
          </cell>
          <cell r="AE282" t="str">
            <v xml:space="preserve">POV0067050 </v>
          </cell>
          <cell r="AF282" t="str">
            <v>JH</v>
          </cell>
        </row>
        <row r="283">
          <cell r="A283" t="str">
            <v>674-130057-001</v>
          </cell>
          <cell r="B283" t="str">
            <v>TERM,SMD,JUMPER</v>
          </cell>
          <cell r="C283" t="str">
            <v>TERM</v>
          </cell>
          <cell r="D283">
            <v>25</v>
          </cell>
          <cell r="E283">
            <v>1</v>
          </cell>
          <cell r="F283" t="str">
            <v>23 Weeks</v>
          </cell>
          <cell r="G283">
            <v>1000</v>
          </cell>
          <cell r="H283">
            <v>0.112746</v>
          </cell>
          <cell r="I283">
            <v>112.746</v>
          </cell>
          <cell r="J283">
            <v>0.13749512195121952</v>
          </cell>
          <cell r="K283">
            <v>24.749121951219522</v>
          </cell>
          <cell r="L283">
            <v>137.49512195121952</v>
          </cell>
          <cell r="O283"/>
          <cell r="Q283">
            <v>1</v>
          </cell>
          <cell r="R283" t="str">
            <v>S1621-46</v>
          </cell>
          <cell r="S283" t="str">
            <v>Harwin</v>
          </cell>
          <cell r="T283" t="str">
            <v>Waldom</v>
          </cell>
          <cell r="U283">
            <v>6.0999999999999999E-2</v>
          </cell>
          <cell r="V283">
            <v>1000</v>
          </cell>
          <cell r="W283">
            <v>0</v>
          </cell>
          <cell r="Y283" t="str">
            <v>Y</v>
          </cell>
          <cell r="Z283">
            <v>61</v>
          </cell>
          <cell r="AA283">
            <v>51.745999999999995</v>
          </cell>
          <cell r="AB283">
            <v>0.55634789704291066</v>
          </cell>
          <cell r="AC283" t="str">
            <v>JH</v>
          </cell>
          <cell r="AD283">
            <v>1062721</v>
          </cell>
          <cell r="AE283" t="str">
            <v xml:space="preserve">POV0067050 </v>
          </cell>
          <cell r="AF283" t="str">
            <v>JH</v>
          </cell>
        </row>
        <row r="284">
          <cell r="A284" t="str">
            <v>646-130453-002</v>
          </cell>
          <cell r="B284" t="str">
            <v>SW,SMD,DIP STRAIGHT 2 POLES,ROHS</v>
          </cell>
          <cell r="C284" t="str">
            <v>SW</v>
          </cell>
          <cell r="D284">
            <v>25</v>
          </cell>
          <cell r="E284">
            <v>1</v>
          </cell>
          <cell r="F284" t="str">
            <v>12 Weeks</v>
          </cell>
          <cell r="G284">
            <v>500</v>
          </cell>
          <cell r="H284">
            <v>2.8676699999999999</v>
          </cell>
          <cell r="I284">
            <v>1433.835</v>
          </cell>
          <cell r="J284">
            <v>3.4971585365853661</v>
          </cell>
          <cell r="K284">
            <v>314.74426829268305</v>
          </cell>
          <cell r="L284">
            <v>1748.5792682926831</v>
          </cell>
          <cell r="M284" t="str">
            <v>CHINA</v>
          </cell>
          <cell r="N284">
            <v>8536509065</v>
          </cell>
          <cell r="O284">
            <v>0.35</v>
          </cell>
          <cell r="P284">
            <v>501.84224999999998</v>
          </cell>
          <cell r="Q284">
            <v>1</v>
          </cell>
          <cell r="R284" t="str">
            <v>76HPSB02GWRT</v>
          </cell>
          <cell r="S284" t="str">
            <v>Grayhill</v>
          </cell>
          <cell r="T284" t="str">
            <v>Waldom</v>
          </cell>
          <cell r="U284">
            <v>2.2400000000000002</v>
          </cell>
          <cell r="V284">
            <v>500</v>
          </cell>
          <cell r="W284">
            <v>0</v>
          </cell>
          <cell r="Y284" t="str">
            <v>Y</v>
          </cell>
          <cell r="Z284">
            <v>1120</v>
          </cell>
          <cell r="AA284">
            <v>313.83500000000004</v>
          </cell>
          <cell r="AB284">
            <v>0.35947999595490421</v>
          </cell>
          <cell r="AC284" t="str">
            <v>JH</v>
          </cell>
          <cell r="AD284">
            <v>1062721</v>
          </cell>
          <cell r="AE284" t="str">
            <v xml:space="preserve">POV0067050 </v>
          </cell>
          <cell r="AF284" t="str">
            <v>JH</v>
          </cell>
        </row>
        <row r="285">
          <cell r="A285" t="str">
            <v>669-007340-001</v>
          </cell>
          <cell r="B285" t="str">
            <v>JUMPER  FEMALE .100 CENTERS,ROHS</v>
          </cell>
          <cell r="C285" t="str">
            <v>JMP</v>
          </cell>
          <cell r="D285">
            <v>15</v>
          </cell>
          <cell r="E285" t="str">
            <v>N/A</v>
          </cell>
          <cell r="F285" t="str">
            <v>3 Weeks</v>
          </cell>
          <cell r="G285">
            <v>500</v>
          </cell>
          <cell r="H285">
            <v>0.36764999999999998</v>
          </cell>
          <cell r="I285">
            <v>183.82499999999999</v>
          </cell>
          <cell r="J285">
            <v>0.44835365853658538</v>
          </cell>
          <cell r="K285">
            <v>40.351829268292704</v>
          </cell>
          <cell r="L285">
            <v>224.17682926829269</v>
          </cell>
          <cell r="O285"/>
          <cell r="Q285">
            <v>2</v>
          </cell>
          <cell r="R285" t="str">
            <v>65474-010LF</v>
          </cell>
          <cell r="S285" t="str">
            <v>Amphenol FCI</v>
          </cell>
          <cell r="T285" t="str">
            <v>Waldom</v>
          </cell>
          <cell r="U285">
            <v>0.16900000000000001</v>
          </cell>
          <cell r="V285">
            <v>500</v>
          </cell>
          <cell r="W285">
            <v>0</v>
          </cell>
          <cell r="Y285" t="str">
            <v>Y</v>
          </cell>
          <cell r="Z285">
            <v>84.5</v>
          </cell>
          <cell r="AA285">
            <v>99.324999999999989</v>
          </cell>
          <cell r="AB285">
            <v>0.62306541547667615</v>
          </cell>
          <cell r="AC285" t="str">
            <v>JH</v>
          </cell>
          <cell r="AD285">
            <v>1062721</v>
          </cell>
          <cell r="AE285" t="str">
            <v xml:space="preserve">POV0067050 </v>
          </cell>
          <cell r="AF285" t="str">
            <v>JH</v>
          </cell>
        </row>
        <row r="286">
          <cell r="A286" t="str">
            <v>668-129989-001</v>
          </cell>
          <cell r="B286" t="str">
            <v>CONN,PLUG,DIN,120 PIN,VERT,ROHS</v>
          </cell>
          <cell r="C286" t="str">
            <v>CONN</v>
          </cell>
          <cell r="D286">
            <v>15</v>
          </cell>
          <cell r="E286">
            <v>1</v>
          </cell>
          <cell r="F286" t="str">
            <v>14 Weeks</v>
          </cell>
          <cell r="G286">
            <v>600</v>
          </cell>
          <cell r="H286">
            <v>8.5049700000000001</v>
          </cell>
          <cell r="I286">
            <v>5102.982</v>
          </cell>
          <cell r="J286">
            <v>10.371914634146343</v>
          </cell>
          <cell r="K286">
            <v>1120.1667804878052</v>
          </cell>
          <cell r="L286">
            <v>6223.1487804878061</v>
          </cell>
          <cell r="O286"/>
          <cell r="Q286">
            <v>1</v>
          </cell>
          <cell r="R286" t="str">
            <v>5650919-5</v>
          </cell>
          <cell r="S286" t="str">
            <v>TE CONNECTIVITY</v>
          </cell>
          <cell r="T286" t="str">
            <v>Waldom</v>
          </cell>
          <cell r="U286">
            <v>6.56</v>
          </cell>
          <cell r="V286">
            <v>402</v>
          </cell>
          <cell r="W286">
            <v>198</v>
          </cell>
          <cell r="Y286" t="str">
            <v>Y</v>
          </cell>
          <cell r="Z286">
            <v>2637.12</v>
          </cell>
          <cell r="AA286">
            <v>781.87794000000031</v>
          </cell>
          <cell r="AB286">
            <v>0.36752275434246096</v>
          </cell>
          <cell r="AC286" t="str">
            <v>JH</v>
          </cell>
          <cell r="AD286">
            <v>1062721</v>
          </cell>
          <cell r="AE286" t="str">
            <v xml:space="preserve">POV0067050 </v>
          </cell>
          <cell r="AF286" t="str">
            <v>JH</v>
          </cell>
        </row>
        <row r="287">
          <cell r="A287" t="str">
            <v>667-160101-002</v>
          </cell>
          <cell r="B287" t="str">
            <v>CONN,SMD,HDR,2 ROW,0.8MM,120POSN,7.7MM</v>
          </cell>
          <cell r="C287" t="str">
            <v>CONN</v>
          </cell>
          <cell r="D287">
            <v>25</v>
          </cell>
          <cell r="E287">
            <v>1</v>
          </cell>
          <cell r="F287" t="str">
            <v>9 Weeks</v>
          </cell>
          <cell r="G287">
            <v>400</v>
          </cell>
          <cell r="H287">
            <v>5.7108299999999996</v>
          </cell>
          <cell r="I287">
            <v>2284.3319999999999</v>
          </cell>
          <cell r="J287">
            <v>6.9644268292682927</v>
          </cell>
          <cell r="K287">
            <v>501.4387317073174</v>
          </cell>
          <cell r="L287">
            <v>2785.7707317073173</v>
          </cell>
          <cell r="O287"/>
          <cell r="Q287">
            <v>1</v>
          </cell>
          <cell r="R287" t="str">
            <v>61083-124402LF</v>
          </cell>
          <cell r="S287" t="str">
            <v>AMPHENOL ICC</v>
          </cell>
          <cell r="T287" t="str">
            <v>Waldom</v>
          </cell>
          <cell r="U287">
            <v>4.2300000000000004</v>
          </cell>
          <cell r="V287">
            <v>400</v>
          </cell>
          <cell r="W287">
            <v>0</v>
          </cell>
          <cell r="Y287" t="str">
            <v>Y</v>
          </cell>
          <cell r="Z287">
            <v>1692.0000000000002</v>
          </cell>
          <cell r="AA287">
            <v>592.33199999999965</v>
          </cell>
          <cell r="AB287">
            <v>0.39262769159649291</v>
          </cell>
          <cell r="AC287" t="str">
            <v>JH</v>
          </cell>
          <cell r="AD287">
            <v>1062721</v>
          </cell>
          <cell r="AE287" t="str">
            <v xml:space="preserve">POV0067050 </v>
          </cell>
          <cell r="AF287" t="str">
            <v>JH</v>
          </cell>
        </row>
        <row r="288">
          <cell r="A288" t="str">
            <v>630-307927-001</v>
          </cell>
          <cell r="B288" t="str">
            <v>IC,SENSOR HUMID/TEMP 3V I2C 2% SMD</v>
          </cell>
          <cell r="C288" t="str">
            <v>IC</v>
          </cell>
          <cell r="D288">
            <v>15</v>
          </cell>
          <cell r="E288">
            <v>1</v>
          </cell>
          <cell r="F288" t="str">
            <v>13 Weeks</v>
          </cell>
          <cell r="G288">
            <v>400</v>
          </cell>
          <cell r="H288">
            <v>2.4387449999999999</v>
          </cell>
          <cell r="I288">
            <v>975.49799999999993</v>
          </cell>
          <cell r="J288">
            <v>2.9740792682926829</v>
          </cell>
          <cell r="K288">
            <v>214.13370731707312</v>
          </cell>
          <cell r="L288">
            <v>1189.6317073170731</v>
          </cell>
          <cell r="O288"/>
          <cell r="Q288">
            <v>1</v>
          </cell>
          <cell r="R288" t="str">
            <v>HPP845E031R4</v>
          </cell>
          <cell r="S288" t="str">
            <v>Measurement Specialties</v>
          </cell>
          <cell r="T288" t="str">
            <v>Waldom</v>
          </cell>
          <cell r="U288">
            <v>2.94</v>
          </cell>
          <cell r="V288">
            <v>400</v>
          </cell>
          <cell r="W288">
            <v>0</v>
          </cell>
          <cell r="Y288" t="str">
            <v>Y</v>
          </cell>
          <cell r="Z288">
            <v>1176</v>
          </cell>
          <cell r="AA288">
            <v>-200.50200000000007</v>
          </cell>
          <cell r="AB288" t="str">
            <v/>
          </cell>
          <cell r="AC288" t="str">
            <v>JH</v>
          </cell>
          <cell r="AD288">
            <v>1061234</v>
          </cell>
          <cell r="AE288" t="str">
            <v>POV0067050</v>
          </cell>
          <cell r="AF288" t="str">
            <v>JH</v>
          </cell>
        </row>
        <row r="289">
          <cell r="A289" t="str">
            <v>668-130332-001</v>
          </cell>
          <cell r="B289" t="str">
            <v>CONN,PLUG,HEADER,20 PIN,VERT,ROHS</v>
          </cell>
          <cell r="C289" t="str">
            <v>CONN</v>
          </cell>
          <cell r="D289">
            <v>15</v>
          </cell>
          <cell r="E289">
            <v>1</v>
          </cell>
          <cell r="F289" t="str">
            <v>23 Weeks</v>
          </cell>
          <cell r="G289">
            <v>360</v>
          </cell>
          <cell r="H289">
            <v>3.8718940000000002</v>
          </cell>
          <cell r="I289">
            <v>1393.88184</v>
          </cell>
          <cell r="J289">
            <v>4.7218219512195123</v>
          </cell>
          <cell r="K289">
            <v>305.97406243902446</v>
          </cell>
          <cell r="L289">
            <v>1699.8559024390245</v>
          </cell>
          <cell r="O289"/>
          <cell r="Q289">
            <v>1</v>
          </cell>
          <cell r="R289" t="str">
            <v>10080054-079LF</v>
          </cell>
          <cell r="S289" t="str">
            <v>FCI</v>
          </cell>
          <cell r="T289" t="str">
            <v>Waldom</v>
          </cell>
          <cell r="U289">
            <v>2.14</v>
          </cell>
          <cell r="V289">
            <v>312</v>
          </cell>
          <cell r="W289">
            <v>48</v>
          </cell>
          <cell r="Y289" t="str">
            <v>Y</v>
          </cell>
          <cell r="Z289">
            <v>667.68000000000006</v>
          </cell>
          <cell r="AA289">
            <v>540.35092800000007</v>
          </cell>
          <cell r="AB289">
            <v>0.54678511343544001</v>
          </cell>
          <cell r="AC289" t="str">
            <v>JH</v>
          </cell>
          <cell r="AD289">
            <v>1062721</v>
          </cell>
          <cell r="AE289" t="str">
            <v xml:space="preserve">POV0067050 </v>
          </cell>
          <cell r="AF289" t="str">
            <v>JH</v>
          </cell>
        </row>
        <row r="290">
          <cell r="A290" t="str">
            <v>667-A53008-010</v>
          </cell>
          <cell r="B290" t="str">
            <v>CONN,SMD,RCPT,2ROW,100POSN,0.8MM PITCH</v>
          </cell>
          <cell r="C290" t="str">
            <v>CONN</v>
          </cell>
          <cell r="D290">
            <v>15</v>
          </cell>
          <cell r="E290">
            <v>1</v>
          </cell>
          <cell r="F290" t="str">
            <v>9 Weeks</v>
          </cell>
          <cell r="G290">
            <v>200</v>
          </cell>
          <cell r="H290">
            <v>4.1122880000000004</v>
          </cell>
          <cell r="I290">
            <v>822.45760000000007</v>
          </cell>
          <cell r="J290">
            <v>5.0149853658536596</v>
          </cell>
          <cell r="K290">
            <v>180.53947317073175</v>
          </cell>
          <cell r="L290">
            <v>1002.9970731707319</v>
          </cell>
          <cell r="M290" t="str">
            <v>CHINA</v>
          </cell>
          <cell r="N290">
            <v>8536694040</v>
          </cell>
          <cell r="O290">
            <v>0.35</v>
          </cell>
          <cell r="P290">
            <v>287.86016000000001</v>
          </cell>
          <cell r="Q290">
            <v>1</v>
          </cell>
          <cell r="R290" t="str">
            <v>61082-102400LF</v>
          </cell>
          <cell r="S290" t="str">
            <v>AMPHENOL ICC</v>
          </cell>
          <cell r="T290" t="str">
            <v>Waldom</v>
          </cell>
          <cell r="U290">
            <v>2.44</v>
          </cell>
          <cell r="V290">
            <v>200</v>
          </cell>
          <cell r="W290">
            <v>0</v>
          </cell>
          <cell r="Y290" t="str">
            <v>Y</v>
          </cell>
          <cell r="Z290">
            <v>488</v>
          </cell>
          <cell r="AA290">
            <v>334.45760000000007</v>
          </cell>
          <cell r="AB290">
            <v>0.51345820137111031</v>
          </cell>
          <cell r="AC290" t="str">
            <v>JH</v>
          </cell>
          <cell r="AD290">
            <v>1062721</v>
          </cell>
          <cell r="AE290" t="str">
            <v xml:space="preserve">POV0067050 </v>
          </cell>
          <cell r="AF290" t="str">
            <v>JH</v>
          </cell>
        </row>
        <row r="291">
          <cell r="A291" t="str">
            <v>668-A20995-044</v>
          </cell>
          <cell r="B291" t="str">
            <v>CONN,D-SUB,H-DENSITY,MALE,44POSN,RTANG</v>
          </cell>
          <cell r="C291" t="str">
            <v>CONN</v>
          </cell>
          <cell r="D291">
            <v>25</v>
          </cell>
          <cell r="E291">
            <v>1</v>
          </cell>
          <cell r="F291" t="str">
            <v>13 Weeks</v>
          </cell>
          <cell r="G291">
            <v>200</v>
          </cell>
          <cell r="H291">
            <v>2.9653420000000001</v>
          </cell>
          <cell r="I291">
            <v>593.0684</v>
          </cell>
          <cell r="J291">
            <v>3.6162707317073175</v>
          </cell>
          <cell r="K291">
            <v>130.18574634146341</v>
          </cell>
          <cell r="L291">
            <v>723.25414634146352</v>
          </cell>
          <cell r="M291" t="str">
            <v>CHINA</v>
          </cell>
          <cell r="N291">
            <v>8536694040</v>
          </cell>
          <cell r="O291">
            <v>0.35</v>
          </cell>
          <cell r="P291">
            <v>207.57393999999999</v>
          </cell>
          <cell r="Q291">
            <v>1</v>
          </cell>
          <cell r="R291" t="str">
            <v>10090926-P444VLF</v>
          </cell>
          <cell r="S291" t="str">
            <v>AMPHENOL ICC</v>
          </cell>
          <cell r="T291" t="str">
            <v>Waldom</v>
          </cell>
          <cell r="U291">
            <v>1.67</v>
          </cell>
          <cell r="V291">
            <v>200</v>
          </cell>
          <cell r="W291">
            <v>0</v>
          </cell>
          <cell r="Y291" t="str">
            <v>Y</v>
          </cell>
          <cell r="Z291">
            <v>334</v>
          </cell>
          <cell r="AA291">
            <v>259.0684</v>
          </cell>
          <cell r="AB291">
            <v>0.53819829213628656</v>
          </cell>
          <cell r="AC291" t="str">
            <v>JH</v>
          </cell>
          <cell r="AD291">
            <v>1062721</v>
          </cell>
          <cell r="AE291" t="str">
            <v xml:space="preserve">POV0067050 </v>
          </cell>
          <cell r="AF291" t="str">
            <v>JH</v>
          </cell>
        </row>
        <row r="292">
          <cell r="A292" t="str">
            <v>668-A66066-006</v>
          </cell>
          <cell r="B292" t="str">
            <v>CONN,HDR,6CKT,7.5MM PITCH,18A,600V,TH</v>
          </cell>
          <cell r="C292" t="str">
            <v>CONN</v>
          </cell>
          <cell r="D292">
            <v>15</v>
          </cell>
          <cell r="E292">
            <v>1</v>
          </cell>
          <cell r="F292" t="str">
            <v>27 Weeks</v>
          </cell>
          <cell r="G292">
            <v>200</v>
          </cell>
          <cell r="H292">
            <v>1.7524649999999999</v>
          </cell>
          <cell r="I292">
            <v>350.49299999999999</v>
          </cell>
          <cell r="J292">
            <v>2.1371524390243901</v>
          </cell>
          <cell r="K292">
            <v>76.93748780487806</v>
          </cell>
          <cell r="L292">
            <v>427.430487804878</v>
          </cell>
          <cell r="O292"/>
          <cell r="Q292">
            <v>1</v>
          </cell>
          <cell r="R292" t="str">
            <v>43160-0106</v>
          </cell>
          <cell r="S292" t="str">
            <v>MOLEX, LLC</v>
          </cell>
          <cell r="T292" t="str">
            <v>Waldom</v>
          </cell>
          <cell r="U292">
            <v>1.29</v>
          </cell>
          <cell r="V292">
            <v>200</v>
          </cell>
          <cell r="W292">
            <v>0</v>
          </cell>
          <cell r="Y292" t="str">
            <v>Y</v>
          </cell>
          <cell r="Z292">
            <v>258</v>
          </cell>
          <cell r="AA292">
            <v>92.492999999999995</v>
          </cell>
          <cell r="AB292">
            <v>0.3963930806036069</v>
          </cell>
          <cell r="AC292" t="str">
            <v>JH</v>
          </cell>
          <cell r="AD292">
            <v>1062721</v>
          </cell>
          <cell r="AE292" t="str">
            <v xml:space="preserve">POV0067050 </v>
          </cell>
          <cell r="AF292" t="str">
            <v>JH</v>
          </cell>
        </row>
        <row r="293">
          <cell r="A293" t="str">
            <v>668-A66066-005</v>
          </cell>
          <cell r="B293" t="str">
            <v>CONN,HDR,5CKT,7.5MM PITCH,18A,600V,TH</v>
          </cell>
          <cell r="C293" t="str">
            <v>CONN</v>
          </cell>
          <cell r="D293">
            <v>15</v>
          </cell>
          <cell r="E293">
            <v>1</v>
          </cell>
          <cell r="F293" t="str">
            <v>23 Weeks</v>
          </cell>
          <cell r="G293">
            <v>200</v>
          </cell>
          <cell r="H293">
            <v>1.8269599999999999</v>
          </cell>
          <cell r="I293">
            <v>365.392</v>
          </cell>
          <cell r="J293">
            <v>2.2280000000000002</v>
          </cell>
          <cell r="K293">
            <v>80.208000000000027</v>
          </cell>
          <cell r="L293">
            <v>445.6</v>
          </cell>
          <cell r="O293"/>
          <cell r="Q293">
            <v>1</v>
          </cell>
          <cell r="R293" t="str">
            <v>43160-0105</v>
          </cell>
          <cell r="S293" t="str">
            <v>MOLEX, LLC</v>
          </cell>
          <cell r="T293" t="str">
            <v>Waldom</v>
          </cell>
          <cell r="U293">
            <v>1.1399999999999999</v>
          </cell>
          <cell r="V293">
            <v>200</v>
          </cell>
          <cell r="W293">
            <v>0</v>
          </cell>
          <cell r="Y293" t="str">
            <v>Y</v>
          </cell>
          <cell r="Z293">
            <v>227.99999999999997</v>
          </cell>
          <cell r="AA293">
            <v>137.39200000000002</v>
          </cell>
          <cell r="AB293">
            <v>0.48833034111310603</v>
          </cell>
          <cell r="AC293" t="str">
            <v>JH</v>
          </cell>
          <cell r="AD293">
            <v>1062721</v>
          </cell>
          <cell r="AE293" t="str">
            <v xml:space="preserve">POV0067050 </v>
          </cell>
          <cell r="AF293" t="str">
            <v>JH</v>
          </cell>
        </row>
        <row r="294">
          <cell r="A294" t="str">
            <v>668-A79668-015</v>
          </cell>
          <cell r="B294" t="str">
            <v>CONN,D-SUB,RCPT,15 POSN,WIRE-WRAP TERMN</v>
          </cell>
          <cell r="C294" t="str">
            <v>CONN</v>
          </cell>
          <cell r="D294">
            <v>15</v>
          </cell>
          <cell r="E294">
            <v>1</v>
          </cell>
          <cell r="F294" t="str">
            <v>17 Weeks</v>
          </cell>
          <cell r="G294">
            <v>400</v>
          </cell>
          <cell r="H294">
            <v>7.7786770000000001</v>
          </cell>
          <cell r="I294">
            <v>3111.4708000000001</v>
          </cell>
          <cell r="J294">
            <v>9.4861914634146345</v>
          </cell>
          <cell r="K294">
            <v>683.00578536585408</v>
          </cell>
          <cell r="L294">
            <v>3794.4765853658537</v>
          </cell>
          <cell r="O294"/>
          <cell r="Q294">
            <v>1</v>
          </cell>
          <cell r="R294" t="str">
            <v>L77DA15SF179A</v>
          </cell>
          <cell r="S294" t="str">
            <v>AMPHENOL ICC</v>
          </cell>
          <cell r="T294" t="str">
            <v>Waldom</v>
          </cell>
          <cell r="U294">
            <v>5.72</v>
          </cell>
          <cell r="V294">
            <v>182</v>
          </cell>
          <cell r="W294">
            <v>218</v>
          </cell>
          <cell r="Y294" t="str">
            <v>Y</v>
          </cell>
          <cell r="Z294">
            <v>1041.04</v>
          </cell>
          <cell r="AA294">
            <v>374.679214</v>
          </cell>
          <cell r="AB294">
            <v>0.39701828472888134</v>
          </cell>
          <cell r="AC294" t="str">
            <v>JH</v>
          </cell>
          <cell r="AD294">
            <v>1062721</v>
          </cell>
          <cell r="AE294" t="str">
            <v xml:space="preserve">POV0067050 </v>
          </cell>
          <cell r="AF294" t="str">
            <v>JH</v>
          </cell>
        </row>
        <row r="295">
          <cell r="A295" t="str">
            <v>668-266373-001</v>
          </cell>
          <cell r="B295" t="str">
            <v>CONN,RCPT,TNC,50 OHM,RT ANGLE</v>
          </cell>
          <cell r="C295" t="str">
            <v>CONN</v>
          </cell>
          <cell r="D295">
            <v>25</v>
          </cell>
          <cell r="E295">
            <v>1</v>
          </cell>
          <cell r="F295" t="str">
            <v>3 Weeks</v>
          </cell>
          <cell r="G295">
            <v>50</v>
          </cell>
          <cell r="H295">
            <v>3.517185</v>
          </cell>
          <cell r="I295">
            <v>175.85925</v>
          </cell>
          <cell r="J295">
            <v>4.28925</v>
          </cell>
          <cell r="K295">
            <v>38.603250000000003</v>
          </cell>
          <cell r="L295">
            <v>214.46250000000001</v>
          </cell>
          <cell r="O295"/>
          <cell r="Q295">
            <v>1</v>
          </cell>
          <cell r="R295">
            <v>732055033</v>
          </cell>
          <cell r="S295" t="str">
            <v>MOLEX, LLC</v>
          </cell>
          <cell r="T295" t="str">
            <v>Waldom</v>
          </cell>
          <cell r="U295">
            <v>2.41</v>
          </cell>
          <cell r="V295">
            <v>50</v>
          </cell>
          <cell r="W295">
            <v>0</v>
          </cell>
          <cell r="Y295" t="str">
            <v>Y</v>
          </cell>
          <cell r="Z295">
            <v>120.5</v>
          </cell>
          <cell r="AA295">
            <v>55.359250000000003</v>
          </cell>
          <cell r="AB295">
            <v>0.43813020924404034</v>
          </cell>
          <cell r="AC295" t="str">
            <v>JH</v>
          </cell>
          <cell r="AD295">
            <v>1062721</v>
          </cell>
          <cell r="AE295" t="str">
            <v xml:space="preserve">POV0067050 </v>
          </cell>
          <cell r="AF295" t="str">
            <v>JH</v>
          </cell>
        </row>
        <row r="296">
          <cell r="A296" t="str">
            <v>670-037698-039</v>
          </cell>
          <cell r="B296" t="str">
            <v>FUSE,CLASS CC,600V,TIME DLY,12 AMP</v>
          </cell>
          <cell r="C296" t="str">
            <v>FUSE</v>
          </cell>
          <cell r="D296">
            <v>25</v>
          </cell>
          <cell r="E296" t="str">
            <v>N/A</v>
          </cell>
          <cell r="F296" t="str">
            <v>17 Weeks</v>
          </cell>
          <cell r="G296">
            <v>50</v>
          </cell>
          <cell r="H296">
            <v>51.283988999999998</v>
          </cell>
          <cell r="I296">
            <v>2564.1994500000001</v>
          </cell>
          <cell r="J296">
            <v>62.541450000000005</v>
          </cell>
          <cell r="K296">
            <v>562.87305000000015</v>
          </cell>
          <cell r="L296">
            <v>3127.0725000000002</v>
          </cell>
          <cell r="O296"/>
          <cell r="Q296">
            <v>3</v>
          </cell>
          <cell r="R296" t="str">
            <v>ATQR12</v>
          </cell>
          <cell r="S296" t="str">
            <v>Mersen</v>
          </cell>
          <cell r="T296" t="str">
            <v>RS Components via Astute Ltd</v>
          </cell>
          <cell r="U296">
            <v>16.309999999999999</v>
          </cell>
          <cell r="V296">
            <v>50</v>
          </cell>
          <cell r="W296">
            <v>0</v>
          </cell>
          <cell r="X296">
            <v>2</v>
          </cell>
          <cell r="Y296" t="str">
            <v>Y</v>
          </cell>
          <cell r="Z296">
            <v>815.49999999999989</v>
          </cell>
          <cell r="AA296">
            <v>1748.6994500000001</v>
          </cell>
          <cell r="AB296">
            <v>0.73921295396892783</v>
          </cell>
          <cell r="AC296" t="str">
            <v>JH</v>
          </cell>
          <cell r="AD296">
            <v>1062721</v>
          </cell>
          <cell r="AE296" t="str">
            <v>POV0067051</v>
          </cell>
          <cell r="AF296" t="str">
            <v>JH</v>
          </cell>
        </row>
        <row r="297">
          <cell r="A297" t="str">
            <v>670-037698-040</v>
          </cell>
          <cell r="B297" t="str">
            <v>FUSE,CLASS CC,600V,TIME DLY,15 AMP</v>
          </cell>
          <cell r="C297" t="str">
            <v>FUSE</v>
          </cell>
          <cell r="D297">
            <v>25</v>
          </cell>
          <cell r="E297" t="str">
            <v>N/A</v>
          </cell>
          <cell r="F297" t="str">
            <v>3 Weeks</v>
          </cell>
          <cell r="G297">
            <v>100</v>
          </cell>
          <cell r="H297">
            <v>48.358800000000002</v>
          </cell>
          <cell r="I297">
            <v>4835.88</v>
          </cell>
          <cell r="J297">
            <v>58.974146341463424</v>
          </cell>
          <cell r="K297">
            <v>1061.5346341463419</v>
          </cell>
          <cell r="L297">
            <v>5897.414634146342</v>
          </cell>
          <cell r="O297"/>
          <cell r="Q297">
            <v>3</v>
          </cell>
          <cell r="R297" t="str">
            <v>ATQR15</v>
          </cell>
          <cell r="S297" t="str">
            <v>Mersen</v>
          </cell>
          <cell r="T297" t="str">
            <v>RS Components via Astute Ltd</v>
          </cell>
          <cell r="U297">
            <v>14.77</v>
          </cell>
          <cell r="V297">
            <v>100</v>
          </cell>
          <cell r="W297">
            <v>0</v>
          </cell>
          <cell r="X297">
            <v>2</v>
          </cell>
          <cell r="Y297" t="str">
            <v>Y</v>
          </cell>
          <cell r="Z297">
            <v>1477</v>
          </cell>
          <cell r="AA297">
            <v>3358.88</v>
          </cell>
          <cell r="AB297">
            <v>0.74955127091656537</v>
          </cell>
          <cell r="AC297" t="str">
            <v>JH</v>
          </cell>
          <cell r="AD297">
            <v>1062721</v>
          </cell>
          <cell r="AE297" t="str">
            <v>POV0067051</v>
          </cell>
          <cell r="AF297" t="str">
            <v>JH</v>
          </cell>
        </row>
        <row r="298">
          <cell r="A298" t="str">
            <v>670-338640-100</v>
          </cell>
          <cell r="B298" t="str">
            <v>FUSE,CRTG,1A,600VAC/400DC,5X20MM</v>
          </cell>
          <cell r="C298" t="str">
            <v>FUSE</v>
          </cell>
          <cell r="D298">
            <v>25</v>
          </cell>
          <cell r="E298" t="str">
            <v>N/A</v>
          </cell>
          <cell r="F298" t="str">
            <v>11 Weeks</v>
          </cell>
          <cell r="G298">
            <v>200</v>
          </cell>
          <cell r="H298">
            <v>1.3357950000000001</v>
          </cell>
          <cell r="I298">
            <v>267.15899999999999</v>
          </cell>
          <cell r="J298">
            <v>1.6290182926829271</v>
          </cell>
          <cell r="K298">
            <v>58.644658536585382</v>
          </cell>
          <cell r="L298">
            <v>325.80365853658543</v>
          </cell>
          <cell r="O298"/>
          <cell r="Q298">
            <v>2</v>
          </cell>
          <cell r="R298" t="str">
            <v>S505H-1-R</v>
          </cell>
          <cell r="S298" t="str">
            <v>Eaton</v>
          </cell>
          <cell r="T298" t="str">
            <v>RS Components via Astute Ltd</v>
          </cell>
          <cell r="U298">
            <v>0.5</v>
          </cell>
          <cell r="V298">
            <v>200</v>
          </cell>
          <cell r="W298">
            <v>0</v>
          </cell>
          <cell r="X298" t="str">
            <v>1-2 wks</v>
          </cell>
          <cell r="Y298" t="str">
            <v>Y</v>
          </cell>
          <cell r="Z298">
            <v>100</v>
          </cell>
          <cell r="AA298">
            <v>167.15899999999999</v>
          </cell>
          <cell r="AB298">
            <v>0.69306667565008118</v>
          </cell>
          <cell r="AC298" t="str">
            <v>JH</v>
          </cell>
          <cell r="AD298">
            <v>1062721</v>
          </cell>
          <cell r="AE298" t="str">
            <v>POV0067051</v>
          </cell>
          <cell r="AF298" t="str">
            <v>JH</v>
          </cell>
        </row>
        <row r="299">
          <cell r="A299" t="str">
            <v>670-338640-200</v>
          </cell>
          <cell r="B299" t="str">
            <v>FUSE,CRTG,2A,600VAC/400DC,5X20MM</v>
          </cell>
          <cell r="C299" t="str">
            <v>FUSE</v>
          </cell>
          <cell r="D299">
            <v>25</v>
          </cell>
          <cell r="E299" t="str">
            <v>N/A</v>
          </cell>
          <cell r="F299" t="str">
            <v>10 Weeks</v>
          </cell>
          <cell r="G299">
            <v>1000</v>
          </cell>
          <cell r="H299">
            <v>0.87004999999999999</v>
          </cell>
          <cell r="I299">
            <v>870.05</v>
          </cell>
          <cell r="J299">
            <v>1.0610365853658537</v>
          </cell>
          <cell r="K299">
            <v>190.98658536585367</v>
          </cell>
          <cell r="L299">
            <v>1061.0365853658536</v>
          </cell>
          <cell r="O299"/>
          <cell r="Q299">
            <v>2</v>
          </cell>
          <cell r="R299" t="str">
            <v>BK1/S505H-2-R</v>
          </cell>
          <cell r="S299" t="str">
            <v>Eaton</v>
          </cell>
          <cell r="T299" t="str">
            <v>RS Components via Astute Ltd</v>
          </cell>
          <cell r="U299">
            <v>0.21</v>
          </cell>
          <cell r="V299">
            <v>200</v>
          </cell>
          <cell r="W299">
            <v>800</v>
          </cell>
          <cell r="Y299" t="str">
            <v>Y</v>
          </cell>
          <cell r="Z299">
            <v>42</v>
          </cell>
          <cell r="AA299">
            <v>132.01</v>
          </cell>
          <cell r="AB299">
            <v>0.8020803402103327</v>
          </cell>
          <cell r="AC299" t="str">
            <v>JH</v>
          </cell>
          <cell r="AD299">
            <v>1062721</v>
          </cell>
          <cell r="AE299" t="str">
            <v>POV0067051</v>
          </cell>
          <cell r="AF299" t="str">
            <v>JH</v>
          </cell>
        </row>
        <row r="300">
          <cell r="A300" t="str">
            <v>664-A92916-001</v>
          </cell>
          <cell r="B300" t="str">
            <v>LED,SMD,570NM,40MCD,1.9V,GRN,2X1.25MM</v>
          </cell>
          <cell r="C300" t="str">
            <v>LED</v>
          </cell>
          <cell r="D300">
            <v>25</v>
          </cell>
          <cell r="E300">
            <v>3</v>
          </cell>
          <cell r="F300" t="str">
            <v>11 Weeks</v>
          </cell>
          <cell r="G300">
            <v>3000</v>
          </cell>
          <cell r="H300">
            <v>0.100148</v>
          </cell>
          <cell r="I300">
            <v>300.44400000000002</v>
          </cell>
          <cell r="J300">
            <v>0.12213170731707318</v>
          </cell>
          <cell r="K300">
            <v>65.951121951219534</v>
          </cell>
          <cell r="L300">
            <v>366.39512195121955</v>
          </cell>
          <cell r="O300"/>
          <cell r="Q300">
            <v>1</v>
          </cell>
          <cell r="R300" t="str">
            <v>APTD2012LCGCK</v>
          </cell>
          <cell r="S300" t="str">
            <v>KINGBRIGHT</v>
          </cell>
          <cell r="T300" t="str">
            <v>Sager</v>
          </cell>
          <cell r="U300">
            <v>8.3799999999999999E-2</v>
          </cell>
          <cell r="V300">
            <v>3000</v>
          </cell>
          <cell r="W300">
            <v>0</v>
          </cell>
          <cell r="X300">
            <v>1</v>
          </cell>
          <cell r="Y300" t="str">
            <v>Y</v>
          </cell>
          <cell r="Z300">
            <v>251.4</v>
          </cell>
          <cell r="AA300">
            <v>49.044000000000011</v>
          </cell>
          <cell r="AB300">
            <v>0.31385549386907385</v>
          </cell>
          <cell r="AD300">
            <v>1062721</v>
          </cell>
          <cell r="AE300" t="str">
            <v>POV0067049</v>
          </cell>
          <cell r="AF300" t="str">
            <v>JH</v>
          </cell>
        </row>
        <row r="301">
          <cell r="A301" t="str">
            <v>664-343297-001</v>
          </cell>
          <cell r="B301" t="str">
            <v>LED,SMD,570NM,190MCD,2.1V,GRN,1608</v>
          </cell>
          <cell r="C301" t="str">
            <v>LED</v>
          </cell>
          <cell r="D301">
            <v>45</v>
          </cell>
          <cell r="E301">
            <v>3</v>
          </cell>
          <cell r="F301" t="str">
            <v>11 Weeks</v>
          </cell>
          <cell r="G301">
            <v>2000</v>
          </cell>
          <cell r="H301">
            <v>9.4364000000000003E-2</v>
          </cell>
          <cell r="I301">
            <v>188.72800000000001</v>
          </cell>
          <cell r="J301">
            <v>0.11507804878048782</v>
          </cell>
          <cell r="K301">
            <v>41.42809756097563</v>
          </cell>
          <cell r="L301">
            <v>230.15609756097564</v>
          </cell>
          <cell r="O301"/>
          <cell r="Q301">
            <v>1</v>
          </cell>
          <cell r="R301" t="str">
            <v>APTD1608CGCK</v>
          </cell>
          <cell r="S301" t="str">
            <v>KINGBRIGHT</v>
          </cell>
          <cell r="T301" t="str">
            <v>Sager</v>
          </cell>
          <cell r="U301">
            <v>7.6799999999999993E-2</v>
          </cell>
          <cell r="V301">
            <v>2000</v>
          </cell>
          <cell r="W301">
            <v>0</v>
          </cell>
          <cell r="X301">
            <v>1</v>
          </cell>
          <cell r="Y301" t="str">
            <v>Y</v>
          </cell>
          <cell r="Z301">
            <v>153.6</v>
          </cell>
          <cell r="AA301">
            <v>35.128000000000014</v>
          </cell>
          <cell r="AB301">
            <v>0.33262684922216113</v>
          </cell>
          <cell r="AD301">
            <v>1062721</v>
          </cell>
          <cell r="AE301" t="str">
            <v>POV0067049</v>
          </cell>
          <cell r="AF301" t="str">
            <v>JH</v>
          </cell>
        </row>
        <row r="302">
          <cell r="A302" t="str">
            <v>668-338209-006</v>
          </cell>
          <cell r="B302" t="str">
            <v>CONN,HDR,PCB,6POSN,2A,125V,VERT MT,NYL</v>
          </cell>
          <cell r="C302" t="str">
            <v>CONN</v>
          </cell>
          <cell r="D302">
            <v>25</v>
          </cell>
          <cell r="E302">
            <v>1</v>
          </cell>
          <cell r="F302" t="str">
            <v>13 Weeks</v>
          </cell>
          <cell r="G302">
            <v>200</v>
          </cell>
          <cell r="H302">
            <v>0.19975699999999999</v>
          </cell>
          <cell r="I302">
            <v>39.9514</v>
          </cell>
          <cell r="J302">
            <v>0.24360609756097562</v>
          </cell>
          <cell r="K302">
            <v>8.7698195121951272</v>
          </cell>
          <cell r="L302">
            <v>48.721219512195127</v>
          </cell>
          <cell r="O302"/>
          <cell r="Q302">
            <v>1</v>
          </cell>
          <cell r="R302" t="str">
            <v>53253-0670</v>
          </cell>
          <cell r="S302" t="str">
            <v>MOLEX, LLC</v>
          </cell>
          <cell r="T302" t="str">
            <v>Sager</v>
          </cell>
          <cell r="U302">
            <v>0.12</v>
          </cell>
          <cell r="V302">
            <v>200</v>
          </cell>
          <cell r="W302">
            <v>0</v>
          </cell>
          <cell r="X302" t="str">
            <v>1-2 wks</v>
          </cell>
          <cell r="Y302" t="str">
            <v>Y</v>
          </cell>
          <cell r="Z302">
            <v>24</v>
          </cell>
          <cell r="AA302">
            <v>15.9514</v>
          </cell>
          <cell r="AB302">
            <v>0.50740149281376878</v>
          </cell>
          <cell r="AC302" t="str">
            <v>JH</v>
          </cell>
          <cell r="AD302">
            <v>1062721</v>
          </cell>
          <cell r="AE302" t="str">
            <v>POV0067049</v>
          </cell>
          <cell r="AF302" t="str">
            <v>JH</v>
          </cell>
        </row>
        <row r="303">
          <cell r="A303" t="str">
            <v>726-345188-001</v>
          </cell>
          <cell r="B303" t="str">
            <v>BRKT,MOUNT,DIN RAIL,50X45 MM,AL. 6063-T5</v>
          </cell>
          <cell r="C303" t="str">
            <v>BRKT</v>
          </cell>
          <cell r="D303">
            <v>15</v>
          </cell>
          <cell r="E303">
            <v>1</v>
          </cell>
          <cell r="F303" t="str">
            <v>24 Weeks</v>
          </cell>
          <cell r="G303">
            <v>100</v>
          </cell>
          <cell r="H303">
            <v>1.4093249999999999</v>
          </cell>
          <cell r="I303">
            <v>140.9325</v>
          </cell>
          <cell r="J303">
            <v>1.718689024390244</v>
          </cell>
          <cell r="K303">
            <v>30.936402439024391</v>
          </cell>
          <cell r="L303">
            <v>171.8689024390244</v>
          </cell>
          <cell r="O303"/>
          <cell r="Q303">
            <v>1</v>
          </cell>
          <cell r="R303" t="str">
            <v>DRP-03</v>
          </cell>
          <cell r="S303" t="str">
            <v>MEAN WELL</v>
          </cell>
          <cell r="T303" t="str">
            <v>Sager</v>
          </cell>
          <cell r="U303">
            <v>0.96</v>
          </cell>
          <cell r="V303">
            <v>100</v>
          </cell>
          <cell r="W303">
            <v>0</v>
          </cell>
          <cell r="X303">
            <v>1</v>
          </cell>
          <cell r="Y303" t="str">
            <v>Y</v>
          </cell>
          <cell r="Z303">
            <v>96</v>
          </cell>
          <cell r="AA303">
            <v>44.932500000000005</v>
          </cell>
          <cell r="AB303">
            <v>0.44143472939173012</v>
          </cell>
          <cell r="AD303">
            <v>1062721</v>
          </cell>
          <cell r="AE303" t="str">
            <v>POV0067049</v>
          </cell>
          <cell r="AF303" t="str">
            <v>JH</v>
          </cell>
        </row>
        <row r="304">
          <cell r="A304" t="str">
            <v>645-A64043-001</v>
          </cell>
          <cell r="B304" t="str">
            <v>SW,MINTR,SLIDE,SPDT,0.3A,30VDC,THT</v>
          </cell>
          <cell r="C304" t="str">
            <v>SW</v>
          </cell>
          <cell r="D304">
            <v>45</v>
          </cell>
          <cell r="E304">
            <v>1</v>
          </cell>
          <cell r="F304" t="str">
            <v>9 Weeks</v>
          </cell>
          <cell r="G304">
            <v>90</v>
          </cell>
          <cell r="H304">
            <v>0.81875699999999996</v>
          </cell>
          <cell r="I304">
            <v>73.688130000000001</v>
          </cell>
          <cell r="J304">
            <v>0.99848414634146343</v>
          </cell>
          <cell r="K304">
            <v>16.175443170731711</v>
          </cell>
          <cell r="L304">
            <v>89.863573170731712</v>
          </cell>
          <cell r="O304"/>
          <cell r="Q304">
            <v>1</v>
          </cell>
          <cell r="R304" t="str">
            <v>SS-12D07-VG4NSGAPA</v>
          </cell>
          <cell r="S304" t="str">
            <v>C&amp;K</v>
          </cell>
          <cell r="T304" t="str">
            <v>Sager</v>
          </cell>
          <cell r="U304">
            <v>0.44</v>
          </cell>
          <cell r="V304">
            <v>90</v>
          </cell>
          <cell r="W304">
            <v>0</v>
          </cell>
          <cell r="X304">
            <v>1</v>
          </cell>
          <cell r="Y304" t="str">
            <v>Y</v>
          </cell>
          <cell r="Z304">
            <v>39.6</v>
          </cell>
          <cell r="AA304">
            <v>34.08813</v>
          </cell>
          <cell r="AB304">
            <v>0.55933201181791425</v>
          </cell>
          <cell r="AD304">
            <v>1062721</v>
          </cell>
          <cell r="AE304" t="str">
            <v>POV0067049</v>
          </cell>
          <cell r="AF304" t="str">
            <v>JH</v>
          </cell>
        </row>
        <row r="305">
          <cell r="A305" t="str">
            <v>660-157746-005</v>
          </cell>
          <cell r="B305" t="str">
            <v>PS, SMD,5V-1A, NON-ISO, ROHS</v>
          </cell>
          <cell r="C305" t="str">
            <v>PS</v>
          </cell>
          <cell r="D305">
            <v>15</v>
          </cell>
          <cell r="E305"/>
          <cell r="F305" t="str">
            <v>3 Weeks</v>
          </cell>
          <cell r="G305">
            <v>60</v>
          </cell>
          <cell r="H305">
            <v>12.47559</v>
          </cell>
          <cell r="I305">
            <v>748.53539999999998</v>
          </cell>
          <cell r="J305">
            <v>15.214134146341465</v>
          </cell>
          <cell r="K305">
            <v>164.31264878048785</v>
          </cell>
          <cell r="L305">
            <v>912.84804878048794</v>
          </cell>
          <cell r="O305"/>
          <cell r="Q305">
            <v>1</v>
          </cell>
          <cell r="R305" t="str">
            <v>R-78T5.0-1.0/FC</v>
          </cell>
          <cell r="S305" t="str">
            <v>RECOM</v>
          </cell>
          <cell r="T305" t="str">
            <v>Sager</v>
          </cell>
          <cell r="U305">
            <v>10.7</v>
          </cell>
          <cell r="V305">
            <v>60</v>
          </cell>
          <cell r="W305">
            <v>0</v>
          </cell>
          <cell r="X305" t="str">
            <v>1-2 wks</v>
          </cell>
          <cell r="Y305" t="str">
            <v>Y</v>
          </cell>
          <cell r="Z305">
            <v>642</v>
          </cell>
          <cell r="AA305">
            <v>106.53539999999998</v>
          </cell>
          <cell r="AB305">
            <v>0.29670660866540188</v>
          </cell>
          <cell r="AC305" t="str">
            <v>JH</v>
          </cell>
          <cell r="AD305">
            <v>1062721</v>
          </cell>
          <cell r="AE305" t="str">
            <v>POV0067049</v>
          </cell>
          <cell r="AF305" t="str">
            <v>JH</v>
          </cell>
        </row>
        <row r="306">
          <cell r="A306" t="str">
            <v>668-122991-001</v>
          </cell>
          <cell r="B306" t="str">
            <v>CONN,HDR,</v>
          </cell>
          <cell r="C306" t="str">
            <v>CONN</v>
          </cell>
          <cell r="D306">
            <v>15</v>
          </cell>
          <cell r="E306">
            <v>1</v>
          </cell>
          <cell r="F306" t="str">
            <v>20 Weeks</v>
          </cell>
          <cell r="G306">
            <v>32</v>
          </cell>
          <cell r="H306">
            <v>2.1981299999999999</v>
          </cell>
          <cell r="I306">
            <v>70.340159999999997</v>
          </cell>
          <cell r="J306">
            <v>2.6806463414634147</v>
          </cell>
          <cell r="K306">
            <v>15.440522926829274</v>
          </cell>
          <cell r="L306">
            <v>85.780682926829272</v>
          </cell>
          <cell r="O306"/>
          <cell r="Q306">
            <v>1</v>
          </cell>
          <cell r="R306" t="str">
            <v>87831-1420</v>
          </cell>
          <cell r="S306" t="str">
            <v>MOLEX, LLC</v>
          </cell>
          <cell r="T306" t="str">
            <v>Sager</v>
          </cell>
          <cell r="U306">
            <v>0.58160000000000001</v>
          </cell>
          <cell r="V306">
            <v>32</v>
          </cell>
          <cell r="W306">
            <v>0</v>
          </cell>
          <cell r="X306" t="str">
            <v>1-2 wks</v>
          </cell>
          <cell r="Y306" t="str">
            <v>Y</v>
          </cell>
          <cell r="Z306">
            <v>18.6112</v>
          </cell>
          <cell r="AA306">
            <v>51.728960000000001</v>
          </cell>
          <cell r="AB306">
            <v>0.78303739997179422</v>
          </cell>
          <cell r="AC306" t="str">
            <v>JH</v>
          </cell>
          <cell r="AD306">
            <v>1062721</v>
          </cell>
          <cell r="AE306" t="str">
            <v>POV0067049</v>
          </cell>
          <cell r="AF306" t="str">
            <v>JH</v>
          </cell>
        </row>
        <row r="307">
          <cell r="A307" t="str">
            <v>615-901301-931</v>
          </cell>
          <cell r="B307" t="str">
            <v>RES,SMD,0805,9.31K,1%,1/10W,ROHS</v>
          </cell>
          <cell r="C307" t="str">
            <v>RES</v>
          </cell>
          <cell r="D307">
            <v>15</v>
          </cell>
          <cell r="E307">
            <v>1</v>
          </cell>
          <cell r="F307" t="str">
            <v>31 Weeks</v>
          </cell>
          <cell r="G307">
            <v>5000</v>
          </cell>
          <cell r="H307">
            <v>6.1279999999999998E-3</v>
          </cell>
          <cell r="I307">
            <v>30.64</v>
          </cell>
          <cell r="J307">
            <v>7.4731707317073175E-3</v>
          </cell>
          <cell r="K307">
            <v>6.725853658536586</v>
          </cell>
          <cell r="L307">
            <v>37.365853658536587</v>
          </cell>
          <cell r="O307"/>
          <cell r="Q307">
            <v>3</v>
          </cell>
          <cell r="R307" t="str">
            <v>RC0805FR-079K31L</v>
          </cell>
          <cell r="S307" t="str">
            <v>YAGEO</v>
          </cell>
          <cell r="T307" t="str">
            <v>Rutronik UK via Astute Ltd</v>
          </cell>
          <cell r="U307">
            <v>1.2319000000000002E-3</v>
          </cell>
          <cell r="V307">
            <v>5000</v>
          </cell>
          <cell r="W307">
            <v>0</v>
          </cell>
          <cell r="X307">
            <v>2</v>
          </cell>
          <cell r="Y307" t="str">
            <v>Y</v>
          </cell>
          <cell r="Z307">
            <v>6.1595000000000013</v>
          </cell>
          <cell r="AA307">
            <v>24.480499999999999</v>
          </cell>
          <cell r="AB307">
            <v>0.8351569843342036</v>
          </cell>
          <cell r="AD307">
            <v>1062721</v>
          </cell>
          <cell r="AE307" t="str">
            <v>POV0067078</v>
          </cell>
          <cell r="AF307" t="str">
            <v>DM</v>
          </cell>
        </row>
        <row r="308">
          <cell r="A308" t="str">
            <v>615-179931-002</v>
          </cell>
          <cell r="B308" t="str">
            <v>RES,SMD,1K OHM,0.25W,1% TOL,THICK FILM</v>
          </cell>
          <cell r="C308" t="str">
            <v>RES</v>
          </cell>
          <cell r="D308">
            <v>15</v>
          </cell>
          <cell r="E308">
            <v>1</v>
          </cell>
          <cell r="F308" t="str">
            <v>17 Weeks</v>
          </cell>
          <cell r="G308">
            <v>5000</v>
          </cell>
          <cell r="H308">
            <v>8.5789999999999998E-3</v>
          </cell>
          <cell r="I308">
            <v>42.894999999999996</v>
          </cell>
          <cell r="J308">
            <v>1.046219512195122E-2</v>
          </cell>
          <cell r="K308">
            <v>9.4159756097561029</v>
          </cell>
          <cell r="L308">
            <v>52.310975609756099</v>
          </cell>
          <cell r="O308"/>
          <cell r="Q308">
            <v>3</v>
          </cell>
          <cell r="R308" t="str">
            <v>RC1206FR-071KL</v>
          </cell>
          <cell r="S308" t="str">
            <v>YAGEO</v>
          </cell>
          <cell r="T308" t="str">
            <v>Rutronik UK via Astute Ltd</v>
          </cell>
          <cell r="U308">
            <v>2.2098E-3</v>
          </cell>
          <cell r="V308">
            <v>5000</v>
          </cell>
          <cell r="W308">
            <v>0</v>
          </cell>
          <cell r="X308">
            <v>2</v>
          </cell>
          <cell r="Y308" t="str">
            <v>Y</v>
          </cell>
          <cell r="Z308">
            <v>11.048999999999999</v>
          </cell>
          <cell r="AA308">
            <v>31.845999999999997</v>
          </cell>
          <cell r="AB308">
            <v>0.78878237556824804</v>
          </cell>
          <cell r="AD308">
            <v>1062721</v>
          </cell>
          <cell r="AE308" t="str">
            <v>POV0067078</v>
          </cell>
          <cell r="AF308" t="str">
            <v>DM</v>
          </cell>
        </row>
        <row r="309">
          <cell r="A309" t="str">
            <v>615-116030-200</v>
          </cell>
          <cell r="B309" t="str">
            <v>RES,SMD,1206,200K,1%,1/4W,ROHS</v>
          </cell>
          <cell r="C309" t="str">
            <v>RES</v>
          </cell>
          <cell r="D309">
            <v>30</v>
          </cell>
          <cell r="E309">
            <v>1</v>
          </cell>
          <cell r="F309" t="str">
            <v>21 Weeks</v>
          </cell>
          <cell r="G309">
            <v>5000</v>
          </cell>
          <cell r="H309">
            <v>7.3530000000000002E-3</v>
          </cell>
          <cell r="I309">
            <v>36.765000000000001</v>
          </cell>
          <cell r="J309">
            <v>8.9670731707317073E-3</v>
          </cell>
          <cell r="K309">
            <v>8.0703658536585365</v>
          </cell>
          <cell r="L309">
            <v>44.835365853658537</v>
          </cell>
          <cell r="O309"/>
          <cell r="Q309">
            <v>3</v>
          </cell>
          <cell r="R309" t="str">
            <v>RC1206FR-07200KL</v>
          </cell>
          <cell r="S309" t="str">
            <v>YAGEO</v>
          </cell>
          <cell r="T309" t="str">
            <v>Rutronik UK via Astute Ltd</v>
          </cell>
          <cell r="U309">
            <v>2.2098E-3</v>
          </cell>
          <cell r="V309">
            <v>5000</v>
          </cell>
          <cell r="W309">
            <v>0</v>
          </cell>
          <cell r="X309">
            <v>2</v>
          </cell>
          <cell r="Y309" t="str">
            <v>Y</v>
          </cell>
          <cell r="Z309">
            <v>11.048999999999999</v>
          </cell>
          <cell r="AA309">
            <v>25.716000000000001</v>
          </cell>
          <cell r="AB309">
            <v>0.75356507547939622</v>
          </cell>
          <cell r="AD309">
            <v>1062721</v>
          </cell>
          <cell r="AE309" t="str">
            <v>POV0067078</v>
          </cell>
          <cell r="AF309" t="str">
            <v>DM</v>
          </cell>
        </row>
        <row r="310">
          <cell r="A310" t="str">
            <v>615-116029-200</v>
          </cell>
          <cell r="B310" t="str">
            <v>RES,SMD,1206,20.0K,1%,1/4W,ROHS</v>
          </cell>
          <cell r="C310" t="str">
            <v>RES</v>
          </cell>
          <cell r="D310">
            <v>25</v>
          </cell>
          <cell r="E310">
            <v>1</v>
          </cell>
          <cell r="F310" t="str">
            <v>21 Weeks</v>
          </cell>
          <cell r="G310">
            <v>5000</v>
          </cell>
          <cell r="H310">
            <v>7.7819999999999999E-3</v>
          </cell>
          <cell r="I310">
            <v>38.909999999999997</v>
          </cell>
          <cell r="J310">
            <v>9.4902439024390252E-3</v>
          </cell>
          <cell r="K310">
            <v>8.5412195121951271</v>
          </cell>
          <cell r="L310">
            <v>47.451219512195124</v>
          </cell>
          <cell r="O310"/>
          <cell r="Q310">
            <v>3</v>
          </cell>
          <cell r="R310" t="str">
            <v>RC1206FR-0720KL</v>
          </cell>
          <cell r="S310" t="str">
            <v>YAGEO</v>
          </cell>
          <cell r="T310" t="str">
            <v>Rutronik UK via Astute Ltd</v>
          </cell>
          <cell r="U310">
            <v>2.2098E-3</v>
          </cell>
          <cell r="V310">
            <v>5000</v>
          </cell>
          <cell r="W310">
            <v>0</v>
          </cell>
          <cell r="X310">
            <v>2</v>
          </cell>
          <cell r="Y310" t="str">
            <v>Y</v>
          </cell>
          <cell r="Z310">
            <v>11.048999999999999</v>
          </cell>
          <cell r="AA310">
            <v>27.860999999999997</v>
          </cell>
          <cell r="AB310">
            <v>0.76715034695451045</v>
          </cell>
          <cell r="AD310">
            <v>1062721</v>
          </cell>
          <cell r="AE310" t="str">
            <v>POV0067078</v>
          </cell>
          <cell r="AF310" t="str">
            <v>DM</v>
          </cell>
        </row>
        <row r="311">
          <cell r="A311" t="str">
            <v>615-098001-249</v>
          </cell>
          <cell r="B311" t="str">
            <v>RES,1206,1% 1/4W,2.49K ROHS</v>
          </cell>
          <cell r="C311" t="str">
            <v>RES</v>
          </cell>
          <cell r="D311">
            <v>25</v>
          </cell>
          <cell r="E311">
            <v>1</v>
          </cell>
          <cell r="F311" t="str">
            <v>31 Weeks</v>
          </cell>
          <cell r="G311">
            <v>5000</v>
          </cell>
          <cell r="H311">
            <v>7.3530000000000002E-3</v>
          </cell>
          <cell r="I311">
            <v>36.765000000000001</v>
          </cell>
          <cell r="J311">
            <v>8.9670731707317073E-3</v>
          </cell>
          <cell r="K311">
            <v>8.0703658536585365</v>
          </cell>
          <cell r="L311">
            <v>44.835365853658537</v>
          </cell>
          <cell r="O311"/>
          <cell r="Q311">
            <v>3</v>
          </cell>
          <cell r="R311" t="str">
            <v>RC1206FR-072K49L</v>
          </cell>
          <cell r="S311" t="str">
            <v>YAGEO</v>
          </cell>
          <cell r="T311" t="str">
            <v>Rutronik UK via Astute Ltd</v>
          </cell>
          <cell r="U311">
            <v>2.2098E-3</v>
          </cell>
          <cell r="V311">
            <v>5000</v>
          </cell>
          <cell r="W311">
            <v>0</v>
          </cell>
          <cell r="X311">
            <v>2</v>
          </cell>
          <cell r="Y311" t="str">
            <v>Y</v>
          </cell>
          <cell r="Z311">
            <v>11.048999999999999</v>
          </cell>
          <cell r="AA311">
            <v>25.716000000000001</v>
          </cell>
          <cell r="AB311">
            <v>0.75356507547939622</v>
          </cell>
          <cell r="AD311">
            <v>1062721</v>
          </cell>
          <cell r="AE311" t="str">
            <v>POV0067078</v>
          </cell>
          <cell r="AF311" t="str">
            <v>DM</v>
          </cell>
        </row>
        <row r="312">
          <cell r="A312" t="str">
            <v>615-116027-402</v>
          </cell>
          <cell r="B312" t="str">
            <v>RES,SMD,1206,402,1% 1/4W,ROHS</v>
          </cell>
          <cell r="C312" t="str">
            <v>RES</v>
          </cell>
          <cell r="D312">
            <v>25</v>
          </cell>
          <cell r="E312">
            <v>1</v>
          </cell>
          <cell r="F312" t="str">
            <v>31 Weeks</v>
          </cell>
          <cell r="G312">
            <v>5000</v>
          </cell>
          <cell r="H312">
            <v>7.3530000000000002E-3</v>
          </cell>
          <cell r="I312">
            <v>36.765000000000001</v>
          </cell>
          <cell r="J312">
            <v>8.9670731707317073E-3</v>
          </cell>
          <cell r="K312">
            <v>8.0703658536585365</v>
          </cell>
          <cell r="L312">
            <v>44.835365853658537</v>
          </cell>
          <cell r="O312"/>
          <cell r="Q312">
            <v>3</v>
          </cell>
          <cell r="R312" t="str">
            <v>RC1206FR-07402RL</v>
          </cell>
          <cell r="S312" t="str">
            <v>YAGEO</v>
          </cell>
          <cell r="T312" t="str">
            <v>Rutronik UK via Astute Ltd</v>
          </cell>
          <cell r="U312">
            <v>2.2098E-3</v>
          </cell>
          <cell r="V312">
            <v>5000</v>
          </cell>
          <cell r="W312">
            <v>0</v>
          </cell>
          <cell r="X312">
            <v>2</v>
          </cell>
          <cell r="Y312" t="str">
            <v>Y</v>
          </cell>
          <cell r="Z312">
            <v>11.048999999999999</v>
          </cell>
          <cell r="AA312">
            <v>25.716000000000001</v>
          </cell>
          <cell r="AB312">
            <v>0.75356507547939622</v>
          </cell>
          <cell r="AD312">
            <v>1062721</v>
          </cell>
          <cell r="AE312" t="str">
            <v>POV0067078</v>
          </cell>
          <cell r="AF312" t="str">
            <v>DM</v>
          </cell>
        </row>
        <row r="313">
          <cell r="A313" t="str">
            <v>615-097890-201</v>
          </cell>
          <cell r="B313" t="str">
            <v>RES,SMD,1206,200,5% 1/8W,ROHS</v>
          </cell>
          <cell r="C313" t="str">
            <v>RES</v>
          </cell>
          <cell r="D313">
            <v>15</v>
          </cell>
          <cell r="E313">
            <v>1</v>
          </cell>
          <cell r="F313" t="str">
            <v>4 Weeks</v>
          </cell>
          <cell r="G313">
            <v>5000</v>
          </cell>
          <cell r="H313">
            <v>7.3530000000000002E-3</v>
          </cell>
          <cell r="I313">
            <v>36.765000000000001</v>
          </cell>
          <cell r="J313">
            <v>8.9670731707317073E-3</v>
          </cell>
          <cell r="K313">
            <v>8.0703658536585365</v>
          </cell>
          <cell r="L313">
            <v>44.835365853658537</v>
          </cell>
          <cell r="O313"/>
          <cell r="Q313">
            <v>2</v>
          </cell>
          <cell r="R313" t="str">
            <v>RC1206JR-07200RL</v>
          </cell>
          <cell r="S313" t="str">
            <v>YAGEO</v>
          </cell>
          <cell r="T313" t="str">
            <v>Rutronik UK via Astute Ltd</v>
          </cell>
          <cell r="U313">
            <v>1.8923E-3</v>
          </cell>
          <cell r="V313">
            <v>5000</v>
          </cell>
          <cell r="W313">
            <v>0</v>
          </cell>
          <cell r="X313">
            <v>2</v>
          </cell>
          <cell r="Y313" t="str">
            <v>Y</v>
          </cell>
          <cell r="Z313">
            <v>9.4614999999999991</v>
          </cell>
          <cell r="AA313">
            <v>27.3035</v>
          </cell>
          <cell r="AB313">
            <v>0.78897239222086224</v>
          </cell>
          <cell r="AD313">
            <v>1062721</v>
          </cell>
          <cell r="AE313" t="str">
            <v>POV0067078</v>
          </cell>
          <cell r="AF313" t="str">
            <v>DM</v>
          </cell>
        </row>
        <row r="314">
          <cell r="A314" t="str">
            <v>615-032231-243</v>
          </cell>
          <cell r="B314" t="str">
            <v>RES,SMD,THKF,1206,24.0K OHM,5%,1/4W,ROHS</v>
          </cell>
          <cell r="C314" t="str">
            <v>RES</v>
          </cell>
          <cell r="D314">
            <v>25</v>
          </cell>
          <cell r="E314">
            <v>1</v>
          </cell>
          <cell r="F314" t="str">
            <v>19 Weeks</v>
          </cell>
          <cell r="G314">
            <v>5000</v>
          </cell>
          <cell r="H314">
            <v>7.3530000000000002E-3</v>
          </cell>
          <cell r="I314">
            <v>36.765000000000001</v>
          </cell>
          <cell r="J314">
            <v>8.9670731707317073E-3</v>
          </cell>
          <cell r="K314">
            <v>8.0703658536585365</v>
          </cell>
          <cell r="L314">
            <v>44.835365853658537</v>
          </cell>
          <cell r="O314"/>
          <cell r="Q314">
            <v>2</v>
          </cell>
          <cell r="R314" t="str">
            <v>RC1206JR-0724KL</v>
          </cell>
          <cell r="S314" t="str">
            <v>YAGEO</v>
          </cell>
          <cell r="T314" t="str">
            <v>Rutronik UK via Astute Ltd</v>
          </cell>
          <cell r="U314">
            <v>1.8923E-3</v>
          </cell>
          <cell r="V314">
            <v>5000</v>
          </cell>
          <cell r="W314">
            <v>0</v>
          </cell>
          <cell r="X314">
            <v>2</v>
          </cell>
          <cell r="Y314" t="str">
            <v>Y</v>
          </cell>
          <cell r="Z314">
            <v>9.4614999999999991</v>
          </cell>
          <cell r="AA314">
            <v>27.3035</v>
          </cell>
          <cell r="AB314">
            <v>0.78897239222086224</v>
          </cell>
          <cell r="AD314">
            <v>1062721</v>
          </cell>
          <cell r="AE314" t="str">
            <v>POV0067078</v>
          </cell>
          <cell r="AF314" t="str">
            <v>DM</v>
          </cell>
        </row>
        <row r="315">
          <cell r="A315" t="str">
            <v>615-097890-300</v>
          </cell>
          <cell r="B315" t="str">
            <v>RES,SMD THKF,30 OHM,5%,1206,1/8W,ROHS</v>
          </cell>
          <cell r="C315" t="str">
            <v>RES</v>
          </cell>
          <cell r="D315">
            <v>45</v>
          </cell>
          <cell r="E315">
            <v>1</v>
          </cell>
          <cell r="F315" t="str">
            <v>15 Weeks</v>
          </cell>
          <cell r="G315">
            <v>5000</v>
          </cell>
          <cell r="H315">
            <v>8.5789999999999998E-3</v>
          </cell>
          <cell r="I315">
            <v>42.894999999999996</v>
          </cell>
          <cell r="J315">
            <v>1.046219512195122E-2</v>
          </cell>
          <cell r="K315">
            <v>9.4159756097561029</v>
          </cell>
          <cell r="L315">
            <v>52.310975609756099</v>
          </cell>
          <cell r="M315" t="str">
            <v>TAIWAN</v>
          </cell>
          <cell r="N315">
            <v>8533210030</v>
          </cell>
          <cell r="O315">
            <v>0.35</v>
          </cell>
          <cell r="P315">
            <v>15.013249999999998</v>
          </cell>
          <cell r="Q315">
            <v>2</v>
          </cell>
          <cell r="R315" t="str">
            <v>RC1206JR-0730RL</v>
          </cell>
          <cell r="S315" t="str">
            <v>YAGEO</v>
          </cell>
          <cell r="T315" t="str">
            <v>Rutronik UK via Astute Ltd</v>
          </cell>
          <cell r="U315">
            <v>1.8923E-3</v>
          </cell>
          <cell r="V315">
            <v>5000</v>
          </cell>
          <cell r="W315">
            <v>0</v>
          </cell>
          <cell r="X315">
            <v>2</v>
          </cell>
          <cell r="Y315" t="str">
            <v>Y</v>
          </cell>
          <cell r="Z315">
            <v>9.4614999999999991</v>
          </cell>
          <cell r="AA315">
            <v>33.433499999999995</v>
          </cell>
          <cell r="AB315">
            <v>0.81912973540039635</v>
          </cell>
          <cell r="AD315">
            <v>1062721</v>
          </cell>
          <cell r="AE315" t="str">
            <v>POV0067078</v>
          </cell>
          <cell r="AF315" t="str">
            <v>DM</v>
          </cell>
        </row>
        <row r="316">
          <cell r="A316" t="str">
            <v>615-032231-569</v>
          </cell>
          <cell r="B316" t="str">
            <v>RES,SMD,THKF,1206,5%,1/4W,5.6,ROHS</v>
          </cell>
          <cell r="C316" t="str">
            <v>RES</v>
          </cell>
          <cell r="D316">
            <v>25</v>
          </cell>
          <cell r="E316">
            <v>1</v>
          </cell>
          <cell r="F316" t="str">
            <v>23 Weeks</v>
          </cell>
          <cell r="G316">
            <v>5000</v>
          </cell>
          <cell r="H316">
            <v>1.103E-2</v>
          </cell>
          <cell r="I316">
            <v>55.15</v>
          </cell>
          <cell r="J316">
            <v>1.3451219512195122E-2</v>
          </cell>
          <cell r="K316">
            <v>12.10609756097562</v>
          </cell>
          <cell r="L316">
            <v>67.256097560975604</v>
          </cell>
          <cell r="O316"/>
          <cell r="Q316">
            <v>2</v>
          </cell>
          <cell r="R316" t="str">
            <v>RC1206JR-075R6L</v>
          </cell>
          <cell r="S316" t="str">
            <v>YAGEO</v>
          </cell>
          <cell r="T316" t="str">
            <v>Rutronik UK via Astute Ltd</v>
          </cell>
          <cell r="U316">
            <v>2.8321000000000002E-3</v>
          </cell>
          <cell r="V316">
            <v>5000</v>
          </cell>
          <cell r="W316">
            <v>0</v>
          </cell>
          <cell r="X316">
            <v>2</v>
          </cell>
          <cell r="Y316" t="str">
            <v>Y</v>
          </cell>
          <cell r="Z316">
            <v>14.160500000000001</v>
          </cell>
          <cell r="AA316">
            <v>40.9895</v>
          </cell>
          <cell r="AB316">
            <v>0.78945403445149587</v>
          </cell>
          <cell r="AD316">
            <v>1062721</v>
          </cell>
          <cell r="AE316" t="str">
            <v>POV0067078</v>
          </cell>
          <cell r="AF316" t="str">
            <v>DM</v>
          </cell>
        </row>
        <row r="317">
          <cell r="A317" t="str">
            <v>615-052826-472</v>
          </cell>
          <cell r="B317" t="str">
            <v>RES,0805,0.1%,1/8W,25PPM,4.7K ROHS</v>
          </cell>
          <cell r="C317" t="str">
            <v>RES</v>
          </cell>
          <cell r="D317">
            <v>25</v>
          </cell>
          <cell r="E317">
            <v>1</v>
          </cell>
          <cell r="F317" t="str">
            <v>26 Weeks</v>
          </cell>
          <cell r="G317">
            <v>5000</v>
          </cell>
          <cell r="H317">
            <v>6.0380000000000003E-2</v>
          </cell>
          <cell r="I317">
            <v>301.90000000000003</v>
          </cell>
          <cell r="J317">
            <v>7.3634146341463425E-2</v>
          </cell>
          <cell r="K317">
            <v>66.270731707317111</v>
          </cell>
          <cell r="L317">
            <v>368.17073170731715</v>
          </cell>
          <cell r="O317"/>
          <cell r="Q317">
            <v>3</v>
          </cell>
          <cell r="R317" t="str">
            <v>RG2012P-472-B-T5</v>
          </cell>
          <cell r="S317" t="str">
            <v>SUSUMU</v>
          </cell>
          <cell r="T317" t="str">
            <v>Rutronik UK via Astute Ltd</v>
          </cell>
          <cell r="U317">
            <v>2.2504400000000001E-2</v>
          </cell>
          <cell r="V317">
            <v>5000</v>
          </cell>
          <cell r="W317">
            <v>0</v>
          </cell>
          <cell r="X317">
            <v>2</v>
          </cell>
          <cell r="Y317" t="str">
            <v>Y</v>
          </cell>
          <cell r="Z317">
            <v>112.52200000000001</v>
          </cell>
          <cell r="AA317">
            <v>189.37800000000004</v>
          </cell>
          <cell r="AB317">
            <v>0.69437548857237497</v>
          </cell>
          <cell r="AD317">
            <v>1062721</v>
          </cell>
          <cell r="AE317" t="str">
            <v>POV0067078</v>
          </cell>
          <cell r="AF317" t="str">
            <v>DM</v>
          </cell>
        </row>
        <row r="318">
          <cell r="A318" t="str">
            <v>615-064170-499</v>
          </cell>
          <cell r="B318" t="str">
            <v>RES,SMD,0805,RG,MF,0.1%,1/10W,4.99K ROHS</v>
          </cell>
          <cell r="C318" t="str">
            <v>RES</v>
          </cell>
          <cell r="D318">
            <v>15</v>
          </cell>
          <cell r="E318">
            <v>1</v>
          </cell>
          <cell r="F318" t="str">
            <v>23 Weeks</v>
          </cell>
          <cell r="G318">
            <v>5000</v>
          </cell>
          <cell r="H318">
            <v>5.0245999999999999E-2</v>
          </cell>
          <cell r="I318">
            <v>251.23</v>
          </cell>
          <cell r="J318">
            <v>6.1275609756097561E-2</v>
          </cell>
          <cell r="K318">
            <v>55.148048780487812</v>
          </cell>
          <cell r="L318">
            <v>306.3780487804878</v>
          </cell>
          <cell r="O318"/>
          <cell r="Q318">
            <v>2</v>
          </cell>
          <cell r="R318" t="str">
            <v>RT0805BRD074K99L</v>
          </cell>
          <cell r="S318" t="str">
            <v>Yageo</v>
          </cell>
          <cell r="T318" t="str">
            <v>Rutronik UK via Astute Ltd</v>
          </cell>
          <cell r="U318">
            <v>1.3817600000000001E-2</v>
          </cell>
          <cell r="V318">
            <v>5000</v>
          </cell>
          <cell r="W318">
            <v>0</v>
          </cell>
          <cell r="X318">
            <v>2</v>
          </cell>
          <cell r="Y318" t="str">
            <v>Y</v>
          </cell>
          <cell r="Z318">
            <v>69.088000000000008</v>
          </cell>
          <cell r="AA318">
            <v>182.142</v>
          </cell>
          <cell r="AB318">
            <v>0.77450081598535203</v>
          </cell>
          <cell r="AD318">
            <v>1062721</v>
          </cell>
          <cell r="AE318" t="str">
            <v>POV0067078</v>
          </cell>
          <cell r="AF318" t="str">
            <v>DM</v>
          </cell>
        </row>
        <row r="319">
          <cell r="A319" t="str">
            <v>615-188548-172</v>
          </cell>
          <cell r="B319" t="str">
            <v>RES,0402,1% 1/16W,33.0 OHM ROHS</v>
          </cell>
          <cell r="C319" t="str">
            <v>RES</v>
          </cell>
          <cell r="D319">
            <v>30</v>
          </cell>
          <cell r="E319">
            <v>1</v>
          </cell>
          <cell r="F319" t="str">
            <v>27 Weeks</v>
          </cell>
          <cell r="G319">
            <v>10000</v>
          </cell>
          <cell r="H319">
            <v>3.6770000000000001E-3</v>
          </cell>
          <cell r="I319">
            <v>36.770000000000003</v>
          </cell>
          <cell r="J319">
            <v>4.4841463414634153E-3</v>
          </cell>
          <cell r="K319">
            <v>8.0714634146341524</v>
          </cell>
          <cell r="L319">
            <v>44.841463414634156</v>
          </cell>
          <cell r="O319"/>
          <cell r="Q319">
            <v>3</v>
          </cell>
          <cell r="R319" t="str">
            <v>AC0402FR-0733RL</v>
          </cell>
          <cell r="S319" t="str">
            <v>YAGEO</v>
          </cell>
          <cell r="T319" t="str">
            <v>Rutronik UK via Astute Ltd</v>
          </cell>
          <cell r="U319">
            <v>6.223E-4</v>
          </cell>
          <cell r="V319">
            <v>10000</v>
          </cell>
          <cell r="W319">
            <v>0</v>
          </cell>
          <cell r="X319">
            <v>2</v>
          </cell>
          <cell r="Y319" t="str">
            <v>Y</v>
          </cell>
          <cell r="Z319">
            <v>6.2229999999999999</v>
          </cell>
          <cell r="AA319">
            <v>30.547000000000004</v>
          </cell>
          <cell r="AB319">
            <v>0.86122219200435146</v>
          </cell>
          <cell r="AD319">
            <v>1062721</v>
          </cell>
          <cell r="AE319" t="str">
            <v>POV0067078</v>
          </cell>
          <cell r="AF319" t="str">
            <v>DM</v>
          </cell>
        </row>
        <row r="320">
          <cell r="A320" t="str">
            <v>648-A60464-224</v>
          </cell>
          <cell r="B320" t="str">
            <v>CAP,SMD,CER,0.22UF,±10%,16VDC,X7R,0402</v>
          </cell>
          <cell r="C320" t="str">
            <v>CAP</v>
          </cell>
          <cell r="D320">
            <v>25</v>
          </cell>
          <cell r="E320">
            <v>1</v>
          </cell>
          <cell r="F320" t="str">
            <v>27 Weeks</v>
          </cell>
          <cell r="G320">
            <v>10000</v>
          </cell>
          <cell r="H320">
            <v>4.9020000000000001E-3</v>
          </cell>
          <cell r="I320">
            <v>49.02</v>
          </cell>
          <cell r="J320">
            <v>5.9780487804878052E-3</v>
          </cell>
          <cell r="K320">
            <v>10.760487804878053</v>
          </cell>
          <cell r="L320">
            <v>59.780487804878049</v>
          </cell>
          <cell r="O320"/>
          <cell r="Q320">
            <v>1</v>
          </cell>
          <cell r="R320" t="str">
            <v>CL05B224KO5NNNC</v>
          </cell>
          <cell r="S320" t="str">
            <v>SAMSUNG EM</v>
          </cell>
          <cell r="T320" t="str">
            <v>Rutronik UK via Astute Ltd</v>
          </cell>
          <cell r="U320">
            <v>2E-3</v>
          </cell>
          <cell r="V320">
            <v>10000</v>
          </cell>
          <cell r="W320">
            <v>0</v>
          </cell>
          <cell r="X320">
            <v>2</v>
          </cell>
          <cell r="Y320" t="str">
            <v>Y</v>
          </cell>
          <cell r="Z320">
            <v>20</v>
          </cell>
          <cell r="AA320">
            <v>29.020000000000003</v>
          </cell>
          <cell r="AB320">
            <v>0.66544267645858834</v>
          </cell>
          <cell r="AD320">
            <v>1062721</v>
          </cell>
          <cell r="AE320" t="str">
            <v>POV0067078</v>
          </cell>
          <cell r="AF320" t="str">
            <v>DM</v>
          </cell>
        </row>
        <row r="321">
          <cell r="A321" t="str">
            <v>615-123462-102</v>
          </cell>
          <cell r="B321" t="str">
            <v>RES,0402,THKF,1/16W,1% 10.2K ROHS</v>
          </cell>
          <cell r="C321" t="str">
            <v>RES</v>
          </cell>
          <cell r="D321">
            <v>25</v>
          </cell>
          <cell r="E321">
            <v>1</v>
          </cell>
          <cell r="F321" t="str">
            <v>23 Weeks</v>
          </cell>
          <cell r="G321">
            <v>10000</v>
          </cell>
          <cell r="H321">
            <v>2.4510000000000001E-3</v>
          </cell>
          <cell r="I321">
            <v>24.51</v>
          </cell>
          <cell r="J321">
            <v>2.9890243902439026E-3</v>
          </cell>
          <cell r="K321">
            <v>5.3802439024390267</v>
          </cell>
          <cell r="L321">
            <v>29.890243902439025</v>
          </cell>
          <cell r="O321"/>
          <cell r="Q321">
            <v>1</v>
          </cell>
          <cell r="R321" t="str">
            <v>RC0402FR-0710K2L</v>
          </cell>
          <cell r="S321" t="str">
            <v>YAGEO</v>
          </cell>
          <cell r="T321" t="str">
            <v>Rutronik UK via Astute Ltd</v>
          </cell>
          <cell r="U321">
            <v>4.9529999999999995E-4</v>
          </cell>
          <cell r="V321">
            <v>10000</v>
          </cell>
          <cell r="W321">
            <v>0</v>
          </cell>
          <cell r="X321">
            <v>2</v>
          </cell>
          <cell r="Y321" t="str">
            <v>Y</v>
          </cell>
          <cell r="Z321">
            <v>4.9529999999999994</v>
          </cell>
          <cell r="AA321">
            <v>19.557000000000002</v>
          </cell>
          <cell r="AB321">
            <v>0.83429375764993885</v>
          </cell>
          <cell r="AD321">
            <v>1062721</v>
          </cell>
          <cell r="AE321" t="str">
            <v>POV0067078</v>
          </cell>
          <cell r="AF321" t="str">
            <v>DM</v>
          </cell>
        </row>
        <row r="322">
          <cell r="A322" t="str">
            <v>615-123462-243</v>
          </cell>
          <cell r="B322" t="str">
            <v>RES,0402,THKF,1/16W,1% 24.3K ROHS</v>
          </cell>
          <cell r="C322" t="str">
            <v>RES</v>
          </cell>
          <cell r="D322">
            <v>25</v>
          </cell>
          <cell r="E322">
            <v>1</v>
          </cell>
          <cell r="F322" t="str">
            <v>23 Weeks</v>
          </cell>
          <cell r="G322">
            <v>10000</v>
          </cell>
          <cell r="H322">
            <v>2.4510000000000001E-3</v>
          </cell>
          <cell r="I322">
            <v>24.51</v>
          </cell>
          <cell r="J322">
            <v>2.9890243902439026E-3</v>
          </cell>
          <cell r="K322">
            <v>5.3802439024390267</v>
          </cell>
          <cell r="L322">
            <v>29.890243902439025</v>
          </cell>
          <cell r="O322"/>
          <cell r="Q322">
            <v>1</v>
          </cell>
          <cell r="R322" t="str">
            <v>RC0402FR-0724K3L</v>
          </cell>
          <cell r="S322" t="str">
            <v>YAGEO</v>
          </cell>
          <cell r="T322" t="str">
            <v>Rutronik UK via Astute Ltd</v>
          </cell>
          <cell r="U322">
            <v>4.9529999999999995E-4</v>
          </cell>
          <cell r="V322">
            <v>10000</v>
          </cell>
          <cell r="W322">
            <v>0</v>
          </cell>
          <cell r="X322">
            <v>2</v>
          </cell>
          <cell r="Y322" t="str">
            <v>Y</v>
          </cell>
          <cell r="Z322">
            <v>4.9529999999999994</v>
          </cell>
          <cell r="AA322">
            <v>19.557000000000002</v>
          </cell>
          <cell r="AB322">
            <v>0.83429375764993885</v>
          </cell>
          <cell r="AD322">
            <v>1062721</v>
          </cell>
          <cell r="AE322" t="str">
            <v>POV0067078</v>
          </cell>
          <cell r="AF322" t="str">
            <v>DM</v>
          </cell>
        </row>
        <row r="323">
          <cell r="A323" t="str">
            <v>615-123461-267</v>
          </cell>
          <cell r="B323" t="str">
            <v>RES,0402,THKF,1/16W,1% 2.67K ROHS</v>
          </cell>
          <cell r="C323" t="str">
            <v>RES</v>
          </cell>
          <cell r="D323">
            <v>60</v>
          </cell>
          <cell r="E323">
            <v>1</v>
          </cell>
          <cell r="F323" t="str">
            <v>23 Weeks</v>
          </cell>
          <cell r="G323">
            <v>10000</v>
          </cell>
          <cell r="H323">
            <v>2.4510000000000001E-3</v>
          </cell>
          <cell r="I323">
            <v>24.51</v>
          </cell>
          <cell r="J323">
            <v>2.9890243902439026E-3</v>
          </cell>
          <cell r="K323">
            <v>5.3802439024390267</v>
          </cell>
          <cell r="L323">
            <v>29.890243902439025</v>
          </cell>
          <cell r="O323"/>
          <cell r="Q323">
            <v>1</v>
          </cell>
          <cell r="R323" t="str">
            <v>RC0402FR-072K67L</v>
          </cell>
          <cell r="S323" t="str">
            <v>YAGEO</v>
          </cell>
          <cell r="T323" t="str">
            <v>Rutronik UK via Astute Ltd</v>
          </cell>
          <cell r="U323">
            <v>4.9529999999999995E-4</v>
          </cell>
          <cell r="V323">
            <v>10000</v>
          </cell>
          <cell r="W323">
            <v>0</v>
          </cell>
          <cell r="X323">
            <v>2</v>
          </cell>
          <cell r="Y323" t="str">
            <v>Y</v>
          </cell>
          <cell r="Z323">
            <v>4.9529999999999994</v>
          </cell>
          <cell r="AA323">
            <v>19.557000000000002</v>
          </cell>
          <cell r="AB323">
            <v>0.83429375764993885</v>
          </cell>
          <cell r="AD323">
            <v>1062721</v>
          </cell>
          <cell r="AE323" t="str">
            <v>POV0067078</v>
          </cell>
          <cell r="AF323" t="str">
            <v>DM</v>
          </cell>
        </row>
        <row r="324">
          <cell r="A324" t="str">
            <v>615-123460-340</v>
          </cell>
          <cell r="B324" t="str">
            <v>RES,0402,THKF,1/16W,1%,340,ROHS</v>
          </cell>
          <cell r="C324" t="str">
            <v>RES</v>
          </cell>
          <cell r="D324">
            <v>15</v>
          </cell>
          <cell r="E324">
            <v>1</v>
          </cell>
          <cell r="F324" t="str">
            <v>23 Weeks</v>
          </cell>
          <cell r="G324">
            <v>10000</v>
          </cell>
          <cell r="H324">
            <v>2.4510000000000001E-3</v>
          </cell>
          <cell r="I324">
            <v>24.51</v>
          </cell>
          <cell r="J324">
            <v>2.9890243902439026E-3</v>
          </cell>
          <cell r="K324">
            <v>5.3802439024390267</v>
          </cell>
          <cell r="L324">
            <v>29.890243902439025</v>
          </cell>
          <cell r="O324"/>
          <cell r="Q324">
            <v>1</v>
          </cell>
          <cell r="R324" t="str">
            <v>RC0402FR-07340RL</v>
          </cell>
          <cell r="S324" t="str">
            <v>YAGEO</v>
          </cell>
          <cell r="T324" t="str">
            <v>Rutronik UK via Astute Ltd</v>
          </cell>
          <cell r="U324">
            <v>4.9529999999999995E-4</v>
          </cell>
          <cell r="V324">
            <v>10000</v>
          </cell>
          <cell r="W324">
            <v>0</v>
          </cell>
          <cell r="X324">
            <v>2</v>
          </cell>
          <cell r="Y324" t="str">
            <v>Y</v>
          </cell>
          <cell r="Z324">
            <v>4.9529999999999994</v>
          </cell>
          <cell r="AA324">
            <v>19.557000000000002</v>
          </cell>
          <cell r="AB324">
            <v>0.83429375764993885</v>
          </cell>
          <cell r="AD324">
            <v>1062721</v>
          </cell>
          <cell r="AE324" t="str">
            <v>POV0067078</v>
          </cell>
          <cell r="AF324" t="str">
            <v>DM</v>
          </cell>
        </row>
        <row r="325">
          <cell r="A325" t="str">
            <v>648-228099-001</v>
          </cell>
          <cell r="B325" t="str">
            <v>CAP,SMD,10UF,25V,10% TOL,X5R,CER</v>
          </cell>
          <cell r="C325" t="str">
            <v>CAP</v>
          </cell>
          <cell r="D325">
            <v>25</v>
          </cell>
          <cell r="E325">
            <v>1</v>
          </cell>
          <cell r="F325" t="str">
            <v>23 Weeks</v>
          </cell>
          <cell r="G325">
            <v>2000</v>
          </cell>
          <cell r="H325">
            <v>3.4313999999999997E-2</v>
          </cell>
          <cell r="I325">
            <v>68.628</v>
          </cell>
          <cell r="J325">
            <v>4.1846341463414635E-2</v>
          </cell>
          <cell r="K325">
            <v>15.064682926829278</v>
          </cell>
          <cell r="L325">
            <v>83.692682926829264</v>
          </cell>
          <cell r="M325" t="str">
            <v>CHINA</v>
          </cell>
          <cell r="N325" t="str">
            <v>8532240020</v>
          </cell>
          <cell r="O325">
            <v>0.35</v>
          </cell>
          <cell r="P325">
            <v>24.0198</v>
          </cell>
          <cell r="Q325">
            <v>1</v>
          </cell>
          <cell r="R325" t="str">
            <v>CL21A106KAYNNNE</v>
          </cell>
          <cell r="S325" t="str">
            <v>Samsung</v>
          </cell>
          <cell r="T325" t="str">
            <v>Rutronik UK via Astute Ltd</v>
          </cell>
          <cell r="U325">
            <v>9.2499999999999995E-3</v>
          </cell>
          <cell r="V325">
            <v>2000</v>
          </cell>
          <cell r="W325">
            <v>0</v>
          </cell>
          <cell r="X325">
            <v>2</v>
          </cell>
          <cell r="Y325" t="str">
            <v>Y</v>
          </cell>
          <cell r="Z325">
            <v>18.5</v>
          </cell>
          <cell r="AA325">
            <v>50.128</v>
          </cell>
          <cell r="AB325">
            <v>0.77895319694585297</v>
          </cell>
          <cell r="AD325">
            <v>1062721</v>
          </cell>
          <cell r="AE325" t="str">
            <v>POV0067078</v>
          </cell>
          <cell r="AF325" t="str">
            <v>DM</v>
          </cell>
        </row>
        <row r="326">
          <cell r="A326" t="str">
            <v>648-269920-001</v>
          </cell>
          <cell r="B326" t="str">
            <v>CAP,SMD,CER,0.1UF,50V,NP0,1206</v>
          </cell>
          <cell r="C326" t="str">
            <v>CAP</v>
          </cell>
          <cell r="D326">
            <v>15</v>
          </cell>
          <cell r="E326">
            <v>1</v>
          </cell>
          <cell r="F326" t="str">
            <v>26 Weeks</v>
          </cell>
          <cell r="G326">
            <v>2000</v>
          </cell>
          <cell r="H326">
            <v>0.13725599999999999</v>
          </cell>
          <cell r="I326">
            <v>274.512</v>
          </cell>
          <cell r="J326">
            <v>0.16738536585365854</v>
          </cell>
          <cell r="K326">
            <v>60.258731707317111</v>
          </cell>
          <cell r="L326">
            <v>334.77073170731705</v>
          </cell>
          <cell r="O326"/>
          <cell r="Q326">
            <v>1</v>
          </cell>
          <cell r="R326" t="str">
            <v>GRM31C5C1H104JA01L</v>
          </cell>
          <cell r="S326" t="str">
            <v>Murata</v>
          </cell>
          <cell r="T326" t="str">
            <v>Rutronik UK via Astute Ltd</v>
          </cell>
          <cell r="U326">
            <v>4.8641000000000004E-2</v>
          </cell>
          <cell r="V326">
            <v>2000</v>
          </cell>
          <cell r="W326">
            <v>0</v>
          </cell>
          <cell r="X326">
            <v>2</v>
          </cell>
          <cell r="Y326" t="str">
            <v>Y</v>
          </cell>
          <cell r="Z326">
            <v>97.282000000000011</v>
          </cell>
          <cell r="AA326">
            <v>177.23</v>
          </cell>
          <cell r="AB326">
            <v>0.70940709331468199</v>
          </cell>
          <cell r="AD326">
            <v>1062721</v>
          </cell>
          <cell r="AE326" t="str">
            <v>POV0067078</v>
          </cell>
          <cell r="AF326" t="str">
            <v>DM</v>
          </cell>
        </row>
        <row r="327">
          <cell r="A327" t="str">
            <v>648-097891-473</v>
          </cell>
          <cell r="B327" t="str">
            <v>CAP,1206,.047UF,10%,50V,X7R,ROHS</v>
          </cell>
          <cell r="C327" t="str">
            <v>CAP</v>
          </cell>
          <cell r="D327">
            <v>15</v>
          </cell>
          <cell r="E327">
            <v>1</v>
          </cell>
          <cell r="F327" t="str">
            <v>17 Weeks</v>
          </cell>
          <cell r="G327">
            <v>4000</v>
          </cell>
          <cell r="H327">
            <v>4.9020000000000001E-2</v>
          </cell>
          <cell r="I327">
            <v>196.08</v>
          </cell>
          <cell r="J327">
            <v>5.9780487804878053E-2</v>
          </cell>
          <cell r="K327">
            <v>43.041951219512214</v>
          </cell>
          <cell r="L327">
            <v>239.12195121951223</v>
          </cell>
          <cell r="O327"/>
          <cell r="Q327">
            <v>2</v>
          </cell>
          <cell r="R327" t="str">
            <v>12065C473KAT2A</v>
          </cell>
          <cell r="S327" t="str">
            <v>AVX</v>
          </cell>
          <cell r="T327" t="str">
            <v>Rutronik UK via Astute Ltd</v>
          </cell>
          <cell r="U327">
            <v>1.3207999999999999E-2</v>
          </cell>
          <cell r="V327">
            <v>4000</v>
          </cell>
          <cell r="W327">
            <v>0</v>
          </cell>
          <cell r="X327">
            <v>2</v>
          </cell>
          <cell r="Y327" t="str">
            <v>Y</v>
          </cell>
          <cell r="Z327">
            <v>52.831999999999994</v>
          </cell>
          <cell r="AA327">
            <v>143.24800000000002</v>
          </cell>
          <cell r="AB327">
            <v>0.77905834353325176</v>
          </cell>
          <cell r="AD327">
            <v>1062721</v>
          </cell>
          <cell r="AE327" t="str">
            <v>POV0067078</v>
          </cell>
          <cell r="AF327" t="str">
            <v>DM</v>
          </cell>
        </row>
        <row r="328">
          <cell r="A328" t="str">
            <v>648-347511-101</v>
          </cell>
          <cell r="B328" t="str">
            <v>CAP,SMD,CER,100PF,±5% TOL,25V,C0G,0603</v>
          </cell>
          <cell r="C328" t="str">
            <v>CAP</v>
          </cell>
          <cell r="D328">
            <v>15</v>
          </cell>
          <cell r="E328">
            <v>1</v>
          </cell>
          <cell r="F328" t="str">
            <v>24 Weeks</v>
          </cell>
          <cell r="G328">
            <v>4000</v>
          </cell>
          <cell r="H328">
            <v>9.8040000000000002E-3</v>
          </cell>
          <cell r="I328">
            <v>39.216000000000001</v>
          </cell>
          <cell r="J328">
            <v>1.195609756097561E-2</v>
          </cell>
          <cell r="K328">
            <v>8.6083902439024413</v>
          </cell>
          <cell r="L328">
            <v>47.824390243902442</v>
          </cell>
          <cell r="O328"/>
          <cell r="Q328">
            <v>1</v>
          </cell>
          <cell r="R328" t="str">
            <v>CC0603JRNPO8BN101</v>
          </cell>
          <cell r="S328" t="str">
            <v>Yageo</v>
          </cell>
          <cell r="T328" t="str">
            <v>Rutronik UK via Astute Ltd</v>
          </cell>
          <cell r="U328">
            <v>2.2098E-3</v>
          </cell>
          <cell r="V328">
            <v>4000</v>
          </cell>
          <cell r="W328">
            <v>0</v>
          </cell>
          <cell r="X328">
            <v>2</v>
          </cell>
          <cell r="Y328" t="str">
            <v>Y</v>
          </cell>
          <cell r="Z328">
            <v>8.8391999999999999</v>
          </cell>
          <cell r="AA328">
            <v>30.376800000000003</v>
          </cell>
          <cell r="AB328">
            <v>0.81517380660954708</v>
          </cell>
          <cell r="AD328">
            <v>1062721</v>
          </cell>
          <cell r="AE328" t="str">
            <v>POV0067078</v>
          </cell>
          <cell r="AF328" t="str">
            <v>DM</v>
          </cell>
        </row>
        <row r="329">
          <cell r="A329" t="str">
            <v>648-051878-222</v>
          </cell>
          <cell r="B329" t="str">
            <v>CAP,SMD,0603,2200PF,50V,10%,X7R,ROHS</v>
          </cell>
          <cell r="C329" t="str">
            <v>CAP</v>
          </cell>
          <cell r="D329">
            <v>15</v>
          </cell>
          <cell r="E329">
            <v>1</v>
          </cell>
          <cell r="F329" t="str">
            <v>51 Weeks</v>
          </cell>
          <cell r="G329">
            <v>4000</v>
          </cell>
          <cell r="H329">
            <v>3.3089E-2</v>
          </cell>
          <cell r="I329">
            <v>132.35599999999999</v>
          </cell>
          <cell r="J329">
            <v>4.0352439024390244E-2</v>
          </cell>
          <cell r="K329">
            <v>29.053756097560978</v>
          </cell>
          <cell r="L329">
            <v>161.40975609756097</v>
          </cell>
          <cell r="O329"/>
          <cell r="Q329">
            <v>5</v>
          </cell>
          <cell r="R329" t="str">
            <v>CC0603KRX7R9BB222</v>
          </cell>
          <cell r="S329" t="str">
            <v>Yageo</v>
          </cell>
          <cell r="T329" t="str">
            <v>Rutronik UK via Astute Ltd</v>
          </cell>
          <cell r="U329">
            <v>1.4732E-3</v>
          </cell>
          <cell r="V329">
            <v>4000</v>
          </cell>
          <cell r="W329">
            <v>0</v>
          </cell>
          <cell r="X329">
            <v>2</v>
          </cell>
          <cell r="Y329" t="str">
            <v>Y</v>
          </cell>
          <cell r="Z329">
            <v>5.8928000000000003</v>
          </cell>
          <cell r="AA329">
            <v>126.4632</v>
          </cell>
          <cell r="AB329">
            <v>0.96349167397020152</v>
          </cell>
          <cell r="AD329">
            <v>1062721</v>
          </cell>
          <cell r="AE329" t="str">
            <v>POV0067078</v>
          </cell>
          <cell r="AF329" t="str">
            <v>DM</v>
          </cell>
        </row>
        <row r="330">
          <cell r="A330" t="str">
            <v>615-052826-102</v>
          </cell>
          <cell r="B330" t="str">
            <v>RES,0805,0.1%,1/8W,25PPM,1K ROHS</v>
          </cell>
          <cell r="C330" t="str">
            <v>RES</v>
          </cell>
          <cell r="D330">
            <v>15</v>
          </cell>
          <cell r="E330">
            <v>1</v>
          </cell>
          <cell r="F330" t="str">
            <v>3 Weeks</v>
          </cell>
          <cell r="G330">
            <v>5000</v>
          </cell>
          <cell r="H330">
            <v>3.4313999999999997E-2</v>
          </cell>
          <cell r="I330">
            <v>171.57</v>
          </cell>
          <cell r="J330">
            <v>4.1846341463414635E-2</v>
          </cell>
          <cell r="K330">
            <v>37.661707317073194</v>
          </cell>
          <cell r="L330">
            <v>209.23170731707319</v>
          </cell>
          <cell r="O330"/>
          <cell r="Q330">
            <v>1</v>
          </cell>
          <cell r="R330" t="str">
            <v>ERA6AEB102V</v>
          </cell>
          <cell r="S330" t="str">
            <v>Panasonic</v>
          </cell>
          <cell r="T330" t="str">
            <v>Rutronik UK via Astute Ltd</v>
          </cell>
          <cell r="U330">
            <v>2.4015700000000001E-2</v>
          </cell>
          <cell r="V330">
            <v>5000</v>
          </cell>
          <cell r="W330">
            <v>0</v>
          </cell>
          <cell r="X330">
            <v>2</v>
          </cell>
          <cell r="Y330" t="str">
            <v>Y</v>
          </cell>
          <cell r="Z330">
            <v>120.07850000000001</v>
          </cell>
          <cell r="AA330">
            <v>51.491499999999988</v>
          </cell>
          <cell r="AB330">
            <v>0.42609797750189427</v>
          </cell>
          <cell r="AD330">
            <v>1062721</v>
          </cell>
          <cell r="AE330" t="str">
            <v>POV0067078</v>
          </cell>
          <cell r="AF330" t="str">
            <v>DM</v>
          </cell>
        </row>
        <row r="331">
          <cell r="A331" t="str">
            <v>615-901301-267</v>
          </cell>
          <cell r="B331" t="str">
            <v>RES,SMD,0805,2.67K,1%,1/10W,ROHS</v>
          </cell>
          <cell r="C331" t="str">
            <v>RES</v>
          </cell>
          <cell r="D331">
            <v>15</v>
          </cell>
          <cell r="E331">
            <v>1</v>
          </cell>
          <cell r="F331" t="str">
            <v>23 Weeks</v>
          </cell>
          <cell r="G331">
            <v>5000</v>
          </cell>
          <cell r="H331">
            <v>8.0000000000000002E-3</v>
          </cell>
          <cell r="I331">
            <v>40</v>
          </cell>
          <cell r="J331">
            <v>9.7560975609756097E-3</v>
          </cell>
          <cell r="K331">
            <v>8.7804878048780495</v>
          </cell>
          <cell r="L331">
            <v>48.780487804878049</v>
          </cell>
          <cell r="O331"/>
          <cell r="Q331">
            <v>3</v>
          </cell>
          <cell r="R331" t="str">
            <v>RC0805FR-072K67L</v>
          </cell>
          <cell r="S331" t="str">
            <v>YAGEO</v>
          </cell>
          <cell r="T331" t="str">
            <v>Rutronik UK via Astute Ltd</v>
          </cell>
          <cell r="U331">
            <v>1.2319000000000002E-3</v>
          </cell>
          <cell r="V331">
            <v>5000</v>
          </cell>
          <cell r="W331">
            <v>0</v>
          </cell>
          <cell r="X331">
            <v>2</v>
          </cell>
          <cell r="Y331" t="str">
            <v>Y</v>
          </cell>
          <cell r="Z331">
            <v>6.1595000000000013</v>
          </cell>
          <cell r="AA331">
            <v>33.840499999999999</v>
          </cell>
          <cell r="AB331">
            <v>0.87373024999999993</v>
          </cell>
          <cell r="AD331">
            <v>1062721</v>
          </cell>
          <cell r="AE331" t="str">
            <v>POV0067078</v>
          </cell>
          <cell r="AF331" t="str">
            <v>DM</v>
          </cell>
        </row>
        <row r="332">
          <cell r="A332" t="str">
            <v>630-098848-001</v>
          </cell>
          <cell r="B332" t="str">
            <v>IC,ILD207 DUAL OPTOCPLR SO8,ROHS</v>
          </cell>
          <cell r="C332" t="str">
            <v>IC</v>
          </cell>
          <cell r="D332">
            <v>15</v>
          </cell>
          <cell r="E332">
            <v>1</v>
          </cell>
          <cell r="F332" t="str">
            <v>9 Weeks</v>
          </cell>
          <cell r="G332">
            <v>2000</v>
          </cell>
          <cell r="H332">
            <v>0.44598399999999999</v>
          </cell>
          <cell r="I332">
            <v>891.96799999999996</v>
          </cell>
          <cell r="J332">
            <v>0.54388292682926831</v>
          </cell>
          <cell r="K332">
            <v>195.79785365853661</v>
          </cell>
          <cell r="L332">
            <v>1087.7658536585366</v>
          </cell>
          <cell r="O332"/>
          <cell r="Q332">
            <v>1</v>
          </cell>
          <cell r="R332" t="str">
            <v>ILD207T</v>
          </cell>
          <cell r="S332" t="str">
            <v>Vishay</v>
          </cell>
          <cell r="T332" t="str">
            <v>Rutronik UK via Astute Ltd</v>
          </cell>
          <cell r="U332">
            <v>0.2224151</v>
          </cell>
          <cell r="V332">
            <v>2000</v>
          </cell>
          <cell r="W332">
            <v>0</v>
          </cell>
          <cell r="X332">
            <v>2</v>
          </cell>
          <cell r="Y332" t="str">
            <v>Y</v>
          </cell>
          <cell r="Z332">
            <v>444.83019999999999</v>
          </cell>
          <cell r="AA332">
            <v>447.13779999999997</v>
          </cell>
          <cell r="AB332">
            <v>0.5910607062136759</v>
          </cell>
          <cell r="AD332">
            <v>1062721</v>
          </cell>
          <cell r="AE332" t="str">
            <v>POV0067078</v>
          </cell>
          <cell r="AF332" t="str">
            <v>DM</v>
          </cell>
        </row>
        <row r="333">
          <cell r="A333" t="str">
            <v>648-A72845-002</v>
          </cell>
          <cell r="B333" t="str">
            <v>CAP,SMD,CER,47UF,10%,10VDC,X7R,1210</v>
          </cell>
          <cell r="C333" t="str">
            <v>CAP</v>
          </cell>
          <cell r="D333">
            <v>25</v>
          </cell>
          <cell r="E333">
            <v>1</v>
          </cell>
          <cell r="F333" t="str">
            <v>17 Weeks</v>
          </cell>
          <cell r="G333">
            <v>1000</v>
          </cell>
          <cell r="H333">
            <v>0.33823799999999998</v>
          </cell>
          <cell r="I333">
            <v>338.238</v>
          </cell>
          <cell r="J333">
            <v>0.41248536585365853</v>
          </cell>
          <cell r="K333">
            <v>74.24736585365855</v>
          </cell>
          <cell r="L333">
            <v>412.48536585365855</v>
          </cell>
          <cell r="O333"/>
          <cell r="Q333">
            <v>2</v>
          </cell>
          <cell r="R333" t="str">
            <v>GRM32ER71A476KE15L</v>
          </cell>
          <cell r="S333" t="str">
            <v>Murata</v>
          </cell>
          <cell r="T333" t="str">
            <v>Rutronik UK via Astute Ltd</v>
          </cell>
          <cell r="U333">
            <v>0.20176490000000002</v>
          </cell>
          <cell r="V333">
            <v>1000</v>
          </cell>
          <cell r="W333">
            <v>0</v>
          </cell>
          <cell r="X333">
            <v>2</v>
          </cell>
          <cell r="Y333" t="str">
            <v>Y</v>
          </cell>
          <cell r="Z333">
            <v>201.76490000000001</v>
          </cell>
          <cell r="AA333">
            <v>136.47309999999999</v>
          </cell>
          <cell r="AB333">
            <v>0.51085561645941613</v>
          </cell>
          <cell r="AD333">
            <v>1062721</v>
          </cell>
          <cell r="AE333" t="str">
            <v>POV0067078</v>
          </cell>
          <cell r="AF333" t="str">
            <v>DM</v>
          </cell>
        </row>
        <row r="334">
          <cell r="A334" t="str">
            <v>648-A97180-102</v>
          </cell>
          <cell r="B334" t="str">
            <v>CAP,SMD,ELCTLT,AL,1000UF,20%,16V,HTM</v>
          </cell>
          <cell r="C334" t="str">
            <v>CAP</v>
          </cell>
          <cell r="D334">
            <v>25</v>
          </cell>
          <cell r="E334">
            <v>1</v>
          </cell>
          <cell r="F334" t="str">
            <v>24 Weeks</v>
          </cell>
          <cell r="G334">
            <v>500</v>
          </cell>
          <cell r="H334">
            <v>0.49510199999999999</v>
          </cell>
          <cell r="I334">
            <v>247.55099999999999</v>
          </cell>
          <cell r="J334">
            <v>0.60378292682926826</v>
          </cell>
          <cell r="K334">
            <v>54.340463414634144</v>
          </cell>
          <cell r="L334">
            <v>301.89146341463413</v>
          </cell>
          <cell r="O334"/>
          <cell r="Q334">
            <v>1</v>
          </cell>
          <cell r="R334" t="str">
            <v>EEEFT1C102AP</v>
          </cell>
          <cell r="S334" t="str">
            <v>Panasonic</v>
          </cell>
          <cell r="T334" t="str">
            <v>Rutronik UK via Astute Ltd</v>
          </cell>
          <cell r="U334">
            <v>0.38103810000000005</v>
          </cell>
          <cell r="V334">
            <v>500</v>
          </cell>
          <cell r="W334">
            <v>0</v>
          </cell>
          <cell r="X334">
            <v>2</v>
          </cell>
          <cell r="Y334" t="str">
            <v>Y</v>
          </cell>
          <cell r="Z334">
            <v>190.51905000000002</v>
          </cell>
          <cell r="AA334">
            <v>57.031949999999966</v>
          </cell>
          <cell r="AB334">
            <v>0.36891541136977823</v>
          </cell>
          <cell r="AD334">
            <v>1062721</v>
          </cell>
          <cell r="AE334" t="str">
            <v>POV0067078</v>
          </cell>
          <cell r="AF334" t="str">
            <v>DM</v>
          </cell>
        </row>
        <row r="335">
          <cell r="A335" t="str">
            <v>615-A00424-100</v>
          </cell>
          <cell r="B335" t="str">
            <v>RES,SMD,10.0KOHM,0.1%,1/16W,0402</v>
          </cell>
          <cell r="C335" t="str">
            <v>RES</v>
          </cell>
          <cell r="D335">
            <v>25</v>
          </cell>
          <cell r="E335">
            <v>1</v>
          </cell>
          <cell r="F335" t="str">
            <v>23 Weeks</v>
          </cell>
          <cell r="G335">
            <v>10000</v>
          </cell>
          <cell r="H335">
            <v>4.2255000000000001E-2</v>
          </cell>
          <cell r="I335">
            <v>422.55</v>
          </cell>
          <cell r="J335">
            <v>5.1530487804878053E-2</v>
          </cell>
          <cell r="K335">
            <v>92.75487804878054</v>
          </cell>
          <cell r="L335">
            <v>515.30487804878055</v>
          </cell>
          <cell r="O335"/>
          <cell r="Q335">
            <v>2</v>
          </cell>
          <cell r="R335" t="str">
            <v>RT0402BRD0710KL</v>
          </cell>
          <cell r="S335" t="str">
            <v>Yageo</v>
          </cell>
          <cell r="T335" t="str">
            <v>Rutronik UK via Astute Ltd</v>
          </cell>
          <cell r="U335">
            <v>1.4401799999999999E-2</v>
          </cell>
          <cell r="V335">
            <v>10000</v>
          </cell>
          <cell r="W335">
            <v>0</v>
          </cell>
          <cell r="X335">
            <v>2</v>
          </cell>
          <cell r="Y335" t="str">
            <v>Y</v>
          </cell>
          <cell r="Z335">
            <v>144.018</v>
          </cell>
          <cell r="AA335">
            <v>278.53200000000004</v>
          </cell>
          <cell r="AB335">
            <v>0.7205188498402556</v>
          </cell>
          <cell r="AD335">
            <v>1062721</v>
          </cell>
          <cell r="AE335" t="str">
            <v>POV0067078</v>
          </cell>
          <cell r="AF335" t="str">
            <v>DM</v>
          </cell>
        </row>
        <row r="336">
          <cell r="A336" t="str">
            <v>615-116028-787</v>
          </cell>
          <cell r="B336" t="str">
            <v>RES,1206,1% 1/4W,7.87K ROHS</v>
          </cell>
          <cell r="C336" t="str">
            <v>RES</v>
          </cell>
          <cell r="D336">
            <v>25</v>
          </cell>
          <cell r="E336">
            <v>1</v>
          </cell>
          <cell r="F336" t="str">
            <v>15 Weeks</v>
          </cell>
          <cell r="G336">
            <v>5000</v>
          </cell>
          <cell r="H336">
            <v>8.5789999999999998E-3</v>
          </cell>
          <cell r="I336">
            <v>42.894999999999996</v>
          </cell>
          <cell r="J336">
            <v>1.046219512195122E-2</v>
          </cell>
          <cell r="K336">
            <v>9.4159756097561029</v>
          </cell>
          <cell r="L336">
            <v>52.310975609756099</v>
          </cell>
          <cell r="O336"/>
          <cell r="Q336">
            <v>3</v>
          </cell>
          <cell r="R336" t="str">
            <v>RC1206FR-077K87L</v>
          </cell>
          <cell r="S336" t="str">
            <v>YAGEO</v>
          </cell>
          <cell r="T336" t="str">
            <v>Rutronik UK via Astute Ltd</v>
          </cell>
          <cell r="U336">
            <v>2.2098E-3</v>
          </cell>
          <cell r="V336">
            <v>5000</v>
          </cell>
          <cell r="W336">
            <v>0</v>
          </cell>
          <cell r="X336">
            <v>2</v>
          </cell>
          <cell r="Y336" t="str">
            <v>Y</v>
          </cell>
          <cell r="Z336">
            <v>11.048999999999999</v>
          </cell>
          <cell r="AA336">
            <v>31.845999999999997</v>
          </cell>
          <cell r="AB336">
            <v>0.78878237556824804</v>
          </cell>
          <cell r="AD336">
            <v>1062721</v>
          </cell>
          <cell r="AE336" t="str">
            <v>POV0067078</v>
          </cell>
          <cell r="AF336" t="str">
            <v>DM</v>
          </cell>
        </row>
        <row r="337">
          <cell r="A337" t="str">
            <v>615-116029-392</v>
          </cell>
          <cell r="B337" t="str">
            <v>RES,SMD,1206,1%,1/4W,39.2K ROHS</v>
          </cell>
          <cell r="C337" t="str">
            <v>RES</v>
          </cell>
          <cell r="D337">
            <v>15</v>
          </cell>
          <cell r="E337">
            <v>1</v>
          </cell>
          <cell r="F337" t="str">
            <v>19 Weeks</v>
          </cell>
          <cell r="G337">
            <v>5000</v>
          </cell>
          <cell r="H337">
            <v>1.103E-2</v>
          </cell>
          <cell r="I337">
            <v>55.15</v>
          </cell>
          <cell r="J337">
            <v>1.3451219512195122E-2</v>
          </cell>
          <cell r="K337">
            <v>12.10609756097562</v>
          </cell>
          <cell r="L337">
            <v>67.256097560975604</v>
          </cell>
          <cell r="O337"/>
          <cell r="Q337">
            <v>3</v>
          </cell>
          <cell r="R337" t="str">
            <v>RC1206FR-0739K2L</v>
          </cell>
          <cell r="S337" t="str">
            <v>YAGEO</v>
          </cell>
          <cell r="T337" t="str">
            <v>Rutronik UK via Astute Ltd</v>
          </cell>
          <cell r="U337">
            <v>2.2098E-3</v>
          </cell>
          <cell r="V337">
            <v>5000</v>
          </cell>
          <cell r="W337">
            <v>0</v>
          </cell>
          <cell r="X337">
            <v>2</v>
          </cell>
          <cell r="Y337" t="str">
            <v>Y</v>
          </cell>
          <cell r="Z337">
            <v>11.048999999999999</v>
          </cell>
          <cell r="AA337">
            <v>44.100999999999999</v>
          </cell>
          <cell r="AB337">
            <v>0.83571749773345427</v>
          </cell>
          <cell r="AD337">
            <v>1062721</v>
          </cell>
          <cell r="AE337" t="str">
            <v>POV0067078</v>
          </cell>
          <cell r="AF337" t="str">
            <v>DM</v>
          </cell>
        </row>
        <row r="338">
          <cell r="A338" t="str">
            <v>615-116029-191</v>
          </cell>
          <cell r="B338" t="str">
            <v>RES,SMD,1206,1%,1/4W,19.1K ROHS</v>
          </cell>
          <cell r="C338" t="str">
            <v>RES</v>
          </cell>
          <cell r="D338">
            <v>25</v>
          </cell>
          <cell r="E338">
            <v>1</v>
          </cell>
          <cell r="F338" t="str">
            <v>19 Weeks</v>
          </cell>
          <cell r="G338">
            <v>5000</v>
          </cell>
          <cell r="H338">
            <v>1.2168999999999999E-2</v>
          </cell>
          <cell r="I338">
            <v>60.844999999999999</v>
          </cell>
          <cell r="J338">
            <v>1.4840243902439024E-2</v>
          </cell>
          <cell r="K338">
            <v>13.356219512195125</v>
          </cell>
          <cell r="L338">
            <v>74.201219512195124</v>
          </cell>
          <cell r="O338"/>
          <cell r="Q338">
            <v>3</v>
          </cell>
          <cell r="R338" t="str">
            <v>RC1206FR-0719K1L</v>
          </cell>
          <cell r="S338" t="str">
            <v>YAGEO</v>
          </cell>
          <cell r="T338" t="str">
            <v>Rutronik UK via Astute Ltd</v>
          </cell>
          <cell r="U338">
            <v>2.2098E-3</v>
          </cell>
          <cell r="V338">
            <v>5000</v>
          </cell>
          <cell r="W338">
            <v>0</v>
          </cell>
          <cell r="X338">
            <v>2</v>
          </cell>
          <cell r="Y338" t="str">
            <v>Y</v>
          </cell>
          <cell r="Z338">
            <v>11.048999999999999</v>
          </cell>
          <cell r="AA338">
            <v>49.795999999999999</v>
          </cell>
          <cell r="AB338">
            <v>0.85109409154408744</v>
          </cell>
          <cell r="AD338">
            <v>1062721</v>
          </cell>
          <cell r="AE338" t="str">
            <v>POV0067078</v>
          </cell>
          <cell r="AF338" t="str">
            <v>DM</v>
          </cell>
        </row>
        <row r="339">
          <cell r="A339" t="str">
            <v>669-B08291-001</v>
          </cell>
          <cell r="B339" t="str">
            <v>CONT,JUMPER,0.200 PITCH</v>
          </cell>
          <cell r="C339" t="str">
            <v>CONT</v>
          </cell>
          <cell r="D339">
            <v>25</v>
          </cell>
          <cell r="E339">
            <v>1</v>
          </cell>
          <cell r="F339" t="str">
            <v>3 Weeks</v>
          </cell>
          <cell r="G339">
            <v>100</v>
          </cell>
          <cell r="H339">
            <v>0.203433</v>
          </cell>
          <cell r="I339">
            <v>20.343299999999999</v>
          </cell>
          <cell r="J339">
            <v>0.24808902439024391</v>
          </cell>
          <cell r="K339">
            <v>4.4656024390243907</v>
          </cell>
          <cell r="L339">
            <v>24.80890243902439</v>
          </cell>
          <cell r="O339"/>
          <cell r="Q339">
            <v>1</v>
          </cell>
          <cell r="R339">
            <v>5026</v>
          </cell>
          <cell r="S339" t="str">
            <v>KEYSTONE ELECTRONICS</v>
          </cell>
          <cell r="T339" t="str">
            <v>Rutronik UK via Astute Ltd</v>
          </cell>
          <cell r="U339">
            <v>0.1256284</v>
          </cell>
          <cell r="V339">
            <v>100</v>
          </cell>
          <cell r="W339">
            <v>0</v>
          </cell>
          <cell r="X339">
            <v>2</v>
          </cell>
          <cell r="Y339" t="str">
            <v>Y</v>
          </cell>
          <cell r="Z339">
            <v>12.56284</v>
          </cell>
          <cell r="AA339">
            <v>7.7804599999999997</v>
          </cell>
          <cell r="AB339">
            <v>0.49361564741217012</v>
          </cell>
          <cell r="AD339">
            <v>1062721</v>
          </cell>
          <cell r="AE339" t="str">
            <v>POV0067078</v>
          </cell>
          <cell r="AF339" t="str">
            <v>DM</v>
          </cell>
        </row>
        <row r="340">
          <cell r="A340" t="str">
            <v>615-188548-001</v>
          </cell>
          <cell r="B340" t="str">
            <v>RES,0402,1% 1/16W,1.00 OHM ROHS</v>
          </cell>
          <cell r="C340" t="str">
            <v>RES</v>
          </cell>
          <cell r="D340">
            <v>25</v>
          </cell>
          <cell r="E340">
            <v>1</v>
          </cell>
          <cell r="F340" t="str">
            <v>17 Weeks</v>
          </cell>
          <cell r="G340">
            <v>10000</v>
          </cell>
          <cell r="H340">
            <v>6.1279999999999998E-3</v>
          </cell>
          <cell r="I340">
            <v>61.28</v>
          </cell>
          <cell r="J340">
            <v>7.4731707317073175E-3</v>
          </cell>
          <cell r="K340">
            <v>13.451707317073172</v>
          </cell>
          <cell r="L340">
            <v>74.731707317073173</v>
          </cell>
          <cell r="O340"/>
          <cell r="Q340">
            <v>1</v>
          </cell>
          <cell r="R340" t="str">
            <v>CRCW04021R00FKED</v>
          </cell>
          <cell r="S340" t="str">
            <v>Vishay</v>
          </cell>
          <cell r="T340" t="str">
            <v>TTI</v>
          </cell>
          <cell r="U340">
            <v>4.4999999999999997E-3</v>
          </cell>
          <cell r="V340">
            <v>10000</v>
          </cell>
          <cell r="W340">
            <v>0</v>
          </cell>
          <cell r="X340">
            <v>1</v>
          </cell>
          <cell r="Y340" t="str">
            <v>Y</v>
          </cell>
          <cell r="Z340">
            <v>45</v>
          </cell>
          <cell r="AA340">
            <v>16.28</v>
          </cell>
          <cell r="AB340">
            <v>0.39784595300261094</v>
          </cell>
          <cell r="AC340" t="str">
            <v>JH</v>
          </cell>
          <cell r="AD340">
            <v>1062721</v>
          </cell>
          <cell r="AE340" t="str">
            <v>POV0067079</v>
          </cell>
          <cell r="AF340" t="str">
            <v>JH</v>
          </cell>
        </row>
        <row r="341">
          <cell r="A341" t="str">
            <v>615-B14225-001</v>
          </cell>
          <cell r="B341" t="str">
            <v>RES,SMD,THK FILM,51OHM,+/-1%,0.5W,0805</v>
          </cell>
          <cell r="C341" t="str">
            <v>RES</v>
          </cell>
          <cell r="D341">
            <v>15</v>
          </cell>
          <cell r="E341">
            <v>1</v>
          </cell>
          <cell r="F341" t="str">
            <v>17 Weeks</v>
          </cell>
          <cell r="G341">
            <v>5000</v>
          </cell>
          <cell r="H341">
            <v>2.6960999999999999E-2</v>
          </cell>
          <cell r="I341">
            <v>134.80500000000001</v>
          </cell>
          <cell r="J341">
            <v>3.287926829268293E-2</v>
          </cell>
          <cell r="K341">
            <v>29.591341463414636</v>
          </cell>
          <cell r="L341">
            <v>164.39634146341464</v>
          </cell>
          <cell r="O341"/>
          <cell r="Q341">
            <v>1</v>
          </cell>
          <cell r="R341" t="str">
            <v>CRCW080551R0FKEAHP</v>
          </cell>
          <cell r="S341" t="str">
            <v>Vishay</v>
          </cell>
          <cell r="T341" t="str">
            <v>TTI</v>
          </cell>
          <cell r="U341">
            <v>2.4500000000000001E-2</v>
          </cell>
          <cell r="V341">
            <v>5000</v>
          </cell>
          <cell r="W341">
            <v>0</v>
          </cell>
          <cell r="X341">
            <v>1</v>
          </cell>
          <cell r="Y341" t="str">
            <v>Y</v>
          </cell>
          <cell r="Z341">
            <v>122.5</v>
          </cell>
          <cell r="AA341">
            <v>12.305000000000007</v>
          </cell>
          <cell r="AB341">
            <v>0.25484959756685588</v>
          </cell>
          <cell r="AC341" t="str">
            <v>JH</v>
          </cell>
          <cell r="AD341">
            <v>1062721</v>
          </cell>
          <cell r="AE341" t="str">
            <v>POV0067079</v>
          </cell>
          <cell r="AF341" t="str">
            <v>JH</v>
          </cell>
        </row>
        <row r="342">
          <cell r="A342" t="str">
            <v>615-221230-010</v>
          </cell>
          <cell r="B342" t="str">
            <v>RES,SMD,432KOHM,TOL 1%,0603, 0.1W</v>
          </cell>
          <cell r="C342" t="str">
            <v>RES</v>
          </cell>
          <cell r="D342">
            <v>25</v>
          </cell>
          <cell r="E342">
            <v>1</v>
          </cell>
          <cell r="F342" t="str">
            <v>15 Weeks</v>
          </cell>
          <cell r="G342">
            <v>5000</v>
          </cell>
          <cell r="H342">
            <v>5.9560000000000004E-3</v>
          </cell>
          <cell r="I342">
            <v>29.78</v>
          </cell>
          <cell r="J342">
            <v>7.2634146341463424E-3</v>
          </cell>
          <cell r="K342">
            <v>6.5370731707317091</v>
          </cell>
          <cell r="L342">
            <v>36.31707317073171</v>
          </cell>
          <cell r="O342"/>
          <cell r="Q342">
            <v>1</v>
          </cell>
          <cell r="R342" t="str">
            <v>CRCW0603432KFKEA</v>
          </cell>
          <cell r="S342" t="str">
            <v>Vishay</v>
          </cell>
          <cell r="T342" t="str">
            <v>TTI</v>
          </cell>
          <cell r="U342">
            <v>4.6800000000000001E-3</v>
          </cell>
          <cell r="V342">
            <v>5000</v>
          </cell>
          <cell r="W342">
            <v>0</v>
          </cell>
          <cell r="X342">
            <v>1</v>
          </cell>
          <cell r="Y342" t="str">
            <v>Y</v>
          </cell>
          <cell r="Z342">
            <v>23.400000000000002</v>
          </cell>
          <cell r="AA342">
            <v>6.379999999999999</v>
          </cell>
          <cell r="AB342">
            <v>0.35567494963062463</v>
          </cell>
          <cell r="AC342" t="str">
            <v>JH</v>
          </cell>
          <cell r="AD342">
            <v>1062721</v>
          </cell>
          <cell r="AE342" t="str">
            <v>POV0067079</v>
          </cell>
          <cell r="AF342" t="str">
            <v>JH</v>
          </cell>
        </row>
        <row r="343">
          <cell r="A343" t="str">
            <v>648-A86832-001</v>
          </cell>
          <cell r="B343" t="str">
            <v>CAP,SMD,ELCTLT,20%,35V,100UF,6.3MM DIA</v>
          </cell>
          <cell r="C343" t="str">
            <v>CAP</v>
          </cell>
          <cell r="D343">
            <v>15</v>
          </cell>
          <cell r="E343">
            <v>1</v>
          </cell>
          <cell r="F343" t="str">
            <v>36 Weeks</v>
          </cell>
          <cell r="G343">
            <v>1000</v>
          </cell>
          <cell r="H343">
            <v>0.162992</v>
          </cell>
          <cell r="I343">
            <v>162.99199999999999</v>
          </cell>
          <cell r="J343">
            <v>0.19877073170731707</v>
          </cell>
          <cell r="K343">
            <v>35.778731707317093</v>
          </cell>
          <cell r="L343">
            <v>198.77073170731708</v>
          </cell>
          <cell r="M343" t="str">
            <v>CHINA</v>
          </cell>
          <cell r="N343">
            <v>8532220020</v>
          </cell>
          <cell r="O343">
            <v>0.35</v>
          </cell>
          <cell r="P343">
            <v>57.047199999999989</v>
          </cell>
          <cell r="Q343">
            <v>1</v>
          </cell>
          <cell r="R343" t="str">
            <v>EEV107M035A9HAA</v>
          </cell>
          <cell r="S343" t="str">
            <v>Kemet</v>
          </cell>
          <cell r="T343" t="str">
            <v>TTI</v>
          </cell>
          <cell r="U343">
            <v>0.14899999999999999</v>
          </cell>
          <cell r="V343">
            <v>1000</v>
          </cell>
          <cell r="W343">
            <v>0</v>
          </cell>
          <cell r="X343">
            <v>1</v>
          </cell>
          <cell r="Y343" t="str">
            <v>Y</v>
          </cell>
          <cell r="Z343">
            <v>149</v>
          </cell>
          <cell r="AA343">
            <v>13.99199999999999</v>
          </cell>
          <cell r="AB343">
            <v>0.25039265730833415</v>
          </cell>
          <cell r="AC343" t="str">
            <v>JH</v>
          </cell>
          <cell r="AD343">
            <v>1062721</v>
          </cell>
          <cell r="AE343" t="str">
            <v>POV0067079</v>
          </cell>
          <cell r="AF343" t="str">
            <v>JH</v>
          </cell>
        </row>
        <row r="344">
          <cell r="A344" t="str">
            <v>668-092917-036</v>
          </cell>
          <cell r="B344" t="str">
            <v>CONN,MINI-D,STR PCB MT 36 PINS,ROHS</v>
          </cell>
          <cell r="C344" t="str">
            <v>CONN</v>
          </cell>
          <cell r="D344">
            <v>15</v>
          </cell>
          <cell r="E344">
            <v>1</v>
          </cell>
          <cell r="F344" t="str">
            <v>21 Weeks</v>
          </cell>
          <cell r="G344">
            <v>200</v>
          </cell>
          <cell r="H344">
            <v>5.3921999999999999</v>
          </cell>
          <cell r="I344">
            <v>1078.44</v>
          </cell>
          <cell r="J344">
            <v>6.5758536585365857</v>
          </cell>
          <cell r="K344">
            <v>236.73073170731709</v>
          </cell>
          <cell r="L344">
            <v>1315.1707317073171</v>
          </cell>
          <cell r="O344"/>
          <cell r="Q344">
            <v>1</v>
          </cell>
          <cell r="R344" t="str">
            <v>10236-6212PC</v>
          </cell>
          <cell r="S344" t="str">
            <v>3M Electronics</v>
          </cell>
          <cell r="T344" t="str">
            <v>TTI</v>
          </cell>
          <cell r="U344">
            <v>4.6900000000000004</v>
          </cell>
          <cell r="V344">
            <v>200</v>
          </cell>
          <cell r="W344">
            <v>0</v>
          </cell>
          <cell r="X344">
            <v>1</v>
          </cell>
          <cell r="Y344" t="str">
            <v>Y</v>
          </cell>
          <cell r="Z344">
            <v>938.00000000000011</v>
          </cell>
          <cell r="AA344">
            <v>140.43999999999994</v>
          </cell>
          <cell r="AB344">
            <v>0.28678461481399053</v>
          </cell>
          <cell r="AC344" t="str">
            <v>JH</v>
          </cell>
          <cell r="AD344">
            <v>1062721</v>
          </cell>
          <cell r="AE344" t="str">
            <v>POV0067079</v>
          </cell>
          <cell r="AF344" t="str">
            <v>JH</v>
          </cell>
        </row>
        <row r="345">
          <cell r="A345" t="str">
            <v>630-120971-001</v>
          </cell>
          <cell r="B345" t="str">
            <v>IC,SMD,2G BITS,128MX16,DDR2 SRAM,ROHS</v>
          </cell>
          <cell r="C345" t="str">
            <v>IC</v>
          </cell>
          <cell r="D345">
            <v>15</v>
          </cell>
          <cell r="E345">
            <v>3</v>
          </cell>
          <cell r="F345" t="str">
            <v>21 Weeks</v>
          </cell>
          <cell r="G345">
            <v>2000</v>
          </cell>
          <cell r="H345">
            <v>10.124283999999999</v>
          </cell>
          <cell r="I345">
            <v>20248.567999999999</v>
          </cell>
          <cell r="J345">
            <v>12.346687804878048</v>
          </cell>
          <cell r="K345">
            <v>4444.8076097560988</v>
          </cell>
          <cell r="L345">
            <v>24693.375609756094</v>
          </cell>
          <cell r="O345"/>
          <cell r="Q345">
            <v>1</v>
          </cell>
          <cell r="R345" t="str">
            <v>MT47H128M16RT-25E:C</v>
          </cell>
          <cell r="S345" t="str">
            <v>MICRON/MICRON TECHNOLOGY, INC.</v>
          </cell>
          <cell r="T345" t="str">
            <v>Poplar</v>
          </cell>
          <cell r="U345">
            <v>5</v>
          </cell>
          <cell r="V345">
            <v>2000</v>
          </cell>
          <cell r="W345">
            <v>0</v>
          </cell>
          <cell r="X345">
            <v>1</v>
          </cell>
          <cell r="Y345" t="str">
            <v>Y</v>
          </cell>
          <cell r="Z345">
            <v>10000</v>
          </cell>
          <cell r="AA345">
            <v>10248.567999999999</v>
          </cell>
          <cell r="AB345">
            <v>0.59503309073510779</v>
          </cell>
          <cell r="AC345" t="str">
            <v>JH</v>
          </cell>
          <cell r="AD345">
            <v>1061234</v>
          </cell>
          <cell r="AE345" t="str">
            <v>POV0067090</v>
          </cell>
          <cell r="AF345" t="str">
            <v>TX</v>
          </cell>
        </row>
        <row r="346">
          <cell r="A346" t="str">
            <v>660-B26903-001</v>
          </cell>
          <cell r="B346" t="str">
            <v>PS,HV,DC-DC CONV,15W,24V,0TO -15KVDC,I10</v>
          </cell>
          <cell r="C346" t="str">
            <v>PS</v>
          </cell>
          <cell r="D346">
            <v>15</v>
          </cell>
          <cell r="E346" t="str">
            <v>N/A</v>
          </cell>
          <cell r="F346" t="str">
            <v>17 Weeks</v>
          </cell>
          <cell r="G346">
            <v>60</v>
          </cell>
          <cell r="H346">
            <v>773.62</v>
          </cell>
          <cell r="I346">
            <v>46417.2</v>
          </cell>
          <cell r="J346">
            <v>943.43902439024396</v>
          </cell>
          <cell r="K346">
            <v>10189.141463414635</v>
          </cell>
          <cell r="L346">
            <v>56606.341463414639</v>
          </cell>
          <cell r="M346"/>
          <cell r="N346"/>
          <cell r="O346"/>
          <cell r="Q346">
            <v>1</v>
          </cell>
          <cell r="R346" t="str">
            <v>15A24-N15-I10-1</v>
          </cell>
          <cell r="S346" t="str">
            <v>Advanced Energy Industries</v>
          </cell>
          <cell r="T346" t="str">
            <v>BeiJing HuaKong Electronic Technology CO</v>
          </cell>
          <cell r="U346">
            <v>590</v>
          </cell>
          <cell r="V346">
            <v>60</v>
          </cell>
          <cell r="W346">
            <v>0</v>
          </cell>
          <cell r="X346">
            <v>16</v>
          </cell>
          <cell r="Y346" t="str">
            <v>Y</v>
          </cell>
          <cell r="Z346">
            <v>35400</v>
          </cell>
          <cell r="AA346">
            <v>11017.199999999997</v>
          </cell>
          <cell r="AB346">
            <v>0.37462837051782538</v>
          </cell>
          <cell r="AC346" t="str">
            <v>JH</v>
          </cell>
          <cell r="AD346">
            <v>1062721</v>
          </cell>
          <cell r="AE346" t="str">
            <v>POV0067095</v>
          </cell>
          <cell r="AF346" t="str">
            <v>TX</v>
          </cell>
        </row>
        <row r="347">
          <cell r="A347" t="str">
            <v>660-B26902-001</v>
          </cell>
          <cell r="B347" t="str">
            <v>PS,HV,DC-DC CONV,15W,24V,0TO +15KVDC,I10</v>
          </cell>
          <cell r="C347" t="str">
            <v>PS</v>
          </cell>
          <cell r="D347">
            <v>15</v>
          </cell>
          <cell r="E347" t="str">
            <v>N/A</v>
          </cell>
          <cell r="F347" t="str">
            <v>17 Weeks</v>
          </cell>
          <cell r="G347">
            <v>60</v>
          </cell>
          <cell r="H347">
            <v>773.62</v>
          </cell>
          <cell r="I347">
            <v>46417.2</v>
          </cell>
          <cell r="J347">
            <v>943.43902439024396</v>
          </cell>
          <cell r="K347">
            <v>10189.141463414635</v>
          </cell>
          <cell r="L347">
            <v>56606.341463414639</v>
          </cell>
          <cell r="O347"/>
          <cell r="Q347">
            <v>1</v>
          </cell>
          <cell r="R347" t="str">
            <v>15A24-P15-I10-1</v>
          </cell>
          <cell r="S347" t="str">
            <v>Advanced Energy Industries</v>
          </cell>
          <cell r="T347" t="str">
            <v>BeiJing HuaKong Electronic Technology CO</v>
          </cell>
          <cell r="U347">
            <v>590</v>
          </cell>
          <cell r="V347">
            <v>60</v>
          </cell>
          <cell r="W347">
            <v>0</v>
          </cell>
          <cell r="X347">
            <v>16</v>
          </cell>
          <cell r="Y347" t="str">
            <v>Y</v>
          </cell>
          <cell r="Z347">
            <v>35400</v>
          </cell>
          <cell r="AA347">
            <v>11017.199999999997</v>
          </cell>
          <cell r="AB347">
            <v>0.37462837051782538</v>
          </cell>
          <cell r="AC347" t="str">
            <v>JH</v>
          </cell>
          <cell r="AD347">
            <v>1062721</v>
          </cell>
          <cell r="AE347" t="str">
            <v>POV0067095</v>
          </cell>
          <cell r="AF347" t="str">
            <v>TX</v>
          </cell>
        </row>
        <row r="348">
          <cell r="A348" t="str">
            <v>615-A00422-280</v>
          </cell>
          <cell r="B348" t="str">
            <v>RES SMD 280 OHM 0.1% 1/16W 0402</v>
          </cell>
          <cell r="C348" t="str">
            <v>RES</v>
          </cell>
          <cell r="D348">
            <v>50</v>
          </cell>
          <cell r="E348">
            <v>1</v>
          </cell>
          <cell r="F348" t="str">
            <v>23 Weeks</v>
          </cell>
          <cell r="G348">
            <v>10000</v>
          </cell>
          <cell r="H348">
            <v>4.1116E-2</v>
          </cell>
          <cell r="I348">
            <v>411.16</v>
          </cell>
          <cell r="J348">
            <v>5.0141463414634151E-2</v>
          </cell>
          <cell r="K348">
            <v>90.254634146341516</v>
          </cell>
          <cell r="L348">
            <v>501.41463414634148</v>
          </cell>
          <cell r="O348"/>
          <cell r="Q348">
            <v>2</v>
          </cell>
          <cell r="R348" t="str">
            <v>RT0402BRD07280RL</v>
          </cell>
          <cell r="S348" t="str">
            <v>Yageo</v>
          </cell>
          <cell r="T348" t="str">
            <v>Future</v>
          </cell>
          <cell r="U348">
            <v>1.7999999999999999E-2</v>
          </cell>
          <cell r="V348">
            <v>10000</v>
          </cell>
          <cell r="W348">
            <v>0</v>
          </cell>
          <cell r="Y348" t="str">
            <v>Y</v>
          </cell>
          <cell r="Z348">
            <v>180</v>
          </cell>
          <cell r="AA348">
            <v>231.16000000000003</v>
          </cell>
          <cell r="AB348">
            <v>0.64101566300223767</v>
          </cell>
          <cell r="AD348">
            <v>1062411</v>
          </cell>
          <cell r="AE348" t="str">
            <v>POV0067098</v>
          </cell>
          <cell r="AF348" t="str">
            <v>SH</v>
          </cell>
        </row>
        <row r="349">
          <cell r="A349" t="str">
            <v>670-332664-023</v>
          </cell>
          <cell r="B349" t="str">
            <v>FUSE,FAST-ACT,15A,600VAC/300VDC,5AG</v>
          </cell>
          <cell r="C349" t="str">
            <v>FUSE</v>
          </cell>
          <cell r="D349">
            <v>25</v>
          </cell>
          <cell r="E349">
            <v>1</v>
          </cell>
          <cell r="F349" t="str">
            <v>15 Weeks</v>
          </cell>
          <cell r="G349">
            <v>100</v>
          </cell>
          <cell r="H349">
            <v>15.24522</v>
          </cell>
          <cell r="I349">
            <v>1524.5219999999999</v>
          </cell>
          <cell r="J349">
            <v>18.591731707317074</v>
          </cell>
          <cell r="K349">
            <v>334.65117073170745</v>
          </cell>
          <cell r="L349">
            <v>1859.1731707317074</v>
          </cell>
          <cell r="O349"/>
          <cell r="Q349">
            <v>1</v>
          </cell>
          <cell r="R349" t="str">
            <v>KLKR015.T</v>
          </cell>
          <cell r="S349" t="str">
            <v>Littelfuse</v>
          </cell>
          <cell r="T349" t="str">
            <v>Fuses Unlimited</v>
          </cell>
          <cell r="U349">
            <v>13.6</v>
          </cell>
          <cell r="V349">
            <v>100</v>
          </cell>
          <cell r="W349">
            <v>0</v>
          </cell>
          <cell r="X349">
            <v>1</v>
          </cell>
          <cell r="Y349" t="str">
            <v>Y</v>
          </cell>
          <cell r="Z349">
            <v>1360</v>
          </cell>
          <cell r="AA349">
            <v>164.52199999999993</v>
          </cell>
          <cell r="AB349">
            <v>0.26849202569723496</v>
          </cell>
          <cell r="AD349">
            <v>1062721</v>
          </cell>
          <cell r="AE349" t="str">
            <v>POV0067107</v>
          </cell>
          <cell r="AF349" t="str">
            <v>SH</v>
          </cell>
        </row>
        <row r="350">
          <cell r="A350" t="str">
            <v>664-122320-001</v>
          </cell>
          <cell r="B350" t="str">
            <v>LED,SMD,3 WAY ALINGAP/INGAN R/G/B 1210</v>
          </cell>
          <cell r="C350" t="str">
            <v>LED</v>
          </cell>
          <cell r="D350">
            <v>25</v>
          </cell>
          <cell r="E350">
            <v>3</v>
          </cell>
          <cell r="F350" t="str">
            <v>11 Weeks</v>
          </cell>
          <cell r="G350">
            <v>3000</v>
          </cell>
          <cell r="H350">
            <v>0.85417299999999996</v>
          </cell>
          <cell r="I350">
            <v>2562.5189999999998</v>
          </cell>
          <cell r="J350">
            <v>1.0416743902439025</v>
          </cell>
          <cell r="K350">
            <v>562.50417073170729</v>
          </cell>
          <cell r="L350">
            <v>3125.0231707317075</v>
          </cell>
          <cell r="O350"/>
          <cell r="Q350">
            <v>1</v>
          </cell>
          <cell r="R350" t="str">
            <v>598-8610-307F</v>
          </cell>
          <cell r="S350" t="str">
            <v>DIALIGHT</v>
          </cell>
          <cell r="T350" t="str">
            <v>Future</v>
          </cell>
          <cell r="U350">
            <v>0.83</v>
          </cell>
          <cell r="V350">
            <v>3000</v>
          </cell>
          <cell r="W350">
            <v>0</v>
          </cell>
          <cell r="Y350" t="str">
            <v>Y</v>
          </cell>
          <cell r="Z350">
            <v>2490</v>
          </cell>
          <cell r="AA350">
            <v>72.518999999999778</v>
          </cell>
          <cell r="AB350">
            <v>0.20320590793668269</v>
          </cell>
          <cell r="AD350">
            <v>1062411</v>
          </cell>
          <cell r="AE350" t="str">
            <v>POV0067098</v>
          </cell>
          <cell r="AF350" t="str">
            <v>SH</v>
          </cell>
        </row>
        <row r="351">
          <cell r="A351" t="str">
            <v>668-A09548-015</v>
          </cell>
          <cell r="B351" t="str">
            <v>CONN,RCPT,D-SUB,SIZE 2,15POSN,5A,STR,SMD</v>
          </cell>
          <cell r="C351" t="str">
            <v>CONN</v>
          </cell>
          <cell r="D351">
            <v>15</v>
          </cell>
          <cell r="E351">
            <v>1</v>
          </cell>
          <cell r="F351" t="str">
            <v>3 Weeks</v>
          </cell>
          <cell r="G351">
            <v>140</v>
          </cell>
          <cell r="H351">
            <v>4.931057</v>
          </cell>
          <cell r="I351">
            <v>690.34798000000001</v>
          </cell>
          <cell r="J351">
            <v>6.0134841463414634</v>
          </cell>
          <cell r="K351">
            <v>151.53980048780488</v>
          </cell>
          <cell r="L351">
            <v>841.88778048780489</v>
          </cell>
          <cell r="O351"/>
          <cell r="Q351">
            <v>1</v>
          </cell>
          <cell r="R351">
            <v>9552156612741</v>
          </cell>
          <cell r="S351" t="str">
            <v>HARTING TECHNOLOGY GROUP</v>
          </cell>
          <cell r="T351" t="str">
            <v>Future</v>
          </cell>
          <cell r="U351">
            <v>3.47</v>
          </cell>
          <cell r="V351">
            <v>140</v>
          </cell>
          <cell r="W351">
            <v>0</v>
          </cell>
          <cell r="X351">
            <v>14</v>
          </cell>
          <cell r="Y351" t="str">
            <v>N</v>
          </cell>
          <cell r="Z351">
            <v>485.8</v>
          </cell>
          <cell r="AA351">
            <v>204.54798</v>
          </cell>
          <cell r="AB351">
            <v>0.42296347415979985</v>
          </cell>
          <cell r="AC351" t="str">
            <v>SH</v>
          </cell>
          <cell r="AD351">
            <v>1062721</v>
          </cell>
          <cell r="AE351" t="str">
            <v>POV0067098</v>
          </cell>
          <cell r="AF351" t="str">
            <v>Stephanie Hill</v>
          </cell>
        </row>
        <row r="352">
          <cell r="A352" t="str">
            <v>609-034003-001</v>
          </cell>
          <cell r="B352" t="str">
            <v>DIO,SMD,PWR,TVS,600W,15V,RoHS</v>
          </cell>
          <cell r="C352" t="str">
            <v>DIO</v>
          </cell>
          <cell r="D352">
            <v>15</v>
          </cell>
          <cell r="E352">
            <v>1</v>
          </cell>
          <cell r="F352" t="str">
            <v>11 Weeks</v>
          </cell>
          <cell r="G352">
            <v>42000</v>
          </cell>
          <cell r="H352">
            <v>7.7206999999999998E-2</v>
          </cell>
          <cell r="I352">
            <v>3242.694</v>
          </cell>
          <cell r="J352">
            <v>9.4154878048780491E-2</v>
          </cell>
          <cell r="K352">
            <v>711.81087804878052</v>
          </cell>
          <cell r="L352">
            <v>3954.5048780487805</v>
          </cell>
          <cell r="M352" t="str">
            <v>CHINA</v>
          </cell>
          <cell r="N352">
            <v>8541100080</v>
          </cell>
          <cell r="O352">
            <v>0.35</v>
          </cell>
          <cell r="P352">
            <v>1134.9429</v>
          </cell>
          <cell r="Q352">
            <v>3</v>
          </cell>
          <cell r="R352" t="str">
            <v>SMBJ15A</v>
          </cell>
          <cell r="S352" t="str">
            <v>ONSEMI</v>
          </cell>
          <cell r="T352" t="str">
            <v>Future</v>
          </cell>
          <cell r="U352">
            <v>4.99E-2</v>
          </cell>
          <cell r="V352">
            <v>42000</v>
          </cell>
          <cell r="W352">
            <v>0</v>
          </cell>
          <cell r="Y352" t="str">
            <v>Y</v>
          </cell>
          <cell r="Z352">
            <v>2095.8000000000002</v>
          </cell>
          <cell r="AA352">
            <v>1146.8939999999998</v>
          </cell>
          <cell r="AB352">
            <v>0.47002214825080624</v>
          </cell>
          <cell r="AD352">
            <v>1062411</v>
          </cell>
          <cell r="AE352" t="str">
            <v>POV0067098</v>
          </cell>
          <cell r="AF352" t="str">
            <v>SH</v>
          </cell>
        </row>
        <row r="353">
          <cell r="A353" t="str">
            <v>615-336992-002</v>
          </cell>
          <cell r="B353" t="str">
            <v>RES,SMD,0402,100KOHM,±.1%,1/16W</v>
          </cell>
          <cell r="C353" t="str">
            <v>RES</v>
          </cell>
          <cell r="D353">
            <v>25</v>
          </cell>
          <cell r="E353">
            <v>1</v>
          </cell>
          <cell r="F353" t="str">
            <v>27 Weeks</v>
          </cell>
          <cell r="G353">
            <v>10000</v>
          </cell>
          <cell r="H353">
            <v>3.8162000000000001E-2</v>
          </cell>
          <cell r="I353">
            <v>381.62</v>
          </cell>
          <cell r="J353">
            <v>4.6539024390243905E-2</v>
          </cell>
          <cell r="K353">
            <v>83.770243902439063</v>
          </cell>
          <cell r="L353">
            <v>465.39024390243907</v>
          </cell>
          <cell r="O353"/>
          <cell r="Q353">
            <v>1</v>
          </cell>
          <cell r="R353" t="str">
            <v>RT0402BRD07100KL</v>
          </cell>
          <cell r="S353" t="str">
            <v>Yageo</v>
          </cell>
          <cell r="T353" t="str">
            <v>Future</v>
          </cell>
          <cell r="U353">
            <v>1.7999999999999999E-2</v>
          </cell>
          <cell r="V353">
            <v>10000</v>
          </cell>
          <cell r="W353">
            <v>0</v>
          </cell>
          <cell r="Y353" t="str">
            <v>Y</v>
          </cell>
          <cell r="Z353">
            <v>180</v>
          </cell>
          <cell r="AA353">
            <v>201.62</v>
          </cell>
          <cell r="AB353">
            <v>0.61322781824851957</v>
          </cell>
          <cell r="AD353">
            <v>1062411</v>
          </cell>
          <cell r="AE353" t="str">
            <v>POV0067098</v>
          </cell>
          <cell r="AF353" t="str">
            <v>SH</v>
          </cell>
        </row>
        <row r="354">
          <cell r="A354" t="str">
            <v>615-A00422-499</v>
          </cell>
          <cell r="B354" t="str">
            <v>RES SMD 499 OHM 0.1% 1/16W 0402</v>
          </cell>
          <cell r="C354" t="str">
            <v>RES</v>
          </cell>
          <cell r="D354">
            <v>25</v>
          </cell>
          <cell r="E354">
            <v>1</v>
          </cell>
          <cell r="F354" t="str">
            <v>22 Weeks</v>
          </cell>
          <cell r="G354">
            <v>10000</v>
          </cell>
          <cell r="H354">
            <v>4.2255000000000001E-2</v>
          </cell>
          <cell r="I354">
            <v>422.55</v>
          </cell>
          <cell r="J354">
            <v>5.1530487804878053E-2</v>
          </cell>
          <cell r="K354">
            <v>92.75487804878054</v>
          </cell>
          <cell r="L354">
            <v>515.30487804878055</v>
          </cell>
          <cell r="O354"/>
          <cell r="Q354">
            <v>2</v>
          </cell>
          <cell r="R354" t="str">
            <v>RT0402BRD07499RL</v>
          </cell>
          <cell r="S354" t="str">
            <v>Yageo</v>
          </cell>
          <cell r="T354" t="str">
            <v>Future</v>
          </cell>
          <cell r="U354">
            <v>1.7999999999999999E-2</v>
          </cell>
          <cell r="V354">
            <v>10000</v>
          </cell>
          <cell r="W354">
            <v>0</v>
          </cell>
          <cell r="Y354" t="str">
            <v>Y</v>
          </cell>
          <cell r="Z354">
            <v>180</v>
          </cell>
          <cell r="AA354">
            <v>242.55</v>
          </cell>
          <cell r="AB354">
            <v>0.65069222577209795</v>
          </cell>
          <cell r="AD354">
            <v>1062411</v>
          </cell>
          <cell r="AE354" t="str">
            <v>POV0067098</v>
          </cell>
          <cell r="AF354" t="str">
            <v>SH</v>
          </cell>
        </row>
        <row r="355">
          <cell r="A355" t="str">
            <v>615-303725-085</v>
          </cell>
          <cell r="B355" t="str">
            <v>RES,SMD,1.15K,0.1%,1/16W,0402,ROHS</v>
          </cell>
          <cell r="C355" t="str">
            <v>RES</v>
          </cell>
          <cell r="D355">
            <v>25</v>
          </cell>
          <cell r="E355">
            <v>1</v>
          </cell>
          <cell r="F355" t="str">
            <v>23 Weeks</v>
          </cell>
          <cell r="G355">
            <v>10000</v>
          </cell>
          <cell r="H355">
            <v>4.1116E-2</v>
          </cell>
          <cell r="I355">
            <v>411.16</v>
          </cell>
          <cell r="J355">
            <v>5.0141463414634151E-2</v>
          </cell>
          <cell r="K355">
            <v>90.254634146341516</v>
          </cell>
          <cell r="L355">
            <v>501.41463414634148</v>
          </cell>
          <cell r="O355"/>
          <cell r="Q355">
            <v>2</v>
          </cell>
          <cell r="R355" t="str">
            <v>RT0402BRD071K15L</v>
          </cell>
          <cell r="S355" t="str">
            <v>Yageo</v>
          </cell>
          <cell r="T355" t="str">
            <v>Future</v>
          </cell>
          <cell r="U355">
            <v>1.7999999999999999E-2</v>
          </cell>
          <cell r="V355">
            <v>10000</v>
          </cell>
          <cell r="W355">
            <v>0</v>
          </cell>
          <cell r="Y355" t="str">
            <v>Y</v>
          </cell>
          <cell r="Z355">
            <v>180</v>
          </cell>
          <cell r="AA355">
            <v>231.16000000000003</v>
          </cell>
          <cell r="AB355">
            <v>0.64101566300223767</v>
          </cell>
          <cell r="AD355">
            <v>1062411</v>
          </cell>
          <cell r="AE355" t="str">
            <v>POV0067098</v>
          </cell>
          <cell r="AF355" t="str">
            <v>SH</v>
          </cell>
        </row>
        <row r="356">
          <cell r="A356" t="str">
            <v>615-162861-285</v>
          </cell>
          <cell r="B356" t="str">
            <v>RES,0805,TF,1/8W,0.1%,25PPM,15K ROHS</v>
          </cell>
          <cell r="C356" t="str">
            <v>RES</v>
          </cell>
          <cell r="D356">
            <v>25</v>
          </cell>
          <cell r="E356">
            <v>1</v>
          </cell>
          <cell r="F356" t="str">
            <v>21 Weeks</v>
          </cell>
          <cell r="G356">
            <v>5000</v>
          </cell>
          <cell r="H356">
            <v>3.4313999999999997E-2</v>
          </cell>
          <cell r="I356">
            <v>171.57</v>
          </cell>
          <cell r="J356">
            <v>4.1846341463414635E-2</v>
          </cell>
          <cell r="K356">
            <v>37.661707317073194</v>
          </cell>
          <cell r="L356">
            <v>209.23170731707319</v>
          </cell>
          <cell r="O356"/>
          <cell r="Q356">
            <v>1</v>
          </cell>
          <cell r="R356" t="str">
            <v>ERA-6AEB153V</v>
          </cell>
          <cell r="S356" t="str">
            <v>Panasonic</v>
          </cell>
          <cell r="T356" t="str">
            <v>Future</v>
          </cell>
          <cell r="U356">
            <v>2.8799999999999999E-2</v>
          </cell>
          <cell r="V356">
            <v>5000</v>
          </cell>
          <cell r="W356">
            <v>0</v>
          </cell>
          <cell r="Y356" t="str">
            <v>Y</v>
          </cell>
          <cell r="Z356">
            <v>144</v>
          </cell>
          <cell r="AA356">
            <v>27.569999999999993</v>
          </cell>
          <cell r="AB356">
            <v>0.31176779157195322</v>
          </cell>
          <cell r="AD356">
            <v>1062411</v>
          </cell>
          <cell r="AE356" t="str">
            <v>POV0067098</v>
          </cell>
          <cell r="AF356" t="str">
            <v>SH</v>
          </cell>
        </row>
        <row r="357">
          <cell r="A357" t="str">
            <v>615-267478-050</v>
          </cell>
          <cell r="B357" t="str">
            <v>RES,SMD,2512,THKF,1%,1W,1K OHM ROHS</v>
          </cell>
          <cell r="C357" t="str">
            <v>RES</v>
          </cell>
          <cell r="D357">
            <v>25</v>
          </cell>
          <cell r="E357">
            <v>1</v>
          </cell>
          <cell r="F357" t="str">
            <v>16 Weeks</v>
          </cell>
          <cell r="G357">
            <v>4000</v>
          </cell>
          <cell r="H357">
            <v>4.1667000000000003E-2</v>
          </cell>
          <cell r="I357">
            <v>166.66800000000001</v>
          </cell>
          <cell r="J357">
            <v>5.0813414634146348E-2</v>
          </cell>
          <cell r="K357">
            <v>36.585658536585385</v>
          </cell>
          <cell r="L357">
            <v>203.25365853658539</v>
          </cell>
          <cell r="O357"/>
          <cell r="Q357">
            <v>1</v>
          </cell>
          <cell r="R357" t="str">
            <v>CRCW25121K00FKEG</v>
          </cell>
          <cell r="S357" t="str">
            <v>Vishay</v>
          </cell>
          <cell r="T357" t="str">
            <v>Future</v>
          </cell>
          <cell r="U357">
            <v>3.5299999999999998E-2</v>
          </cell>
          <cell r="V357">
            <v>4000</v>
          </cell>
          <cell r="W357">
            <v>0</v>
          </cell>
          <cell r="Y357" t="str">
            <v>Y</v>
          </cell>
          <cell r="Z357">
            <v>141.19999999999999</v>
          </cell>
          <cell r="AA357">
            <v>25.468000000000018</v>
          </cell>
          <cell r="AB357">
            <v>0.30530155758753941</v>
          </cell>
          <cell r="AD357">
            <v>1062411</v>
          </cell>
          <cell r="AE357" t="str">
            <v>POV0067098</v>
          </cell>
          <cell r="AF357" t="str">
            <v>SH</v>
          </cell>
        </row>
        <row r="358">
          <cell r="A358" t="str">
            <v>626-122409-001</v>
          </cell>
          <cell r="B358" t="str">
            <v>XSTR,SMD,NPN,W/RES 50V SMINI6</v>
          </cell>
          <cell r="C358" t="str">
            <v>XSTR</v>
          </cell>
          <cell r="D358">
            <v>25</v>
          </cell>
          <cell r="E358">
            <v>1</v>
          </cell>
          <cell r="F358" t="str">
            <v>3 Weeks</v>
          </cell>
          <cell r="G358">
            <v>3000</v>
          </cell>
          <cell r="H358">
            <v>0.1024</v>
          </cell>
          <cell r="I358">
            <v>307.2</v>
          </cell>
          <cell r="J358">
            <v>0.12487804878048782</v>
          </cell>
          <cell r="K358">
            <v>67.434146341463418</v>
          </cell>
          <cell r="L358">
            <v>374.63414634146346</v>
          </cell>
          <cell r="O358"/>
          <cell r="Q358">
            <v>2</v>
          </cell>
          <cell r="R358" t="str">
            <v>UMH9NTN</v>
          </cell>
          <cell r="S358" t="str">
            <v>ROHM</v>
          </cell>
          <cell r="T358" t="str">
            <v>Future</v>
          </cell>
          <cell r="U358">
            <v>5.0999999999999997E-2</v>
          </cell>
          <cell r="V358">
            <v>3000</v>
          </cell>
          <cell r="W358">
            <v>0</v>
          </cell>
          <cell r="Y358" t="str">
            <v>Y</v>
          </cell>
          <cell r="Z358">
            <v>153</v>
          </cell>
          <cell r="AA358">
            <v>154.19999999999999</v>
          </cell>
          <cell r="AB358">
            <v>0.59160156250000007</v>
          </cell>
          <cell r="AD358">
            <v>1062411</v>
          </cell>
          <cell r="AE358" t="str">
            <v>POV0067098</v>
          </cell>
          <cell r="AF358" t="str">
            <v>SH</v>
          </cell>
        </row>
        <row r="359">
          <cell r="A359" t="str">
            <v>670-006780-022</v>
          </cell>
          <cell r="B359" t="str">
            <v>FUSE .25x1.25 1A 250VAC,ROHS</v>
          </cell>
          <cell r="C359" t="str">
            <v>FUSE</v>
          </cell>
          <cell r="D359">
            <v>25</v>
          </cell>
          <cell r="E359">
            <v>1</v>
          </cell>
          <cell r="F359" t="str">
            <v>20 Weeks</v>
          </cell>
          <cell r="G359">
            <v>1000</v>
          </cell>
          <cell r="H359">
            <v>1.1801569999999999</v>
          </cell>
          <cell r="I359">
            <v>1180.1569999999999</v>
          </cell>
          <cell r="J359">
            <v>1.4392158536585367</v>
          </cell>
          <cell r="K359">
            <v>259.05885365853669</v>
          </cell>
          <cell r="L359">
            <v>1439.2158536585366</v>
          </cell>
          <cell r="O359"/>
          <cell r="Q359">
            <v>2</v>
          </cell>
          <cell r="R359" t="str">
            <v>AGC-1-R</v>
          </cell>
          <cell r="S359" t="str">
            <v>Bussmann / Eaton</v>
          </cell>
          <cell r="T359" t="str">
            <v>Fuses Unlimited</v>
          </cell>
          <cell r="U359">
            <v>0.12</v>
          </cell>
          <cell r="V359">
            <v>1000</v>
          </cell>
          <cell r="W359">
            <v>0</v>
          </cell>
          <cell r="X359">
            <v>1</v>
          </cell>
          <cell r="Y359" t="str">
            <v>Y</v>
          </cell>
          <cell r="Z359">
            <v>120</v>
          </cell>
          <cell r="AA359">
            <v>1060.1569999999999</v>
          </cell>
          <cell r="AB359">
            <v>0.91662126310312952</v>
          </cell>
          <cell r="AD359">
            <v>1062721</v>
          </cell>
          <cell r="AE359" t="str">
            <v>POV0067107</v>
          </cell>
          <cell r="AF359" t="str">
            <v>SH</v>
          </cell>
        </row>
        <row r="360">
          <cell r="A360" t="str">
            <v>670-006780-036</v>
          </cell>
          <cell r="B360" t="str">
            <v>FUSE .25x1.25 8A 250VAC,ROHS</v>
          </cell>
          <cell r="C360" t="str">
            <v>FUSE</v>
          </cell>
          <cell r="D360">
            <v>15</v>
          </cell>
          <cell r="E360" t="str">
            <v>N/A</v>
          </cell>
          <cell r="F360" t="str">
            <v>20 Weeks</v>
          </cell>
          <cell r="G360">
            <v>1000</v>
          </cell>
          <cell r="H360">
            <v>2.6715900000000001</v>
          </cell>
          <cell r="I360">
            <v>2671.59</v>
          </cell>
          <cell r="J360">
            <v>3.2580365853658542</v>
          </cell>
          <cell r="K360">
            <v>586.44658536585393</v>
          </cell>
          <cell r="L360">
            <v>3258.0365853658541</v>
          </cell>
          <cell r="O360"/>
          <cell r="Q360">
            <v>2</v>
          </cell>
          <cell r="R360" t="str">
            <v>ABC-8-R</v>
          </cell>
          <cell r="S360" t="str">
            <v>Bussmann / Eaton</v>
          </cell>
          <cell r="T360" t="str">
            <v>Fuses Unlimited</v>
          </cell>
          <cell r="U360">
            <v>0.216</v>
          </cell>
          <cell r="V360">
            <v>1000</v>
          </cell>
          <cell r="W360">
            <v>0</v>
          </cell>
          <cell r="X360">
            <v>1</v>
          </cell>
          <cell r="Y360" t="str">
            <v>Y</v>
          </cell>
          <cell r="Z360">
            <v>216</v>
          </cell>
          <cell r="AA360">
            <v>2455.59</v>
          </cell>
          <cell r="AB360">
            <v>0.93370240194041754</v>
          </cell>
          <cell r="AD360">
            <v>1062721</v>
          </cell>
          <cell r="AE360" t="str">
            <v>POV0067107</v>
          </cell>
          <cell r="AF360" t="str">
            <v>SH</v>
          </cell>
        </row>
        <row r="361">
          <cell r="A361" t="str">
            <v>635-169211-001</v>
          </cell>
          <cell r="B361" t="str">
            <v>OSC,SMD,XTAL,24MHZ,18PF,ROHS</v>
          </cell>
          <cell r="C361" t="str">
            <v>OSC</v>
          </cell>
          <cell r="D361">
            <v>15</v>
          </cell>
          <cell r="E361" t="str">
            <v>N/A</v>
          </cell>
          <cell r="F361" t="str">
            <v>11 Weeks</v>
          </cell>
          <cell r="G361">
            <v>1000</v>
          </cell>
          <cell r="H361">
            <v>0.23774700000000001</v>
          </cell>
          <cell r="I361">
            <v>237.74700000000001</v>
          </cell>
          <cell r="J361">
            <v>0.28993536585365859</v>
          </cell>
          <cell r="K361">
            <v>52.188365853658581</v>
          </cell>
          <cell r="L361">
            <v>289.9353658536586</v>
          </cell>
          <cell r="M361" t="str">
            <v>CHINA</v>
          </cell>
          <cell r="N361">
            <v>8541600060</v>
          </cell>
          <cell r="O361">
            <v>0.35</v>
          </cell>
          <cell r="P361">
            <v>83.211449999999999</v>
          </cell>
          <cell r="Q361">
            <v>1</v>
          </cell>
          <cell r="R361" t="str">
            <v>ABM8G-24.000MHZ-18-D2Y-T</v>
          </cell>
          <cell r="S361" t="str">
            <v>ABRACON</v>
          </cell>
          <cell r="T361" t="str">
            <v>Future</v>
          </cell>
          <cell r="U361">
            <v>0.14299999999999999</v>
          </cell>
          <cell r="V361">
            <v>1000</v>
          </cell>
          <cell r="W361">
            <v>0</v>
          </cell>
          <cell r="Y361" t="str">
            <v>Y</v>
          </cell>
          <cell r="Z361">
            <v>143</v>
          </cell>
          <cell r="AA361">
            <v>94.747000000000014</v>
          </cell>
          <cell r="AB361">
            <v>0.50678662611936232</v>
          </cell>
          <cell r="AD361">
            <v>1062411</v>
          </cell>
          <cell r="AE361" t="str">
            <v>POV0067098</v>
          </cell>
          <cell r="AF361" t="str">
            <v>SH</v>
          </cell>
        </row>
        <row r="362">
          <cell r="A362" t="str">
            <v>609-270344-001</v>
          </cell>
          <cell r="B362" t="str">
            <v>DIO,SMD,ZENER,TVS,12VWM,28.3VC,SOD323</v>
          </cell>
          <cell r="C362" t="str">
            <v>DIO</v>
          </cell>
          <cell r="D362">
            <v>25</v>
          </cell>
          <cell r="E362">
            <v>1</v>
          </cell>
          <cell r="F362" t="str">
            <v>13 Weeks</v>
          </cell>
          <cell r="G362">
            <v>3000</v>
          </cell>
          <cell r="H362">
            <v>0.22686500000000001</v>
          </cell>
          <cell r="I362">
            <v>680.59500000000003</v>
          </cell>
          <cell r="J362">
            <v>0.27666463414634151</v>
          </cell>
          <cell r="K362">
            <v>149.39890243902448</v>
          </cell>
          <cell r="L362">
            <v>829.99390243902451</v>
          </cell>
          <cell r="O362"/>
          <cell r="Q362">
            <v>1</v>
          </cell>
          <cell r="R362" t="str">
            <v>CDSOD323-T12C</v>
          </cell>
          <cell r="S362" t="str">
            <v>Bourns</v>
          </cell>
          <cell r="T362" t="str">
            <v>Avnet</v>
          </cell>
          <cell r="U362">
            <v>0.19500000000000001</v>
          </cell>
          <cell r="V362">
            <v>3000</v>
          </cell>
          <cell r="W362">
            <v>0</v>
          </cell>
          <cell r="X362">
            <v>1</v>
          </cell>
          <cell r="Y362" t="str">
            <v>Y</v>
          </cell>
          <cell r="Z362">
            <v>585</v>
          </cell>
          <cell r="AA362">
            <v>95.595000000000027</v>
          </cell>
          <cell r="AB362">
            <v>0.29517554492760023</v>
          </cell>
          <cell r="AD362">
            <v>1062721</v>
          </cell>
          <cell r="AE362" t="str">
            <v>POV0067124</v>
          </cell>
          <cell r="AF362" t="str">
            <v>ES</v>
          </cell>
        </row>
        <row r="363">
          <cell r="A363" t="str">
            <v>648-338947-106</v>
          </cell>
          <cell r="B363" t="str">
            <v>CAP,SMD,CER,10UF,+/-10%,50V,X5R,0805</v>
          </cell>
          <cell r="C363" t="str">
            <v>CAP</v>
          </cell>
          <cell r="D363">
            <v>15</v>
          </cell>
          <cell r="E363">
            <v>1</v>
          </cell>
          <cell r="F363" t="str">
            <v>24 Weeks</v>
          </cell>
          <cell r="G363">
            <v>10000</v>
          </cell>
          <cell r="H363">
            <v>6.3726000000000005E-2</v>
          </cell>
          <cell r="I363">
            <v>637.2600000000001</v>
          </cell>
          <cell r="J363">
            <v>7.7714634146341471E-2</v>
          </cell>
          <cell r="K363">
            <v>139.88634146341474</v>
          </cell>
          <cell r="L363">
            <v>777.14634146341473</v>
          </cell>
          <cell r="O363"/>
          <cell r="Q363">
            <v>1</v>
          </cell>
          <cell r="R363" t="str">
            <v>GRM21BR61H106KE43K</v>
          </cell>
          <cell r="S363" t="str">
            <v>Murata</v>
          </cell>
          <cell r="T363" t="str">
            <v>Avnet</v>
          </cell>
          <cell r="U363">
            <v>4.5269999999999998E-2</v>
          </cell>
          <cell r="V363">
            <v>10000</v>
          </cell>
          <cell r="W363">
            <v>0</v>
          </cell>
          <cell r="X363">
            <v>1</v>
          </cell>
          <cell r="Y363" t="str">
            <v>Y</v>
          </cell>
          <cell r="Z363">
            <v>452.7</v>
          </cell>
          <cell r="AA363">
            <v>184.56000000000012</v>
          </cell>
          <cell r="AB363">
            <v>0.41748422935693441</v>
          </cell>
          <cell r="AD363">
            <v>1062721</v>
          </cell>
          <cell r="AE363" t="str">
            <v>POV0067124</v>
          </cell>
          <cell r="AF363" t="str">
            <v>ES</v>
          </cell>
        </row>
        <row r="364">
          <cell r="A364" t="str">
            <v>615-901300-105</v>
          </cell>
          <cell r="B364" t="str">
            <v>RES,SMD,0805,105,1%,1/10W,ROHS</v>
          </cell>
          <cell r="C364" t="str">
            <v>RES</v>
          </cell>
          <cell r="D364">
            <v>15</v>
          </cell>
          <cell r="E364">
            <v>1</v>
          </cell>
          <cell r="F364" t="str">
            <v>16 Weeks</v>
          </cell>
          <cell r="G364">
            <v>5000</v>
          </cell>
          <cell r="H364">
            <v>7.3530000000000002E-3</v>
          </cell>
          <cell r="I364">
            <v>36.765000000000001</v>
          </cell>
          <cell r="J364">
            <v>8.9670731707317073E-3</v>
          </cell>
          <cell r="K364">
            <v>8.0703658536585365</v>
          </cell>
          <cell r="L364">
            <v>44.835365853658537</v>
          </cell>
          <cell r="O364"/>
          <cell r="Q364">
            <v>3</v>
          </cell>
          <cell r="R364" t="str">
            <v>RC0805FR-07105RL</v>
          </cell>
          <cell r="S364" t="str">
            <v>YAGEO</v>
          </cell>
          <cell r="T364" t="str">
            <v>Arrow</v>
          </cell>
          <cell r="U364">
            <v>4.8999999999999998E-3</v>
          </cell>
          <cell r="V364">
            <v>5000</v>
          </cell>
          <cell r="W364">
            <v>0</v>
          </cell>
          <cell r="X364">
            <v>1</v>
          </cell>
          <cell r="Y364" t="str">
            <v>Y</v>
          </cell>
          <cell r="Z364">
            <v>24.5</v>
          </cell>
          <cell r="AA364">
            <v>12.265000000000001</v>
          </cell>
          <cell r="AB364">
            <v>0.45355637154902761</v>
          </cell>
          <cell r="AC364" t="str">
            <v>JH</v>
          </cell>
          <cell r="AD364">
            <v>1062721</v>
          </cell>
          <cell r="AE364" t="str">
            <v xml:space="preserve">POV0067125 </v>
          </cell>
          <cell r="AF364" t="str">
            <v>ES</v>
          </cell>
        </row>
        <row r="365">
          <cell r="A365" t="str">
            <v>682-020656-011</v>
          </cell>
          <cell r="B365" t="str">
            <v>FUSE,SMD,1812,8V,1.6A,ROHS</v>
          </cell>
          <cell r="C365" t="str">
            <v>FUSE</v>
          </cell>
          <cell r="D365">
            <v>25</v>
          </cell>
          <cell r="E365">
            <v>1</v>
          </cell>
          <cell r="F365" t="str">
            <v>16 Weeks</v>
          </cell>
          <cell r="G365">
            <v>2000</v>
          </cell>
          <cell r="H365">
            <v>0.20380100000000001</v>
          </cell>
          <cell r="I365">
            <v>407.60200000000003</v>
          </cell>
          <cell r="J365">
            <v>0.2485378048780488</v>
          </cell>
          <cell r="K365">
            <v>89.473609756097574</v>
          </cell>
          <cell r="L365">
            <v>497.07560975609761</v>
          </cell>
          <cell r="M365" t="str">
            <v>CHINA</v>
          </cell>
          <cell r="N365">
            <v>8533408070</v>
          </cell>
          <cell r="O365">
            <v>0.35</v>
          </cell>
          <cell r="P365">
            <v>142.66069999999999</v>
          </cell>
          <cell r="Q365">
            <v>1</v>
          </cell>
          <cell r="R365" t="str">
            <v>1812L160PR</v>
          </cell>
          <cell r="S365" t="str">
            <v>Littelfuse</v>
          </cell>
          <cell r="T365" t="str">
            <v>Arrow</v>
          </cell>
          <cell r="U365">
            <v>0.17100000000000001</v>
          </cell>
          <cell r="V365">
            <v>2000</v>
          </cell>
          <cell r="W365">
            <v>0</v>
          </cell>
          <cell r="X365">
            <v>1</v>
          </cell>
          <cell r="Y365" t="str">
            <v>Y</v>
          </cell>
          <cell r="Z365">
            <v>342</v>
          </cell>
          <cell r="AA365">
            <v>65.602000000000032</v>
          </cell>
          <cell r="AB365">
            <v>0.31197589805741877</v>
          </cell>
          <cell r="AC365" t="str">
            <v>JH</v>
          </cell>
          <cell r="AD365">
            <v>1062721</v>
          </cell>
          <cell r="AE365" t="str">
            <v xml:space="preserve">POV0067125 </v>
          </cell>
          <cell r="AF365" t="str">
            <v>ES</v>
          </cell>
        </row>
        <row r="366">
          <cell r="A366" t="str">
            <v>615-116029-976</v>
          </cell>
          <cell r="B366" t="str">
            <v>RES,SMD,1206,1%,1/4W,97.6K ROHS</v>
          </cell>
          <cell r="C366" t="str">
            <v>RES</v>
          </cell>
          <cell r="D366">
            <v>25</v>
          </cell>
          <cell r="E366">
            <v>1</v>
          </cell>
          <cell r="F366" t="str">
            <v>31 Weeks</v>
          </cell>
          <cell r="G366">
            <v>5000</v>
          </cell>
          <cell r="H366">
            <v>8.5789999999999998E-3</v>
          </cell>
          <cell r="I366">
            <v>42.894999999999996</v>
          </cell>
          <cell r="J366">
            <v>1.046219512195122E-2</v>
          </cell>
          <cell r="K366">
            <v>9.4159756097561029</v>
          </cell>
          <cell r="L366">
            <v>52.310975609756099</v>
          </cell>
          <cell r="O366"/>
          <cell r="Q366">
            <v>3</v>
          </cell>
          <cell r="R366" t="str">
            <v>RC1206FR-0797K6L</v>
          </cell>
          <cell r="S366" t="str">
            <v>YAGEO</v>
          </cell>
          <cell r="T366" t="str">
            <v>Arrow</v>
          </cell>
          <cell r="U366">
            <v>2.8E-3</v>
          </cell>
          <cell r="V366">
            <v>5000</v>
          </cell>
          <cell r="W366">
            <v>0</v>
          </cell>
          <cell r="X366">
            <v>1</v>
          </cell>
          <cell r="Y366" t="str">
            <v>Y</v>
          </cell>
          <cell r="Z366">
            <v>14</v>
          </cell>
          <cell r="AA366">
            <v>28.894999999999996</v>
          </cell>
          <cell r="AB366">
            <v>0.73236974006294442</v>
          </cell>
          <cell r="AC366" t="str">
            <v>JH</v>
          </cell>
          <cell r="AD366">
            <v>1062721</v>
          </cell>
          <cell r="AE366" t="str">
            <v xml:space="preserve">POV0067125 </v>
          </cell>
          <cell r="AF366" t="str">
            <v>ES</v>
          </cell>
        </row>
        <row r="367">
          <cell r="A367" t="str">
            <v>615-294140-001</v>
          </cell>
          <cell r="B367" t="str">
            <v>RES,SMD,ZERO OHM JUMPER</v>
          </cell>
          <cell r="C367" t="str">
            <v>RES</v>
          </cell>
          <cell r="D367">
            <v>25</v>
          </cell>
          <cell r="E367">
            <v>1</v>
          </cell>
          <cell r="F367" t="str">
            <v>50 Weeks</v>
          </cell>
          <cell r="G367">
            <v>5000</v>
          </cell>
          <cell r="H367">
            <v>1.44E-2</v>
          </cell>
          <cell r="I367">
            <v>72</v>
          </cell>
          <cell r="J367">
            <v>1.7560975609756099E-2</v>
          </cell>
          <cell r="K367">
            <v>15.804878048780495</v>
          </cell>
          <cell r="L367">
            <v>87.804878048780495</v>
          </cell>
          <cell r="M367" t="str">
            <v>CHINA</v>
          </cell>
          <cell r="N367">
            <v>8533210030</v>
          </cell>
          <cell r="O367">
            <v>0.35</v>
          </cell>
          <cell r="P367">
            <v>25.2</v>
          </cell>
          <cell r="Q367">
            <v>1</v>
          </cell>
          <cell r="R367" t="str">
            <v>RC2012J000CS</v>
          </cell>
          <cell r="S367" t="str">
            <v>Samsung Electro-Mechanics</v>
          </cell>
          <cell r="T367" t="str">
            <v>Arrow</v>
          </cell>
          <cell r="U367">
            <v>6.0999999999999999E-2</v>
          </cell>
          <cell r="V367">
            <v>5000</v>
          </cell>
          <cell r="W367">
            <v>0</v>
          </cell>
          <cell r="X367">
            <v>1</v>
          </cell>
          <cell r="Y367" t="str">
            <v>Y</v>
          </cell>
          <cell r="Z367">
            <v>305</v>
          </cell>
          <cell r="AA367">
            <v>-233</v>
          </cell>
          <cell r="AB367" t="str">
            <v/>
          </cell>
          <cell r="AC367" t="str">
            <v>JH</v>
          </cell>
          <cell r="AD367">
            <v>1062721</v>
          </cell>
          <cell r="AE367" t="str">
            <v xml:space="preserve">POV0067125 </v>
          </cell>
          <cell r="AF367" t="str">
            <v>ES</v>
          </cell>
        </row>
        <row r="368">
          <cell r="A368" t="str">
            <v>626-A97841-001</v>
          </cell>
          <cell r="B368" t="str">
            <v>XSTR,SMD,NPN,40V,0.6A,300MHZ,SOT-23</v>
          </cell>
          <cell r="C368" t="str">
            <v>XSTR</v>
          </cell>
          <cell r="D368">
            <v>15</v>
          </cell>
          <cell r="E368">
            <v>1</v>
          </cell>
          <cell r="F368" t="str">
            <v>15 Weeks</v>
          </cell>
          <cell r="G368">
            <v>10000</v>
          </cell>
          <cell r="H368">
            <v>1.8383E-2</v>
          </cell>
          <cell r="I368">
            <v>183.83</v>
          </cell>
          <cell r="J368">
            <v>2.2418292682926829E-2</v>
          </cell>
          <cell r="K368">
            <v>40.352926829268313</v>
          </cell>
          <cell r="L368">
            <v>224.1829268292683</v>
          </cell>
          <cell r="O368"/>
          <cell r="Q368">
            <v>1</v>
          </cell>
          <cell r="R368" t="str">
            <v>MMBT2222ALT3G</v>
          </cell>
          <cell r="S368" t="str">
            <v>ONSEMI</v>
          </cell>
          <cell r="T368" t="str">
            <v>Arrow</v>
          </cell>
          <cell r="U368">
            <v>2.01E-2</v>
          </cell>
          <cell r="V368">
            <v>10000</v>
          </cell>
          <cell r="W368">
            <v>0</v>
          </cell>
          <cell r="X368">
            <v>1</v>
          </cell>
          <cell r="Y368" t="str">
            <v>Y</v>
          </cell>
          <cell r="Z368">
            <v>201</v>
          </cell>
          <cell r="AA368">
            <v>-17.169999999999987</v>
          </cell>
          <cell r="AB368" t="str">
            <v/>
          </cell>
          <cell r="AC368" t="str">
            <v>JH</v>
          </cell>
          <cell r="AD368">
            <v>1062721</v>
          </cell>
          <cell r="AE368" t="str">
            <v xml:space="preserve">POV0067125 </v>
          </cell>
          <cell r="AF368" t="str">
            <v>ES</v>
          </cell>
        </row>
        <row r="369">
          <cell r="A369" t="str">
            <v>615-252481-033</v>
          </cell>
          <cell r="B369" t="str">
            <v>RES,SMD,100,0.1%,1/4W,1206,ROHS</v>
          </cell>
          <cell r="C369" t="str">
            <v>RES</v>
          </cell>
          <cell r="D369">
            <v>25</v>
          </cell>
          <cell r="E369">
            <v>1</v>
          </cell>
          <cell r="F369" t="str">
            <v>21 Weeks</v>
          </cell>
          <cell r="G369">
            <v>5000</v>
          </cell>
          <cell r="H369">
            <v>0.107734</v>
          </cell>
          <cell r="I369">
            <v>538.66999999999996</v>
          </cell>
          <cell r="J369">
            <v>0.1313829268292683</v>
          </cell>
          <cell r="K369">
            <v>118.24463414634147</v>
          </cell>
          <cell r="L369">
            <v>656.91463414634154</v>
          </cell>
          <cell r="O369"/>
          <cell r="Q369">
            <v>1</v>
          </cell>
          <cell r="R369" t="str">
            <v>ERA-8AEB101V</v>
          </cell>
          <cell r="S369" t="str">
            <v>Panasonic</v>
          </cell>
          <cell r="T369" t="str">
            <v>Arrow</v>
          </cell>
          <cell r="U369">
            <v>0.1</v>
          </cell>
          <cell r="V369">
            <v>5000</v>
          </cell>
          <cell r="W369">
            <v>0</v>
          </cell>
          <cell r="X369">
            <v>1</v>
          </cell>
          <cell r="Y369" t="str">
            <v>Y</v>
          </cell>
          <cell r="Z369">
            <v>500</v>
          </cell>
          <cell r="AA369">
            <v>38.669999999999959</v>
          </cell>
          <cell r="AB369">
            <v>0.23886609612564291</v>
          </cell>
          <cell r="AC369" t="str">
            <v>JH</v>
          </cell>
          <cell r="AD369">
            <v>1062721</v>
          </cell>
          <cell r="AE369" t="str">
            <v xml:space="preserve">POV0067125 </v>
          </cell>
          <cell r="AF369" t="str">
            <v>ES</v>
          </cell>
        </row>
        <row r="370">
          <cell r="A370" t="str">
            <v>648-149178-225</v>
          </cell>
          <cell r="B370" t="str">
            <v>CAP,SMD,CER,2.2UF,16V,X5R,0402,ROHS</v>
          </cell>
          <cell r="C370" t="str">
            <v>CAP</v>
          </cell>
          <cell r="D370">
            <v>35</v>
          </cell>
          <cell r="E370">
            <v>1</v>
          </cell>
          <cell r="F370" t="str">
            <v>27 Weeks</v>
          </cell>
          <cell r="G370">
            <v>10000</v>
          </cell>
          <cell r="H370">
            <v>3.4301999999999999E-2</v>
          </cell>
          <cell r="I370">
            <v>343.02</v>
          </cell>
          <cell r="J370">
            <v>4.1831707317073169E-2</v>
          </cell>
          <cell r="K370">
            <v>75.297073170731721</v>
          </cell>
          <cell r="L370">
            <v>418.3170731707317</v>
          </cell>
          <cell r="O370"/>
          <cell r="Q370">
            <v>1</v>
          </cell>
          <cell r="R370" t="str">
            <v>C1005X5R1C225K050BC</v>
          </cell>
          <cell r="S370" t="str">
            <v>TDK</v>
          </cell>
          <cell r="T370" t="str">
            <v>Arrow</v>
          </cell>
          <cell r="U370">
            <v>2.01E-2</v>
          </cell>
          <cell r="V370">
            <v>10000</v>
          </cell>
          <cell r="W370">
            <v>0</v>
          </cell>
          <cell r="X370">
            <v>1</v>
          </cell>
          <cell r="Y370" t="str">
            <v>Y</v>
          </cell>
          <cell r="Z370">
            <v>201</v>
          </cell>
          <cell r="AA370">
            <v>142.01999999999998</v>
          </cell>
          <cell r="AB370">
            <v>0.51950323596291759</v>
          </cell>
          <cell r="AC370" t="str">
            <v>JH</v>
          </cell>
          <cell r="AD370">
            <v>1062721</v>
          </cell>
          <cell r="AE370" t="str">
            <v xml:space="preserve">POV0067125 </v>
          </cell>
          <cell r="AF370" t="str">
            <v>ES</v>
          </cell>
        </row>
        <row r="371">
          <cell r="A371" t="str">
            <v>668-161369-001</v>
          </cell>
          <cell r="B371" t="str">
            <v>CONN,RCPT,2POSN,HDR,MR SER,250V,9A</v>
          </cell>
          <cell r="C371" t="str">
            <v>CONN</v>
          </cell>
          <cell r="D371">
            <v>15</v>
          </cell>
          <cell r="E371">
            <v>1</v>
          </cell>
          <cell r="F371" t="str">
            <v>3 Weeks</v>
          </cell>
          <cell r="G371">
            <v>100</v>
          </cell>
          <cell r="H371">
            <v>1.3848149999999999</v>
          </cell>
          <cell r="I371">
            <v>138.48149999999998</v>
          </cell>
          <cell r="J371">
            <v>1.6887987804878049</v>
          </cell>
          <cell r="K371">
            <v>30.398378048780501</v>
          </cell>
          <cell r="L371">
            <v>168.87987804878048</v>
          </cell>
          <cell r="O371"/>
          <cell r="Q371">
            <v>1</v>
          </cell>
          <cell r="R371" t="str">
            <v>640497-1</v>
          </cell>
          <cell r="S371" t="str">
            <v>TE CONNECTIVITY</v>
          </cell>
          <cell r="T371" t="str">
            <v>Arrow</v>
          </cell>
          <cell r="U371">
            <v>1.0309999999999999</v>
          </cell>
          <cell r="V371">
            <v>100</v>
          </cell>
          <cell r="W371">
            <v>0</v>
          </cell>
          <cell r="X371">
            <v>1</v>
          </cell>
          <cell r="Y371" t="str">
            <v>Y</v>
          </cell>
          <cell r="Z371">
            <v>103.1</v>
          </cell>
          <cell r="AA371">
            <v>35.381499999999988</v>
          </cell>
          <cell r="AB371">
            <v>0.38950690164390189</v>
          </cell>
          <cell r="AC371" t="str">
            <v>JH</v>
          </cell>
          <cell r="AD371">
            <v>1062721</v>
          </cell>
          <cell r="AE371" t="str">
            <v xml:space="preserve">POV0067125 </v>
          </cell>
          <cell r="AF371" t="str">
            <v>ES</v>
          </cell>
        </row>
        <row r="372">
          <cell r="A372" t="str">
            <v>668-005463-002</v>
          </cell>
          <cell r="B372" t="str">
            <v>HEADER, STRAIGHT DBL ROW,2 PIN,ROHS</v>
          </cell>
          <cell r="C372" t="str">
            <v>HEADER</v>
          </cell>
          <cell r="D372">
            <v>25</v>
          </cell>
          <cell r="E372">
            <v>1</v>
          </cell>
          <cell r="F372" t="str">
            <v>22 Weeks</v>
          </cell>
          <cell r="G372">
            <v>1000</v>
          </cell>
          <cell r="H372">
            <v>0.139707</v>
          </cell>
          <cell r="I372">
            <v>139.70699999999999</v>
          </cell>
          <cell r="J372">
            <v>0.17037439024390244</v>
          </cell>
          <cell r="K372">
            <v>30.667390243902446</v>
          </cell>
          <cell r="L372">
            <v>170.37439024390244</v>
          </cell>
          <cell r="O372"/>
          <cell r="Q372">
            <v>1</v>
          </cell>
          <cell r="R372" t="str">
            <v>67997-102HLF</v>
          </cell>
          <cell r="S372" t="str">
            <v>FCI</v>
          </cell>
          <cell r="T372" t="str">
            <v>Arrow</v>
          </cell>
          <cell r="U372">
            <v>0.1053</v>
          </cell>
          <cell r="V372">
            <v>1000</v>
          </cell>
          <cell r="W372">
            <v>0</v>
          </cell>
          <cell r="X372">
            <v>1</v>
          </cell>
          <cell r="Y372" t="str">
            <v>Y</v>
          </cell>
          <cell r="Z372">
            <v>105.30000000000001</v>
          </cell>
          <cell r="AA372">
            <v>34.406999999999982</v>
          </cell>
          <cell r="AB372">
            <v>0.38194936545770786</v>
          </cell>
          <cell r="AC372" t="str">
            <v>JH</v>
          </cell>
          <cell r="AD372">
            <v>1062721</v>
          </cell>
          <cell r="AE372" t="str">
            <v xml:space="preserve">POV0067125 </v>
          </cell>
          <cell r="AF372" t="str">
            <v>ES</v>
          </cell>
        </row>
        <row r="373">
          <cell r="A373" t="str">
            <v>615-116029-261</v>
          </cell>
          <cell r="B373" t="str">
            <v>RES,SMD,1206,1%,1/4W,26.1K ROHS</v>
          </cell>
          <cell r="C373" t="str">
            <v>RES</v>
          </cell>
          <cell r="D373">
            <v>15</v>
          </cell>
          <cell r="E373">
            <v>1</v>
          </cell>
          <cell r="F373" t="str">
            <v>15 Weeks</v>
          </cell>
          <cell r="G373">
            <v>5000</v>
          </cell>
          <cell r="H373">
            <v>7.3530000000000002E-3</v>
          </cell>
          <cell r="I373">
            <v>36.765000000000001</v>
          </cell>
          <cell r="J373">
            <v>8.9670731707317073E-3</v>
          </cell>
          <cell r="K373">
            <v>8.0703658536585365</v>
          </cell>
          <cell r="L373">
            <v>44.835365853658537</v>
          </cell>
          <cell r="M373" t="str">
            <v>TAIWAN</v>
          </cell>
          <cell r="N373">
            <v>8533210030</v>
          </cell>
          <cell r="O373">
            <v>0.35</v>
          </cell>
          <cell r="P373">
            <v>12.867749999999999</v>
          </cell>
          <cell r="Q373">
            <v>3</v>
          </cell>
          <cell r="R373" t="str">
            <v>RC1206FR-0726K1L</v>
          </cell>
          <cell r="S373" t="str">
            <v>YAGEO</v>
          </cell>
          <cell r="T373" t="str">
            <v>Arrow</v>
          </cell>
          <cell r="U373">
            <v>3.5999999999999999E-3</v>
          </cell>
          <cell r="V373">
            <v>5000</v>
          </cell>
          <cell r="W373">
            <v>0</v>
          </cell>
          <cell r="X373">
            <v>1</v>
          </cell>
          <cell r="Y373" t="str">
            <v>Y</v>
          </cell>
          <cell r="Z373">
            <v>18</v>
          </cell>
          <cell r="AA373">
            <v>18.765000000000001</v>
          </cell>
          <cell r="AB373">
            <v>0.59853121175030599</v>
          </cell>
          <cell r="AC373" t="str">
            <v>JH</v>
          </cell>
          <cell r="AD373">
            <v>1062721</v>
          </cell>
          <cell r="AE373" t="str">
            <v xml:space="preserve">POV0067125 </v>
          </cell>
          <cell r="AF373" t="str">
            <v>ES</v>
          </cell>
        </row>
        <row r="374">
          <cell r="A374" t="str">
            <v>668-188529-001</v>
          </cell>
          <cell r="B374" t="str">
            <v>CONN,HDR,BREAKAWAY,SGL ROW,PCB MT,3POSN</v>
          </cell>
          <cell r="C374" t="str">
            <v>CONN</v>
          </cell>
          <cell r="D374">
            <v>25</v>
          </cell>
          <cell r="E374">
            <v>1</v>
          </cell>
          <cell r="F374" t="str">
            <v>12 Weeks</v>
          </cell>
          <cell r="G374">
            <v>2000</v>
          </cell>
          <cell r="H374">
            <v>0.25858100000000001</v>
          </cell>
          <cell r="I374">
            <v>517.16200000000003</v>
          </cell>
          <cell r="J374">
            <v>0.31534268292682932</v>
          </cell>
          <cell r="K374">
            <v>113.52336585365856</v>
          </cell>
          <cell r="L374">
            <v>630.6853658536586</v>
          </cell>
          <cell r="O374"/>
          <cell r="Q374">
            <v>1</v>
          </cell>
          <cell r="R374" t="str">
            <v>5-146280-3</v>
          </cell>
          <cell r="S374" t="str">
            <v>TE CONNECTIVITY</v>
          </cell>
          <cell r="T374" t="str">
            <v>Avnet</v>
          </cell>
          <cell r="U374">
            <v>0.09</v>
          </cell>
          <cell r="V374">
            <v>2000</v>
          </cell>
          <cell r="W374">
            <v>0</v>
          </cell>
          <cell r="Y374" t="str">
            <v>Y</v>
          </cell>
          <cell r="Z374">
            <v>180</v>
          </cell>
          <cell r="AA374">
            <v>337.16200000000003</v>
          </cell>
          <cell r="AB374">
            <v>0.71459620003016466</v>
          </cell>
          <cell r="AD374">
            <v>1062721</v>
          </cell>
          <cell r="AE374" t="str">
            <v>POV0067124 / L6142024</v>
          </cell>
          <cell r="AF374" t="str">
            <v>ES</v>
          </cell>
        </row>
        <row r="375">
          <cell r="A375" t="str">
            <v>630-A61701-125</v>
          </cell>
          <cell r="B375" t="str">
            <v>IC,SMD,QUAD BFR,NON INVERTING,TSSOP-14</v>
          </cell>
          <cell r="C375" t="str">
            <v>IC</v>
          </cell>
          <cell r="D375">
            <v>25</v>
          </cell>
          <cell r="E375">
            <v>1</v>
          </cell>
          <cell r="F375" t="str">
            <v>24 Weeks</v>
          </cell>
          <cell r="G375">
            <v>200</v>
          </cell>
          <cell r="H375">
            <v>0.272061</v>
          </cell>
          <cell r="I375">
            <v>54.412199999999999</v>
          </cell>
          <cell r="J375">
            <v>0.33178170731707318</v>
          </cell>
          <cell r="K375">
            <v>11.944141463414638</v>
          </cell>
          <cell r="L375">
            <v>66.356341463414637</v>
          </cell>
          <cell r="O375"/>
          <cell r="Q375">
            <v>2</v>
          </cell>
          <cell r="R375" t="str">
            <v>74LCX125MTC</v>
          </cell>
          <cell r="S375" t="str">
            <v>ONSEMI</v>
          </cell>
          <cell r="T375" t="str">
            <v>Arrow</v>
          </cell>
          <cell r="U375">
            <v>0.2616</v>
          </cell>
          <cell r="V375">
            <v>200</v>
          </cell>
          <cell r="W375">
            <v>0</v>
          </cell>
          <cell r="X375">
            <v>1</v>
          </cell>
          <cell r="Y375" t="str">
            <v>Y</v>
          </cell>
          <cell r="Z375">
            <v>52.32</v>
          </cell>
          <cell r="AA375">
            <v>2.0921999999999983</v>
          </cell>
          <cell r="AB375">
            <v>0.21152976722132166</v>
          </cell>
          <cell r="AC375" t="str">
            <v>JH</v>
          </cell>
          <cell r="AD375">
            <v>1062721</v>
          </cell>
          <cell r="AE375" t="str">
            <v xml:space="preserve">POV0067125 </v>
          </cell>
          <cell r="AF375" t="str">
            <v>ES</v>
          </cell>
        </row>
        <row r="376">
          <cell r="A376" t="str">
            <v>668-007087-004</v>
          </cell>
          <cell r="B376" t="str">
            <v>CONN,HDR,PCB,M-ST,UNV M-N-LOK,4P,ROHS</v>
          </cell>
          <cell r="C376" t="str">
            <v>CONN</v>
          </cell>
          <cell r="D376">
            <v>15</v>
          </cell>
          <cell r="E376">
            <v>1</v>
          </cell>
          <cell r="F376" t="str">
            <v>17 Weeks</v>
          </cell>
          <cell r="G376">
            <v>100</v>
          </cell>
          <cell r="H376">
            <v>2.144625</v>
          </cell>
          <cell r="I376">
            <v>214.46250000000001</v>
          </cell>
          <cell r="J376">
            <v>2.6153963414634149</v>
          </cell>
          <cell r="K376">
            <v>47.077134146341479</v>
          </cell>
          <cell r="L376">
            <v>261.53963414634148</v>
          </cell>
          <cell r="M376" t="str">
            <v>CHINA</v>
          </cell>
          <cell r="N376">
            <v>8536694040</v>
          </cell>
          <cell r="O376">
            <v>0.35</v>
          </cell>
          <cell r="P376">
            <v>75.061875000000001</v>
          </cell>
          <cell r="Q376">
            <v>1</v>
          </cell>
          <cell r="R376" t="str">
            <v>350792-3</v>
          </cell>
          <cell r="S376" t="str">
            <v>TE CONNECTIVITY</v>
          </cell>
          <cell r="T376" t="str">
            <v>Avnet</v>
          </cell>
          <cell r="U376">
            <v>1.63</v>
          </cell>
          <cell r="V376">
            <v>100</v>
          </cell>
          <cell r="W376">
            <v>0</v>
          </cell>
          <cell r="Y376" t="str">
            <v>Y</v>
          </cell>
          <cell r="Z376">
            <v>163</v>
          </cell>
          <cell r="AA376">
            <v>51.462500000000006</v>
          </cell>
          <cell r="AB376">
            <v>0.37676750014571314</v>
          </cell>
          <cell r="AD376">
            <v>1062721</v>
          </cell>
          <cell r="AE376" t="str">
            <v>POV0067124 /L6142024</v>
          </cell>
          <cell r="AF376" t="str">
            <v>ES</v>
          </cell>
        </row>
        <row r="377">
          <cell r="A377" t="str">
            <v>668-B32821-008</v>
          </cell>
          <cell r="B377" t="str">
            <v>CONN,HDR,SHRD,8POSN,600V,3A,RTANG,THT</v>
          </cell>
          <cell r="C377" t="str">
            <v>CONN</v>
          </cell>
          <cell r="D377">
            <v>25</v>
          </cell>
          <cell r="E377">
            <v>1</v>
          </cell>
          <cell r="F377" t="str">
            <v>11 Weeks</v>
          </cell>
          <cell r="G377">
            <v>207</v>
          </cell>
          <cell r="H377">
            <v>1.085793</v>
          </cell>
          <cell r="I377">
            <v>224.759151</v>
          </cell>
          <cell r="J377">
            <v>1.3241378048780488</v>
          </cell>
          <cell r="K377">
            <v>49.337374609756097</v>
          </cell>
          <cell r="L377">
            <v>274.0965256097561</v>
          </cell>
          <cell r="O377"/>
          <cell r="Q377">
            <v>1</v>
          </cell>
          <cell r="R377" t="str">
            <v>5-104935-2</v>
          </cell>
          <cell r="S377" t="str">
            <v>TE CONNECTIVITY</v>
          </cell>
          <cell r="T377" t="str">
            <v>Avnet</v>
          </cell>
          <cell r="U377">
            <v>0.55915000000000004</v>
          </cell>
          <cell r="V377">
            <v>207</v>
          </cell>
          <cell r="W377">
            <v>0</v>
          </cell>
          <cell r="X377">
            <v>1</v>
          </cell>
          <cell r="Y377" t="str">
            <v>Y</v>
          </cell>
          <cell r="Z377">
            <v>115.74405</v>
          </cell>
          <cell r="AA377">
            <v>109.015101</v>
          </cell>
          <cell r="AB377">
            <v>0.57772522018469452</v>
          </cell>
          <cell r="AD377">
            <v>1062721</v>
          </cell>
          <cell r="AE377" t="str">
            <v>POV0067124</v>
          </cell>
          <cell r="AF377" t="str">
            <v>ES</v>
          </cell>
        </row>
        <row r="378">
          <cell r="A378" t="str">
            <v>39-164230-09</v>
          </cell>
          <cell r="B378" t="str">
            <v>CONN,D-SUB,9,F,PCB STRT,BRD LOCK,4-40 IN</v>
          </cell>
          <cell r="C378" t="str">
            <v>CONN</v>
          </cell>
          <cell r="D378">
            <v>25</v>
          </cell>
          <cell r="E378">
            <v>1</v>
          </cell>
          <cell r="F378" t="str">
            <v>3 Weeks</v>
          </cell>
          <cell r="G378">
            <v>51</v>
          </cell>
          <cell r="H378">
            <v>5.4044549999999996</v>
          </cell>
          <cell r="I378">
            <v>275.627205</v>
          </cell>
          <cell r="J378">
            <v>6.5907987804878045</v>
          </cell>
          <cell r="K378">
            <v>60.503532804878091</v>
          </cell>
          <cell r="L378">
            <v>336.13073780487804</v>
          </cell>
          <cell r="O378"/>
          <cell r="Q378">
            <v>1</v>
          </cell>
          <cell r="R378" t="str">
            <v>2-5747706-0</v>
          </cell>
          <cell r="S378" t="str">
            <v>TE CONNECTIVITY</v>
          </cell>
          <cell r="T378" t="str">
            <v>Avnet</v>
          </cell>
          <cell r="U378">
            <v>2.1439499999999998</v>
          </cell>
          <cell r="V378">
            <v>51</v>
          </cell>
          <cell r="W378">
            <v>0</v>
          </cell>
          <cell r="X378">
            <v>1</v>
          </cell>
          <cell r="Y378" t="str">
            <v>Y</v>
          </cell>
          <cell r="Z378">
            <v>109.34144999999999</v>
          </cell>
          <cell r="AA378">
            <v>166.28575499999999</v>
          </cell>
          <cell r="AB378">
            <v>0.67470559011038111</v>
          </cell>
          <cell r="AD378">
            <v>1062721</v>
          </cell>
          <cell r="AE378" t="str">
            <v>POV0067124</v>
          </cell>
          <cell r="AF378" t="str">
            <v>ES</v>
          </cell>
        </row>
        <row r="379">
          <cell r="A379" t="str">
            <v>615-323023-010</v>
          </cell>
          <cell r="B379" t="str">
            <v>RES,SMD,0.5W,1%,0.510,1206,ROHS</v>
          </cell>
          <cell r="C379" t="str">
            <v>RES</v>
          </cell>
          <cell r="D379">
            <v>25</v>
          </cell>
          <cell r="E379">
            <v>1</v>
          </cell>
          <cell r="F379" t="str">
            <v>23 Weeks</v>
          </cell>
          <cell r="G379">
            <v>5000</v>
          </cell>
          <cell r="H379">
            <v>4.9020000000000001E-2</v>
          </cell>
          <cell r="I379">
            <v>245.1</v>
          </cell>
          <cell r="J379">
            <v>5.9780487804878053E-2</v>
          </cell>
          <cell r="K379">
            <v>53.802439024390281</v>
          </cell>
          <cell r="L379">
            <v>298.90243902439028</v>
          </cell>
          <cell r="O379"/>
          <cell r="Q379">
            <v>1</v>
          </cell>
          <cell r="R379" t="str">
            <v>ERJ-8BQFR51V</v>
          </cell>
          <cell r="S379" t="str">
            <v>Panasonic</v>
          </cell>
          <cell r="T379" t="str">
            <v>Avnet</v>
          </cell>
          <cell r="U379">
            <v>4.0829999999999998E-2</v>
          </cell>
          <cell r="V379">
            <v>5000</v>
          </cell>
          <cell r="W379">
            <v>0</v>
          </cell>
          <cell r="X379">
            <v>1</v>
          </cell>
          <cell r="Y379" t="str">
            <v>Y</v>
          </cell>
          <cell r="Z379">
            <v>204.14999999999998</v>
          </cell>
          <cell r="AA379">
            <v>40.950000000000017</v>
          </cell>
          <cell r="AB379">
            <v>0.31700122399020825</v>
          </cell>
          <cell r="AD379">
            <v>1062721</v>
          </cell>
          <cell r="AE379" t="str">
            <v>POV0067124</v>
          </cell>
          <cell r="AF379" t="str">
            <v>ES</v>
          </cell>
        </row>
        <row r="380">
          <cell r="A380" t="str">
            <v>668-311384-002</v>
          </cell>
          <cell r="B380" t="str">
            <v>CONN,HDR,VERTICAL,3POS,</v>
          </cell>
          <cell r="C380" t="str">
            <v>CONN</v>
          </cell>
          <cell r="D380">
            <v>15</v>
          </cell>
          <cell r="E380">
            <v>1</v>
          </cell>
          <cell r="F380" t="str">
            <v>3 Weeks</v>
          </cell>
          <cell r="G380">
            <v>60</v>
          </cell>
          <cell r="H380">
            <v>2.7083550000000001</v>
          </cell>
          <cell r="I380">
            <v>162.50130000000001</v>
          </cell>
          <cell r="J380">
            <v>3.3028719512195126</v>
          </cell>
          <cell r="K380">
            <v>35.671017073170759</v>
          </cell>
          <cell r="L380">
            <v>198.17231707317075</v>
          </cell>
          <cell r="O380"/>
          <cell r="Q380">
            <v>1</v>
          </cell>
          <cell r="R380">
            <v>1720420302</v>
          </cell>
          <cell r="S380" t="str">
            <v>MOLEX, LLC</v>
          </cell>
          <cell r="T380" t="str">
            <v>Avnet</v>
          </cell>
          <cell r="U380">
            <v>1.1413599999999999</v>
          </cell>
          <cell r="V380">
            <v>60</v>
          </cell>
          <cell r="W380">
            <v>0</v>
          </cell>
          <cell r="X380">
            <v>1</v>
          </cell>
          <cell r="Y380" t="str">
            <v>Y</v>
          </cell>
          <cell r="Z380">
            <v>68.4816</v>
          </cell>
          <cell r="AA380">
            <v>94.019700000000014</v>
          </cell>
          <cell r="AB380">
            <v>0.65443407529662845</v>
          </cell>
          <cell r="AD380">
            <v>1062721</v>
          </cell>
          <cell r="AE380" t="str">
            <v>POV0067124</v>
          </cell>
          <cell r="AF380" t="str">
            <v>ES</v>
          </cell>
        </row>
        <row r="381">
          <cell r="A381" t="str">
            <v>615-A00422-806</v>
          </cell>
          <cell r="B381" t="str">
            <v>RES SMD 806 OHM 0.1% 1/16W 0402</v>
          </cell>
          <cell r="C381" t="str">
            <v>RES</v>
          </cell>
          <cell r="D381">
            <v>25</v>
          </cell>
          <cell r="E381">
            <v>1</v>
          </cell>
          <cell r="F381" t="str">
            <v>22 Weeks</v>
          </cell>
          <cell r="G381">
            <v>10000</v>
          </cell>
          <cell r="H381">
            <v>4.1116E-2</v>
          </cell>
          <cell r="I381">
            <v>411.16</v>
          </cell>
          <cell r="J381">
            <v>5.0141463414634151E-2</v>
          </cell>
          <cell r="K381">
            <v>90.254634146341516</v>
          </cell>
          <cell r="L381">
            <v>501.41463414634148</v>
          </cell>
          <cell r="O381"/>
          <cell r="Q381">
            <v>2</v>
          </cell>
          <cell r="R381" t="str">
            <v>RT0402BRD07806RL</v>
          </cell>
          <cell r="S381" t="str">
            <v>Yageo</v>
          </cell>
          <cell r="T381" t="str">
            <v>Avnet</v>
          </cell>
          <cell r="U381">
            <v>2.2440000000000002E-2</v>
          </cell>
          <cell r="V381">
            <v>10000</v>
          </cell>
          <cell r="W381">
            <v>0</v>
          </cell>
          <cell r="X381">
            <v>1</v>
          </cell>
          <cell r="Y381" t="str">
            <v>Y</v>
          </cell>
          <cell r="Z381">
            <v>224.4</v>
          </cell>
          <cell r="AA381">
            <v>186.76000000000002</v>
          </cell>
          <cell r="AB381">
            <v>0.55246619320945611</v>
          </cell>
          <cell r="AD381">
            <v>1062721</v>
          </cell>
          <cell r="AE381" t="str">
            <v>POV0067124</v>
          </cell>
          <cell r="AF381" t="str">
            <v>ES</v>
          </cell>
        </row>
        <row r="382">
          <cell r="A382" t="str">
            <v>615-A00424-604</v>
          </cell>
          <cell r="B382" t="str">
            <v>RES,SMD,60.4KOHM,0.1%,1/16W,0402</v>
          </cell>
          <cell r="C382" t="str">
            <v>RES</v>
          </cell>
          <cell r="D382">
            <v>15</v>
          </cell>
          <cell r="E382">
            <v>1</v>
          </cell>
          <cell r="F382" t="str">
            <v>22 Weeks</v>
          </cell>
          <cell r="G382">
            <v>10000</v>
          </cell>
          <cell r="H382">
            <v>4.1116E-2</v>
          </cell>
          <cell r="I382">
            <v>411.16</v>
          </cell>
          <cell r="J382">
            <v>5.0141463414634151E-2</v>
          </cell>
          <cell r="K382">
            <v>90.254634146341516</v>
          </cell>
          <cell r="L382">
            <v>501.41463414634148</v>
          </cell>
          <cell r="O382"/>
          <cell r="Q382">
            <v>2</v>
          </cell>
          <cell r="R382" t="str">
            <v>RT0402BRD0760K4L</v>
          </cell>
          <cell r="S382" t="str">
            <v>Yageo</v>
          </cell>
          <cell r="T382" t="str">
            <v>Avnet</v>
          </cell>
          <cell r="U382">
            <v>2.2440000000000002E-2</v>
          </cell>
          <cell r="V382">
            <v>10000</v>
          </cell>
          <cell r="W382">
            <v>0</v>
          </cell>
          <cell r="X382">
            <v>1</v>
          </cell>
          <cell r="Y382" t="str">
            <v>Y</v>
          </cell>
          <cell r="Z382">
            <v>224.4</v>
          </cell>
          <cell r="AA382">
            <v>186.76000000000002</v>
          </cell>
          <cell r="AB382">
            <v>0.55246619320945611</v>
          </cell>
          <cell r="AD382">
            <v>1062721</v>
          </cell>
          <cell r="AE382" t="str">
            <v>POV0067124</v>
          </cell>
          <cell r="AF382" t="str">
            <v>ES</v>
          </cell>
        </row>
        <row r="383">
          <cell r="A383" t="str">
            <v>615-A00423-107</v>
          </cell>
          <cell r="B383" t="str">
            <v>RES SMD 1.07KOHM 0.1% 1/16W 0402</v>
          </cell>
          <cell r="C383" t="str">
            <v>RES</v>
          </cell>
          <cell r="D383">
            <v>25</v>
          </cell>
          <cell r="E383">
            <v>1</v>
          </cell>
          <cell r="F383" t="str">
            <v>21 Weeks</v>
          </cell>
          <cell r="G383">
            <v>10000</v>
          </cell>
          <cell r="H383">
            <v>4.1116E-2</v>
          </cell>
          <cell r="I383">
            <v>411.16</v>
          </cell>
          <cell r="J383">
            <v>5.0141463414634151E-2</v>
          </cell>
          <cell r="K383">
            <v>90.254634146341516</v>
          </cell>
          <cell r="L383">
            <v>501.41463414634148</v>
          </cell>
          <cell r="O383"/>
          <cell r="Q383">
            <v>2</v>
          </cell>
          <cell r="R383" t="str">
            <v>RT0402BRD071K07L</v>
          </cell>
          <cell r="S383" t="str">
            <v>Yageo</v>
          </cell>
          <cell r="T383" t="str">
            <v>Avnet</v>
          </cell>
          <cell r="U383">
            <v>2.2440000000000002E-2</v>
          </cell>
          <cell r="V383">
            <v>10000</v>
          </cell>
          <cell r="W383">
            <v>0</v>
          </cell>
          <cell r="X383">
            <v>1</v>
          </cell>
          <cell r="Y383" t="str">
            <v>Y</v>
          </cell>
          <cell r="Z383">
            <v>224.4</v>
          </cell>
          <cell r="AA383">
            <v>186.76000000000002</v>
          </cell>
          <cell r="AB383">
            <v>0.55246619320945611</v>
          </cell>
          <cell r="AD383">
            <v>1062721</v>
          </cell>
          <cell r="AE383" t="str">
            <v>POV0067124</v>
          </cell>
          <cell r="AF383" t="str">
            <v>ES</v>
          </cell>
        </row>
        <row r="384">
          <cell r="A384" t="str">
            <v>668-133631-002</v>
          </cell>
          <cell r="B384" t="str">
            <v>CONN,RCPT,PWR,2CKT,PRE-TIN,INLINE,UL94V2</v>
          </cell>
          <cell r="C384" t="str">
            <v>CONN</v>
          </cell>
          <cell r="D384">
            <v>15</v>
          </cell>
          <cell r="E384">
            <v>1</v>
          </cell>
          <cell r="F384" t="str">
            <v>12 Weeks</v>
          </cell>
          <cell r="G384">
            <v>100</v>
          </cell>
          <cell r="H384">
            <v>0.54534800000000005</v>
          </cell>
          <cell r="I384">
            <v>54.534800000000004</v>
          </cell>
          <cell r="J384">
            <v>0.66505853658536596</v>
          </cell>
          <cell r="K384">
            <v>11.97105365853659</v>
          </cell>
          <cell r="L384">
            <v>66.505853658536594</v>
          </cell>
          <cell r="M384" t="str">
            <v>CHINA</v>
          </cell>
          <cell r="N384" t="str">
            <v>8536694040</v>
          </cell>
          <cell r="O384">
            <v>0.35</v>
          </cell>
          <cell r="P384">
            <v>19.08718</v>
          </cell>
          <cell r="Q384">
            <v>1</v>
          </cell>
          <cell r="R384" t="str">
            <v>350759-4</v>
          </cell>
          <cell r="S384" t="str">
            <v>TE CONNECTIVITY</v>
          </cell>
          <cell r="T384" t="str">
            <v>Avnet</v>
          </cell>
          <cell r="U384">
            <v>0.31580000000000003</v>
          </cell>
          <cell r="V384">
            <v>100</v>
          </cell>
          <cell r="W384">
            <v>0</v>
          </cell>
          <cell r="X384">
            <v>1</v>
          </cell>
          <cell r="Y384" t="str">
            <v>Y</v>
          </cell>
          <cell r="Z384">
            <v>31.580000000000002</v>
          </cell>
          <cell r="AA384">
            <v>22.954800000000002</v>
          </cell>
          <cell r="AB384">
            <v>0.52515458019466466</v>
          </cell>
          <cell r="AD384">
            <v>1062721</v>
          </cell>
          <cell r="AE384" t="str">
            <v>POV0067124</v>
          </cell>
          <cell r="AF384" t="str">
            <v>ES</v>
          </cell>
        </row>
        <row r="385">
          <cell r="A385" t="str">
            <v>668-007087-006</v>
          </cell>
          <cell r="B385" t="str">
            <v>CONN,HDR,PCB,M-ST,UNV M-N-LOK,6P,ROHS</v>
          </cell>
          <cell r="C385" t="str">
            <v>CONN</v>
          </cell>
          <cell r="D385">
            <v>15</v>
          </cell>
          <cell r="E385">
            <v>1</v>
          </cell>
          <cell r="F385" t="str">
            <v>15 Weeks</v>
          </cell>
          <cell r="G385">
            <v>100</v>
          </cell>
          <cell r="H385">
            <v>4.1466019999999997</v>
          </cell>
          <cell r="I385">
            <v>414.66019999999997</v>
          </cell>
          <cell r="J385">
            <v>5.0568317073170732</v>
          </cell>
          <cell r="K385">
            <v>91.022970731707346</v>
          </cell>
          <cell r="L385">
            <v>505.68317073170732</v>
          </cell>
          <cell r="M385" t="str">
            <v>CHINA</v>
          </cell>
          <cell r="N385" t="str">
            <v>8536694040</v>
          </cell>
          <cell r="O385">
            <v>0.35</v>
          </cell>
          <cell r="P385">
            <v>145.13106999999999</v>
          </cell>
          <cell r="Q385">
            <v>1</v>
          </cell>
          <cell r="R385" t="str">
            <v>350711-4</v>
          </cell>
          <cell r="S385" t="str">
            <v>TE CONNECTIVITY</v>
          </cell>
          <cell r="T385" t="str">
            <v>Avnet</v>
          </cell>
          <cell r="U385">
            <v>3.07</v>
          </cell>
          <cell r="V385">
            <v>100</v>
          </cell>
          <cell r="W385">
            <v>0</v>
          </cell>
          <cell r="X385">
            <v>1</v>
          </cell>
          <cell r="Y385" t="str">
            <v>Y</v>
          </cell>
          <cell r="Z385">
            <v>307</v>
          </cell>
          <cell r="AA385">
            <v>107.66019999999997</v>
          </cell>
          <cell r="AB385">
            <v>0.39290050021680401</v>
          </cell>
          <cell r="AD385">
            <v>1062721</v>
          </cell>
          <cell r="AE385" t="str">
            <v>POV0067124</v>
          </cell>
          <cell r="AF385" t="str">
            <v>ES</v>
          </cell>
        </row>
        <row r="386">
          <cell r="A386" t="str">
            <v>668-098490-009</v>
          </cell>
          <cell r="B386" t="str">
            <v>CONN,RCPT 9P D-SUB RTANG</v>
          </cell>
          <cell r="C386" t="str">
            <v>CONN</v>
          </cell>
          <cell r="D386">
            <v>25</v>
          </cell>
          <cell r="E386">
            <v>1</v>
          </cell>
          <cell r="F386" t="str">
            <v>27 Weeks</v>
          </cell>
          <cell r="G386">
            <v>200</v>
          </cell>
          <cell r="H386">
            <v>4.0931699999999998</v>
          </cell>
          <cell r="I386">
            <v>818.6339999999999</v>
          </cell>
          <cell r="J386">
            <v>4.991670731707317</v>
          </cell>
          <cell r="K386">
            <v>179.70014634146344</v>
          </cell>
          <cell r="L386">
            <v>998.33414634146345</v>
          </cell>
          <cell r="O386"/>
          <cell r="Q386">
            <v>2</v>
          </cell>
          <cell r="R386" t="str">
            <v>747844-4</v>
          </cell>
          <cell r="S386" t="str">
            <v>TE Connectivity</v>
          </cell>
          <cell r="T386" t="str">
            <v>Avnet</v>
          </cell>
          <cell r="U386">
            <v>1.9203600000000001</v>
          </cell>
          <cell r="V386">
            <v>200</v>
          </cell>
          <cell r="W386">
            <v>0</v>
          </cell>
          <cell r="X386">
            <v>1</v>
          </cell>
          <cell r="Y386" t="str">
            <v>Y</v>
          </cell>
          <cell r="Z386">
            <v>384.072</v>
          </cell>
          <cell r="AA386">
            <v>434.5619999999999</v>
          </cell>
          <cell r="AB386">
            <v>0.61528712464911062</v>
          </cell>
          <cell r="AD386">
            <v>1062721</v>
          </cell>
          <cell r="AE386" t="str">
            <v>POV0067124</v>
          </cell>
          <cell r="AF386" t="str">
            <v>ES</v>
          </cell>
        </row>
        <row r="387">
          <cell r="A387" t="str">
            <v>641-A66123-010</v>
          </cell>
          <cell r="B387" t="str">
            <v>IDCTR,FERRITE,CHOKE,500UH,20PCT,2A,AXL</v>
          </cell>
          <cell r="C387" t="str">
            <v>IDCTR</v>
          </cell>
          <cell r="D387">
            <v>75</v>
          </cell>
          <cell r="E387">
            <v>1</v>
          </cell>
          <cell r="F387" t="str">
            <v>15 Weeks</v>
          </cell>
          <cell r="G387">
            <v>500</v>
          </cell>
          <cell r="H387">
            <v>1.1274599999999999</v>
          </cell>
          <cell r="I387">
            <v>563.7299999999999</v>
          </cell>
          <cell r="J387">
            <v>1.3749512195121951</v>
          </cell>
          <cell r="K387">
            <v>123.74560975609756</v>
          </cell>
          <cell r="L387">
            <v>687.47560975609758</v>
          </cell>
          <cell r="M387" t="str">
            <v>CHINA</v>
          </cell>
          <cell r="N387" t="str">
            <v>8504504000</v>
          </cell>
          <cell r="O387">
            <v>0.35</v>
          </cell>
          <cell r="P387">
            <v>197.30549999999997</v>
          </cell>
          <cell r="Q387">
            <v>1</v>
          </cell>
          <cell r="R387" t="str">
            <v>5256-RC</v>
          </cell>
          <cell r="S387" t="str">
            <v>Bourns</v>
          </cell>
          <cell r="T387" t="str">
            <v>Avnet</v>
          </cell>
          <cell r="U387">
            <v>0.89685000000000004</v>
          </cell>
          <cell r="V387">
            <v>500</v>
          </cell>
          <cell r="W387">
            <v>0</v>
          </cell>
          <cell r="X387">
            <v>1</v>
          </cell>
          <cell r="Y387" t="str">
            <v>Y</v>
          </cell>
          <cell r="Z387">
            <v>448.42500000000001</v>
          </cell>
          <cell r="AA387">
            <v>115.30499999999989</v>
          </cell>
          <cell r="AB387">
            <v>0.34772231387366292</v>
          </cell>
          <cell r="AD387">
            <v>1062721</v>
          </cell>
          <cell r="AE387" t="str">
            <v>POV0067124</v>
          </cell>
          <cell r="AF387" t="str">
            <v>ES</v>
          </cell>
        </row>
        <row r="388">
          <cell r="A388" t="str">
            <v>648-068442-180</v>
          </cell>
          <cell r="B388" t="str">
            <v>CAP,0603,CER,COG,50V,18PF,ROHS</v>
          </cell>
          <cell r="C388" t="str">
            <v>CAP</v>
          </cell>
          <cell r="D388">
            <v>15</v>
          </cell>
          <cell r="E388">
            <v>1</v>
          </cell>
          <cell r="F388" t="str">
            <v>31 Weeks</v>
          </cell>
          <cell r="G388">
            <v>4000</v>
          </cell>
          <cell r="H388">
            <v>6.1279999999999998E-3</v>
          </cell>
          <cell r="I388">
            <v>24.512</v>
          </cell>
          <cell r="J388">
            <v>7.4731707317073175E-3</v>
          </cell>
          <cell r="K388">
            <v>5.3806829268292695</v>
          </cell>
          <cell r="L388">
            <v>29.89268292682927</v>
          </cell>
          <cell r="O388"/>
          <cell r="Q388">
            <v>2</v>
          </cell>
          <cell r="R388" t="str">
            <v>C0603C180J5GACTU</v>
          </cell>
          <cell r="S388" t="str">
            <v>Kemet</v>
          </cell>
          <cell r="T388" t="str">
            <v>Avnet</v>
          </cell>
          <cell r="U388">
            <v>4.9300000000000004E-3</v>
          </cell>
          <cell r="V388">
            <v>4000</v>
          </cell>
          <cell r="W388">
            <v>0</v>
          </cell>
          <cell r="X388">
            <v>1</v>
          </cell>
          <cell r="Y388" t="str">
            <v>Y</v>
          </cell>
          <cell r="Z388">
            <v>19.720000000000002</v>
          </cell>
          <cell r="AA388">
            <v>4.791999999999998</v>
          </cell>
          <cell r="AB388">
            <v>0.34030678851174934</v>
          </cell>
          <cell r="AD388">
            <v>1062721</v>
          </cell>
          <cell r="AE388" t="str">
            <v>POV0067124</v>
          </cell>
          <cell r="AF388" t="str">
            <v>ES</v>
          </cell>
        </row>
        <row r="389">
          <cell r="A389" t="str">
            <v>648-096579-225</v>
          </cell>
          <cell r="B389" t="str">
            <v>CAP,SMD,6032,TANT,10%,35V,2.2UF ROHS</v>
          </cell>
          <cell r="C389" t="str">
            <v>CAP</v>
          </cell>
          <cell r="D389">
            <v>25</v>
          </cell>
          <cell r="E389">
            <v>1</v>
          </cell>
          <cell r="F389" t="str">
            <v>15 Weeks</v>
          </cell>
          <cell r="G389">
            <v>500</v>
          </cell>
          <cell r="H389">
            <v>0.25858100000000001</v>
          </cell>
          <cell r="I389">
            <v>129.29050000000001</v>
          </cell>
          <cell r="J389">
            <v>0.31534268292682932</v>
          </cell>
          <cell r="K389">
            <v>28.38084146341464</v>
          </cell>
          <cell r="L389">
            <v>157.67134146341465</v>
          </cell>
          <cell r="O389"/>
          <cell r="Q389">
            <v>3</v>
          </cell>
          <cell r="R389" t="str">
            <v>TAJC225K035RNJ</v>
          </cell>
          <cell r="S389" t="str">
            <v>KYOCERAAVX</v>
          </cell>
          <cell r="T389" t="str">
            <v>Avnet</v>
          </cell>
          <cell r="U389">
            <v>0.13381000000000001</v>
          </cell>
          <cell r="V389">
            <v>500</v>
          </cell>
          <cell r="W389">
            <v>0</v>
          </cell>
          <cell r="X389">
            <v>1</v>
          </cell>
          <cell r="Y389" t="str">
            <v>Y</v>
          </cell>
          <cell r="Z389">
            <v>66.905000000000001</v>
          </cell>
          <cell r="AA389">
            <v>62.385500000000008</v>
          </cell>
          <cell r="AB389">
            <v>0.5756679725115148</v>
          </cell>
          <cell r="AD389">
            <v>1062721</v>
          </cell>
          <cell r="AE389" t="str">
            <v>POV0067124</v>
          </cell>
          <cell r="AF389" t="str">
            <v>ES</v>
          </cell>
        </row>
        <row r="390">
          <cell r="A390" t="str">
            <v>648-082229-151</v>
          </cell>
          <cell r="B390" t="str">
            <v>CAP,SMD,0805,COG,5%,100V,150PF ROHS</v>
          </cell>
          <cell r="C390" t="str">
            <v>CAP</v>
          </cell>
          <cell r="D390">
            <v>25</v>
          </cell>
          <cell r="E390">
            <v>1</v>
          </cell>
          <cell r="F390" t="str">
            <v>31 Weeks</v>
          </cell>
          <cell r="G390">
            <v>4000</v>
          </cell>
          <cell r="H390">
            <v>4.2893000000000001E-2</v>
          </cell>
          <cell r="I390">
            <v>171.572</v>
          </cell>
          <cell r="J390">
            <v>5.2308536585365856E-2</v>
          </cell>
          <cell r="K390">
            <v>37.662146341463426</v>
          </cell>
          <cell r="L390">
            <v>209.23414634146343</v>
          </cell>
          <cell r="O390"/>
          <cell r="Q390">
            <v>4</v>
          </cell>
          <cell r="R390" t="str">
            <v>08051A151JAT2A</v>
          </cell>
          <cell r="S390" t="str">
            <v>AVX</v>
          </cell>
          <cell r="T390" t="str">
            <v>Avnet</v>
          </cell>
          <cell r="U390">
            <v>1.806E-2</v>
          </cell>
          <cell r="V390">
            <v>4000</v>
          </cell>
          <cell r="W390">
            <v>0</v>
          </cell>
          <cell r="X390">
            <v>1</v>
          </cell>
          <cell r="Y390" t="str">
            <v>Y</v>
          </cell>
          <cell r="Z390">
            <v>72.239999999999995</v>
          </cell>
          <cell r="AA390">
            <v>99.332000000000008</v>
          </cell>
          <cell r="AB390">
            <v>0.65474086680810395</v>
          </cell>
          <cell r="AD390">
            <v>1062721</v>
          </cell>
          <cell r="AE390" t="str">
            <v>POV0067124</v>
          </cell>
          <cell r="AF390" t="str">
            <v>ES</v>
          </cell>
        </row>
        <row r="391">
          <cell r="A391" t="str">
            <v>615-A00424-909</v>
          </cell>
          <cell r="B391" t="str">
            <v>RES,SMD,90.9KOHM,0.1%,1/16W,0402</v>
          </cell>
          <cell r="C391" t="str">
            <v>RES</v>
          </cell>
          <cell r="D391">
            <v>15</v>
          </cell>
          <cell r="E391">
            <v>1</v>
          </cell>
          <cell r="F391" t="str">
            <v>15 Weeks</v>
          </cell>
          <cell r="G391">
            <v>10000</v>
          </cell>
          <cell r="H391">
            <v>4.1116E-2</v>
          </cell>
          <cell r="I391">
            <v>411.16</v>
          </cell>
          <cell r="J391">
            <v>5.0141463414634151E-2</v>
          </cell>
          <cell r="K391">
            <v>90.254634146341516</v>
          </cell>
          <cell r="L391">
            <v>501.41463414634148</v>
          </cell>
          <cell r="O391"/>
          <cell r="Q391">
            <v>2</v>
          </cell>
          <cell r="R391" t="str">
            <v>RT0402BRD0790K9L</v>
          </cell>
          <cell r="S391" t="str">
            <v>Yageo</v>
          </cell>
          <cell r="T391" t="str">
            <v>Avnet</v>
          </cell>
          <cell r="U391">
            <v>2.2440000000000002E-2</v>
          </cell>
          <cell r="V391">
            <v>10000</v>
          </cell>
          <cell r="W391">
            <v>0</v>
          </cell>
          <cell r="X391">
            <v>1</v>
          </cell>
          <cell r="Y391" t="str">
            <v>Y</v>
          </cell>
          <cell r="Z391">
            <v>224.4</v>
          </cell>
          <cell r="AA391">
            <v>186.76000000000002</v>
          </cell>
          <cell r="AB391">
            <v>0.55246619320945611</v>
          </cell>
          <cell r="AD391">
            <v>1062721</v>
          </cell>
          <cell r="AE391" t="str">
            <v>POV0067124</v>
          </cell>
          <cell r="AF391" t="str">
            <v>ES</v>
          </cell>
        </row>
        <row r="392">
          <cell r="A392" t="str">
            <v>668-098489-037</v>
          </cell>
          <cell r="B392" t="str">
            <v>CONN,PLUG,37P,D-SUB,RTANG,PCB</v>
          </cell>
          <cell r="C392" t="str">
            <v>CONN</v>
          </cell>
          <cell r="D392">
            <v>15</v>
          </cell>
          <cell r="E392">
            <v>1</v>
          </cell>
          <cell r="F392" t="str">
            <v>23 Weeks</v>
          </cell>
          <cell r="G392">
            <v>60</v>
          </cell>
          <cell r="H392">
            <v>10.614229999999999</v>
          </cell>
          <cell r="I392">
            <v>636.85379999999998</v>
          </cell>
          <cell r="J392">
            <v>12.944182926829267</v>
          </cell>
          <cell r="K392">
            <v>139.7971756097561</v>
          </cell>
          <cell r="L392">
            <v>776.65097560975607</v>
          </cell>
          <cell r="O392"/>
          <cell r="Q392">
            <v>2</v>
          </cell>
          <cell r="R392" t="str">
            <v>5747843-4</v>
          </cell>
          <cell r="S392" t="str">
            <v>TE Connectivity</v>
          </cell>
          <cell r="T392" t="str">
            <v>Avnet</v>
          </cell>
          <cell r="U392">
            <v>2.7519999999999998</v>
          </cell>
          <cell r="V392">
            <v>60</v>
          </cell>
          <cell r="W392">
            <v>0</v>
          </cell>
          <cell r="X392">
            <v>1</v>
          </cell>
          <cell r="Y392" t="str">
            <v>Y</v>
          </cell>
          <cell r="Z392">
            <v>165.11999999999998</v>
          </cell>
          <cell r="AA392">
            <v>471.73379999999997</v>
          </cell>
          <cell r="AB392">
            <v>0.78739484635249091</v>
          </cell>
          <cell r="AD392">
            <v>1062721</v>
          </cell>
          <cell r="AE392" t="str">
            <v>POV0067124/L6142024</v>
          </cell>
          <cell r="AF392" t="str">
            <v>ES</v>
          </cell>
        </row>
        <row r="393">
          <cell r="A393" t="str">
            <v>673-348843-002</v>
          </cell>
          <cell r="B393" t="str">
            <v>TERM BLK,2 CKT,16-30AWG,2.54MM,10A,THT</v>
          </cell>
          <cell r="C393" t="str">
            <v>TERM BLK</v>
          </cell>
          <cell r="D393">
            <v>25</v>
          </cell>
          <cell r="E393">
            <v>1</v>
          </cell>
          <cell r="F393" t="str">
            <v>30 Weeks</v>
          </cell>
          <cell r="G393">
            <v>500</v>
          </cell>
          <cell r="H393">
            <v>0.872556</v>
          </cell>
          <cell r="I393">
            <v>436.27800000000002</v>
          </cell>
          <cell r="J393">
            <v>1.0640926829268293</v>
          </cell>
          <cell r="K393">
            <v>95.768341463414686</v>
          </cell>
          <cell r="L393">
            <v>532.04634146341471</v>
          </cell>
          <cell r="O393"/>
          <cell r="Q393">
            <v>1</v>
          </cell>
          <cell r="R393" t="str">
            <v>282834-2</v>
          </cell>
          <cell r="S393" t="str">
            <v>TE Connectivity</v>
          </cell>
          <cell r="T393" t="str">
            <v>TTI</v>
          </cell>
          <cell r="U393">
            <v>0.59</v>
          </cell>
          <cell r="V393">
            <v>500</v>
          </cell>
          <cell r="W393">
            <v>0</v>
          </cell>
          <cell r="X393">
            <v>1</v>
          </cell>
          <cell r="Y393" t="str">
            <v>Y</v>
          </cell>
          <cell r="Z393">
            <v>295</v>
          </cell>
          <cell r="AA393">
            <v>141.27800000000002</v>
          </cell>
          <cell r="AB393">
            <v>0.44553701997350326</v>
          </cell>
          <cell r="AD393">
            <v>1062721</v>
          </cell>
          <cell r="AE393" t="str">
            <v>POV0067433</v>
          </cell>
          <cell r="AF393" t="str">
            <v>ES</v>
          </cell>
        </row>
        <row r="394">
          <cell r="A394" t="str">
            <v>615-A00424-274</v>
          </cell>
          <cell r="B394" t="str">
            <v>RES,SMD,27.4KOHM,0.1%,1/16W,0402</v>
          </cell>
          <cell r="C394" t="str">
            <v>RES</v>
          </cell>
          <cell r="D394">
            <v>25</v>
          </cell>
          <cell r="E394">
            <v>1</v>
          </cell>
          <cell r="F394" t="str">
            <v>21 Weeks</v>
          </cell>
          <cell r="G394">
            <v>10000</v>
          </cell>
          <cell r="H394">
            <v>4.1116E-2</v>
          </cell>
          <cell r="I394">
            <v>411.16</v>
          </cell>
          <cell r="J394">
            <v>5.0141463414634151E-2</v>
          </cell>
          <cell r="K394">
            <v>90.254634146341516</v>
          </cell>
          <cell r="L394">
            <v>501.41463414634148</v>
          </cell>
          <cell r="O394"/>
          <cell r="Q394">
            <v>1</v>
          </cell>
          <cell r="R394" t="str">
            <v>ERA-2AEB2742X</v>
          </cell>
          <cell r="S394" t="str">
            <v>Panasonic</v>
          </cell>
          <cell r="T394" t="str">
            <v>Master Electronics</v>
          </cell>
          <cell r="U394">
            <v>4.9000000000000002E-2</v>
          </cell>
          <cell r="V394">
            <v>10000</v>
          </cell>
          <cell r="W394">
            <v>0</v>
          </cell>
          <cell r="X394">
            <v>1</v>
          </cell>
          <cell r="Y394" t="str">
            <v>Y</v>
          </cell>
          <cell r="Z394">
            <v>490</v>
          </cell>
          <cell r="AA394">
            <v>-78.839999999999975</v>
          </cell>
          <cell r="AB394" t="str">
            <v/>
          </cell>
          <cell r="AC394" t="str">
            <v>JH</v>
          </cell>
          <cell r="AD394">
            <v>1062721</v>
          </cell>
          <cell r="AE394" t="str">
            <v xml:space="preserve">POV0067121 </v>
          </cell>
          <cell r="AF394" t="str">
            <v>JH</v>
          </cell>
        </row>
        <row r="395">
          <cell r="A395" t="str">
            <v>615-303725-020</v>
          </cell>
          <cell r="B395" t="str">
            <v>RES,SMD,270,0.1%,1/16W,0402,ROHS</v>
          </cell>
          <cell r="C395" t="str">
            <v>RES</v>
          </cell>
          <cell r="D395">
            <v>25</v>
          </cell>
          <cell r="E395">
            <v>1</v>
          </cell>
          <cell r="F395" t="str">
            <v>21 Weeks</v>
          </cell>
          <cell r="G395">
            <v>10000</v>
          </cell>
          <cell r="H395">
            <v>4.1116E-2</v>
          </cell>
          <cell r="I395">
            <v>411.16</v>
          </cell>
          <cell r="J395">
            <v>5.0141463414634151E-2</v>
          </cell>
          <cell r="K395">
            <v>90.254634146341516</v>
          </cell>
          <cell r="L395">
            <v>501.41463414634148</v>
          </cell>
          <cell r="O395"/>
          <cell r="Q395">
            <v>1</v>
          </cell>
          <cell r="R395" t="str">
            <v>ERA-2AEB271X</v>
          </cell>
          <cell r="S395" t="str">
            <v>Panasonic</v>
          </cell>
          <cell r="T395" t="str">
            <v>Master Electronics</v>
          </cell>
          <cell r="U395">
            <v>4.1099999999999998E-2</v>
          </cell>
          <cell r="V395">
            <v>10000</v>
          </cell>
          <cell r="W395">
            <v>0</v>
          </cell>
          <cell r="X395">
            <v>1</v>
          </cell>
          <cell r="Y395" t="str">
            <v>Y</v>
          </cell>
          <cell r="Z395">
            <v>411</v>
          </cell>
          <cell r="AA395">
            <v>0.16000000000002501</v>
          </cell>
          <cell r="AB395">
            <v>0.18031909718844252</v>
          </cell>
          <cell r="AC395" t="str">
            <v>JH</v>
          </cell>
          <cell r="AD395">
            <v>1062721</v>
          </cell>
          <cell r="AE395" t="str">
            <v xml:space="preserve">POV0067121 </v>
          </cell>
          <cell r="AF395" t="str">
            <v>JH</v>
          </cell>
        </row>
        <row r="396">
          <cell r="A396" t="str">
            <v>615-220118-004</v>
          </cell>
          <cell r="B396" t="str">
            <v>RES,SMD,4.99K OHM,+/-1%,1/4W,HP,0805</v>
          </cell>
          <cell r="C396" t="str">
            <v>RES</v>
          </cell>
          <cell r="D396">
            <v>15</v>
          </cell>
          <cell r="E396">
            <v>1</v>
          </cell>
          <cell r="F396" t="str">
            <v>18 Weeks</v>
          </cell>
          <cell r="G396">
            <v>5000</v>
          </cell>
          <cell r="H396">
            <v>8.5789999999999998E-3</v>
          </cell>
          <cell r="I396">
            <v>42.894999999999996</v>
          </cell>
          <cell r="J396">
            <v>1.046219512195122E-2</v>
          </cell>
          <cell r="K396">
            <v>9.4159756097561029</v>
          </cell>
          <cell r="L396">
            <v>52.310975609756099</v>
          </cell>
          <cell r="M396" t="str">
            <v>TAIWAN</v>
          </cell>
          <cell r="N396" t="str">
            <v>8533210030</v>
          </cell>
          <cell r="O396">
            <v>0.35</v>
          </cell>
          <cell r="P396">
            <v>15.013249999999998</v>
          </cell>
          <cell r="Q396">
            <v>1</v>
          </cell>
          <cell r="R396" t="str">
            <v>RNCP0805FTD4K99</v>
          </cell>
          <cell r="S396" t="str">
            <v>SEI STACKPOLE</v>
          </cell>
          <cell r="T396" t="str">
            <v>Master Electronics</v>
          </cell>
          <cell r="U396">
            <v>6.4000000000000003E-3</v>
          </cell>
          <cell r="V396">
            <v>5000</v>
          </cell>
          <cell r="W396">
            <v>0</v>
          </cell>
          <cell r="X396">
            <v>1</v>
          </cell>
          <cell r="Y396" t="str">
            <v>Y</v>
          </cell>
          <cell r="Z396">
            <v>32</v>
          </cell>
          <cell r="AA396">
            <v>10.894999999999996</v>
          </cell>
          <cell r="AB396">
            <v>0.3882736915724444</v>
          </cell>
          <cell r="AC396" t="str">
            <v>JH</v>
          </cell>
          <cell r="AD396">
            <v>1062721</v>
          </cell>
          <cell r="AE396" t="str">
            <v>POV0067126</v>
          </cell>
          <cell r="AF396" t="str">
            <v>JH</v>
          </cell>
        </row>
        <row r="397">
          <cell r="A397" t="str">
            <v>615-B08198-001</v>
          </cell>
          <cell r="B397" t="str">
            <v>RES,SMD,THK FILM,100 OHM,1%,0.25W,0603</v>
          </cell>
          <cell r="C397" t="str">
            <v>RES</v>
          </cell>
          <cell r="D397">
            <v>15</v>
          </cell>
          <cell r="E397">
            <v>1</v>
          </cell>
          <cell r="F397" t="str">
            <v>17 Weeks</v>
          </cell>
          <cell r="G397">
            <v>5000</v>
          </cell>
          <cell r="H397">
            <v>2.4510000000000001E-2</v>
          </cell>
          <cell r="I397">
            <v>122.55</v>
          </cell>
          <cell r="J397">
            <v>2.9890243902439027E-2</v>
          </cell>
          <cell r="K397">
            <v>26.901219512195141</v>
          </cell>
          <cell r="L397">
            <v>149.45121951219514</v>
          </cell>
          <cell r="O397"/>
          <cell r="Q397">
            <v>1</v>
          </cell>
          <cell r="R397" t="str">
            <v>CMP0603AFX-1000ELF</v>
          </cell>
          <cell r="S397" t="str">
            <v>Bourns</v>
          </cell>
          <cell r="T397" t="str">
            <v>Master Electronics</v>
          </cell>
          <cell r="U397">
            <v>2.46E-2</v>
          </cell>
          <cell r="V397">
            <v>5000</v>
          </cell>
          <cell r="W397">
            <v>0</v>
          </cell>
          <cell r="X397">
            <v>1</v>
          </cell>
          <cell r="Y397" t="str">
            <v>Y</v>
          </cell>
          <cell r="Z397">
            <v>123</v>
          </cell>
          <cell r="AA397">
            <v>-0.45000000000000284</v>
          </cell>
          <cell r="AB397" t="str">
            <v/>
          </cell>
          <cell r="AC397" t="str">
            <v>JH</v>
          </cell>
          <cell r="AD397">
            <v>1062721</v>
          </cell>
          <cell r="AE397" t="str">
            <v xml:space="preserve">POV0067121 </v>
          </cell>
          <cell r="AF397" t="str">
            <v>JH</v>
          </cell>
        </row>
        <row r="398">
          <cell r="A398" t="str">
            <v>615-323023-001</v>
          </cell>
          <cell r="B398" t="str">
            <v>RES,SMD,0.5W,1%,0.160,1206,ROHS</v>
          </cell>
          <cell r="C398" t="str">
            <v>RES</v>
          </cell>
          <cell r="D398">
            <v>15</v>
          </cell>
          <cell r="E398">
            <v>1</v>
          </cell>
          <cell r="F398" t="str">
            <v>25 Weeks</v>
          </cell>
          <cell r="G398">
            <v>5000</v>
          </cell>
          <cell r="H398">
            <v>0.10294200000000001</v>
          </cell>
          <cell r="I398">
            <v>514.71</v>
          </cell>
          <cell r="J398">
            <v>0.12553902439024392</v>
          </cell>
          <cell r="K398">
            <v>112.98512195121953</v>
          </cell>
          <cell r="L398">
            <v>627.69512195121956</v>
          </cell>
          <cell r="O398"/>
          <cell r="Q398">
            <v>1</v>
          </cell>
          <cell r="R398" t="str">
            <v>ERJ-8BSFR16V</v>
          </cell>
          <cell r="S398" t="str">
            <v>Panasonic</v>
          </cell>
          <cell r="T398" t="str">
            <v>Master Electronics</v>
          </cell>
          <cell r="U398">
            <v>0.1024</v>
          </cell>
          <cell r="V398">
            <v>5000</v>
          </cell>
          <cell r="W398">
            <v>0</v>
          </cell>
          <cell r="X398">
            <v>1</v>
          </cell>
          <cell r="Y398" t="str">
            <v>Y</v>
          </cell>
          <cell r="Z398">
            <v>512</v>
          </cell>
          <cell r="AA398">
            <v>2.7100000000000364</v>
          </cell>
          <cell r="AB398">
            <v>0.18431738260379638</v>
          </cell>
          <cell r="AC398" t="str">
            <v>JH</v>
          </cell>
          <cell r="AD398">
            <v>1062721</v>
          </cell>
          <cell r="AE398" t="str">
            <v xml:space="preserve">POV0067121 </v>
          </cell>
          <cell r="AF398" t="str">
            <v>JH</v>
          </cell>
        </row>
        <row r="399">
          <cell r="A399" t="str">
            <v>615-255080-036</v>
          </cell>
          <cell r="B399" t="str">
            <v>RES,SMD,1W,+/-1%TOL,0.36OHM,THK FILM</v>
          </cell>
          <cell r="C399" t="str">
            <v>RES</v>
          </cell>
          <cell r="D399">
            <v>25</v>
          </cell>
          <cell r="E399">
            <v>1</v>
          </cell>
          <cell r="F399" t="str">
            <v>25 Weeks</v>
          </cell>
          <cell r="G399">
            <v>4000</v>
          </cell>
          <cell r="H399">
            <v>0.16911899999999999</v>
          </cell>
          <cell r="I399">
            <v>676.476</v>
          </cell>
          <cell r="J399">
            <v>0.20624268292682926</v>
          </cell>
          <cell r="K399">
            <v>148.4947317073171</v>
          </cell>
          <cell r="L399">
            <v>824.9707317073171</v>
          </cell>
          <cell r="O399"/>
          <cell r="Q399">
            <v>1</v>
          </cell>
          <cell r="R399" t="str">
            <v>ERJ1TRQFR36U</v>
          </cell>
          <cell r="S399" t="str">
            <v>Panasonic</v>
          </cell>
          <cell r="T399" t="str">
            <v>Master Electronics</v>
          </cell>
          <cell r="U399">
            <v>0.1668</v>
          </cell>
          <cell r="V399">
            <v>4000</v>
          </cell>
          <cell r="W399">
            <v>0</v>
          </cell>
          <cell r="X399">
            <v>1</v>
          </cell>
          <cell r="Y399" t="str">
            <v>Y</v>
          </cell>
          <cell r="Z399">
            <v>667.2</v>
          </cell>
          <cell r="AA399">
            <v>9.2759999999999536</v>
          </cell>
          <cell r="AB399">
            <v>0.19124403526510914</v>
          </cell>
          <cell r="AC399" t="str">
            <v>JH</v>
          </cell>
          <cell r="AD399">
            <v>1062721</v>
          </cell>
          <cell r="AE399" t="str">
            <v>POV0067126</v>
          </cell>
          <cell r="AF399" t="str">
            <v>JH</v>
          </cell>
        </row>
        <row r="400">
          <cell r="A400" t="str">
            <v>668-A40315-040</v>
          </cell>
          <cell r="B400" t="str">
            <v>CONN,FFC/FPC,BOT CONT,.5MM,40CKT,.5A,50V</v>
          </cell>
          <cell r="C400" t="str">
            <v>CONN</v>
          </cell>
          <cell r="D400">
            <v>25</v>
          </cell>
          <cell r="E400">
            <v>1</v>
          </cell>
          <cell r="F400" t="str">
            <v>3 Weeks</v>
          </cell>
          <cell r="G400">
            <v>3000</v>
          </cell>
          <cell r="H400">
            <v>0.81952899999999995</v>
          </cell>
          <cell r="I400">
            <v>2458.587</v>
          </cell>
          <cell r="J400">
            <v>0.99942560975609751</v>
          </cell>
          <cell r="K400">
            <v>539.68982926829267</v>
          </cell>
          <cell r="L400">
            <v>2998.2768292682927</v>
          </cell>
          <cell r="O400"/>
          <cell r="Q400">
            <v>1</v>
          </cell>
          <cell r="R400">
            <v>5051104091</v>
          </cell>
          <cell r="S400" t="str">
            <v>MOLEX, LLC</v>
          </cell>
          <cell r="T400" t="str">
            <v>Waldom</v>
          </cell>
          <cell r="U400">
            <v>0.64</v>
          </cell>
          <cell r="V400">
            <v>3000</v>
          </cell>
          <cell r="W400">
            <v>0</v>
          </cell>
          <cell r="Y400" t="str">
            <v>Y</v>
          </cell>
          <cell r="Z400">
            <v>1920</v>
          </cell>
          <cell r="AA400">
            <v>538.58699999999999</v>
          </cell>
          <cell r="AB400">
            <v>0.3596321789710919</v>
          </cell>
          <cell r="AC400" t="str">
            <v>JH</v>
          </cell>
          <cell r="AD400">
            <v>1062721</v>
          </cell>
          <cell r="AE400" t="str">
            <v>POV0067120</v>
          </cell>
          <cell r="AF400" t="str">
            <v>JH</v>
          </cell>
        </row>
        <row r="401">
          <cell r="A401" t="str">
            <v>648-237639-001</v>
          </cell>
          <cell r="B401" t="str">
            <v>CAP,SMD,TANTALUM,100UF,+/-20%,20V</v>
          </cell>
          <cell r="C401" t="str">
            <v>CAP</v>
          </cell>
          <cell r="D401">
            <v>25</v>
          </cell>
          <cell r="E401">
            <v>1</v>
          </cell>
          <cell r="F401" t="str">
            <v>13 Weeks</v>
          </cell>
          <cell r="G401">
            <v>2500</v>
          </cell>
          <cell r="H401">
            <v>1.311285</v>
          </cell>
          <cell r="I401">
            <v>3278.2125000000001</v>
          </cell>
          <cell r="J401">
            <v>1.599128048780488</v>
          </cell>
          <cell r="K401">
            <v>719.6076219512197</v>
          </cell>
          <cell r="L401">
            <v>3997.8201219512198</v>
          </cell>
          <cell r="O401"/>
          <cell r="Q401">
            <v>1</v>
          </cell>
          <cell r="R401" t="str">
            <v>20TQC100MYF</v>
          </cell>
          <cell r="S401" t="str">
            <v>Panasonic</v>
          </cell>
          <cell r="T401" t="str">
            <v>Avnet</v>
          </cell>
          <cell r="U401">
            <v>0.58638000000000001</v>
          </cell>
          <cell r="V401">
            <v>2500</v>
          </cell>
          <cell r="W401">
            <v>0</v>
          </cell>
          <cell r="X401">
            <v>1</v>
          </cell>
          <cell r="Y401" t="str">
            <v>Y</v>
          </cell>
          <cell r="Z401">
            <v>1465.95</v>
          </cell>
          <cell r="AA401">
            <v>1812.2625</v>
          </cell>
          <cell r="AB401">
            <v>0.63331266658277952</v>
          </cell>
          <cell r="AD401">
            <v>1062721</v>
          </cell>
          <cell r="AE401" t="str">
            <v xml:space="preserve">POV0067124 </v>
          </cell>
          <cell r="AF401" t="str">
            <v>ES</v>
          </cell>
        </row>
        <row r="402">
          <cell r="A402" t="str">
            <v>670-338640-800</v>
          </cell>
          <cell r="B402" t="str">
            <v>FUSE,CRTG,8A,600VAC/400DC,5X20MM</v>
          </cell>
          <cell r="C402" t="str">
            <v>FUSE</v>
          </cell>
          <cell r="D402">
            <v>25</v>
          </cell>
          <cell r="E402" t="str">
            <v>N/A</v>
          </cell>
          <cell r="F402" t="str">
            <v>3 Weeks</v>
          </cell>
          <cell r="G402">
            <v>1000</v>
          </cell>
          <cell r="H402">
            <v>1.151</v>
          </cell>
          <cell r="I402">
            <v>1151</v>
          </cell>
          <cell r="J402">
            <v>1.403658536585366</v>
          </cell>
          <cell r="K402">
            <v>252.65853658536594</v>
          </cell>
          <cell r="L402">
            <v>1403.6585365853659</v>
          </cell>
          <cell r="O402"/>
          <cell r="Q402">
            <v>2</v>
          </cell>
          <cell r="R402" t="str">
            <v>BK1-S505H-8-R</v>
          </cell>
          <cell r="S402" t="str">
            <v>Eaton</v>
          </cell>
          <cell r="T402" t="str">
            <v>Master Electronics</v>
          </cell>
          <cell r="U402">
            <v>1</v>
          </cell>
          <cell r="V402">
            <v>1000</v>
          </cell>
          <cell r="W402">
            <v>0</v>
          </cell>
          <cell r="X402">
            <v>1</v>
          </cell>
          <cell r="Y402" t="str">
            <v>Y</v>
          </cell>
          <cell r="Z402">
            <v>1000</v>
          </cell>
          <cell r="AA402">
            <v>151</v>
          </cell>
          <cell r="AB402">
            <v>0.28757602085143363</v>
          </cell>
          <cell r="AC402" t="str">
            <v>JH</v>
          </cell>
          <cell r="AD402">
            <v>1062721</v>
          </cell>
          <cell r="AE402" t="str">
            <v>POV0067126</v>
          </cell>
          <cell r="AF402" t="str">
            <v>JH</v>
          </cell>
        </row>
        <row r="403">
          <cell r="A403" t="str">
            <v>668-335595-003</v>
          </cell>
          <cell r="B403" t="str">
            <v>CONN,RCPT,DSUB HD,44 POSN,2.5A,W/BD LOCK</v>
          </cell>
          <cell r="C403" t="str">
            <v>CONN</v>
          </cell>
          <cell r="D403">
            <v>15</v>
          </cell>
          <cell r="E403">
            <v>1</v>
          </cell>
          <cell r="F403" t="str">
            <v>15 Weeks</v>
          </cell>
          <cell r="G403">
            <v>1100</v>
          </cell>
          <cell r="H403">
            <v>2.3652150000000001</v>
          </cell>
          <cell r="I403">
            <v>2601.7365</v>
          </cell>
          <cell r="J403">
            <v>2.884408536585366</v>
          </cell>
          <cell r="K403">
            <v>571.11289024390271</v>
          </cell>
          <cell r="L403">
            <v>3172.8493902439027</v>
          </cell>
          <cell r="O403"/>
          <cell r="Q403">
            <v>1</v>
          </cell>
          <cell r="R403" t="str">
            <v>10090929-S444XLF</v>
          </cell>
          <cell r="S403" t="str">
            <v>AMPHENOL ICC</v>
          </cell>
          <cell r="T403" t="str">
            <v>Waldom / Master Electronics</v>
          </cell>
          <cell r="U403">
            <v>2.109</v>
          </cell>
          <cell r="V403">
            <v>967</v>
          </cell>
          <cell r="W403">
            <v>133</v>
          </cell>
          <cell r="X403">
            <v>15</v>
          </cell>
          <cell r="Y403" t="str">
            <v>Y</v>
          </cell>
          <cell r="Z403">
            <v>2039.403</v>
          </cell>
          <cell r="AA403">
            <v>247.75990500000012</v>
          </cell>
          <cell r="AB403">
            <v>0.26882756958669729</v>
          </cell>
          <cell r="AC403" t="str">
            <v>JH</v>
          </cell>
          <cell r="AD403">
            <v>1062721</v>
          </cell>
          <cell r="AE403" t="str">
            <v>POV0067120 / POV0067121</v>
          </cell>
          <cell r="AF403" t="str">
            <v>JH</v>
          </cell>
        </row>
        <row r="404">
          <cell r="A404" t="str">
            <v>668-098490-037</v>
          </cell>
          <cell r="B404" t="str">
            <v>CONN,RCPT 37P D-SUB RTANG</v>
          </cell>
          <cell r="C404" t="str">
            <v>CONN</v>
          </cell>
          <cell r="D404">
            <v>15</v>
          </cell>
          <cell r="E404">
            <v>1</v>
          </cell>
          <cell r="F404" t="str">
            <v>27 Weeks</v>
          </cell>
          <cell r="G404">
            <v>520</v>
          </cell>
          <cell r="H404">
            <v>8.5417349999999992</v>
          </cell>
          <cell r="I404">
            <v>4441.7021999999997</v>
          </cell>
          <cell r="J404">
            <v>10.41675</v>
          </cell>
          <cell r="K404">
            <v>975.00780000000032</v>
          </cell>
          <cell r="L404">
            <v>5416.71</v>
          </cell>
          <cell r="O404"/>
          <cell r="Q404">
            <v>2</v>
          </cell>
          <cell r="R404" t="str">
            <v>747847-4</v>
          </cell>
          <cell r="S404" t="str">
            <v>TE Connectivity</v>
          </cell>
          <cell r="T404" t="str">
            <v>Master Electronics</v>
          </cell>
          <cell r="U404">
            <v>6.61</v>
          </cell>
          <cell r="V404">
            <v>520</v>
          </cell>
          <cell r="W404">
            <v>0</v>
          </cell>
          <cell r="X404">
            <v>1</v>
          </cell>
          <cell r="Y404" t="str">
            <v>Y</v>
          </cell>
          <cell r="Z404">
            <v>3437.2000000000003</v>
          </cell>
          <cell r="AA404">
            <v>1004.5021999999994</v>
          </cell>
          <cell r="AB404">
            <v>0.36544507643938839</v>
          </cell>
          <cell r="AC404" t="str">
            <v>JH</v>
          </cell>
          <cell r="AD404">
            <v>1062721</v>
          </cell>
          <cell r="AE404" t="str">
            <v xml:space="preserve">POV0067121 </v>
          </cell>
          <cell r="AF404" t="str">
            <v>JH</v>
          </cell>
        </row>
        <row r="405">
          <cell r="A405" t="str">
            <v>615-275812-023</v>
          </cell>
          <cell r="B405" t="str">
            <v>RES,SMD,PWR,+/-1%,25W,15 OHM</v>
          </cell>
          <cell r="C405" t="str">
            <v>RES</v>
          </cell>
          <cell r="D405">
            <v>25</v>
          </cell>
          <cell r="E405">
            <v>1</v>
          </cell>
          <cell r="F405" t="str">
            <v>11 Weeks</v>
          </cell>
          <cell r="G405">
            <v>500</v>
          </cell>
          <cell r="H405">
            <v>1.997565</v>
          </cell>
          <cell r="I405">
            <v>998.78250000000003</v>
          </cell>
          <cell r="J405">
            <v>2.4360548780487807</v>
          </cell>
          <cell r="K405">
            <v>219.24493902439031</v>
          </cell>
          <cell r="L405">
            <v>1218.0274390243903</v>
          </cell>
          <cell r="O405"/>
          <cell r="Q405">
            <v>1</v>
          </cell>
          <cell r="R405" t="str">
            <v>PWR163S-25-15R0FE</v>
          </cell>
          <cell r="S405" t="str">
            <v>Bourns</v>
          </cell>
          <cell r="T405" t="str">
            <v>Master Electronics</v>
          </cell>
          <cell r="U405">
            <v>1.8089999999999999</v>
          </cell>
          <cell r="V405">
            <v>500</v>
          </cell>
          <cell r="W405">
            <v>0</v>
          </cell>
          <cell r="X405">
            <v>1</v>
          </cell>
          <cell r="Y405" t="str">
            <v>Y</v>
          </cell>
          <cell r="Z405">
            <v>904.5</v>
          </cell>
          <cell r="AA405">
            <v>94.282500000000027</v>
          </cell>
          <cell r="AB405">
            <v>0.25740589167311212</v>
          </cell>
          <cell r="AC405" t="str">
            <v>JH</v>
          </cell>
          <cell r="AD405">
            <v>1062721</v>
          </cell>
          <cell r="AE405" t="str">
            <v>POV0067126</v>
          </cell>
          <cell r="AF405" t="str">
            <v>JH</v>
          </cell>
        </row>
        <row r="406">
          <cell r="A406" t="str">
            <v>608-096583-204</v>
          </cell>
          <cell r="B406" t="str">
            <v>RES,SMD,POT,12T,T-ADJ,0.25SQ,200K,ROHS</v>
          </cell>
          <cell r="C406" t="str">
            <v>RES</v>
          </cell>
          <cell r="D406">
            <v>15</v>
          </cell>
          <cell r="E406">
            <v>1</v>
          </cell>
          <cell r="F406" t="str">
            <v>13 Weeks</v>
          </cell>
          <cell r="G406">
            <v>500</v>
          </cell>
          <cell r="H406">
            <v>2.6838449999999998</v>
          </cell>
          <cell r="I406">
            <v>1341.9224999999999</v>
          </cell>
          <cell r="J406">
            <v>3.2729817073170731</v>
          </cell>
          <cell r="K406">
            <v>294.56835365853658</v>
          </cell>
          <cell r="L406">
            <v>1636.4908536585365</v>
          </cell>
          <cell r="O406"/>
          <cell r="Q406">
            <v>3</v>
          </cell>
          <cell r="R406" t="str">
            <v>84WR200KLF</v>
          </cell>
          <cell r="S406" t="str">
            <v>BI Technologies/TT Electronics</v>
          </cell>
          <cell r="T406" t="str">
            <v>Master Electronics</v>
          </cell>
          <cell r="U406">
            <v>1.7230000000000001</v>
          </cell>
          <cell r="V406">
            <v>500</v>
          </cell>
          <cell r="W406">
            <v>0</v>
          </cell>
          <cell r="X406">
            <v>1</v>
          </cell>
          <cell r="Y406" t="str">
            <v>Y</v>
          </cell>
          <cell r="Z406">
            <v>861.5</v>
          </cell>
          <cell r="AA406">
            <v>480.4224999999999</v>
          </cell>
          <cell r="AB406">
            <v>0.47356870460104805</v>
          </cell>
          <cell r="AC406" t="str">
            <v>JH</v>
          </cell>
          <cell r="AD406">
            <v>1062721</v>
          </cell>
          <cell r="AE406" t="str">
            <v>POV0067126</v>
          </cell>
          <cell r="AF406" t="str">
            <v>JH</v>
          </cell>
        </row>
        <row r="407">
          <cell r="A407" t="str">
            <v>608-096583-202</v>
          </cell>
          <cell r="B407" t="str">
            <v>RES,SMD,POT,12T,T-ADJ,0.25SQ,2K,ROHS</v>
          </cell>
          <cell r="C407" t="str">
            <v>RES</v>
          </cell>
          <cell r="D407">
            <v>25</v>
          </cell>
          <cell r="E407">
            <v>1</v>
          </cell>
          <cell r="F407" t="str">
            <v>18 Weeks</v>
          </cell>
          <cell r="G407">
            <v>500</v>
          </cell>
          <cell r="H407">
            <v>2.6960999999999999</v>
          </cell>
          <cell r="I407">
            <v>1348.05</v>
          </cell>
          <cell r="J407">
            <v>3.2879268292682928</v>
          </cell>
          <cell r="K407">
            <v>295.91341463414642</v>
          </cell>
          <cell r="L407">
            <v>1643.9634146341464</v>
          </cell>
          <cell r="O407"/>
          <cell r="Q407">
            <v>3</v>
          </cell>
          <cell r="R407" t="str">
            <v>84WR2KLF</v>
          </cell>
          <cell r="S407" t="str">
            <v>BI Technologies / TT Electronics</v>
          </cell>
          <cell r="T407" t="str">
            <v>Master Electronics</v>
          </cell>
          <cell r="U407">
            <v>1.44</v>
          </cell>
          <cell r="V407">
            <v>500</v>
          </cell>
          <cell r="W407">
            <v>0</v>
          </cell>
          <cell r="X407">
            <v>1</v>
          </cell>
          <cell r="Y407" t="str">
            <v>Y</v>
          </cell>
          <cell r="Z407">
            <v>720</v>
          </cell>
          <cell r="AA407">
            <v>628.04999999999995</v>
          </cell>
          <cell r="AB407">
            <v>0.56203404918215205</v>
          </cell>
          <cell r="AC407" t="str">
            <v>JH</v>
          </cell>
          <cell r="AD407">
            <v>1062721</v>
          </cell>
          <cell r="AE407" t="str">
            <v>POV0067126</v>
          </cell>
          <cell r="AF407" t="str">
            <v>JH</v>
          </cell>
        </row>
        <row r="408">
          <cell r="A408" t="str">
            <v>621-000682-101</v>
          </cell>
          <cell r="B408" t="str">
            <v>POT, TRIM, CERMET, 25 TURN, ROHS</v>
          </cell>
          <cell r="C408" t="str">
            <v>POT</v>
          </cell>
          <cell r="D408">
            <v>25</v>
          </cell>
          <cell r="E408" t="str">
            <v>N/A</v>
          </cell>
          <cell r="F408" t="str">
            <v>10 Weeks</v>
          </cell>
          <cell r="G408">
            <v>500</v>
          </cell>
          <cell r="H408">
            <v>2.0633010000000001</v>
          </cell>
          <cell r="I408">
            <v>1031.6505</v>
          </cell>
          <cell r="J408">
            <v>2.5162207317073171</v>
          </cell>
          <cell r="K408">
            <v>226.45986585365858</v>
          </cell>
          <cell r="L408">
            <v>1258.1103658536585</v>
          </cell>
          <cell r="O408"/>
          <cell r="Q408">
            <v>2</v>
          </cell>
          <cell r="R408" t="str">
            <v>3299W-1-101LF</v>
          </cell>
          <cell r="S408" t="str">
            <v>Bourns</v>
          </cell>
          <cell r="T408" t="str">
            <v>Master Electronics</v>
          </cell>
          <cell r="U408">
            <v>1.3759999999999999</v>
          </cell>
          <cell r="V408">
            <v>500</v>
          </cell>
          <cell r="W408">
            <v>0</v>
          </cell>
          <cell r="X408">
            <v>1</v>
          </cell>
          <cell r="Y408" t="str">
            <v>Y</v>
          </cell>
          <cell r="Z408">
            <v>688</v>
          </cell>
          <cell r="AA408">
            <v>343.65049999999997</v>
          </cell>
          <cell r="AB408">
            <v>0.45314813495461881</v>
          </cell>
          <cell r="AC408" t="str">
            <v>JH</v>
          </cell>
          <cell r="AD408">
            <v>1062721</v>
          </cell>
          <cell r="AE408" t="str">
            <v xml:space="preserve">POV0067121 </v>
          </cell>
          <cell r="AF408" t="str">
            <v>JH</v>
          </cell>
        </row>
        <row r="409">
          <cell r="A409" t="str">
            <v>646-130453-006</v>
          </cell>
          <cell r="B409" t="str">
            <v>SW,SMD,DIP STRAIGHT 6 POLES,ROHS</v>
          </cell>
          <cell r="C409" t="str">
            <v>SW</v>
          </cell>
          <cell r="D409">
            <v>15</v>
          </cell>
          <cell r="E409">
            <v>1</v>
          </cell>
          <cell r="F409" t="str">
            <v>21 Weeks</v>
          </cell>
          <cell r="G409">
            <v>500</v>
          </cell>
          <cell r="H409">
            <v>2.2916850000000002</v>
          </cell>
          <cell r="I409">
            <v>1145.8425000000002</v>
          </cell>
          <cell r="J409">
            <v>2.7947378048780491</v>
          </cell>
          <cell r="K409">
            <v>251.52640243902442</v>
          </cell>
          <cell r="L409">
            <v>1397.3689024390246</v>
          </cell>
          <cell r="O409"/>
          <cell r="Q409">
            <v>1</v>
          </cell>
          <cell r="R409" t="str">
            <v>76HPSB06GWRT</v>
          </cell>
          <cell r="S409" t="str">
            <v>Grayhill</v>
          </cell>
          <cell r="T409" t="str">
            <v>Master Electronics</v>
          </cell>
          <cell r="U409">
            <v>2.1269999999999998</v>
          </cell>
          <cell r="V409">
            <v>500</v>
          </cell>
          <cell r="W409">
            <v>0</v>
          </cell>
          <cell r="X409">
            <v>1</v>
          </cell>
          <cell r="Y409" t="str">
            <v>Y</v>
          </cell>
          <cell r="Z409">
            <v>1063.5</v>
          </cell>
          <cell r="AA409">
            <v>82.3425000000002</v>
          </cell>
          <cell r="AB409">
            <v>0.23892681585820053</v>
          </cell>
          <cell r="AC409" t="str">
            <v>JH</v>
          </cell>
          <cell r="AD409">
            <v>1062721</v>
          </cell>
          <cell r="AE409" t="str">
            <v xml:space="preserve">POV0067121 </v>
          </cell>
          <cell r="AF409" t="str">
            <v>JH</v>
          </cell>
        </row>
        <row r="410">
          <cell r="A410" t="str">
            <v>644-A92192-002</v>
          </cell>
          <cell r="B410" t="str">
            <v>RLY,SPST-NO,24VDC,10A,STD TYPE,PCB MNT</v>
          </cell>
          <cell r="C410" t="str">
            <v>RLY</v>
          </cell>
          <cell r="D410">
            <v>15</v>
          </cell>
          <cell r="E410">
            <v>1</v>
          </cell>
          <cell r="F410" t="str">
            <v>20 Weeks</v>
          </cell>
          <cell r="G410">
            <v>500</v>
          </cell>
          <cell r="H410">
            <v>1.13849</v>
          </cell>
          <cell r="I410">
            <v>569.245</v>
          </cell>
          <cell r="J410">
            <v>1.3884024390243903</v>
          </cell>
          <cell r="K410">
            <v>124.95621951219516</v>
          </cell>
          <cell r="L410">
            <v>694.20121951219517</v>
          </cell>
          <cell r="O410"/>
          <cell r="Q410">
            <v>1</v>
          </cell>
          <cell r="R410" t="str">
            <v>6-1419128-6</v>
          </cell>
          <cell r="S410" t="str">
            <v>TE Connectivity / OEG</v>
          </cell>
          <cell r="T410" t="str">
            <v>Waldom</v>
          </cell>
          <cell r="U410">
            <v>1.1000000000000001</v>
          </cell>
          <cell r="V410">
            <v>500</v>
          </cell>
          <cell r="W410">
            <v>0</v>
          </cell>
          <cell r="X410">
            <v>1</v>
          </cell>
          <cell r="Y410" t="str">
            <v>Y</v>
          </cell>
          <cell r="Z410">
            <v>550</v>
          </cell>
          <cell r="AA410">
            <v>19.245000000000005</v>
          </cell>
          <cell r="AB410">
            <v>0.20772250963996175</v>
          </cell>
          <cell r="AC410" t="str">
            <v>JH</v>
          </cell>
          <cell r="AD410">
            <v>1062721</v>
          </cell>
          <cell r="AE410" t="str">
            <v>POV0067120</v>
          </cell>
          <cell r="AF410" t="str">
            <v>JH</v>
          </cell>
        </row>
        <row r="411">
          <cell r="A411" t="str">
            <v>668-325823-001</v>
          </cell>
          <cell r="B411" t="str">
            <v>CONN,PLUG,DSUB,RT. ANGLE,3 PIN,30A</v>
          </cell>
          <cell r="C411" t="str">
            <v>CONN</v>
          </cell>
          <cell r="D411">
            <v>15</v>
          </cell>
          <cell r="E411">
            <v>1</v>
          </cell>
          <cell r="F411" t="str">
            <v>11 Weeks</v>
          </cell>
          <cell r="G411">
            <v>400</v>
          </cell>
          <cell r="H411">
            <v>5.5147500000000003</v>
          </cell>
          <cell r="I411">
            <v>2205.9</v>
          </cell>
          <cell r="J411">
            <v>6.7253048780487816</v>
          </cell>
          <cell r="K411">
            <v>484.22195121951245</v>
          </cell>
          <cell r="L411">
            <v>2690.1219512195125</v>
          </cell>
          <cell r="O411"/>
          <cell r="Q411">
            <v>1</v>
          </cell>
          <cell r="R411" t="str">
            <v>D3W3P36A6GX08LF</v>
          </cell>
          <cell r="S411" t="str">
            <v>Amphenol Communications Solutions</v>
          </cell>
          <cell r="T411" t="str">
            <v>Master Electronics</v>
          </cell>
          <cell r="U411">
            <v>4.8490000000000002</v>
          </cell>
          <cell r="V411">
            <v>400</v>
          </cell>
          <cell r="W411">
            <v>0</v>
          </cell>
          <cell r="Y411" t="str">
            <v>Y</v>
          </cell>
          <cell r="Z411">
            <v>1939.6000000000001</v>
          </cell>
          <cell r="AA411">
            <v>266.29999999999995</v>
          </cell>
          <cell r="AB411">
            <v>0.27899179473230884</v>
          </cell>
          <cell r="AC411" t="str">
            <v>JH</v>
          </cell>
          <cell r="AD411">
            <v>1062721</v>
          </cell>
          <cell r="AE411" t="str">
            <v xml:space="preserve">POV0067121 </v>
          </cell>
          <cell r="AF411" t="str">
            <v>JH</v>
          </cell>
        </row>
        <row r="412">
          <cell r="A412" t="str">
            <v>668-248128-001</v>
          </cell>
          <cell r="B412" t="str">
            <v>CONN,RCPT,BNC,50 OHM,PCB R/A,BH MT,GRND</v>
          </cell>
          <cell r="C412" t="str">
            <v>CONN</v>
          </cell>
          <cell r="D412">
            <v>25</v>
          </cell>
          <cell r="E412">
            <v>1</v>
          </cell>
          <cell r="F412" t="str">
            <v>3 Weeks</v>
          </cell>
          <cell r="G412">
            <v>336</v>
          </cell>
          <cell r="H412">
            <v>2.659335</v>
          </cell>
          <cell r="I412">
            <v>893.53656000000001</v>
          </cell>
          <cell r="J412">
            <v>3.2430914634146344</v>
          </cell>
          <cell r="K412">
            <v>196.14217170731717</v>
          </cell>
          <cell r="L412">
            <v>1089.6787317073172</v>
          </cell>
          <cell r="O412"/>
          <cell r="Q412">
            <v>1</v>
          </cell>
          <cell r="R412">
            <v>731385033</v>
          </cell>
          <cell r="S412" t="str">
            <v>MOLEX, LLC</v>
          </cell>
          <cell r="T412" t="str">
            <v>Avnet</v>
          </cell>
          <cell r="U412">
            <v>1.3131999999999999</v>
          </cell>
          <cell r="V412">
            <v>336</v>
          </cell>
          <cell r="W412">
            <v>0</v>
          </cell>
          <cell r="X412">
            <v>1</v>
          </cell>
          <cell r="Y412" t="str">
            <v>Y</v>
          </cell>
          <cell r="Z412">
            <v>441.23519999999996</v>
          </cell>
          <cell r="AA412">
            <v>452.30136000000005</v>
          </cell>
          <cell r="AB412">
            <v>0.59507771679762056</v>
          </cell>
          <cell r="AD412">
            <v>1062721</v>
          </cell>
          <cell r="AE412" t="str">
            <v>POV0067124</v>
          </cell>
          <cell r="AF412" t="str">
            <v>ES</v>
          </cell>
        </row>
        <row r="413">
          <cell r="A413" t="str">
            <v>673-348843-005</v>
          </cell>
          <cell r="B413" t="str">
            <v>TERM BLK,5 CKT,16-30AWG,2.54MM,10A,THT</v>
          </cell>
          <cell r="C413" t="str">
            <v>TERM BLK</v>
          </cell>
          <cell r="D413">
            <v>15</v>
          </cell>
          <cell r="E413">
            <v>1</v>
          </cell>
          <cell r="F413" t="str">
            <v>31 Weeks</v>
          </cell>
          <cell r="G413">
            <v>300</v>
          </cell>
          <cell r="H413">
            <v>2.3039399999999999</v>
          </cell>
          <cell r="I413">
            <v>691.18200000000002</v>
          </cell>
          <cell r="J413">
            <v>2.8096829268292685</v>
          </cell>
          <cell r="K413">
            <v>151.72287804878056</v>
          </cell>
          <cell r="L413">
            <v>842.90487804878057</v>
          </cell>
          <cell r="O413"/>
          <cell r="Q413">
            <v>1</v>
          </cell>
          <cell r="R413" t="str">
            <v>282834-5</v>
          </cell>
          <cell r="S413" t="str">
            <v>TE Connectivity</v>
          </cell>
          <cell r="T413" t="str">
            <v>Master Electronics</v>
          </cell>
          <cell r="U413">
            <v>2.1560000000000001</v>
          </cell>
          <cell r="V413">
            <v>300</v>
          </cell>
          <cell r="W413">
            <v>0</v>
          </cell>
          <cell r="X413">
            <v>1</v>
          </cell>
          <cell r="Y413" t="str">
            <v>Y</v>
          </cell>
          <cell r="Z413">
            <v>646.80000000000007</v>
          </cell>
          <cell r="AA413">
            <v>44.381999999999948</v>
          </cell>
          <cell r="AB413">
            <v>0.23265362813267709</v>
          </cell>
          <cell r="AC413" t="str">
            <v>JH</v>
          </cell>
          <cell r="AD413">
            <v>1062721</v>
          </cell>
          <cell r="AE413" t="str">
            <v>POV0067126</v>
          </cell>
          <cell r="AF413" t="str">
            <v>JH</v>
          </cell>
        </row>
        <row r="414">
          <cell r="A414" t="str">
            <v>667-281523-002</v>
          </cell>
          <cell r="B414" t="str">
            <v>CONN,SMD,PWR,SHROUDED,4POS,ROHS</v>
          </cell>
          <cell r="C414" t="str">
            <v>CONN</v>
          </cell>
          <cell r="D414">
            <v>15</v>
          </cell>
          <cell r="E414">
            <v>1</v>
          </cell>
          <cell r="F414" t="str">
            <v>3 Weeks</v>
          </cell>
          <cell r="G414">
            <v>250</v>
          </cell>
          <cell r="H414">
            <v>1.753641</v>
          </cell>
          <cell r="I414">
            <v>438.41025000000002</v>
          </cell>
          <cell r="J414">
            <v>2.1385865853658537</v>
          </cell>
          <cell r="K414">
            <v>96.236396341463433</v>
          </cell>
          <cell r="L414">
            <v>534.64664634146345</v>
          </cell>
          <cell r="O414"/>
          <cell r="Q414">
            <v>1</v>
          </cell>
          <cell r="R414" t="str">
            <v>IPL1-102-02-L-D-K</v>
          </cell>
          <cell r="S414" t="str">
            <v>SAMTEC</v>
          </cell>
          <cell r="T414" t="str">
            <v>Master Electronics</v>
          </cell>
          <cell r="U414">
            <v>1.7749999999999999</v>
          </cell>
          <cell r="V414">
            <v>261</v>
          </cell>
          <cell r="W414">
            <v>-11</v>
          </cell>
          <cell r="X414">
            <v>1</v>
          </cell>
          <cell r="Y414" t="str">
            <v>Y</v>
          </cell>
          <cell r="Z414">
            <v>463.27499999999998</v>
          </cell>
          <cell r="AA414">
            <v>-24.864749999999958</v>
          </cell>
          <cell r="AB414" t="str">
            <v/>
          </cell>
          <cell r="AC414" t="str">
            <v>JH</v>
          </cell>
          <cell r="AD414">
            <v>1062721</v>
          </cell>
          <cell r="AE414" t="str">
            <v xml:space="preserve">POV0067121 </v>
          </cell>
          <cell r="AF414" t="str">
            <v>JH</v>
          </cell>
        </row>
        <row r="415">
          <cell r="A415" t="str">
            <v>668-098490-025</v>
          </cell>
          <cell r="B415" t="str">
            <v>CONN,RCPT 25P D-SUB RTANG</v>
          </cell>
          <cell r="C415" t="str">
            <v>CONN</v>
          </cell>
          <cell r="D415">
            <v>15</v>
          </cell>
          <cell r="E415">
            <v>1</v>
          </cell>
          <cell r="F415" t="str">
            <v>27 Weeks</v>
          </cell>
          <cell r="G415">
            <v>260</v>
          </cell>
          <cell r="H415">
            <v>7.9902600000000001</v>
          </cell>
          <cell r="I415">
            <v>2077.4675999999999</v>
          </cell>
          <cell r="J415">
            <v>9.7442195121951229</v>
          </cell>
          <cell r="K415">
            <v>456.02947317073176</v>
          </cell>
          <cell r="L415">
            <v>2533.4970731707322</v>
          </cell>
          <cell r="O415"/>
          <cell r="Q415">
            <v>2</v>
          </cell>
          <cell r="R415" t="str">
            <v>747846-4</v>
          </cell>
          <cell r="S415" t="str">
            <v>AMP INC.</v>
          </cell>
          <cell r="T415" t="str">
            <v>Waldom</v>
          </cell>
          <cell r="U415">
            <v>6.48</v>
          </cell>
          <cell r="V415">
            <v>260</v>
          </cell>
          <cell r="W415">
            <v>0</v>
          </cell>
          <cell r="X415">
            <v>1</v>
          </cell>
          <cell r="Y415" t="str">
            <v>Y</v>
          </cell>
          <cell r="Z415">
            <v>1684.8000000000002</v>
          </cell>
          <cell r="AA415">
            <v>392.66759999999977</v>
          </cell>
          <cell r="AB415">
            <v>0.33499035075204064</v>
          </cell>
          <cell r="AC415" t="str">
            <v>JH</v>
          </cell>
          <cell r="AD415">
            <v>1062721</v>
          </cell>
          <cell r="AE415" t="str">
            <v>POV0067120</v>
          </cell>
          <cell r="AF415" t="str">
            <v>JH</v>
          </cell>
        </row>
        <row r="416">
          <cell r="A416" t="str">
            <v>635-A38983-016</v>
          </cell>
          <cell r="B416" t="str">
            <v>OSC,SMD,XTAL,33.3333MHZ,±50PPM,-40+85DEG</v>
          </cell>
          <cell r="C416" t="str">
            <v>OSC</v>
          </cell>
          <cell r="D416">
            <v>25</v>
          </cell>
          <cell r="E416">
            <v>1</v>
          </cell>
          <cell r="F416" t="str">
            <v>19 Weeks</v>
          </cell>
          <cell r="G416">
            <v>250</v>
          </cell>
          <cell r="H416">
            <v>1.35</v>
          </cell>
          <cell r="I416">
            <v>337.5</v>
          </cell>
          <cell r="J416">
            <v>1.6463414634146343</v>
          </cell>
          <cell r="K416">
            <v>74.085365853658573</v>
          </cell>
          <cell r="L416">
            <v>411.58536585365857</v>
          </cell>
          <cell r="O416"/>
          <cell r="Q416">
            <v>2</v>
          </cell>
          <cell r="R416" t="str">
            <v>SG-210STF33.3333ML</v>
          </cell>
          <cell r="S416" t="str">
            <v>EPSON</v>
          </cell>
          <cell r="T416" t="str">
            <v>Master Electronics</v>
          </cell>
          <cell r="U416">
            <v>1.61</v>
          </cell>
          <cell r="V416">
            <v>250</v>
          </cell>
          <cell r="W416">
            <v>0</v>
          </cell>
          <cell r="X416">
            <v>1</v>
          </cell>
          <cell r="Y416" t="str">
            <v>Y</v>
          </cell>
          <cell r="Z416">
            <v>402.5</v>
          </cell>
          <cell r="AA416">
            <v>-65</v>
          </cell>
          <cell r="AB416" t="str">
            <v/>
          </cell>
          <cell r="AC416" t="str">
            <v>JH</v>
          </cell>
          <cell r="AD416">
            <v>1062721</v>
          </cell>
          <cell r="AE416" t="str">
            <v>POV0067126</v>
          </cell>
          <cell r="AF416" t="str">
            <v>JH</v>
          </cell>
        </row>
        <row r="417">
          <cell r="A417" t="str">
            <v>667-A26335-015</v>
          </cell>
          <cell r="B417" t="str">
            <v>CONN,SMD,DSUB,HD,RCPT,15POSN,RTANG,2A</v>
          </cell>
          <cell r="C417" t="str">
            <v>CONN</v>
          </cell>
          <cell r="D417">
            <v>25</v>
          </cell>
          <cell r="E417">
            <v>1</v>
          </cell>
          <cell r="F417" t="str">
            <v>17 Weeks</v>
          </cell>
          <cell r="G417">
            <v>210</v>
          </cell>
          <cell r="H417">
            <v>3.84084</v>
          </cell>
          <cell r="I417">
            <v>806.57640000000004</v>
          </cell>
          <cell r="J417">
            <v>4.6839512195121955</v>
          </cell>
          <cell r="K417">
            <v>177.05335609756105</v>
          </cell>
          <cell r="L417">
            <v>983.62975609756108</v>
          </cell>
          <cell r="M417" t="str">
            <v>TAIWAN</v>
          </cell>
          <cell r="N417">
            <v>8536694040</v>
          </cell>
          <cell r="O417">
            <v>0.35</v>
          </cell>
          <cell r="P417">
            <v>282.30174</v>
          </cell>
          <cell r="Q417">
            <v>1</v>
          </cell>
          <cell r="R417" t="str">
            <v>200-015-263R001</v>
          </cell>
          <cell r="S417" t="str">
            <v>NORCOMP</v>
          </cell>
          <cell r="T417" t="str">
            <v>Master Electronics</v>
          </cell>
          <cell r="U417">
            <v>2.95</v>
          </cell>
          <cell r="V417">
            <v>210</v>
          </cell>
          <cell r="W417">
            <v>0</v>
          </cell>
          <cell r="Y417" t="str">
            <v>Y</v>
          </cell>
          <cell r="Z417">
            <v>619.5</v>
          </cell>
          <cell r="AA417">
            <v>187.07640000000004</v>
          </cell>
          <cell r="AB417">
            <v>0.37018985430270468</v>
          </cell>
          <cell r="AC417" t="str">
            <v>JH</v>
          </cell>
          <cell r="AD417">
            <v>1062721</v>
          </cell>
          <cell r="AE417" t="str">
            <v xml:space="preserve">POV0067121 </v>
          </cell>
          <cell r="AF417" t="str">
            <v>JH</v>
          </cell>
        </row>
        <row r="418">
          <cell r="A418" t="str">
            <v>668-346844-002</v>
          </cell>
          <cell r="B418" t="str">
            <v>CONN,HDR,MALE,3POS,3A,RTANG,SLDR,THT</v>
          </cell>
          <cell r="C418" t="str">
            <v>CONN</v>
          </cell>
          <cell r="D418">
            <v>15</v>
          </cell>
          <cell r="E418">
            <v>1</v>
          </cell>
          <cell r="F418" t="str">
            <v>10 Weeks</v>
          </cell>
          <cell r="G418">
            <v>208</v>
          </cell>
          <cell r="H418">
            <v>0.78554599999999997</v>
          </cell>
          <cell r="I418">
            <v>163.39356799999999</v>
          </cell>
          <cell r="J418">
            <v>0.95798292682926833</v>
          </cell>
          <cell r="K418">
            <v>35.866880780487804</v>
          </cell>
          <cell r="L418">
            <v>199.26044878048782</v>
          </cell>
          <cell r="O418"/>
          <cell r="Q418">
            <v>1</v>
          </cell>
          <cell r="R418" t="str">
            <v>5-103635-2</v>
          </cell>
          <cell r="S418" t="str">
            <v>TE CONNECTIVITY</v>
          </cell>
          <cell r="T418" t="str">
            <v>Waldom</v>
          </cell>
          <cell r="U418">
            <v>0.68</v>
          </cell>
          <cell r="V418">
            <v>208</v>
          </cell>
          <cell r="W418">
            <v>0</v>
          </cell>
          <cell r="X418">
            <v>1</v>
          </cell>
          <cell r="Y418" t="str">
            <v>Y</v>
          </cell>
          <cell r="Z418">
            <v>141.44</v>
          </cell>
          <cell r="AA418">
            <v>21.95356799999999</v>
          </cell>
          <cell r="AB418">
            <v>0.29017524116983606</v>
          </cell>
          <cell r="AC418" t="str">
            <v>JH</v>
          </cell>
          <cell r="AD418">
            <v>1062721</v>
          </cell>
          <cell r="AE418" t="str">
            <v>POV0067120</v>
          </cell>
          <cell r="AF418" t="str">
            <v>JH</v>
          </cell>
        </row>
        <row r="419">
          <cell r="A419" t="str">
            <v>649-B08060-001</v>
          </cell>
          <cell r="B419" t="str">
            <v>CAP,AL ELCTLT,4700UF,20%,63VDC,SNAP-IN</v>
          </cell>
          <cell r="C419" t="str">
            <v>CAP</v>
          </cell>
          <cell r="D419">
            <v>25</v>
          </cell>
          <cell r="E419">
            <v>1</v>
          </cell>
          <cell r="F419" t="str">
            <v>20 Weeks</v>
          </cell>
          <cell r="G419">
            <v>200</v>
          </cell>
          <cell r="H419">
            <v>2.4632550000000002</v>
          </cell>
          <cell r="I419">
            <v>492.65100000000007</v>
          </cell>
          <cell r="J419">
            <v>3.0039695121951224</v>
          </cell>
          <cell r="K419">
            <v>108.1429024390244</v>
          </cell>
          <cell r="L419">
            <v>600.79390243902446</v>
          </cell>
          <cell r="O419"/>
          <cell r="Q419">
            <v>1</v>
          </cell>
          <cell r="R419" t="str">
            <v>SLPX472M063E3P3</v>
          </cell>
          <cell r="S419" t="str">
            <v>Cornell Dubilier</v>
          </cell>
          <cell r="T419" t="str">
            <v>Master Electronics</v>
          </cell>
          <cell r="U419">
            <v>2.17</v>
          </cell>
          <cell r="V419">
            <v>200</v>
          </cell>
          <cell r="W419">
            <v>0</v>
          </cell>
          <cell r="X419">
            <v>1</v>
          </cell>
          <cell r="Y419" t="str">
            <v>Y</v>
          </cell>
          <cell r="Z419">
            <v>434</v>
          </cell>
          <cell r="AA419">
            <v>58.651000000000067</v>
          </cell>
          <cell r="AB419">
            <v>0.27762249543794704</v>
          </cell>
          <cell r="AC419" t="str">
            <v>JH</v>
          </cell>
          <cell r="AD419">
            <v>1062721</v>
          </cell>
          <cell r="AE419" t="str">
            <v>POV0067126</v>
          </cell>
          <cell r="AF419" t="str">
            <v>JH</v>
          </cell>
        </row>
        <row r="420">
          <cell r="A420" t="str">
            <v>668-061260-004</v>
          </cell>
          <cell r="B420" t="str">
            <v>CONN,HDR,PCB,ST,MINI-U M-N-LOK,4P,ROHS</v>
          </cell>
          <cell r="C420" t="str">
            <v>CONN</v>
          </cell>
          <cell r="D420">
            <v>25</v>
          </cell>
          <cell r="E420">
            <v>1</v>
          </cell>
          <cell r="F420" t="str">
            <v>28 Weeks</v>
          </cell>
          <cell r="G420">
            <v>200</v>
          </cell>
          <cell r="H420">
            <v>1.02942</v>
          </cell>
          <cell r="I420">
            <v>205.88400000000001</v>
          </cell>
          <cell r="J420">
            <v>1.2553902439024391</v>
          </cell>
          <cell r="K420">
            <v>45.194048780487833</v>
          </cell>
          <cell r="L420">
            <v>251.07804878048782</v>
          </cell>
          <cell r="O420"/>
          <cell r="Q420">
            <v>1</v>
          </cell>
          <cell r="R420" t="str">
            <v>1-770174-1</v>
          </cell>
          <cell r="S420" t="str">
            <v>TE CONNECTIVITY</v>
          </cell>
          <cell r="T420" t="str">
            <v>Master Electronics</v>
          </cell>
          <cell r="U420">
            <v>1.2390000000000001</v>
          </cell>
          <cell r="V420">
            <v>200</v>
          </cell>
          <cell r="W420">
            <v>0</v>
          </cell>
          <cell r="Y420" t="str">
            <v>Y</v>
          </cell>
          <cell r="Z420">
            <v>247.8</v>
          </cell>
          <cell r="AA420">
            <v>-41.915999999999997</v>
          </cell>
          <cell r="AB420" t="str">
            <v/>
          </cell>
          <cell r="AC420" t="str">
            <v>JH</v>
          </cell>
          <cell r="AD420">
            <v>1062721</v>
          </cell>
          <cell r="AE420" t="str">
            <v xml:space="preserve">POV0067121 </v>
          </cell>
          <cell r="AF420" t="str">
            <v>JH</v>
          </cell>
        </row>
        <row r="421">
          <cell r="A421" t="str">
            <v>621-095110-254</v>
          </cell>
          <cell r="B421" t="str">
            <v>POT TRIM,250K,25T,PCMT,ROHS</v>
          </cell>
          <cell r="C421" t="str">
            <v>POT</v>
          </cell>
          <cell r="D421">
            <v>15</v>
          </cell>
          <cell r="E421" t="str">
            <v>N/A</v>
          </cell>
          <cell r="F421" t="str">
            <v>10 Weeks</v>
          </cell>
          <cell r="G421">
            <v>200</v>
          </cell>
          <cell r="H421">
            <v>1.6789350000000001</v>
          </cell>
          <cell r="I421">
            <v>335.78700000000003</v>
          </cell>
          <cell r="J421">
            <v>2.0474817073170732</v>
          </cell>
          <cell r="K421">
            <v>73.70934146341466</v>
          </cell>
          <cell r="L421">
            <v>409.49634146341464</v>
          </cell>
          <cell r="O421"/>
          <cell r="Q421">
            <v>1</v>
          </cell>
          <cell r="R421" t="str">
            <v>3296W-1-254LF</v>
          </cell>
          <cell r="S421" t="str">
            <v>Bourns</v>
          </cell>
          <cell r="T421" t="str">
            <v>Master Electronics</v>
          </cell>
          <cell r="U421">
            <v>1.4610000000000001</v>
          </cell>
          <cell r="V421">
            <v>200</v>
          </cell>
          <cell r="W421">
            <v>0</v>
          </cell>
          <cell r="X421">
            <v>1</v>
          </cell>
          <cell r="Y421" t="str">
            <v>Y</v>
          </cell>
          <cell r="Z421">
            <v>292.2</v>
          </cell>
          <cell r="AA421">
            <v>43.587000000000046</v>
          </cell>
          <cell r="AB421">
            <v>0.28644051139561688</v>
          </cell>
          <cell r="AC421" t="str">
            <v>JH</v>
          </cell>
          <cell r="AD421">
            <v>1062721</v>
          </cell>
          <cell r="AE421" t="str">
            <v xml:space="preserve">POV0067121 </v>
          </cell>
          <cell r="AF421" t="str">
            <v>JH</v>
          </cell>
        </row>
        <row r="422">
          <cell r="A422" t="str">
            <v>670-006780-037</v>
          </cell>
          <cell r="B422" t="str">
            <v>FUSE .25x1.25 10A 250VAC,ROHS</v>
          </cell>
          <cell r="C422" t="str">
            <v>FUSE</v>
          </cell>
          <cell r="D422">
            <v>15</v>
          </cell>
          <cell r="E422">
            <v>1</v>
          </cell>
          <cell r="F422" t="str">
            <v>13 Weeks</v>
          </cell>
          <cell r="G422">
            <v>120</v>
          </cell>
          <cell r="H422">
            <v>3.9</v>
          </cell>
          <cell r="I422">
            <v>468</v>
          </cell>
          <cell r="J422">
            <v>4.7560975609756095</v>
          </cell>
          <cell r="K422">
            <v>102.73170731707319</v>
          </cell>
          <cell r="L422">
            <v>570.73170731707319</v>
          </cell>
          <cell r="M422" t="str">
            <v>CHINA</v>
          </cell>
          <cell r="N422" t="str">
            <v>8536100040</v>
          </cell>
          <cell r="O422">
            <v>0.35</v>
          </cell>
          <cell r="P422">
            <v>163.79999999999998</v>
          </cell>
          <cell r="Q422">
            <v>3</v>
          </cell>
          <cell r="R422">
            <v>314010</v>
          </cell>
          <cell r="S422" t="str">
            <v>Littelfuse</v>
          </cell>
          <cell r="T422" t="str">
            <v>Master Electronics</v>
          </cell>
          <cell r="U422">
            <v>0.66439999999999999</v>
          </cell>
          <cell r="V422">
            <v>120</v>
          </cell>
          <cell r="W422">
            <v>0</v>
          </cell>
          <cell r="X422">
            <v>1</v>
          </cell>
          <cell r="Y422" t="str">
            <v>Y</v>
          </cell>
          <cell r="Z422">
            <v>79.727999999999994</v>
          </cell>
          <cell r="AA422">
            <v>388.27199999999999</v>
          </cell>
          <cell r="AB422">
            <v>0.860305641025641</v>
          </cell>
          <cell r="AC422" t="str">
            <v>JH</v>
          </cell>
          <cell r="AD422">
            <v>1062721</v>
          </cell>
          <cell r="AE422" t="str">
            <v>POV0067126</v>
          </cell>
          <cell r="AF422" t="str">
            <v>JH</v>
          </cell>
        </row>
        <row r="423">
          <cell r="A423" t="str">
            <v>660-150506-015</v>
          </cell>
          <cell r="B423" t="str">
            <v>PS,CONV,DC/DC,8-42VIN,15VOUT,1A,ROHS</v>
          </cell>
          <cell r="C423" t="str">
            <v>PS</v>
          </cell>
          <cell r="D423">
            <v>15</v>
          </cell>
          <cell r="E423">
            <v>1</v>
          </cell>
          <cell r="F423" t="str">
            <v>12 Weeks</v>
          </cell>
          <cell r="G423">
            <v>100</v>
          </cell>
          <cell r="H423">
            <v>11.269698</v>
          </cell>
          <cell r="I423">
            <v>1126.9698000000001</v>
          </cell>
          <cell r="J423">
            <v>13.743534146341464</v>
          </cell>
          <cell r="K423">
            <v>247.3836146341464</v>
          </cell>
          <cell r="L423">
            <v>1374.3534146341465</v>
          </cell>
          <cell r="O423"/>
          <cell r="Q423">
            <v>2</v>
          </cell>
          <cell r="R423" t="str">
            <v>R-78C15-1.0</v>
          </cell>
          <cell r="S423" t="str">
            <v>RECOM</v>
          </cell>
          <cell r="T423" t="str">
            <v>Master Electronics</v>
          </cell>
          <cell r="U423">
            <v>8.84</v>
          </cell>
          <cell r="V423">
            <v>100</v>
          </cell>
          <cell r="W423">
            <v>0</v>
          </cell>
          <cell r="X423">
            <v>1</v>
          </cell>
          <cell r="Y423" t="str">
            <v>Y</v>
          </cell>
          <cell r="Z423">
            <v>884</v>
          </cell>
          <cell r="AA423">
            <v>242.96980000000008</v>
          </cell>
          <cell r="AB423">
            <v>0.35678844277814725</v>
          </cell>
          <cell r="AC423" t="str">
            <v>JH</v>
          </cell>
          <cell r="AD423">
            <v>1062721</v>
          </cell>
          <cell r="AE423" t="str">
            <v>POV0067126</v>
          </cell>
          <cell r="AF423" t="str">
            <v>JH</v>
          </cell>
        </row>
        <row r="424">
          <cell r="A424" t="str">
            <v>644-109029-001</v>
          </cell>
          <cell r="B424" t="str">
            <v>RLY,PHOTO MOS,FLAT PWR,4 PIN,2A,ROHS</v>
          </cell>
          <cell r="C424" t="str">
            <v>RLY</v>
          </cell>
          <cell r="D424">
            <v>25</v>
          </cell>
          <cell r="E424" t="str">
            <v>N/A</v>
          </cell>
          <cell r="F424" t="str">
            <v>3 Weeks</v>
          </cell>
          <cell r="G424">
            <v>100</v>
          </cell>
          <cell r="H424">
            <v>7.3612109999999999</v>
          </cell>
          <cell r="I424">
            <v>736.12109999999996</v>
          </cell>
          <cell r="J424">
            <v>8.9770865853658535</v>
          </cell>
          <cell r="K424">
            <v>161.58755853658545</v>
          </cell>
          <cell r="L424">
            <v>897.70865853658529</v>
          </cell>
          <cell r="O424"/>
          <cell r="Q424">
            <v>1</v>
          </cell>
          <cell r="R424" t="str">
            <v>AQY272AX</v>
          </cell>
          <cell r="S424" t="str">
            <v>PANASONIC INDUSTRIAL DEVICES</v>
          </cell>
          <cell r="T424" t="str">
            <v>Master Electronics</v>
          </cell>
          <cell r="U424">
            <v>5.55</v>
          </cell>
          <cell r="V424">
            <v>100</v>
          </cell>
          <cell r="W424">
            <v>0</v>
          </cell>
          <cell r="Y424" t="str">
            <v>Y</v>
          </cell>
          <cell r="Z424">
            <v>555</v>
          </cell>
          <cell r="AA424">
            <v>181.12109999999996</v>
          </cell>
          <cell r="AB424">
            <v>0.38175933280543106</v>
          </cell>
          <cell r="AC424" t="str">
            <v>JH</v>
          </cell>
          <cell r="AD424">
            <v>1062721</v>
          </cell>
          <cell r="AE424" t="str">
            <v xml:space="preserve">POV0067121 </v>
          </cell>
          <cell r="AF424" t="str">
            <v>JH</v>
          </cell>
        </row>
        <row r="425">
          <cell r="A425" t="str">
            <v>670-006780-032</v>
          </cell>
          <cell r="B425" t="str">
            <v>FUSE .25x1.25 4A 250VAC,ROHS</v>
          </cell>
          <cell r="C425" t="str">
            <v>FUSE</v>
          </cell>
          <cell r="D425">
            <v>15</v>
          </cell>
          <cell r="E425" t="str">
            <v>N/A</v>
          </cell>
          <cell r="F425" t="str">
            <v>20 Weeks</v>
          </cell>
          <cell r="G425">
            <v>100</v>
          </cell>
          <cell r="H425">
            <v>2.9044349999999999</v>
          </cell>
          <cell r="I425">
            <v>290.44349999999997</v>
          </cell>
          <cell r="J425">
            <v>3.5419939024390246</v>
          </cell>
          <cell r="K425">
            <v>63.755890243902456</v>
          </cell>
          <cell r="L425">
            <v>354.19939024390249</v>
          </cell>
          <cell r="O425"/>
          <cell r="Q425">
            <v>1</v>
          </cell>
          <cell r="R425" t="str">
            <v>BK/ABC-4-R</v>
          </cell>
          <cell r="S425" t="str">
            <v>Eaton</v>
          </cell>
          <cell r="T425" t="str">
            <v>Master Electronics</v>
          </cell>
          <cell r="U425">
            <v>2.0299999999999998</v>
          </cell>
          <cell r="V425">
            <v>100</v>
          </cell>
          <cell r="W425">
            <v>0</v>
          </cell>
          <cell r="X425">
            <v>1</v>
          </cell>
          <cell r="Y425" t="str">
            <v>Y</v>
          </cell>
          <cell r="Z425">
            <v>202.99999999999997</v>
          </cell>
          <cell r="AA425">
            <v>87.4435</v>
          </cell>
          <cell r="AB425">
            <v>0.42687648372230758</v>
          </cell>
          <cell r="AC425" t="str">
            <v>JH</v>
          </cell>
          <cell r="AD425">
            <v>1062721</v>
          </cell>
          <cell r="AE425" t="str">
            <v xml:space="preserve">POV0067121 </v>
          </cell>
          <cell r="AF425" t="str">
            <v>JH</v>
          </cell>
        </row>
        <row r="426">
          <cell r="A426" t="str">
            <v>34-357070-00</v>
          </cell>
          <cell r="B426" t="str">
            <v>RELAY,2 POLE,24V,INDUSTRIAL</v>
          </cell>
          <cell r="C426" t="str">
            <v>RLY</v>
          </cell>
          <cell r="D426">
            <v>15</v>
          </cell>
          <cell r="E426" t="str">
            <v>N/A</v>
          </cell>
          <cell r="F426" t="str">
            <v>18 Weeks</v>
          </cell>
          <cell r="G426">
            <v>100</v>
          </cell>
          <cell r="H426">
            <v>13.480499999999999</v>
          </cell>
          <cell r="I426">
            <v>1348.05</v>
          </cell>
          <cell r="J426">
            <v>16.439634146341465</v>
          </cell>
          <cell r="K426">
            <v>295.91341463414642</v>
          </cell>
          <cell r="L426">
            <v>1643.9634146341466</v>
          </cell>
          <cell r="M426" t="str">
            <v>CHINA</v>
          </cell>
          <cell r="N426">
            <v>8536410050</v>
          </cell>
          <cell r="O426">
            <v>0.35</v>
          </cell>
          <cell r="P426">
            <v>471.81749999999994</v>
          </cell>
          <cell r="Q426">
            <v>2</v>
          </cell>
          <cell r="R426" t="str">
            <v>6-1393144-8</v>
          </cell>
          <cell r="S426" t="str">
            <v>TE Connectivity</v>
          </cell>
          <cell r="T426" t="str">
            <v>Waldom</v>
          </cell>
          <cell r="U426">
            <v>11.84</v>
          </cell>
          <cell r="V426">
            <v>100</v>
          </cell>
          <cell r="W426">
            <v>0</v>
          </cell>
          <cell r="X426">
            <v>1</v>
          </cell>
          <cell r="Y426" t="str">
            <v>Y</v>
          </cell>
          <cell r="Z426">
            <v>1184</v>
          </cell>
          <cell r="AA426">
            <v>164.04999999999995</v>
          </cell>
          <cell r="AB426">
            <v>0.27978932532176115</v>
          </cell>
          <cell r="AC426" t="str">
            <v>JH</v>
          </cell>
          <cell r="AD426">
            <v>1062721</v>
          </cell>
          <cell r="AE426" t="str">
            <v>POV0067120</v>
          </cell>
          <cell r="AF426" t="str">
            <v>JH</v>
          </cell>
        </row>
        <row r="427">
          <cell r="A427" t="str">
            <v>667-335433-020</v>
          </cell>
          <cell r="B427" t="str">
            <v>CONN,SMD,IDC BOX HDR,2.54MM,20 CONT,500V</v>
          </cell>
          <cell r="C427" t="str">
            <v>CONN</v>
          </cell>
          <cell r="D427">
            <v>15</v>
          </cell>
          <cell r="E427">
            <v>1</v>
          </cell>
          <cell r="F427" t="str">
            <v>23 Weeks</v>
          </cell>
          <cell r="G427">
            <v>80</v>
          </cell>
          <cell r="H427">
            <v>0.72243199999999996</v>
          </cell>
          <cell r="I427">
            <v>57.794559999999997</v>
          </cell>
          <cell r="J427">
            <v>0.88101463414634151</v>
          </cell>
          <cell r="K427">
            <v>12.686610731707326</v>
          </cell>
          <cell r="L427">
            <v>70.481170731707323</v>
          </cell>
          <cell r="N427"/>
          <cell r="Q427">
            <v>1</v>
          </cell>
          <cell r="R427" t="str">
            <v>3020-20-0300-00</v>
          </cell>
          <cell r="S427" t="str">
            <v>CNC TECH LLC</v>
          </cell>
          <cell r="T427" t="str">
            <v>Master Electronics</v>
          </cell>
          <cell r="U427">
            <v>0.59499999999999997</v>
          </cell>
          <cell r="V427">
            <v>80</v>
          </cell>
          <cell r="W427">
            <v>0</v>
          </cell>
          <cell r="X427">
            <v>1</v>
          </cell>
          <cell r="Y427" t="str">
            <v>Y</v>
          </cell>
          <cell r="Z427">
            <v>47.599999999999994</v>
          </cell>
          <cell r="AA427">
            <v>10.194560000000003</v>
          </cell>
          <cell r="AB427">
            <v>0.32464231927710852</v>
          </cell>
          <cell r="AC427" t="str">
            <v>JH</v>
          </cell>
          <cell r="AD427">
            <v>1062721</v>
          </cell>
          <cell r="AE427" t="str">
            <v>POV0067126</v>
          </cell>
          <cell r="AF427" t="str">
            <v>JH</v>
          </cell>
        </row>
        <row r="428">
          <cell r="A428" t="str">
            <v>668-311384-009</v>
          </cell>
          <cell r="B428" t="str">
            <v>CONN,HDR,VERTICAL,4POS,NO BRD LCK</v>
          </cell>
          <cell r="C428" t="str">
            <v>CONN</v>
          </cell>
          <cell r="D428">
            <v>15</v>
          </cell>
          <cell r="E428">
            <v>1</v>
          </cell>
          <cell r="F428" t="str">
            <v>3 Weeks</v>
          </cell>
          <cell r="G428">
            <v>60</v>
          </cell>
          <cell r="H428">
            <v>1.997565</v>
          </cell>
          <cell r="I428">
            <v>119.8539</v>
          </cell>
          <cell r="J428">
            <v>2.4360548780487807</v>
          </cell>
          <cell r="K428">
            <v>26.309392682926827</v>
          </cell>
          <cell r="L428">
            <v>146.16329268292685</v>
          </cell>
          <cell r="O428"/>
          <cell r="Q428">
            <v>1</v>
          </cell>
          <cell r="R428">
            <v>1720420401</v>
          </cell>
          <cell r="S428" t="str">
            <v>MOLEX, LLC</v>
          </cell>
          <cell r="T428" t="str">
            <v>Waldom</v>
          </cell>
          <cell r="U428">
            <v>1.53</v>
          </cell>
          <cell r="V428">
            <v>60</v>
          </cell>
          <cell r="W428">
            <v>0</v>
          </cell>
          <cell r="Y428" t="str">
            <v>Y</v>
          </cell>
          <cell r="Z428">
            <v>91.8</v>
          </cell>
          <cell r="AA428">
            <v>28.053899999999999</v>
          </cell>
          <cell r="AB428">
            <v>0.37193533126581624</v>
          </cell>
          <cell r="AC428" t="str">
            <v>JH</v>
          </cell>
          <cell r="AD428">
            <v>1062721</v>
          </cell>
          <cell r="AE428" t="str">
            <v>POV0067120</v>
          </cell>
          <cell r="AF428" t="str">
            <v>JH</v>
          </cell>
        </row>
        <row r="429">
          <cell r="A429" t="str">
            <v>615-303725-084</v>
          </cell>
          <cell r="B429" t="str">
            <v>RES,SMD,3.57K,0.1%,1/16W,0402,ROHS</v>
          </cell>
          <cell r="C429" t="str">
            <v>RES</v>
          </cell>
          <cell r="D429">
            <v>25</v>
          </cell>
          <cell r="E429">
            <v>1</v>
          </cell>
          <cell r="F429" t="str">
            <v>21 Weeks</v>
          </cell>
          <cell r="G429">
            <v>10000</v>
          </cell>
          <cell r="H429">
            <v>4.1116E-2</v>
          </cell>
          <cell r="I429">
            <v>411.16</v>
          </cell>
          <cell r="J429">
            <v>5.0141463414634151E-2</v>
          </cell>
          <cell r="K429">
            <v>90.254634146341516</v>
          </cell>
          <cell r="L429">
            <v>501.41463414634148</v>
          </cell>
          <cell r="O429"/>
          <cell r="Q429">
            <v>2</v>
          </cell>
          <cell r="R429" t="str">
            <v>RT0402BRD073K57L</v>
          </cell>
          <cell r="S429" t="str">
            <v>Yageo</v>
          </cell>
          <cell r="T429" t="str">
            <v>Newark</v>
          </cell>
          <cell r="U429">
            <v>3.7999999999999999E-2</v>
          </cell>
          <cell r="V429">
            <v>10000</v>
          </cell>
          <cell r="W429">
            <v>0</v>
          </cell>
          <cell r="X429">
            <v>1</v>
          </cell>
          <cell r="Y429" t="str">
            <v>Y</v>
          </cell>
          <cell r="Z429">
            <v>380</v>
          </cell>
          <cell r="AA429">
            <v>31.160000000000025</v>
          </cell>
          <cell r="AB429">
            <v>0.24214417744916827</v>
          </cell>
          <cell r="AC429" t="str">
            <v>JH</v>
          </cell>
          <cell r="AD429">
            <v>1062721</v>
          </cell>
          <cell r="AE429" t="str">
            <v>POV0067146</v>
          </cell>
          <cell r="AF429" t="str">
            <v>JH</v>
          </cell>
        </row>
        <row r="430">
          <cell r="A430" t="str">
            <v>668-007385-011</v>
          </cell>
          <cell r="B430" t="str">
            <v>CONN,HDR,11POSN,1ROW,VERT,2.54MM PITCH</v>
          </cell>
          <cell r="C430" t="str">
            <v>CONN</v>
          </cell>
          <cell r="D430">
            <v>15</v>
          </cell>
          <cell r="E430">
            <v>1</v>
          </cell>
          <cell r="F430" t="str">
            <v>17 Weeks</v>
          </cell>
          <cell r="G430">
            <v>200</v>
          </cell>
          <cell r="H430">
            <v>0.96789999999999998</v>
          </cell>
          <cell r="I430">
            <v>193.57999999999998</v>
          </cell>
          <cell r="J430">
            <v>1.1803658536585366</v>
          </cell>
          <cell r="K430">
            <v>42.493170731707323</v>
          </cell>
          <cell r="L430">
            <v>236.07317073170734</v>
          </cell>
          <cell r="O430"/>
          <cell r="Q430">
            <v>3</v>
          </cell>
          <cell r="R430" t="str">
            <v>22-28-4110</v>
          </cell>
          <cell r="S430" t="str">
            <v>MOLEX, LLC</v>
          </cell>
          <cell r="T430" t="str">
            <v>Newark</v>
          </cell>
          <cell r="U430">
            <v>7.6999999999999999E-2</v>
          </cell>
          <cell r="V430">
            <v>200</v>
          </cell>
          <cell r="W430">
            <v>0</v>
          </cell>
          <cell r="X430">
            <v>1</v>
          </cell>
          <cell r="Y430" t="str">
            <v>Y</v>
          </cell>
          <cell r="Z430">
            <v>15.4</v>
          </cell>
          <cell r="AA430">
            <v>178.17999999999998</v>
          </cell>
          <cell r="AB430">
            <v>0.93476598822192369</v>
          </cell>
          <cell r="AC430" t="str">
            <v>JH</v>
          </cell>
          <cell r="AD430">
            <v>1062721</v>
          </cell>
          <cell r="AE430" t="str">
            <v>POV0067146</v>
          </cell>
          <cell r="AF430" t="str">
            <v>JH</v>
          </cell>
        </row>
        <row r="431">
          <cell r="A431" t="str">
            <v>668-335595-002</v>
          </cell>
          <cell r="B431" t="str">
            <v>CONN,RCPT,DSUB HD,15 POSN,2.5A,W/BD LOCK</v>
          </cell>
          <cell r="C431" t="str">
            <v>CONN</v>
          </cell>
          <cell r="D431">
            <v>15</v>
          </cell>
          <cell r="E431">
            <v>1</v>
          </cell>
          <cell r="F431" t="str">
            <v>13 Weeks</v>
          </cell>
          <cell r="G431">
            <v>270</v>
          </cell>
          <cell r="H431">
            <v>1.7892300000000001</v>
          </cell>
          <cell r="I431">
            <v>483.09210000000002</v>
          </cell>
          <cell r="J431">
            <v>2.181987804878049</v>
          </cell>
          <cell r="K431">
            <v>106.04460731707326</v>
          </cell>
          <cell r="L431">
            <v>589.13670731707327</v>
          </cell>
          <cell r="O431"/>
          <cell r="Q431">
            <v>1</v>
          </cell>
          <cell r="R431" t="str">
            <v>10090929-S154XLF</v>
          </cell>
          <cell r="S431" t="str">
            <v>AMPHENOL ICC</v>
          </cell>
          <cell r="T431" t="str">
            <v>Newark</v>
          </cell>
          <cell r="U431">
            <v>1.05</v>
          </cell>
          <cell r="V431">
            <v>270</v>
          </cell>
          <cell r="W431">
            <v>0</v>
          </cell>
          <cell r="X431">
            <v>1</v>
          </cell>
          <cell r="Y431" t="str">
            <v>Y</v>
          </cell>
          <cell r="Z431">
            <v>283.5</v>
          </cell>
          <cell r="AA431">
            <v>199.59210000000002</v>
          </cell>
          <cell r="AB431">
            <v>0.51878741134454498</v>
          </cell>
          <cell r="AC431" t="str">
            <v>JH</v>
          </cell>
          <cell r="AD431">
            <v>1062721</v>
          </cell>
          <cell r="AE431" t="str">
            <v>POV0067146</v>
          </cell>
          <cell r="AF431" t="str">
            <v>JH</v>
          </cell>
        </row>
        <row r="432">
          <cell r="A432" t="str">
            <v>28-145613-00</v>
          </cell>
          <cell r="B432" t="str">
            <v>RES,CARBON FILM,2.7K OHM,1/4W,+/-5%,250V</v>
          </cell>
          <cell r="C432" t="str">
            <v>RES</v>
          </cell>
          <cell r="D432">
            <v>15</v>
          </cell>
          <cell r="E432">
            <v>1</v>
          </cell>
          <cell r="F432" t="str">
            <v>19 Weeks</v>
          </cell>
          <cell r="G432">
            <v>500</v>
          </cell>
          <cell r="H432">
            <v>1.7156999999999999E-2</v>
          </cell>
          <cell r="I432">
            <v>8.5785</v>
          </cell>
          <cell r="J432">
            <v>2.0923170731707318E-2</v>
          </cell>
          <cell r="K432">
            <v>1.8830853658536597</v>
          </cell>
          <cell r="L432">
            <v>10.461585365853658</v>
          </cell>
          <cell r="M432" t="str">
            <v>CHINA</v>
          </cell>
          <cell r="N432" t="str">
            <v>8532240040</v>
          </cell>
          <cell r="O432">
            <v>0.35</v>
          </cell>
          <cell r="P432">
            <v>3.002475</v>
          </cell>
          <cell r="Q432">
            <v>1</v>
          </cell>
          <cell r="R432" t="str">
            <v>CFR-25JB-52-2K7</v>
          </cell>
          <cell r="S432" t="str">
            <v>YAGEO</v>
          </cell>
          <cell r="T432" t="str">
            <v>Newark</v>
          </cell>
          <cell r="U432">
            <v>0.01</v>
          </cell>
          <cell r="V432">
            <v>500</v>
          </cell>
          <cell r="W432">
            <v>0</v>
          </cell>
          <cell r="X432">
            <v>1</v>
          </cell>
          <cell r="Y432" t="str">
            <v>Y</v>
          </cell>
          <cell r="Z432">
            <v>5</v>
          </cell>
          <cell r="AA432">
            <v>3.5785</v>
          </cell>
          <cell r="AB432">
            <v>0.52206096636941179</v>
          </cell>
          <cell r="AC432" t="str">
            <v>JH</v>
          </cell>
          <cell r="AD432">
            <v>1062721</v>
          </cell>
          <cell r="AE432" t="str">
            <v>POV0067146</v>
          </cell>
          <cell r="AF432" t="str">
            <v>JH</v>
          </cell>
        </row>
        <row r="433">
          <cell r="A433" t="str">
            <v>690-072511-001</v>
          </cell>
          <cell r="B433" t="str">
            <v>FLTR,SMD,7MHZ ROHS</v>
          </cell>
          <cell r="C433" t="str">
            <v>FLTR</v>
          </cell>
          <cell r="D433">
            <v>30</v>
          </cell>
          <cell r="E433">
            <v>1</v>
          </cell>
          <cell r="F433" t="str">
            <v>19 Weeks</v>
          </cell>
          <cell r="G433">
            <v>2000</v>
          </cell>
          <cell r="H433">
            <v>0.194855</v>
          </cell>
          <cell r="I433">
            <v>389.71</v>
          </cell>
          <cell r="J433">
            <v>0.23762804878048782</v>
          </cell>
          <cell r="K433">
            <v>85.546097560975625</v>
          </cell>
          <cell r="L433">
            <v>475.25609756097566</v>
          </cell>
          <cell r="O433"/>
          <cell r="Q433">
            <v>1</v>
          </cell>
          <cell r="R433" t="str">
            <v>YFF31HC2A104MT000N</v>
          </cell>
          <cell r="S433" t="str">
            <v>TDK</v>
          </cell>
          <cell r="T433" t="str">
            <v>Newark</v>
          </cell>
          <cell r="U433">
            <v>0.14499999999999999</v>
          </cell>
          <cell r="V433">
            <v>2000</v>
          </cell>
          <cell r="W433">
            <v>0</v>
          </cell>
          <cell r="X433">
            <v>1</v>
          </cell>
          <cell r="Y433" t="str">
            <v>Y</v>
          </cell>
          <cell r="Z433">
            <v>290</v>
          </cell>
          <cell r="AA433">
            <v>99.70999999999998</v>
          </cell>
          <cell r="AB433">
            <v>0.38980267378306954</v>
          </cell>
          <cell r="AC433" t="str">
            <v>JH</v>
          </cell>
          <cell r="AD433">
            <v>1062721</v>
          </cell>
          <cell r="AE433" t="str">
            <v>POV0067146</v>
          </cell>
          <cell r="AF433" t="str">
            <v>JH</v>
          </cell>
        </row>
        <row r="434">
          <cell r="A434" t="str">
            <v>615-A79074-003</v>
          </cell>
          <cell r="B434" t="str">
            <v>RES,SMD,THK FILM,2.7KOHM,0.5%,1/4W,0805</v>
          </cell>
          <cell r="C434" t="str">
            <v>RES</v>
          </cell>
          <cell r="D434">
            <v>25</v>
          </cell>
          <cell r="E434">
            <v>1</v>
          </cell>
          <cell r="F434" t="str">
            <v>22 Weeks</v>
          </cell>
          <cell r="G434">
            <v>5000</v>
          </cell>
          <cell r="H434">
            <v>2.6960999999999999E-2</v>
          </cell>
          <cell r="I434">
            <v>134.80500000000001</v>
          </cell>
          <cell r="J434">
            <v>3.287926829268293E-2</v>
          </cell>
          <cell r="K434">
            <v>29.591341463414636</v>
          </cell>
          <cell r="L434">
            <v>164.39634146341464</v>
          </cell>
          <cell r="O434"/>
          <cell r="Q434">
            <v>1</v>
          </cell>
          <cell r="R434" t="str">
            <v>ERJ-PB6D2701V</v>
          </cell>
          <cell r="S434" t="str">
            <v>Panasonic</v>
          </cell>
          <cell r="T434" t="str">
            <v>Newark</v>
          </cell>
          <cell r="U434">
            <v>0.01</v>
          </cell>
          <cell r="V434">
            <v>5000</v>
          </cell>
          <cell r="W434">
            <v>0</v>
          </cell>
          <cell r="X434">
            <v>1</v>
          </cell>
          <cell r="Y434" t="str">
            <v>Y</v>
          </cell>
          <cell r="Z434">
            <v>50</v>
          </cell>
          <cell r="AA434">
            <v>84.805000000000007</v>
          </cell>
          <cell r="AB434">
            <v>0.69585697859871676</v>
          </cell>
          <cell r="AC434" t="str">
            <v>JH</v>
          </cell>
          <cell r="AD434">
            <v>1062721</v>
          </cell>
          <cell r="AE434" t="str">
            <v>POV0067146</v>
          </cell>
          <cell r="AF434" t="str">
            <v>JH</v>
          </cell>
        </row>
        <row r="435">
          <cell r="A435" t="str">
            <v>668-134704-015</v>
          </cell>
          <cell r="B435" t="str">
            <v>CONN,RCPT,D-SUB,15POSN,5A,W/BD LOCK</v>
          </cell>
          <cell r="C435" t="str">
            <v>CONN</v>
          </cell>
          <cell r="D435">
            <v>25</v>
          </cell>
          <cell r="E435">
            <v>1</v>
          </cell>
          <cell r="F435" t="str">
            <v>19 Weeks</v>
          </cell>
          <cell r="G435">
            <v>240</v>
          </cell>
          <cell r="H435">
            <v>2.316195</v>
          </cell>
          <cell r="I435">
            <v>555.88679999999999</v>
          </cell>
          <cell r="J435">
            <v>2.8246280487804878</v>
          </cell>
          <cell r="K435">
            <v>122.02393170731716</v>
          </cell>
          <cell r="L435">
            <v>677.91073170731704</v>
          </cell>
          <cell r="O435"/>
          <cell r="Q435">
            <v>1</v>
          </cell>
          <cell r="R435" t="str">
            <v>171-015-213R051</v>
          </cell>
          <cell r="S435" t="str">
            <v>NORCOMP</v>
          </cell>
          <cell r="T435" t="str">
            <v>Heilind</v>
          </cell>
          <cell r="U435">
            <v>1.9719</v>
          </cell>
          <cell r="V435">
            <v>240</v>
          </cell>
          <cell r="W435">
            <v>0</v>
          </cell>
          <cell r="X435">
            <v>17</v>
          </cell>
          <cell r="Y435" t="str">
            <v>Y</v>
          </cell>
          <cell r="Z435">
            <v>473.25599999999997</v>
          </cell>
          <cell r="AA435">
            <v>82.630800000000022</v>
          </cell>
          <cell r="AB435">
            <v>0.30189038487692099</v>
          </cell>
          <cell r="AC435" t="str">
            <v>JH</v>
          </cell>
          <cell r="AD435">
            <v>1062721</v>
          </cell>
          <cell r="AE435" t="str">
            <v>POV0067147</v>
          </cell>
          <cell r="AF435" t="str">
            <v>JH</v>
          </cell>
        </row>
        <row r="436">
          <cell r="A436" t="str">
            <v>615-A00422-237</v>
          </cell>
          <cell r="B436" t="str">
            <v>RES SMD 237 OHM 0.1% 1/16W 0402</v>
          </cell>
          <cell r="C436" t="str">
            <v>RES</v>
          </cell>
          <cell r="D436">
            <v>15</v>
          </cell>
          <cell r="E436">
            <v>1</v>
          </cell>
          <cell r="F436" t="str">
            <v>22 Weeks</v>
          </cell>
          <cell r="G436">
            <v>10000</v>
          </cell>
          <cell r="H436">
            <v>5.1471000000000003E-2</v>
          </cell>
          <cell r="I436">
            <v>514.71</v>
          </cell>
          <cell r="J436">
            <v>6.276951219512196E-2</v>
          </cell>
          <cell r="K436">
            <v>112.98512195121953</v>
          </cell>
          <cell r="L436">
            <v>627.69512195121956</v>
          </cell>
          <cell r="O436"/>
          <cell r="Q436">
            <v>2</v>
          </cell>
          <cell r="R436" t="str">
            <v>ERA-2AEB2370X</v>
          </cell>
          <cell r="S436" t="str">
            <v>Panasonic</v>
          </cell>
          <cell r="T436" t="str">
            <v>Digikey</v>
          </cell>
          <cell r="U436">
            <v>4.4909999999999999E-2</v>
          </cell>
          <cell r="V436">
            <v>10000</v>
          </cell>
          <cell r="W436">
            <v>0</v>
          </cell>
          <cell r="X436">
            <v>1</v>
          </cell>
          <cell r="Y436" t="str">
            <v>Y</v>
          </cell>
          <cell r="Z436">
            <v>449.09999999999997</v>
          </cell>
          <cell r="AA436">
            <v>65.61000000000007</v>
          </cell>
          <cell r="AB436">
            <v>0.28452526665500977</v>
          </cell>
          <cell r="AD436">
            <v>1062721</v>
          </cell>
          <cell r="AE436" t="str">
            <v>POV0067150</v>
          </cell>
          <cell r="AF436" t="str">
            <v>DM</v>
          </cell>
        </row>
        <row r="437">
          <cell r="A437" t="str">
            <v>615-A72231-005</v>
          </cell>
          <cell r="B437" t="str">
            <v>RES,SMD,CUR SNS,.05OHM,0.25%TOL,.5W,1206</v>
          </cell>
          <cell r="C437" t="str">
            <v>RES</v>
          </cell>
          <cell r="D437">
            <v>15</v>
          </cell>
          <cell r="E437">
            <v>1</v>
          </cell>
          <cell r="F437" t="str">
            <v>43 Weeks</v>
          </cell>
          <cell r="G437">
            <v>5000</v>
          </cell>
          <cell r="H437">
            <v>0.31014999999999998</v>
          </cell>
          <cell r="I437">
            <v>1550.75</v>
          </cell>
          <cell r="J437">
            <v>0.37823170731707317</v>
          </cell>
          <cell r="K437">
            <v>340.40853658536594</v>
          </cell>
          <cell r="L437">
            <v>1891.1585365853659</v>
          </cell>
          <cell r="O437"/>
          <cell r="Q437">
            <v>1</v>
          </cell>
          <cell r="R437" t="str">
            <v>LVK12R050CER</v>
          </cell>
          <cell r="S437" t="str">
            <v>Ohmite</v>
          </cell>
          <cell r="T437" t="str">
            <v>Digikey</v>
          </cell>
          <cell r="U437">
            <v>0.31850000000000001</v>
          </cell>
          <cell r="V437">
            <v>5000</v>
          </cell>
          <cell r="W437">
            <v>0</v>
          </cell>
          <cell r="Y437" t="str">
            <v>Y</v>
          </cell>
          <cell r="Z437">
            <v>1592.5</v>
          </cell>
          <cell r="AA437">
            <v>-41.75</v>
          </cell>
          <cell r="AB437" t="str">
            <v/>
          </cell>
          <cell r="AD437">
            <v>1062721</v>
          </cell>
          <cell r="AE437" t="str">
            <v>POV0067150</v>
          </cell>
          <cell r="AF437" t="str">
            <v>DM</v>
          </cell>
        </row>
        <row r="438">
          <cell r="A438" t="str">
            <v>615-B08503-001</v>
          </cell>
          <cell r="B438" t="str">
            <v>RES,SMD,THIN FILM,16.5OHM,0.1W,.1%,0402</v>
          </cell>
          <cell r="C438" t="str">
            <v>RES</v>
          </cell>
          <cell r="D438">
            <v>25</v>
          </cell>
          <cell r="E438">
            <v>1</v>
          </cell>
          <cell r="F438" t="str">
            <v>25 Weeks</v>
          </cell>
          <cell r="G438">
            <v>5000</v>
          </cell>
          <cell r="H438">
            <v>7.3529999999999998E-2</v>
          </cell>
          <cell r="I438">
            <v>367.65</v>
          </cell>
          <cell r="J438">
            <v>8.967073170731707E-2</v>
          </cell>
          <cell r="K438">
            <v>80.703658536585408</v>
          </cell>
          <cell r="L438">
            <v>448.35365853658533</v>
          </cell>
          <cell r="O438"/>
          <cell r="Q438">
            <v>1</v>
          </cell>
          <cell r="R438" t="str">
            <v>RP73PF1E16R5BTD</v>
          </cell>
          <cell r="S438" t="str">
            <v>TE Connectivity / Holsworthy</v>
          </cell>
          <cell r="T438" t="str">
            <v>Digikey</v>
          </cell>
          <cell r="U438">
            <v>0.10934000000000001</v>
          </cell>
          <cell r="V438">
            <v>5000</v>
          </cell>
          <cell r="W438">
            <v>0</v>
          </cell>
          <cell r="X438">
            <v>1</v>
          </cell>
          <cell r="Y438" t="str">
            <v>Y</v>
          </cell>
          <cell r="Z438">
            <v>546.70000000000005</v>
          </cell>
          <cell r="AA438">
            <v>-179.05000000000007</v>
          </cell>
          <cell r="AB438" t="str">
            <v/>
          </cell>
          <cell r="AD438">
            <v>1062721</v>
          </cell>
          <cell r="AE438" t="str">
            <v>POV0067150</v>
          </cell>
          <cell r="AF438" t="str">
            <v>DM</v>
          </cell>
        </row>
        <row r="439">
          <cell r="A439" t="str">
            <v>615-B02863-001</v>
          </cell>
          <cell r="B439" t="str">
            <v>RES,SMD,THIN FILM,4.99K,.01%,1/16W,0603</v>
          </cell>
          <cell r="C439" t="str">
            <v>RES</v>
          </cell>
          <cell r="D439">
            <v>15</v>
          </cell>
          <cell r="E439">
            <v>1</v>
          </cell>
          <cell r="F439" t="str">
            <v>31 Weeks</v>
          </cell>
          <cell r="G439">
            <v>5000</v>
          </cell>
          <cell r="H439">
            <v>0.68174999999999997</v>
          </cell>
          <cell r="I439">
            <v>3408.75</v>
          </cell>
          <cell r="J439">
            <v>0.83140243902439026</v>
          </cell>
          <cell r="K439">
            <v>748.26219512195166</v>
          </cell>
          <cell r="L439">
            <v>4157.0121951219517</v>
          </cell>
          <cell r="M439" t="str">
            <v>TAIWAN</v>
          </cell>
          <cell r="N439">
            <v>8533210030</v>
          </cell>
          <cell r="O439">
            <v>0.35</v>
          </cell>
          <cell r="P439">
            <v>1193.0625</v>
          </cell>
          <cell r="Q439">
            <v>1</v>
          </cell>
          <cell r="R439" t="str">
            <v>APC0603T4K99Z</v>
          </cell>
          <cell r="S439" t="str">
            <v>Ohmite</v>
          </cell>
          <cell r="T439" t="str">
            <v>Mouser / Digikey</v>
          </cell>
          <cell r="U439">
            <v>0.76400000000000001</v>
          </cell>
          <cell r="V439">
            <v>5000</v>
          </cell>
          <cell r="W439">
            <v>0</v>
          </cell>
          <cell r="Y439" t="str">
            <v>Y</v>
          </cell>
          <cell r="Z439">
            <v>3820</v>
          </cell>
          <cell r="AA439">
            <v>-411.25</v>
          </cell>
          <cell r="AB439" t="str">
            <v/>
          </cell>
          <cell r="AD439">
            <v>1062721</v>
          </cell>
          <cell r="AE439" t="str">
            <v>POV0067150 / POV0067198  - Mouser</v>
          </cell>
          <cell r="AF439" t="str">
            <v>DM / ES</v>
          </cell>
        </row>
        <row r="440">
          <cell r="A440" t="str">
            <v>648-224783-049</v>
          </cell>
          <cell r="B440" t="str">
            <v>CAP,SMD,0603,C0G,5%,25V,.01UF | CE!</v>
          </cell>
          <cell r="C440" t="str">
            <v>CAP</v>
          </cell>
          <cell r="D440">
            <v>60</v>
          </cell>
          <cell r="E440">
            <v>1</v>
          </cell>
          <cell r="F440" t="str">
            <v>3 Weeks</v>
          </cell>
          <cell r="G440">
            <v>4000</v>
          </cell>
          <cell r="H440">
            <v>2.6348250000000002</v>
          </cell>
          <cell r="I440">
            <v>10539.300000000001</v>
          </cell>
          <cell r="J440">
            <v>3.2132012195121957</v>
          </cell>
          <cell r="K440">
            <v>2313.5048780487814</v>
          </cell>
          <cell r="L440">
            <v>12852.804878048782</v>
          </cell>
          <cell r="O440"/>
          <cell r="Q440">
            <v>1</v>
          </cell>
          <cell r="R440" t="str">
            <v>C0603H103J3GAC7867</v>
          </cell>
          <cell r="S440" t="str">
            <v>Kemet</v>
          </cell>
          <cell r="T440" t="str">
            <v>Digikey</v>
          </cell>
          <cell r="U440">
            <v>2.6012599999999999</v>
          </cell>
          <cell r="V440">
            <v>4000</v>
          </cell>
          <cell r="W440">
            <v>0</v>
          </cell>
          <cell r="X440">
            <v>1</v>
          </cell>
          <cell r="Y440" t="str">
            <v>Y</v>
          </cell>
          <cell r="Z440">
            <v>10405.039999999999</v>
          </cell>
          <cell r="AA440">
            <v>134.26000000000204</v>
          </cell>
          <cell r="AB440">
            <v>0.19044596889736531</v>
          </cell>
          <cell r="AD440">
            <v>1062721</v>
          </cell>
          <cell r="AE440" t="str">
            <v>POV0067150</v>
          </cell>
          <cell r="AF440" t="str">
            <v>DM</v>
          </cell>
        </row>
        <row r="441">
          <cell r="A441" t="str">
            <v>668-A35830-002</v>
          </cell>
          <cell r="B441" t="str">
            <v>CONN,HDR,SHRD,TOPENTRY,2P,WHT,BD GDE,TH</v>
          </cell>
          <cell r="C441" t="str">
            <v>CONN</v>
          </cell>
          <cell r="D441">
            <v>25</v>
          </cell>
          <cell r="E441">
            <v>1</v>
          </cell>
          <cell r="F441" t="str">
            <v>19 Weeks</v>
          </cell>
          <cell r="G441">
            <v>4000</v>
          </cell>
          <cell r="H441">
            <v>7.1930599999999983E-2</v>
          </cell>
          <cell r="I441">
            <v>287.72239999999994</v>
          </cell>
          <cell r="J441">
            <v>8.7720243902439016E-2</v>
          </cell>
          <cell r="K441">
            <v>63.158575609756099</v>
          </cell>
          <cell r="L441">
            <v>350.88097560975604</v>
          </cell>
          <cell r="O441"/>
          <cell r="Q441">
            <v>1</v>
          </cell>
          <cell r="R441" t="str">
            <v>B2B-XH-AM(LF)(SN)</v>
          </cell>
          <cell r="S441" t="str">
            <v>J.S.T. MFG. CO.,LTD.</v>
          </cell>
          <cell r="T441" t="str">
            <v>Heilind</v>
          </cell>
          <cell r="U441">
            <v>4.6800000000000001E-2</v>
          </cell>
          <cell r="V441">
            <v>4000</v>
          </cell>
          <cell r="W441">
            <v>0</v>
          </cell>
          <cell r="X441">
            <v>1</v>
          </cell>
          <cell r="Y441" t="str">
            <v>Y</v>
          </cell>
          <cell r="Z441">
            <v>187.20000000000002</v>
          </cell>
          <cell r="AA441">
            <v>100.52239999999992</v>
          </cell>
          <cell r="AB441">
            <v>0.46648575154384908</v>
          </cell>
          <cell r="AC441" t="str">
            <v>JH</v>
          </cell>
          <cell r="AD441">
            <v>1062721</v>
          </cell>
          <cell r="AE441" t="str">
            <v>POV0067147</v>
          </cell>
          <cell r="AF441" t="str">
            <v>JH</v>
          </cell>
        </row>
        <row r="442">
          <cell r="A442" t="str">
            <v>667-A43906-010</v>
          </cell>
          <cell r="B442" t="str">
            <v>CONN,SMD,HDR,10PIN,1ROW,.8MM PITCH,RTANG</v>
          </cell>
          <cell r="C442" t="str">
            <v>CONN</v>
          </cell>
          <cell r="D442">
            <v>25</v>
          </cell>
          <cell r="E442">
            <v>1</v>
          </cell>
          <cell r="F442" t="str">
            <v>19 Weeks</v>
          </cell>
          <cell r="G442">
            <v>3500</v>
          </cell>
          <cell r="H442">
            <v>0.64397000000000004</v>
          </cell>
          <cell r="I442">
            <v>2253.895</v>
          </cell>
          <cell r="J442">
            <v>0.78532926829268301</v>
          </cell>
          <cell r="K442">
            <v>494.75743902439035</v>
          </cell>
          <cell r="L442">
            <v>2748.6524390243903</v>
          </cell>
          <cell r="O442"/>
          <cell r="Q442">
            <v>1</v>
          </cell>
          <cell r="R442" t="str">
            <v>SM10B-SURS-TF(LF)(SN)</v>
          </cell>
          <cell r="S442" t="str">
            <v>J.S.T. MFG. CO.,LTD.</v>
          </cell>
          <cell r="T442" t="str">
            <v>Digikey</v>
          </cell>
          <cell r="U442">
            <v>0.64397000000000004</v>
          </cell>
          <cell r="V442">
            <v>3500</v>
          </cell>
          <cell r="W442">
            <v>0</v>
          </cell>
          <cell r="X442">
            <v>1</v>
          </cell>
          <cell r="Y442" t="str">
            <v>Y</v>
          </cell>
          <cell r="Z442">
            <v>2253.895</v>
          </cell>
          <cell r="AA442">
            <v>0</v>
          </cell>
          <cell r="AB442" t="str">
            <v/>
          </cell>
          <cell r="AD442">
            <v>1062721</v>
          </cell>
          <cell r="AE442" t="str">
            <v>POV0067150</v>
          </cell>
          <cell r="AF442" t="str">
            <v>DM</v>
          </cell>
        </row>
        <row r="443">
          <cell r="A443" t="str">
            <v>682-A89056-001</v>
          </cell>
          <cell r="B443" t="str">
            <v>FUSE,SMD,FAST ACT,4A,125VAC,2410</v>
          </cell>
          <cell r="C443" t="str">
            <v>FUSE</v>
          </cell>
          <cell r="D443">
            <v>25</v>
          </cell>
          <cell r="E443">
            <v>1</v>
          </cell>
          <cell r="F443" t="str">
            <v>17 Weeks</v>
          </cell>
          <cell r="G443">
            <v>2000</v>
          </cell>
          <cell r="H443">
            <v>0.443631</v>
          </cell>
          <cell r="I443">
            <v>887.26199999999994</v>
          </cell>
          <cell r="J443">
            <v>0.54101341463414632</v>
          </cell>
          <cell r="K443">
            <v>194.76482926829271</v>
          </cell>
          <cell r="L443">
            <v>1082.0268292682927</v>
          </cell>
          <cell r="M443" t="str">
            <v>CHINA</v>
          </cell>
          <cell r="N443">
            <v>8536100040</v>
          </cell>
          <cell r="O443">
            <v>0.35</v>
          </cell>
          <cell r="P443">
            <v>310.54169999999993</v>
          </cell>
          <cell r="Q443">
            <v>1</v>
          </cell>
          <cell r="R443" t="str">
            <v>SF-2410FP400W-2</v>
          </cell>
          <cell r="S443" t="str">
            <v>Bourns</v>
          </cell>
          <cell r="T443" t="str">
            <v>Digikey/Mouser</v>
          </cell>
          <cell r="U443">
            <v>0.48814000000000002</v>
          </cell>
          <cell r="V443">
            <v>2000</v>
          </cell>
          <cell r="W443">
            <v>0</v>
          </cell>
          <cell r="X443">
            <v>1</v>
          </cell>
          <cell r="Y443" t="str">
            <v>Y</v>
          </cell>
          <cell r="Z443">
            <v>976.28000000000009</v>
          </cell>
          <cell r="AA443">
            <v>-89.018000000000143</v>
          </cell>
          <cell r="AB443" t="str">
            <v/>
          </cell>
          <cell r="AD443">
            <v>1062721</v>
          </cell>
          <cell r="AE443" t="str">
            <v>POV0067150 / POV0067198  - Mouser</v>
          </cell>
          <cell r="AF443" t="str">
            <v>DM / ES</v>
          </cell>
        </row>
        <row r="444">
          <cell r="A444" t="str">
            <v>667-B29149-016</v>
          </cell>
          <cell r="B444" t="str">
            <v>CONN,SMD,RCPT,16POSN,1ROW,.1IN PITCH</v>
          </cell>
          <cell r="C444" t="str">
            <v>CONN</v>
          </cell>
          <cell r="D444">
            <v>15</v>
          </cell>
          <cell r="E444">
            <v>1</v>
          </cell>
          <cell r="F444" t="str">
            <v>21 Weeks</v>
          </cell>
          <cell r="G444">
            <v>1008</v>
          </cell>
          <cell r="H444">
            <v>1.4044840000000001</v>
          </cell>
          <cell r="I444">
            <v>1415.7198720000001</v>
          </cell>
          <cell r="J444">
            <v>1.7127853658536587</v>
          </cell>
          <cell r="K444">
            <v>310.76777678048802</v>
          </cell>
          <cell r="L444">
            <v>1726.4876487804879</v>
          </cell>
          <cell r="O444"/>
          <cell r="Q444">
            <v>1</v>
          </cell>
          <cell r="R444" t="str">
            <v>91601-316LF</v>
          </cell>
          <cell r="S444" t="str">
            <v>AMPHENOL ICC</v>
          </cell>
          <cell r="T444" t="str">
            <v>Digikey</v>
          </cell>
          <cell r="U444">
            <v>1.4256200000000001</v>
          </cell>
          <cell r="V444">
            <v>1008</v>
          </cell>
          <cell r="W444">
            <v>0</v>
          </cell>
          <cell r="X444">
            <v>1</v>
          </cell>
          <cell r="Y444" t="str">
            <v>Y</v>
          </cell>
          <cell r="Z444">
            <v>1437.0249600000002</v>
          </cell>
          <cell r="AA444">
            <v>-21.305088000000069</v>
          </cell>
          <cell r="AB444" t="str">
            <v/>
          </cell>
          <cell r="AD444">
            <v>1062721</v>
          </cell>
          <cell r="AE444" t="str">
            <v>POV0067150</v>
          </cell>
          <cell r="AF444" t="str">
            <v>DM</v>
          </cell>
        </row>
        <row r="445">
          <cell r="A445" t="str">
            <v>615-224835-013</v>
          </cell>
          <cell r="B445" t="str">
            <v>RES,0603,THIN FILM,0.1%,25 PPM,0.15W,15K</v>
          </cell>
          <cell r="C445" t="str">
            <v>RES</v>
          </cell>
          <cell r="D445">
            <v>15</v>
          </cell>
          <cell r="E445">
            <v>1</v>
          </cell>
          <cell r="F445" t="str">
            <v>3 Weeks</v>
          </cell>
          <cell r="G445">
            <v>1000</v>
          </cell>
          <cell r="H445">
            <v>0.52206300000000005</v>
          </cell>
          <cell r="I445">
            <v>522.0630000000001</v>
          </cell>
          <cell r="J445">
            <v>0.63666219512195132</v>
          </cell>
          <cell r="K445">
            <v>114.59919512195131</v>
          </cell>
          <cell r="L445">
            <v>636.6621951219513</v>
          </cell>
          <cell r="O445"/>
          <cell r="Q445">
            <v>1</v>
          </cell>
          <cell r="R445" t="str">
            <v>PATT0603E1502BGT1</v>
          </cell>
          <cell r="S445" t="str">
            <v>Vishay</v>
          </cell>
          <cell r="T445" t="str">
            <v>Digikey</v>
          </cell>
          <cell r="U445">
            <v>0.53136000000000005</v>
          </cell>
          <cell r="V445">
            <v>1000</v>
          </cell>
          <cell r="W445">
            <v>0</v>
          </cell>
          <cell r="X445">
            <v>1</v>
          </cell>
          <cell r="Y445" t="str">
            <v>Y</v>
          </cell>
          <cell r="Z445">
            <v>531.36</v>
          </cell>
          <cell r="AA445">
            <v>-9.2969999999999118</v>
          </cell>
          <cell r="AB445" t="str">
            <v/>
          </cell>
          <cell r="AD445">
            <v>1062721</v>
          </cell>
          <cell r="AE445" t="str">
            <v>POV0067150</v>
          </cell>
          <cell r="AF445" t="str">
            <v>DM</v>
          </cell>
        </row>
        <row r="446">
          <cell r="A446" t="str">
            <v>723-095904-006</v>
          </cell>
          <cell r="B446" t="str">
            <v>SPACER,LED T1-3/4 2P 6MM</v>
          </cell>
          <cell r="C446" t="str">
            <v>SPCR</v>
          </cell>
          <cell r="D446">
            <v>15</v>
          </cell>
          <cell r="E446" t="str">
            <v>N/A</v>
          </cell>
          <cell r="F446" t="str">
            <v>7 Weeks</v>
          </cell>
          <cell r="G446">
            <v>1000</v>
          </cell>
          <cell r="H446">
            <v>6.3138E-2</v>
          </cell>
          <cell r="I446">
            <v>63.137999999999998</v>
          </cell>
          <cell r="J446">
            <v>7.6997560975609766E-2</v>
          </cell>
          <cell r="K446">
            <v>13.85956097560976</v>
          </cell>
          <cell r="L446">
            <v>76.997560975609773</v>
          </cell>
          <cell r="O446"/>
          <cell r="Q446">
            <v>1</v>
          </cell>
          <cell r="R446" t="str">
            <v>ELM1-6MM</v>
          </cell>
          <cell r="S446" t="str">
            <v>Bivar, Inc.</v>
          </cell>
          <cell r="T446" t="str">
            <v>Heilind</v>
          </cell>
          <cell r="U446">
            <v>3.9399999999999998E-2</v>
          </cell>
          <cell r="V446">
            <v>1000</v>
          </cell>
          <cell r="W446">
            <v>0</v>
          </cell>
          <cell r="Y446" t="str">
            <v>Y</v>
          </cell>
          <cell r="Z446">
            <v>39.4</v>
          </cell>
          <cell r="AA446">
            <v>23.738</v>
          </cell>
          <cell r="AB446">
            <v>0.48829547974278575</v>
          </cell>
          <cell r="AC446" t="str">
            <v>JH</v>
          </cell>
          <cell r="AD446">
            <v>1062721</v>
          </cell>
          <cell r="AE446" t="str">
            <v>POV0067147</v>
          </cell>
          <cell r="AF446" t="str">
            <v>JH</v>
          </cell>
        </row>
        <row r="447">
          <cell r="A447" t="str">
            <v>34-00131-00</v>
          </cell>
          <cell r="B447" t="str">
            <v>WASHER,INSUL,FIBRE</v>
          </cell>
          <cell r="C447" t="str">
            <v>WASHER</v>
          </cell>
          <cell r="D447">
            <v>25</v>
          </cell>
          <cell r="E447" t="str">
            <v>N/A</v>
          </cell>
          <cell r="F447" t="str">
            <v>3 Weeks</v>
          </cell>
          <cell r="G447">
            <v>1000</v>
          </cell>
          <cell r="H447">
            <v>2.8836000000000001E-2</v>
          </cell>
          <cell r="I447">
            <v>28.836000000000002</v>
          </cell>
          <cell r="J447">
            <v>3.516585365853659E-2</v>
          </cell>
          <cell r="K447">
            <v>6.3298536585365888</v>
          </cell>
          <cell r="L447">
            <v>35.165853658536591</v>
          </cell>
          <cell r="O447"/>
          <cell r="Q447">
            <v>1</v>
          </cell>
          <cell r="R447">
            <v>3116</v>
          </cell>
          <cell r="S447" t="str">
            <v>KEYSTONE ELECTRONICS</v>
          </cell>
          <cell r="T447" t="str">
            <v>Heilind</v>
          </cell>
          <cell r="U447">
            <v>2.18E-2</v>
          </cell>
          <cell r="V447">
            <v>1000</v>
          </cell>
          <cell r="W447">
            <v>0</v>
          </cell>
          <cell r="X447">
            <v>1</v>
          </cell>
          <cell r="Y447" t="str">
            <v>Y</v>
          </cell>
          <cell r="Z447">
            <v>21.8</v>
          </cell>
          <cell r="AA447">
            <v>7.0360000000000014</v>
          </cell>
          <cell r="AB447">
            <v>0.38008045498682208</v>
          </cell>
          <cell r="AC447" t="str">
            <v>JH</v>
          </cell>
          <cell r="AD447">
            <v>1062721</v>
          </cell>
          <cell r="AE447" t="str">
            <v>POV0067147</v>
          </cell>
          <cell r="AF447" t="str">
            <v>JH</v>
          </cell>
        </row>
        <row r="448">
          <cell r="A448" t="str">
            <v>668-129550-001</v>
          </cell>
          <cell r="B448" t="str">
            <v>CONN,RCPT,120P,TYPE C,VERT,3 X 40</v>
          </cell>
          <cell r="C448" t="str">
            <v>CONN</v>
          </cell>
          <cell r="D448">
            <v>15</v>
          </cell>
          <cell r="E448">
            <v>1</v>
          </cell>
          <cell r="F448" t="str">
            <v>14 Weeks</v>
          </cell>
          <cell r="G448">
            <v>600</v>
          </cell>
          <cell r="H448">
            <v>6.1053430000000004</v>
          </cell>
          <cell r="I448">
            <v>3663.2058000000002</v>
          </cell>
          <cell r="J448">
            <v>7.4455402439024398</v>
          </cell>
          <cell r="K448">
            <v>804.11834634146408</v>
          </cell>
          <cell r="L448">
            <v>4467.3241463414643</v>
          </cell>
          <cell r="M448" t="str">
            <v>CHINA</v>
          </cell>
          <cell r="N448">
            <v>8536694040</v>
          </cell>
          <cell r="O448">
            <v>0.35</v>
          </cell>
          <cell r="P448">
            <v>1282.12203</v>
          </cell>
          <cell r="Q448">
            <v>1</v>
          </cell>
          <cell r="R448" t="str">
            <v>5535097-5</v>
          </cell>
          <cell r="S448" t="str">
            <v>TE CONNECTIVITY</v>
          </cell>
          <cell r="T448" t="str">
            <v>Digikey</v>
          </cell>
          <cell r="U448">
            <v>4.5383300000000002</v>
          </cell>
          <cell r="V448">
            <v>570</v>
          </cell>
          <cell r="W448">
            <v>30</v>
          </cell>
          <cell r="X448">
            <v>1</v>
          </cell>
          <cell r="Y448" t="str">
            <v>Y</v>
          </cell>
          <cell r="Z448">
            <v>2586.8481000000002</v>
          </cell>
          <cell r="AA448">
            <v>893.19741000000022</v>
          </cell>
          <cell r="AB448">
            <v>0.39046330402730856</v>
          </cell>
          <cell r="AD448">
            <v>1062721</v>
          </cell>
          <cell r="AE448" t="str">
            <v>POV0067150</v>
          </cell>
          <cell r="AF448" t="str">
            <v>DM</v>
          </cell>
        </row>
        <row r="449">
          <cell r="A449" t="str">
            <v>668-005463-010</v>
          </cell>
          <cell r="B449" t="str">
            <v>HEADER,STRAIGHT,DOUBLE ROW,10C,ROHS</v>
          </cell>
          <cell r="C449" t="str">
            <v>HEADER</v>
          </cell>
          <cell r="D449">
            <v>15</v>
          </cell>
          <cell r="E449">
            <v>1</v>
          </cell>
          <cell r="F449" t="str">
            <v>13 Weeks</v>
          </cell>
          <cell r="G449">
            <v>400</v>
          </cell>
          <cell r="H449">
            <v>1.34805</v>
          </cell>
          <cell r="I449">
            <v>539.22</v>
          </cell>
          <cell r="J449">
            <v>1.6439634146341464</v>
          </cell>
          <cell r="K449">
            <v>118.36536585365855</v>
          </cell>
          <cell r="L449">
            <v>657.58536585365857</v>
          </cell>
          <cell r="O449"/>
          <cell r="Q449">
            <v>2</v>
          </cell>
          <cell r="R449" t="str">
            <v>67997-110HLF</v>
          </cell>
          <cell r="S449" t="str">
            <v>Amphenol FCI</v>
          </cell>
          <cell r="T449" t="str">
            <v>Heilind</v>
          </cell>
          <cell r="U449">
            <v>0.44929999999999998</v>
          </cell>
          <cell r="V449">
            <v>400</v>
          </cell>
          <cell r="W449">
            <v>0</v>
          </cell>
          <cell r="X449">
            <v>2</v>
          </cell>
          <cell r="Y449" t="str">
            <v>Y</v>
          </cell>
          <cell r="Z449">
            <v>179.72</v>
          </cell>
          <cell r="AA449">
            <v>359.5</v>
          </cell>
          <cell r="AB449">
            <v>0.72669708096880681</v>
          </cell>
          <cell r="AC449" t="str">
            <v>JH</v>
          </cell>
          <cell r="AD449">
            <v>1062721</v>
          </cell>
          <cell r="AE449" t="str">
            <v>POV0067147</v>
          </cell>
          <cell r="AF449" t="str">
            <v>JH</v>
          </cell>
        </row>
        <row r="450">
          <cell r="A450" t="str">
            <v>668-134704-009</v>
          </cell>
          <cell r="B450" t="str">
            <v>CONN,RCPT,D-SUB,9POSN,5A,W/BD LOCK</v>
          </cell>
          <cell r="C450" t="str">
            <v>CONN</v>
          </cell>
          <cell r="D450">
            <v>25</v>
          </cell>
          <cell r="E450">
            <v>1</v>
          </cell>
          <cell r="F450" t="str">
            <v>27 Weeks</v>
          </cell>
          <cell r="G450">
            <v>240</v>
          </cell>
          <cell r="H450">
            <v>1.796019</v>
          </cell>
          <cell r="I450">
            <v>431.04455999999999</v>
          </cell>
          <cell r="J450">
            <v>2.1902670731707317</v>
          </cell>
          <cell r="K450">
            <v>94.61953756097563</v>
          </cell>
          <cell r="L450">
            <v>525.66409756097562</v>
          </cell>
          <cell r="O450"/>
          <cell r="Q450">
            <v>1</v>
          </cell>
          <cell r="R450" t="str">
            <v>171-009-213R051</v>
          </cell>
          <cell r="S450" t="str">
            <v>NORCOMP</v>
          </cell>
          <cell r="T450" t="str">
            <v>Heilind</v>
          </cell>
          <cell r="U450">
            <v>1.3380000000000001</v>
          </cell>
          <cell r="V450">
            <v>240</v>
          </cell>
          <cell r="W450">
            <v>0</v>
          </cell>
          <cell r="Y450" t="str">
            <v>Y</v>
          </cell>
          <cell r="Z450">
            <v>321.12</v>
          </cell>
          <cell r="AA450">
            <v>109.92455999999999</v>
          </cell>
          <cell r="AB450">
            <v>0.38911559398870499</v>
          </cell>
          <cell r="AC450" t="str">
            <v>JH</v>
          </cell>
          <cell r="AD450">
            <v>1062721</v>
          </cell>
          <cell r="AE450" t="str">
            <v>POV0067147</v>
          </cell>
          <cell r="AF450" t="str">
            <v>JH</v>
          </cell>
        </row>
        <row r="451">
          <cell r="A451" t="str">
            <v>670-006780-024</v>
          </cell>
          <cell r="B451" t="str">
            <v>FUSE .25x1.25 1-1/2A 250VAC,ROHS</v>
          </cell>
          <cell r="C451" t="str">
            <v>FUSE</v>
          </cell>
          <cell r="D451">
            <v>15</v>
          </cell>
          <cell r="E451" t="str">
            <v>N/A</v>
          </cell>
          <cell r="F451" t="str">
            <v>20 Weeks</v>
          </cell>
          <cell r="G451">
            <v>200</v>
          </cell>
          <cell r="H451">
            <v>1.4460900000000001</v>
          </cell>
          <cell r="I451">
            <v>289.21800000000002</v>
          </cell>
          <cell r="J451">
            <v>1.7635243902439026</v>
          </cell>
          <cell r="K451">
            <v>63.486878048780511</v>
          </cell>
          <cell r="L451">
            <v>352.70487804878053</v>
          </cell>
          <cell r="O451"/>
          <cell r="Q451">
            <v>2</v>
          </cell>
          <cell r="R451" t="str">
            <v>31201.5P</v>
          </cell>
          <cell r="S451" t="str">
            <v>Littelfuse</v>
          </cell>
          <cell r="T451" t="str">
            <v>Digikey</v>
          </cell>
          <cell r="U451">
            <v>0.28470000000000001</v>
          </cell>
          <cell r="V451">
            <v>200</v>
          </cell>
          <cell r="W451">
            <v>0</v>
          </cell>
          <cell r="X451">
            <v>1</v>
          </cell>
          <cell r="Y451" t="str">
            <v>Y</v>
          </cell>
          <cell r="Z451">
            <v>56.940000000000005</v>
          </cell>
          <cell r="AA451">
            <v>232.27800000000002</v>
          </cell>
          <cell r="AB451">
            <v>0.83856191523349166</v>
          </cell>
          <cell r="AD451">
            <v>1062721</v>
          </cell>
          <cell r="AE451" t="str">
            <v xml:space="preserve">POV0067150 </v>
          </cell>
          <cell r="AF451" t="str">
            <v>DM</v>
          </cell>
        </row>
        <row r="452">
          <cell r="A452" t="str">
            <v>723-082900-011</v>
          </cell>
          <cell r="B452" t="str">
            <v>SPCR,NYL,LED,T-1 3/4,BI-LEAD,0.30 IN LG</v>
          </cell>
          <cell r="C452" t="str">
            <v>SPCR</v>
          </cell>
          <cell r="D452">
            <v>25</v>
          </cell>
          <cell r="E452" t="str">
            <v>N/A</v>
          </cell>
          <cell r="F452" t="str">
            <v>3 Weeks</v>
          </cell>
          <cell r="G452">
            <v>200</v>
          </cell>
          <cell r="H452">
            <v>0.17647199999999999</v>
          </cell>
          <cell r="I452">
            <v>35.294399999999996</v>
          </cell>
          <cell r="J452">
            <v>0.21520975609756099</v>
          </cell>
          <cell r="K452">
            <v>7.7475512195121965</v>
          </cell>
          <cell r="L452">
            <v>43.0419512195122</v>
          </cell>
          <cell r="O452"/>
          <cell r="Q452">
            <v>1</v>
          </cell>
          <cell r="R452">
            <v>8321</v>
          </cell>
          <cell r="S452" t="str">
            <v>KEYSTONE ELECTRONICS</v>
          </cell>
          <cell r="T452" t="str">
            <v>Digikey</v>
          </cell>
          <cell r="U452">
            <v>0.18099999999999999</v>
          </cell>
          <cell r="V452">
            <v>200</v>
          </cell>
          <cell r="W452">
            <v>0</v>
          </cell>
          <cell r="X452">
            <v>1</v>
          </cell>
          <cell r="Y452" t="str">
            <v>Y</v>
          </cell>
          <cell r="Z452">
            <v>36.199999999999996</v>
          </cell>
          <cell r="AA452">
            <v>-0.90559999999999974</v>
          </cell>
          <cell r="AB452" t="str">
            <v/>
          </cell>
          <cell r="AD452">
            <v>1062721</v>
          </cell>
          <cell r="AE452" t="str">
            <v>POV0067150</v>
          </cell>
          <cell r="AF452" t="str">
            <v>DM</v>
          </cell>
        </row>
        <row r="453">
          <cell r="A453" t="str">
            <v>668-339894-001</v>
          </cell>
          <cell r="B453" t="str">
            <v>CONN,COAX,SMA,RTANG,18GHZ,PCB MT, GOLD</v>
          </cell>
          <cell r="C453" t="str">
            <v>CONN</v>
          </cell>
          <cell r="D453">
            <v>25</v>
          </cell>
          <cell r="E453">
            <v>1</v>
          </cell>
          <cell r="F453" t="str">
            <v>12 Weeks</v>
          </cell>
          <cell r="G453">
            <v>200</v>
          </cell>
          <cell r="H453">
            <v>6.4980909999999996</v>
          </cell>
          <cell r="I453">
            <v>1299.6181999999999</v>
          </cell>
          <cell r="J453">
            <v>7.9245012195121953</v>
          </cell>
          <cell r="K453">
            <v>285.282043902439</v>
          </cell>
          <cell r="L453">
            <v>1584.9002439024391</v>
          </cell>
          <cell r="O453"/>
          <cell r="Q453">
            <v>1</v>
          </cell>
          <cell r="R453" t="str">
            <v>142-0701-501</v>
          </cell>
          <cell r="S453" t="str">
            <v>Bel</v>
          </cell>
          <cell r="T453" t="str">
            <v>Heilind</v>
          </cell>
          <cell r="U453">
            <v>4.3066700000000004</v>
          </cell>
          <cell r="V453">
            <v>200</v>
          </cell>
          <cell r="W453">
            <v>0</v>
          </cell>
          <cell r="Y453" t="str">
            <v>Y</v>
          </cell>
          <cell r="Z453">
            <v>861.33400000000006</v>
          </cell>
          <cell r="AA453">
            <v>438.28419999999983</v>
          </cell>
          <cell r="AB453">
            <v>0.45653740460082815</v>
          </cell>
          <cell r="AC453" t="str">
            <v>JH</v>
          </cell>
          <cell r="AD453">
            <v>1062721</v>
          </cell>
          <cell r="AE453" t="str">
            <v>POV0067147</v>
          </cell>
          <cell r="AF453" t="str">
            <v>JH</v>
          </cell>
        </row>
        <row r="454">
          <cell r="A454" t="str">
            <v>667-A56052-001</v>
          </cell>
          <cell r="B454" t="str">
            <v>CONN,SMD,FFC/FPC,4CKT,1A,125V,BOT,RTANG</v>
          </cell>
          <cell r="C454" t="str">
            <v>CONN</v>
          </cell>
          <cell r="D454">
            <v>25</v>
          </cell>
          <cell r="E454">
            <v>1</v>
          </cell>
          <cell r="F454" t="str">
            <v>3 Weeks</v>
          </cell>
          <cell r="G454">
            <v>100</v>
          </cell>
          <cell r="H454">
            <v>0.37426799999999999</v>
          </cell>
          <cell r="I454">
            <v>37.4268</v>
          </cell>
          <cell r="J454">
            <v>0.45642439024390247</v>
          </cell>
          <cell r="K454">
            <v>8.2156390243902493</v>
          </cell>
          <cell r="L454">
            <v>45.642439024390249</v>
          </cell>
          <cell r="O454"/>
          <cell r="Q454">
            <v>1</v>
          </cell>
          <cell r="R454">
            <v>2005280040</v>
          </cell>
          <cell r="S454" t="str">
            <v>MOLEX, LLC</v>
          </cell>
          <cell r="T454" t="str">
            <v>Digikey</v>
          </cell>
          <cell r="U454">
            <v>0.37990000000000002</v>
          </cell>
          <cell r="V454">
            <v>100</v>
          </cell>
          <cell r="W454">
            <v>0</v>
          </cell>
          <cell r="Y454" t="str">
            <v>Y</v>
          </cell>
          <cell r="Z454">
            <v>37.99</v>
          </cell>
          <cell r="AA454">
            <v>-0.56320000000000192</v>
          </cell>
          <cell r="AB454" t="str">
            <v/>
          </cell>
          <cell r="AD454">
            <v>1062721</v>
          </cell>
          <cell r="AE454" t="str">
            <v>POV0067150</v>
          </cell>
          <cell r="AF454" t="str">
            <v xml:space="preserve">DM </v>
          </cell>
        </row>
        <row r="455">
          <cell r="A455" t="str">
            <v>668-307551-026</v>
          </cell>
          <cell r="B455" t="str">
            <v>CONN,PLUG,D-SUB,PCB,26 PIN,RTANG,5A MAX</v>
          </cell>
          <cell r="C455" t="str">
            <v>CONN</v>
          </cell>
          <cell r="D455">
            <v>25</v>
          </cell>
          <cell r="E455">
            <v>1</v>
          </cell>
          <cell r="F455" t="str">
            <v>3 Weeks</v>
          </cell>
          <cell r="G455">
            <v>100</v>
          </cell>
          <cell r="H455">
            <v>18.716694</v>
          </cell>
          <cell r="I455">
            <v>1871.6694</v>
          </cell>
          <cell r="J455">
            <v>22.825236585365854</v>
          </cell>
          <cell r="K455">
            <v>410.85425853658558</v>
          </cell>
          <cell r="L455">
            <v>2282.5236585365856</v>
          </cell>
          <cell r="O455"/>
          <cell r="Q455">
            <v>1</v>
          </cell>
          <cell r="R455" t="str">
            <v>173113-0154</v>
          </cell>
          <cell r="S455" t="str">
            <v>MOLEX, LLC</v>
          </cell>
          <cell r="T455" t="str">
            <v>Digikey</v>
          </cell>
          <cell r="U455">
            <v>21.9846</v>
          </cell>
          <cell r="V455">
            <v>100</v>
          </cell>
          <cell r="W455">
            <v>0</v>
          </cell>
          <cell r="X455">
            <v>1</v>
          </cell>
          <cell r="Y455" t="str">
            <v>Y</v>
          </cell>
          <cell r="Z455">
            <v>2198.46</v>
          </cell>
          <cell r="AA455">
            <v>-326.79060000000004</v>
          </cell>
          <cell r="AB455" t="str">
            <v/>
          </cell>
          <cell r="AD455">
            <v>1062721</v>
          </cell>
          <cell r="AE455" t="str">
            <v>POV0067150</v>
          </cell>
          <cell r="AF455" t="str">
            <v>DM</v>
          </cell>
        </row>
        <row r="456">
          <cell r="A456" t="str">
            <v>685-B14998-001</v>
          </cell>
          <cell r="B456" t="str">
            <v>MDL,ELEC,RASPBERRY PI 4,MDL B,4GB,IOC</v>
          </cell>
          <cell r="C456" t="str">
            <v>MDL</v>
          </cell>
          <cell r="D456">
            <v>25</v>
          </cell>
          <cell r="E456"/>
          <cell r="F456" t="str">
            <v>3 Weeks</v>
          </cell>
          <cell r="G456">
            <v>100</v>
          </cell>
          <cell r="H456">
            <v>55</v>
          </cell>
          <cell r="I456">
            <v>5500</v>
          </cell>
          <cell r="J456">
            <v>67.073170731707322</v>
          </cell>
          <cell r="K456">
            <v>1207.3170731707323</v>
          </cell>
          <cell r="L456">
            <v>6707.3170731707323</v>
          </cell>
          <cell r="O456"/>
          <cell r="Q456">
            <v>1</v>
          </cell>
          <cell r="R456" t="str">
            <v>RPI4-MODBP-4GB</v>
          </cell>
          <cell r="S456" t="str">
            <v>RASPBERRY PI</v>
          </cell>
          <cell r="T456" t="str">
            <v>Newark</v>
          </cell>
          <cell r="U456">
            <v>55</v>
          </cell>
          <cell r="V456">
            <v>100</v>
          </cell>
          <cell r="W456">
            <v>0</v>
          </cell>
          <cell r="X456">
            <v>1</v>
          </cell>
          <cell r="Y456" t="str">
            <v>Y</v>
          </cell>
          <cell r="Z456">
            <v>5500</v>
          </cell>
          <cell r="AA456">
            <v>0</v>
          </cell>
          <cell r="AB456" t="str">
            <v/>
          </cell>
          <cell r="AC456" t="str">
            <v>JH</v>
          </cell>
          <cell r="AD456">
            <v>1062721</v>
          </cell>
          <cell r="AE456" t="str">
            <v>POV0067146</v>
          </cell>
          <cell r="AF456" t="str">
            <v>JH</v>
          </cell>
        </row>
        <row r="457">
          <cell r="A457" t="str">
            <v>618-B36870-500</v>
          </cell>
          <cell r="B457" t="str">
            <v>RES,THK FILM,50 OHM,5%,120W,SOT227</v>
          </cell>
          <cell r="C457" t="str">
            <v>RES</v>
          </cell>
          <cell r="D457">
            <v>45</v>
          </cell>
          <cell r="E457" t="str">
            <v>N/A</v>
          </cell>
          <cell r="F457" t="str">
            <v>20 Weeks</v>
          </cell>
          <cell r="G457">
            <v>90</v>
          </cell>
          <cell r="H457">
            <v>35.662050000000001</v>
          </cell>
          <cell r="I457">
            <v>3209.5844999999999</v>
          </cell>
          <cell r="J457">
            <v>43.490304878048782</v>
          </cell>
          <cell r="K457">
            <v>704.54293902439031</v>
          </cell>
          <cell r="L457">
            <v>3914.1274390243902</v>
          </cell>
          <cell r="O457"/>
          <cell r="Q457">
            <v>1</v>
          </cell>
          <cell r="R457" t="str">
            <v>TGHHV50R0JE</v>
          </cell>
          <cell r="S457" t="str">
            <v>Ohmite</v>
          </cell>
          <cell r="T457" t="str">
            <v>Digikey/Mouser</v>
          </cell>
          <cell r="U457">
            <v>36.700000000000003</v>
          </cell>
          <cell r="V457">
            <v>90</v>
          </cell>
          <cell r="W457">
            <v>0</v>
          </cell>
          <cell r="X457">
            <v>2</v>
          </cell>
          <cell r="Y457" t="str">
            <v>Y</v>
          </cell>
          <cell r="Z457">
            <v>3303.0000000000005</v>
          </cell>
          <cell r="AA457">
            <v>-93.41550000000052</v>
          </cell>
          <cell r="AB457" t="str">
            <v/>
          </cell>
          <cell r="AD457">
            <v>1062721</v>
          </cell>
          <cell r="AE457" t="str">
            <v>POV0067150 / POV0067198  - Mouser</v>
          </cell>
          <cell r="AF457" t="str">
            <v>DM / ES</v>
          </cell>
        </row>
        <row r="458">
          <cell r="A458" t="str">
            <v>668-342267-080</v>
          </cell>
          <cell r="B458" t="str">
            <v>CONN,RCPT,HSG,FFC,80POSN,0.5A,50V,PCB MT</v>
          </cell>
          <cell r="C458" t="str">
            <v>CONN</v>
          </cell>
          <cell r="D458">
            <v>15</v>
          </cell>
          <cell r="E458">
            <v>1</v>
          </cell>
          <cell r="F458" t="str">
            <v>3 Weeks</v>
          </cell>
          <cell r="G458">
            <v>60</v>
          </cell>
          <cell r="H458">
            <v>4.6948910000000001</v>
          </cell>
          <cell r="I458">
            <v>281.69346000000002</v>
          </cell>
          <cell r="J458">
            <v>5.7254768292682936</v>
          </cell>
          <cell r="K458">
            <v>61.835149756097564</v>
          </cell>
          <cell r="L458">
            <v>343.52860975609764</v>
          </cell>
          <cell r="O458"/>
          <cell r="Q458">
            <v>1</v>
          </cell>
          <cell r="R458" t="str">
            <v>501864-8090</v>
          </cell>
          <cell r="S458" t="str">
            <v>MOLEX, LLC</v>
          </cell>
          <cell r="T458" t="str">
            <v>Digikey</v>
          </cell>
          <cell r="U458">
            <v>4.76</v>
          </cell>
          <cell r="V458">
            <v>60</v>
          </cell>
          <cell r="W458">
            <v>0</v>
          </cell>
          <cell r="Y458" t="str">
            <v>Y</v>
          </cell>
          <cell r="Z458">
            <v>285.59999999999997</v>
          </cell>
          <cell r="AA458">
            <v>-3.9065399999999499</v>
          </cell>
          <cell r="AB458" t="str">
            <v/>
          </cell>
          <cell r="AD458">
            <v>1062721</v>
          </cell>
          <cell r="AE458" t="str">
            <v>POV0067150</v>
          </cell>
          <cell r="AF458" t="str">
            <v>DM</v>
          </cell>
        </row>
        <row r="459">
          <cell r="A459" t="str">
            <v>618-B36870-050</v>
          </cell>
          <cell r="B459" t="str">
            <v>RES,THK FILM,5 OHM,5%,120W,SOT227</v>
          </cell>
          <cell r="C459" t="str">
            <v>RES</v>
          </cell>
          <cell r="D459">
            <v>30</v>
          </cell>
          <cell r="E459" t="str">
            <v>N/A</v>
          </cell>
          <cell r="F459" t="str">
            <v>22 Weeks</v>
          </cell>
          <cell r="G459">
            <v>60</v>
          </cell>
          <cell r="H459">
            <v>28.304393000000001</v>
          </cell>
          <cell r="I459">
            <v>1698.26358</v>
          </cell>
          <cell r="J459">
            <v>34.517552439024392</v>
          </cell>
          <cell r="K459">
            <v>372.78956634146357</v>
          </cell>
          <cell r="L459">
            <v>2071.0531463414636</v>
          </cell>
          <cell r="O459"/>
          <cell r="Q459">
            <v>1</v>
          </cell>
          <cell r="R459" t="str">
            <v>TGHHV5R00JE</v>
          </cell>
          <cell r="S459" t="str">
            <v>Ohmite</v>
          </cell>
          <cell r="T459" t="str">
            <v>Digikey</v>
          </cell>
          <cell r="U459">
            <v>26.1418</v>
          </cell>
          <cell r="V459">
            <v>60</v>
          </cell>
          <cell r="W459">
            <v>0</v>
          </cell>
          <cell r="X459">
            <v>1</v>
          </cell>
          <cell r="Y459" t="str">
            <v>Y</v>
          </cell>
          <cell r="Z459">
            <v>1568.508</v>
          </cell>
          <cell r="AA459">
            <v>129.75558000000001</v>
          </cell>
          <cell r="AB459">
            <v>0.24265197985344544</v>
          </cell>
          <cell r="AD459">
            <v>1062721</v>
          </cell>
          <cell r="AE459" t="str">
            <v>POV0067150</v>
          </cell>
          <cell r="AF459" t="str">
            <v>DM</v>
          </cell>
        </row>
        <row r="460">
          <cell r="A460" t="str">
            <v>669-188510-001</v>
          </cell>
          <cell r="B460" t="str">
            <v>CONT,SKT,100POS,0.8MM,DUAL,SMD</v>
          </cell>
          <cell r="C460" t="str">
            <v>CONT</v>
          </cell>
          <cell r="D460">
            <v>25</v>
          </cell>
          <cell r="E460">
            <v>1</v>
          </cell>
          <cell r="F460" t="str">
            <v>3 Weeks</v>
          </cell>
          <cell r="G460">
            <v>50</v>
          </cell>
          <cell r="H460">
            <v>4.0738070000000004</v>
          </cell>
          <cell r="I460">
            <v>203.69035000000002</v>
          </cell>
          <cell r="J460">
            <v>4.9680573170731712</v>
          </cell>
          <cell r="K460">
            <v>44.712515853658545</v>
          </cell>
          <cell r="L460">
            <v>248.40286585365857</v>
          </cell>
          <cell r="O460"/>
          <cell r="Q460">
            <v>1</v>
          </cell>
          <cell r="R460" t="str">
            <v>61082-101400LF</v>
          </cell>
          <cell r="S460" t="str">
            <v>FCI</v>
          </cell>
          <cell r="T460" t="str">
            <v>Digikey</v>
          </cell>
          <cell r="U460">
            <v>2.645</v>
          </cell>
          <cell r="V460">
            <v>50</v>
          </cell>
          <cell r="W460">
            <v>0</v>
          </cell>
          <cell r="X460">
            <v>1</v>
          </cell>
          <cell r="Y460" t="str">
            <v>Y</v>
          </cell>
          <cell r="Z460">
            <v>132.25</v>
          </cell>
          <cell r="AA460">
            <v>71.440350000000024</v>
          </cell>
          <cell r="AB460">
            <v>0.46759873504071259</v>
          </cell>
          <cell r="AD460">
            <v>1062721</v>
          </cell>
          <cell r="AE460" t="str">
            <v>POV0067150</v>
          </cell>
          <cell r="AF460" t="str">
            <v>DM</v>
          </cell>
        </row>
        <row r="461">
          <cell r="A461" t="str">
            <v>668-133361-001</v>
          </cell>
          <cell r="B461" t="str">
            <v>CONN, PLUG HSG, DSUB 7W2, 30 A, ROHS</v>
          </cell>
          <cell r="C461" t="str">
            <v>CONN</v>
          </cell>
          <cell r="D461">
            <v>15</v>
          </cell>
          <cell r="E461" t="str">
            <v>N/A</v>
          </cell>
          <cell r="F461" t="str">
            <v>17 Weeks</v>
          </cell>
          <cell r="G461">
            <v>50</v>
          </cell>
          <cell r="H461">
            <v>22.716602999999999</v>
          </cell>
          <cell r="I461">
            <v>1135.83015</v>
          </cell>
          <cell r="J461">
            <v>27.703174390243902</v>
          </cell>
          <cell r="K461">
            <v>249.32856951219514</v>
          </cell>
          <cell r="L461">
            <v>1385.1587195121951</v>
          </cell>
          <cell r="O461"/>
          <cell r="Q461">
            <v>1</v>
          </cell>
          <cell r="R461" t="str">
            <v>CBD7W2M37S600X/AA</v>
          </cell>
          <cell r="S461" t="str">
            <v>POSITRONIC INDUSTRIES INC.</v>
          </cell>
          <cell r="T461" t="str">
            <v>Heilind</v>
          </cell>
          <cell r="U461">
            <v>10.383599999999999</v>
          </cell>
          <cell r="V461">
            <v>50</v>
          </cell>
          <cell r="W461">
            <v>0</v>
          </cell>
          <cell r="X461">
            <v>10</v>
          </cell>
          <cell r="Y461" t="str">
            <v>Y</v>
          </cell>
          <cell r="Z461">
            <v>519.17999999999995</v>
          </cell>
          <cell r="AA461">
            <v>616.65015000000005</v>
          </cell>
          <cell r="AB461">
            <v>0.62518374776369523</v>
          </cell>
          <cell r="AC461" t="str">
            <v>JH</v>
          </cell>
          <cell r="AD461">
            <v>1062721</v>
          </cell>
          <cell r="AE461" t="str">
            <v>POV0067147</v>
          </cell>
          <cell r="AF461" t="str">
            <v>JH</v>
          </cell>
        </row>
        <row r="462">
          <cell r="A462" t="str">
            <v>668-A29545-001</v>
          </cell>
          <cell r="B462" t="str">
            <v>CONN,RCPT,COMBO-D,7W2,SN PLD SHL,TH</v>
          </cell>
          <cell r="C462" t="str">
            <v>CONN</v>
          </cell>
          <cell r="D462">
            <v>15</v>
          </cell>
          <cell r="E462" t="str">
            <v>N/A</v>
          </cell>
          <cell r="F462" t="str">
            <v>8 Weeks</v>
          </cell>
          <cell r="G462">
            <v>30</v>
          </cell>
          <cell r="H462">
            <v>30.000240000000002</v>
          </cell>
          <cell r="I462">
            <v>900.00720000000001</v>
          </cell>
          <cell r="J462">
            <v>36.58565853658537</v>
          </cell>
          <cell r="K462">
            <v>197.56255609756113</v>
          </cell>
          <cell r="L462">
            <v>1097.5697560975611</v>
          </cell>
          <cell r="O462"/>
          <cell r="Q462">
            <v>1</v>
          </cell>
          <cell r="R462" t="str">
            <v>CBD7W2F37S00X/AA</v>
          </cell>
          <cell r="S462" t="str">
            <v>POSITRONIC</v>
          </cell>
          <cell r="T462" t="str">
            <v>Heilind</v>
          </cell>
          <cell r="U462">
            <v>13.746499999999999</v>
          </cell>
          <cell r="V462">
            <v>30</v>
          </cell>
          <cell r="W462">
            <v>0</v>
          </cell>
          <cell r="X462" t="str">
            <v>1-2 wks</v>
          </cell>
          <cell r="Y462" t="str">
            <v>Y</v>
          </cell>
          <cell r="Z462">
            <v>412.39499999999998</v>
          </cell>
          <cell r="AA462">
            <v>487.61220000000003</v>
          </cell>
          <cell r="AB462">
            <v>0.62426533921061966</v>
          </cell>
          <cell r="AC462" t="str">
            <v>JH</v>
          </cell>
          <cell r="AD462">
            <v>1062721</v>
          </cell>
          <cell r="AE462" t="str">
            <v>POV0067147</v>
          </cell>
          <cell r="AF462" t="str">
            <v>JH</v>
          </cell>
        </row>
        <row r="463">
          <cell r="A463" t="str">
            <v>39-193848-00</v>
          </cell>
          <cell r="B463" t="str">
            <v>CONN,COMBO-D,PLUG,3PIN,R/A,THROUGH HOLE</v>
          </cell>
          <cell r="C463" t="str">
            <v>CONN</v>
          </cell>
          <cell r="D463">
            <v>25</v>
          </cell>
          <cell r="E463" t="str">
            <v>N/A</v>
          </cell>
          <cell r="F463" t="str">
            <v>20 Weeks</v>
          </cell>
          <cell r="G463">
            <v>70</v>
          </cell>
          <cell r="H463">
            <v>41.44641</v>
          </cell>
          <cell r="I463">
            <v>2901.2487000000001</v>
          </cell>
          <cell r="J463">
            <v>50.544402439024395</v>
          </cell>
          <cell r="K463">
            <v>636.85947073170746</v>
          </cell>
          <cell r="L463">
            <v>3538.1081707317076</v>
          </cell>
          <cell r="O463"/>
          <cell r="Q463">
            <v>1</v>
          </cell>
          <cell r="R463" t="str">
            <v>DAMC3H3PJK87</v>
          </cell>
          <cell r="S463" t="str">
            <v>ITT CANNON</v>
          </cell>
          <cell r="T463" t="str">
            <v>PEI Genesis</v>
          </cell>
          <cell r="U463">
            <v>22.59</v>
          </cell>
          <cell r="V463">
            <v>70</v>
          </cell>
          <cell r="W463">
            <v>0</v>
          </cell>
          <cell r="X463">
            <v>2</v>
          </cell>
          <cell r="Y463" t="str">
            <v>Y</v>
          </cell>
          <cell r="Z463">
            <v>1581.3</v>
          </cell>
          <cell r="AA463">
            <v>1319.9487000000001</v>
          </cell>
          <cell r="AB463">
            <v>0.55306623661735732</v>
          </cell>
          <cell r="AD463">
            <v>1062721</v>
          </cell>
          <cell r="AE463" t="str">
            <v>POV0067157</v>
          </cell>
          <cell r="AF463" t="str">
            <v>Stephanie Hill</v>
          </cell>
        </row>
        <row r="464">
          <cell r="A464" t="str">
            <v>39-267683-00</v>
          </cell>
          <cell r="B464" t="str">
            <v>CONN,COMBO-D,7W2,FEM,PCB,STRT,NO JACKS</v>
          </cell>
          <cell r="C464" t="str">
            <v>CONN</v>
          </cell>
          <cell r="D464">
            <v>25</v>
          </cell>
          <cell r="E464" t="str">
            <v>N/A</v>
          </cell>
          <cell r="F464" t="str">
            <v>3 Weeks</v>
          </cell>
          <cell r="G464">
            <v>100</v>
          </cell>
          <cell r="H464">
            <v>21.83841</v>
          </cell>
          <cell r="I464">
            <v>2183.8409999999999</v>
          </cell>
          <cell r="J464">
            <v>26.632207317073171</v>
          </cell>
          <cell r="K464">
            <v>479.37973170731721</v>
          </cell>
          <cell r="L464">
            <v>2663.2207317073171</v>
          </cell>
          <cell r="O464"/>
          <cell r="Q464">
            <v>1</v>
          </cell>
          <cell r="R464" t="str">
            <v>DAMZ7H2SNA197</v>
          </cell>
          <cell r="S464" t="str">
            <v>ITT CANNON</v>
          </cell>
          <cell r="T464" t="str">
            <v>PEI Genesis</v>
          </cell>
          <cell r="U464">
            <v>13.65</v>
          </cell>
          <cell r="V464">
            <v>100</v>
          </cell>
          <cell r="W464">
            <v>0</v>
          </cell>
          <cell r="X464">
            <v>2</v>
          </cell>
          <cell r="Y464" t="str">
            <v>Y</v>
          </cell>
          <cell r="Z464">
            <v>1365</v>
          </cell>
          <cell r="AA464">
            <v>818.84099999999989</v>
          </cell>
          <cell r="AB464">
            <v>0.48746268615709665</v>
          </cell>
          <cell r="AD464">
            <v>1062721</v>
          </cell>
          <cell r="AE464" t="str">
            <v>POV0067157</v>
          </cell>
          <cell r="AF464" t="str">
            <v>Stephanie Hill</v>
          </cell>
        </row>
        <row r="465">
          <cell r="A465" t="str">
            <v>39-158111-00</v>
          </cell>
          <cell r="B465" t="str">
            <v>CONN,D-SUB,3M,PCB STRT,W/STOFF</v>
          </cell>
          <cell r="C465" t="str">
            <v>CONN</v>
          </cell>
          <cell r="D465">
            <v>15</v>
          </cell>
          <cell r="E465" t="str">
            <v>N/A</v>
          </cell>
          <cell r="F465" t="str">
            <v>20 Weeks</v>
          </cell>
          <cell r="G465">
            <v>60</v>
          </cell>
          <cell r="H465">
            <v>34.939005000000002</v>
          </cell>
          <cell r="I465">
            <v>2096.3403000000003</v>
          </cell>
          <cell r="J465">
            <v>42.608542682926831</v>
          </cell>
          <cell r="K465">
            <v>460.17226097560979</v>
          </cell>
          <cell r="L465">
            <v>2556.5125609756101</v>
          </cell>
          <cell r="O465"/>
          <cell r="Q465">
            <v>1</v>
          </cell>
          <cell r="R465" t="str">
            <v>DAMN3H3PNK87</v>
          </cell>
          <cell r="S465" t="str">
            <v>ITT CANNON</v>
          </cell>
          <cell r="T465" t="str">
            <v>PEI Genesis</v>
          </cell>
          <cell r="U465">
            <v>15.85</v>
          </cell>
          <cell r="V465">
            <v>60</v>
          </cell>
          <cell r="W465">
            <v>0</v>
          </cell>
          <cell r="X465">
            <v>2</v>
          </cell>
          <cell r="Y465" t="str">
            <v>Y</v>
          </cell>
          <cell r="Z465">
            <v>951</v>
          </cell>
          <cell r="AA465">
            <v>1145.3403000000003</v>
          </cell>
          <cell r="AB465">
            <v>0.62800886859829008</v>
          </cell>
          <cell r="AD465">
            <v>1062721</v>
          </cell>
          <cell r="AE465" t="str">
            <v>POV0067157</v>
          </cell>
          <cell r="AF465" t="str">
            <v>Stephanie Hill</v>
          </cell>
        </row>
        <row r="466">
          <cell r="A466" t="str">
            <v>39-130654-15</v>
          </cell>
          <cell r="B466" t="str">
            <v>CONN,DSUB,15M,PCB STRT,0.25"</v>
          </cell>
          <cell r="C466" t="str">
            <v>CONN</v>
          </cell>
          <cell r="D466">
            <v>15</v>
          </cell>
          <cell r="E466" t="str">
            <v>N/A</v>
          </cell>
          <cell r="F466" t="str">
            <v>3 Weeks</v>
          </cell>
          <cell r="G466">
            <v>30</v>
          </cell>
          <cell r="H466">
            <v>14.998894999999999</v>
          </cell>
          <cell r="I466">
            <v>449.96684999999997</v>
          </cell>
          <cell r="J466">
            <v>18.291335365853659</v>
          </cell>
          <cell r="K466">
            <v>98.773210975609743</v>
          </cell>
          <cell r="L466">
            <v>548.74006097560971</v>
          </cell>
          <cell r="O466"/>
          <cell r="Q466">
            <v>2</v>
          </cell>
          <cell r="R466" t="str">
            <v>DAMZ15PNK87</v>
          </cell>
          <cell r="S466" t="str">
            <v>ITT CANNON</v>
          </cell>
          <cell r="T466" t="str">
            <v>PEI Genesis</v>
          </cell>
          <cell r="U466">
            <v>13.6</v>
          </cell>
          <cell r="V466">
            <v>30</v>
          </cell>
          <cell r="W466">
            <v>0</v>
          </cell>
          <cell r="X466">
            <v>2</v>
          </cell>
          <cell r="Y466" t="str">
            <v>Y</v>
          </cell>
          <cell r="Z466">
            <v>408</v>
          </cell>
          <cell r="AA466">
            <v>41.966849999999965</v>
          </cell>
          <cell r="AB466">
            <v>0.25647856058729657</v>
          </cell>
          <cell r="AD466">
            <v>1062721</v>
          </cell>
          <cell r="AE466" t="str">
            <v>POV0067157</v>
          </cell>
          <cell r="AF466" t="str">
            <v>Stephanie Hill</v>
          </cell>
        </row>
        <row r="467">
          <cell r="A467" t="str">
            <v>29-409701-00</v>
          </cell>
          <cell r="B467" t="str">
            <v>CAP,CERAMIC,100NF,50V,5%,SMT,0603,X7R</v>
          </cell>
          <cell r="C467" t="str">
            <v>CAP</v>
          </cell>
          <cell r="D467">
            <v>15</v>
          </cell>
          <cell r="E467">
            <v>1</v>
          </cell>
          <cell r="F467" t="str">
            <v>19 Weeks</v>
          </cell>
          <cell r="G467">
            <v>4000</v>
          </cell>
          <cell r="H467">
            <v>2.5999999999999999E-2</v>
          </cell>
          <cell r="I467">
            <v>104</v>
          </cell>
          <cell r="J467">
            <v>3.1707317073170732E-2</v>
          </cell>
          <cell r="K467">
            <v>22.82926829268294</v>
          </cell>
          <cell r="L467">
            <v>126.82926829268293</v>
          </cell>
          <cell r="O467"/>
          <cell r="Q467">
            <v>1</v>
          </cell>
          <cell r="R467" t="str">
            <v>06035C104JAT2A</v>
          </cell>
          <cell r="S467" t="str">
            <v>KYOCERAAVX</v>
          </cell>
          <cell r="T467" t="str">
            <v>Future</v>
          </cell>
          <cell r="U467">
            <v>5.77E-3</v>
          </cell>
          <cell r="V467">
            <v>4000</v>
          </cell>
          <cell r="W467">
            <v>0</v>
          </cell>
          <cell r="Y467" t="str">
            <v>Y</v>
          </cell>
          <cell r="Z467">
            <v>23.08</v>
          </cell>
          <cell r="AA467">
            <v>80.92</v>
          </cell>
          <cell r="AB467">
            <v>0.81802307692307696</v>
          </cell>
          <cell r="AD467">
            <v>1062411</v>
          </cell>
          <cell r="AE467" t="str">
            <v>POV0067098</v>
          </cell>
          <cell r="AF467" t="str">
            <v>SH</v>
          </cell>
        </row>
        <row r="468">
          <cell r="A468" t="str">
            <v>668-097964-002</v>
          </cell>
          <cell r="B468" t="str">
            <v>CONN,HDR 2P R/A MINI M-N-L</v>
          </cell>
          <cell r="C468" t="str">
            <v>CONN</v>
          </cell>
          <cell r="D468">
            <v>15</v>
          </cell>
          <cell r="E468">
            <v>1</v>
          </cell>
          <cell r="F468" t="str">
            <v>23 Weeks</v>
          </cell>
          <cell r="G468">
            <v>500</v>
          </cell>
          <cell r="H468">
            <v>0.98040000000000005</v>
          </cell>
          <cell r="I468">
            <v>490.20000000000005</v>
          </cell>
          <cell r="J468">
            <v>1.1956097560975611</v>
          </cell>
          <cell r="K468">
            <v>107.60487804878051</v>
          </cell>
          <cell r="L468">
            <v>597.80487804878055</v>
          </cell>
          <cell r="O468"/>
          <cell r="Q468">
            <v>2</v>
          </cell>
          <cell r="R468" t="str">
            <v>1-770966-0</v>
          </cell>
          <cell r="S468" t="str">
            <v>Tyco</v>
          </cell>
          <cell r="T468" t="str">
            <v>Future</v>
          </cell>
          <cell r="U468">
            <v>0.67</v>
          </cell>
          <cell r="V468">
            <v>500</v>
          </cell>
          <cell r="W468">
            <v>0</v>
          </cell>
          <cell r="Y468" t="str">
            <v>Y</v>
          </cell>
          <cell r="Z468">
            <v>335</v>
          </cell>
          <cell r="AA468">
            <v>155.20000000000005</v>
          </cell>
          <cell r="AB468">
            <v>0.4396164830681355</v>
          </cell>
          <cell r="AD468">
            <v>1062411</v>
          </cell>
          <cell r="AE468" t="str">
            <v>POV0067098</v>
          </cell>
          <cell r="AF468" t="str">
            <v>SH</v>
          </cell>
        </row>
        <row r="469">
          <cell r="A469" t="str">
            <v>615-A00424-464</v>
          </cell>
          <cell r="B469" t="str">
            <v>RES,SMD,46.4KOHM,0.1%,1/16W,0402</v>
          </cell>
          <cell r="C469" t="str">
            <v>RES</v>
          </cell>
          <cell r="D469">
            <v>15</v>
          </cell>
          <cell r="E469">
            <v>1</v>
          </cell>
          <cell r="F469" t="str">
            <v>22 Weeks</v>
          </cell>
          <cell r="G469">
            <v>10000</v>
          </cell>
          <cell r="H469">
            <v>4.1116E-2</v>
          </cell>
          <cell r="I469">
            <v>411.16</v>
          </cell>
          <cell r="J469">
            <v>5.0139999999999997E-2</v>
          </cell>
          <cell r="K469">
            <v>90.254634146341516</v>
          </cell>
          <cell r="L469">
            <v>501.4</v>
          </cell>
          <cell r="O469"/>
          <cell r="Q469">
            <v>2</v>
          </cell>
          <cell r="R469" t="str">
            <v>RT0402BRD0746K4L</v>
          </cell>
          <cell r="S469" t="str">
            <v>Yageo</v>
          </cell>
          <cell r="T469" t="str">
            <v>Future</v>
          </cell>
          <cell r="U469">
            <v>1.7999999999999999E-2</v>
          </cell>
          <cell r="V469">
            <v>10000</v>
          </cell>
          <cell r="W469">
            <v>0</v>
          </cell>
          <cell r="X469" t="str">
            <v>Ship date 11/06/24</v>
          </cell>
          <cell r="Y469" t="str">
            <v>Y</v>
          </cell>
          <cell r="Z469">
            <v>180</v>
          </cell>
          <cell r="AA469">
            <v>231.16000000000003</v>
          </cell>
          <cell r="AB469">
            <v>0.64100518548065422</v>
          </cell>
          <cell r="AD469">
            <v>1062411</v>
          </cell>
          <cell r="AE469" t="str">
            <v>POV0067098</v>
          </cell>
          <cell r="AF469" t="str">
            <v>SH</v>
          </cell>
        </row>
        <row r="470">
          <cell r="A470" t="str">
            <v>669-238096-001</v>
          </cell>
          <cell r="B470" t="str">
            <v>CONT,SPR PROBE,20A,17.93MM OA LG</v>
          </cell>
          <cell r="C470" t="str">
            <v>CONT</v>
          </cell>
          <cell r="D470">
            <v>25</v>
          </cell>
          <cell r="E470">
            <v>1</v>
          </cell>
          <cell r="F470" t="str">
            <v>25 Weeks</v>
          </cell>
          <cell r="G470">
            <v>200</v>
          </cell>
          <cell r="H470">
            <v>4.5588600000000001</v>
          </cell>
          <cell r="I470">
            <v>911.77200000000005</v>
          </cell>
          <cell r="J470">
            <v>5.5595853658536587</v>
          </cell>
          <cell r="K470">
            <v>200.14507317073173</v>
          </cell>
          <cell r="L470">
            <v>1111.9170731707318</v>
          </cell>
          <cell r="O470"/>
          <cell r="Q470">
            <v>1</v>
          </cell>
          <cell r="R470" t="str">
            <v>101247-001</v>
          </cell>
          <cell r="S470" t="str">
            <v>SMITHS INTERCONNECT</v>
          </cell>
          <cell r="T470" t="str">
            <v>TTI</v>
          </cell>
          <cell r="U470">
            <v>3.54</v>
          </cell>
          <cell r="V470">
            <v>200</v>
          </cell>
          <cell r="W470">
            <v>0</v>
          </cell>
          <cell r="X470">
            <v>1</v>
          </cell>
          <cell r="Y470" t="str">
            <v>Y</v>
          </cell>
          <cell r="Z470">
            <v>708</v>
          </cell>
          <cell r="AA470">
            <v>203.77200000000005</v>
          </cell>
          <cell r="AB470">
            <v>0.36326186809860361</v>
          </cell>
          <cell r="AC470" t="str">
            <v>JH</v>
          </cell>
          <cell r="AD470">
            <v>1062721</v>
          </cell>
          <cell r="AE470" t="str">
            <v>POV0067129</v>
          </cell>
          <cell r="AF470" t="str">
            <v>Stephanie Hill</v>
          </cell>
        </row>
        <row r="471">
          <cell r="A471" t="str">
            <v>630-025511-001</v>
          </cell>
          <cell r="B471" t="str">
            <v>IC,SMD,74AC14,HEX INV,SOIC14</v>
          </cell>
          <cell r="C471" t="str">
            <v>IC</v>
          </cell>
          <cell r="D471">
            <v>25</v>
          </cell>
          <cell r="E471">
            <v>1</v>
          </cell>
          <cell r="F471" t="str">
            <v>17 Weeks</v>
          </cell>
          <cell r="G471">
            <v>2500</v>
          </cell>
          <cell r="H471">
            <v>0.209561</v>
          </cell>
          <cell r="I471">
            <v>523.90250000000003</v>
          </cell>
          <cell r="J471">
            <v>0.25556219512195122</v>
          </cell>
          <cell r="K471">
            <v>115.0029878048781</v>
          </cell>
          <cell r="L471">
            <v>638.90548780487802</v>
          </cell>
          <cell r="O471"/>
          <cell r="Q471">
            <v>2</v>
          </cell>
          <cell r="R471" t="str">
            <v>SN74AC14DR</v>
          </cell>
          <cell r="S471" t="str">
            <v>Texas Instruments</v>
          </cell>
          <cell r="T471" t="str">
            <v>TI Store</v>
          </cell>
          <cell r="U471">
            <v>0.10299999999999999</v>
          </cell>
          <cell r="V471">
            <v>2500</v>
          </cell>
          <cell r="W471">
            <v>0</v>
          </cell>
          <cell r="X471">
            <v>1</v>
          </cell>
          <cell r="Y471" t="str">
            <v>N</v>
          </cell>
          <cell r="Z471">
            <v>257.5</v>
          </cell>
          <cell r="AA471">
            <v>266.40250000000003</v>
          </cell>
          <cell r="AB471">
            <v>0.59696699290421407</v>
          </cell>
          <cell r="AC471" t="str">
            <v>JH</v>
          </cell>
          <cell r="AD471">
            <v>1062721</v>
          </cell>
          <cell r="AE471" t="str">
            <v>POV0067160</v>
          </cell>
          <cell r="AF471" t="str">
            <v>JH</v>
          </cell>
        </row>
        <row r="472">
          <cell r="A472" t="str">
            <v>615-A00422-100</v>
          </cell>
          <cell r="B472" t="str">
            <v>RES SMD 100 OHM 0.1% 1/16W 0402</v>
          </cell>
          <cell r="C472" t="str">
            <v>RES</v>
          </cell>
          <cell r="D472">
            <v>25</v>
          </cell>
          <cell r="E472">
            <v>1</v>
          </cell>
          <cell r="F472" t="str">
            <v>21 Weeks</v>
          </cell>
          <cell r="G472">
            <v>10000</v>
          </cell>
          <cell r="H472">
            <v>4.2255000000000001E-2</v>
          </cell>
          <cell r="I472">
            <v>422.55</v>
          </cell>
          <cell r="J472">
            <v>5.1530487804878053E-2</v>
          </cell>
          <cell r="K472">
            <v>92.75487804878054</v>
          </cell>
          <cell r="L472">
            <v>515.30487804878055</v>
          </cell>
          <cell r="O472"/>
          <cell r="Q472">
            <v>1</v>
          </cell>
          <cell r="R472" t="str">
            <v>ERA-2AEB101X</v>
          </cell>
          <cell r="S472" t="str">
            <v>Panasonic</v>
          </cell>
          <cell r="T472" t="str">
            <v>Future</v>
          </cell>
          <cell r="U472">
            <v>0.04</v>
          </cell>
          <cell r="V472">
            <v>10000</v>
          </cell>
          <cell r="W472">
            <v>0</v>
          </cell>
          <cell r="Y472" t="str">
            <v>Y</v>
          </cell>
          <cell r="Z472">
            <v>400</v>
          </cell>
          <cell r="AA472">
            <v>22.550000000000011</v>
          </cell>
          <cell r="AB472">
            <v>0.22376050171577333</v>
          </cell>
          <cell r="AD472">
            <v>1062411</v>
          </cell>
          <cell r="AE472" t="str">
            <v>POV0067098</v>
          </cell>
          <cell r="AF472" t="str">
            <v>SH</v>
          </cell>
        </row>
        <row r="473">
          <cell r="A473" t="str">
            <v>615-A00423-100</v>
          </cell>
          <cell r="B473" t="str">
            <v>RES SMD 1.00KOHM 0.1% 1/16W 0402</v>
          </cell>
          <cell r="C473" t="str">
            <v>RES</v>
          </cell>
          <cell r="D473">
            <v>25</v>
          </cell>
          <cell r="E473">
            <v>1</v>
          </cell>
          <cell r="F473" t="str">
            <v>23 Weeks</v>
          </cell>
          <cell r="G473">
            <v>10000</v>
          </cell>
          <cell r="H473">
            <v>4.2255000000000001E-2</v>
          </cell>
          <cell r="I473">
            <v>422.55</v>
          </cell>
          <cell r="J473">
            <v>5.1530487804878053E-2</v>
          </cell>
          <cell r="K473">
            <v>92.75487804878054</v>
          </cell>
          <cell r="L473">
            <v>515.30487804878055</v>
          </cell>
          <cell r="O473"/>
          <cell r="Q473">
            <v>2</v>
          </cell>
          <cell r="R473" t="str">
            <v>RT0402BRD071KL</v>
          </cell>
          <cell r="S473" t="str">
            <v>Yageo</v>
          </cell>
          <cell r="T473" t="str">
            <v>Future</v>
          </cell>
          <cell r="U473">
            <v>1.7999999999999999E-2</v>
          </cell>
          <cell r="V473">
            <v>10000</v>
          </cell>
          <cell r="W473">
            <v>0</v>
          </cell>
          <cell r="X473">
            <v>45467</v>
          </cell>
          <cell r="Y473" t="str">
            <v>Y</v>
          </cell>
          <cell r="Z473">
            <v>180</v>
          </cell>
          <cell r="AA473">
            <v>242.55</v>
          </cell>
          <cell r="AB473">
            <v>0.65069222577209795</v>
          </cell>
          <cell r="AD473">
            <v>1062411</v>
          </cell>
          <cell r="AE473" t="str">
            <v>POV0067098</v>
          </cell>
          <cell r="AF473" t="str">
            <v>SH</v>
          </cell>
        </row>
        <row r="474">
          <cell r="A474" t="str">
            <v>615-A00424-118</v>
          </cell>
          <cell r="B474" t="str">
            <v>RES,SMD,11.8KOHM,0.1%,1/16W,0402</v>
          </cell>
          <cell r="C474" t="str">
            <v>RES</v>
          </cell>
          <cell r="D474">
            <v>15</v>
          </cell>
          <cell r="E474">
            <v>1</v>
          </cell>
          <cell r="F474" t="str">
            <v>23 Weeks</v>
          </cell>
          <cell r="G474">
            <v>10000</v>
          </cell>
          <cell r="H474">
            <v>4.1116E-2</v>
          </cell>
          <cell r="I474">
            <v>411.16</v>
          </cell>
          <cell r="J474">
            <v>5.0141463414634151E-2</v>
          </cell>
          <cell r="K474">
            <v>90.254634146341516</v>
          </cell>
          <cell r="L474">
            <v>501.41463414634148</v>
          </cell>
          <cell r="O474"/>
          <cell r="Q474">
            <v>2</v>
          </cell>
          <cell r="R474" t="str">
            <v>ERA-2AEB1182X</v>
          </cell>
          <cell r="S474" t="str">
            <v>Panasonic</v>
          </cell>
          <cell r="T474" t="str">
            <v>TTI</v>
          </cell>
          <cell r="U474">
            <v>3.5000000000000003E-2</v>
          </cell>
          <cell r="V474">
            <v>10000</v>
          </cell>
          <cell r="W474">
            <v>0</v>
          </cell>
          <cell r="X474">
            <v>1</v>
          </cell>
          <cell r="Y474" t="str">
            <v>Y</v>
          </cell>
          <cell r="Z474">
            <v>350.00000000000006</v>
          </cell>
          <cell r="AA474">
            <v>61.159999999999968</v>
          </cell>
          <cell r="AB474">
            <v>0.30197490028212848</v>
          </cell>
          <cell r="AD474">
            <v>1062721</v>
          </cell>
          <cell r="AE474" t="str">
            <v>POV0067129</v>
          </cell>
          <cell r="AF474" t="str">
            <v>Stephanie Hill</v>
          </cell>
        </row>
        <row r="475">
          <cell r="A475" t="str">
            <v>615-A00423-226</v>
          </cell>
          <cell r="B475" t="str">
            <v>RES SMD 2.26KOHM 0.1% 1/16W 0402</v>
          </cell>
          <cell r="C475" t="str">
            <v>RES</v>
          </cell>
          <cell r="D475">
            <v>15</v>
          </cell>
          <cell r="E475">
            <v>1</v>
          </cell>
          <cell r="F475" t="str">
            <v>22 Weeks</v>
          </cell>
          <cell r="G475">
            <v>10000</v>
          </cell>
          <cell r="H475">
            <v>4.1116E-2</v>
          </cell>
          <cell r="I475">
            <v>411.16</v>
          </cell>
          <cell r="J475">
            <v>5.0141463414634151E-2</v>
          </cell>
          <cell r="K475">
            <v>90.254634146341516</v>
          </cell>
          <cell r="L475">
            <v>501.41463414634148</v>
          </cell>
          <cell r="O475"/>
          <cell r="Q475">
            <v>2</v>
          </cell>
          <cell r="R475" t="str">
            <v>ERA-2AEB2261X</v>
          </cell>
          <cell r="S475" t="str">
            <v>Panasonic</v>
          </cell>
          <cell r="T475" t="str">
            <v>TTI</v>
          </cell>
          <cell r="U475">
            <v>3.5000000000000003E-2</v>
          </cell>
          <cell r="V475">
            <v>10000</v>
          </cell>
          <cell r="W475">
            <v>0</v>
          </cell>
          <cell r="X475">
            <v>1</v>
          </cell>
          <cell r="Y475" t="str">
            <v>Y</v>
          </cell>
          <cell r="Z475">
            <v>350.00000000000006</v>
          </cell>
          <cell r="AA475">
            <v>61.159999999999968</v>
          </cell>
          <cell r="AB475">
            <v>0.30197490028212848</v>
          </cell>
          <cell r="AD475">
            <v>1062721</v>
          </cell>
          <cell r="AE475" t="str">
            <v>POV0067129</v>
          </cell>
          <cell r="AF475" t="str">
            <v>Stephanie Hill</v>
          </cell>
        </row>
        <row r="476">
          <cell r="A476" t="str">
            <v>615-A00422-160</v>
          </cell>
          <cell r="B476" t="str">
            <v>RES SMD 160 OHM 0.1% 1/16W 0402</v>
          </cell>
          <cell r="C476" t="str">
            <v>RES</v>
          </cell>
          <cell r="D476">
            <v>25</v>
          </cell>
          <cell r="E476">
            <v>1</v>
          </cell>
          <cell r="F476" t="str">
            <v>22 Weeks</v>
          </cell>
          <cell r="G476">
            <v>10000</v>
          </cell>
          <cell r="H476">
            <v>4.1116E-2</v>
          </cell>
          <cell r="I476">
            <v>411.16</v>
          </cell>
          <cell r="J476">
            <v>5.0141463414634151E-2</v>
          </cell>
          <cell r="K476">
            <v>90.254634146341516</v>
          </cell>
          <cell r="L476">
            <v>501.41463414634148</v>
          </cell>
          <cell r="O476"/>
          <cell r="Q476">
            <v>2</v>
          </cell>
          <cell r="R476" t="str">
            <v>ERA-2AEB161X</v>
          </cell>
          <cell r="S476" t="str">
            <v>Panasonic</v>
          </cell>
          <cell r="T476" t="str">
            <v>TTI</v>
          </cell>
          <cell r="U476">
            <v>3.4000000000000002E-2</v>
          </cell>
          <cell r="V476">
            <v>10000</v>
          </cell>
          <cell r="W476">
            <v>0</v>
          </cell>
          <cell r="X476">
            <v>1</v>
          </cell>
          <cell r="Y476" t="str">
            <v>Y</v>
          </cell>
          <cell r="Z476">
            <v>340</v>
          </cell>
          <cell r="AA476">
            <v>71.160000000000025</v>
          </cell>
          <cell r="AB476">
            <v>0.32191847455978206</v>
          </cell>
          <cell r="AD476">
            <v>1062721</v>
          </cell>
          <cell r="AE476" t="str">
            <v>POV0067129</v>
          </cell>
          <cell r="AF476" t="str">
            <v>Stephanie Hill</v>
          </cell>
        </row>
        <row r="477">
          <cell r="A477" t="str">
            <v>615-A00422-137</v>
          </cell>
          <cell r="B477" t="str">
            <v>RES,SMD,0402,137 OHM,0.1%,1/16W,ROHS</v>
          </cell>
          <cell r="C477" t="str">
            <v>RES</v>
          </cell>
          <cell r="D477">
            <v>25</v>
          </cell>
          <cell r="E477">
            <v>1</v>
          </cell>
          <cell r="F477" t="str">
            <v>21 Weeks</v>
          </cell>
          <cell r="G477">
            <v>10000</v>
          </cell>
          <cell r="H477">
            <v>4.1116E-2</v>
          </cell>
          <cell r="I477">
            <v>411.16</v>
          </cell>
          <cell r="J477">
            <v>5.0141463414634151E-2</v>
          </cell>
          <cell r="K477">
            <v>90.254634146341516</v>
          </cell>
          <cell r="L477">
            <v>501.41463414634148</v>
          </cell>
          <cell r="O477"/>
          <cell r="Q477">
            <v>1</v>
          </cell>
          <cell r="R477" t="str">
            <v>ERA-2AEB1370X</v>
          </cell>
          <cell r="S477" t="str">
            <v>Panasonic</v>
          </cell>
          <cell r="T477" t="str">
            <v>TTI</v>
          </cell>
          <cell r="U477">
            <v>3.4000000000000002E-2</v>
          </cell>
          <cell r="V477">
            <v>10000</v>
          </cell>
          <cell r="W477">
            <v>0</v>
          </cell>
          <cell r="X477">
            <v>1</v>
          </cell>
          <cell r="Y477" t="str">
            <v>Y</v>
          </cell>
          <cell r="Z477">
            <v>340</v>
          </cell>
          <cell r="AA477">
            <v>71.160000000000025</v>
          </cell>
          <cell r="AB477">
            <v>0.32191847455978206</v>
          </cell>
          <cell r="AD477">
            <v>1062721</v>
          </cell>
          <cell r="AE477" t="str">
            <v>POV0067129</v>
          </cell>
          <cell r="AF477" t="str">
            <v>Stephanie Hill</v>
          </cell>
        </row>
        <row r="478">
          <cell r="A478" t="str">
            <v>615-A00424-182</v>
          </cell>
          <cell r="B478" t="str">
            <v>RES,SMD,18.2KOHM,0.1%,1/16W,0402</v>
          </cell>
          <cell r="C478" t="str">
            <v>RES</v>
          </cell>
          <cell r="D478">
            <v>75</v>
          </cell>
          <cell r="E478">
            <v>1</v>
          </cell>
          <cell r="F478" t="str">
            <v>22 Weeks</v>
          </cell>
          <cell r="G478">
            <v>10000</v>
          </cell>
          <cell r="H478">
            <v>4.1116E-2</v>
          </cell>
          <cell r="I478">
            <v>411.16</v>
          </cell>
          <cell r="J478">
            <v>5.0141463414634151E-2</v>
          </cell>
          <cell r="K478">
            <v>90.254634146341516</v>
          </cell>
          <cell r="L478">
            <v>501.41463414634148</v>
          </cell>
          <cell r="O478"/>
          <cell r="Q478">
            <v>2</v>
          </cell>
          <cell r="R478" t="str">
            <v>RT0402BRD0718K2L</v>
          </cell>
          <cell r="S478" t="str">
            <v>Yageo</v>
          </cell>
          <cell r="T478" t="str">
            <v>TTI</v>
          </cell>
          <cell r="U478">
            <v>2.41E-2</v>
          </cell>
          <cell r="V478">
            <v>10000</v>
          </cell>
          <cell r="W478">
            <v>0</v>
          </cell>
          <cell r="X478">
            <v>1</v>
          </cell>
          <cell r="Y478" t="str">
            <v>Y</v>
          </cell>
          <cell r="Z478">
            <v>241</v>
          </cell>
          <cell r="AA478">
            <v>170.16000000000003</v>
          </cell>
          <cell r="AB478">
            <v>0.51935985990855138</v>
          </cell>
          <cell r="AC478" t="str">
            <v>JH</v>
          </cell>
          <cell r="AD478">
            <v>1062721</v>
          </cell>
          <cell r="AE478" t="str">
            <v>POV0067129</v>
          </cell>
          <cell r="AF478" t="str">
            <v>Stephanie Hill</v>
          </cell>
        </row>
        <row r="479">
          <cell r="A479" t="str">
            <v>615-A00423-133</v>
          </cell>
          <cell r="B479" t="str">
            <v>RES SMD 1.33KOHM 0.1% 1/16W 0402</v>
          </cell>
          <cell r="C479" t="str">
            <v>RES</v>
          </cell>
          <cell r="D479">
            <v>15</v>
          </cell>
          <cell r="E479">
            <v>1</v>
          </cell>
          <cell r="F479" t="str">
            <v>22 Weeks</v>
          </cell>
          <cell r="G479">
            <v>10000</v>
          </cell>
          <cell r="H479">
            <v>4.1116E-2</v>
          </cell>
          <cell r="I479">
            <v>411.16</v>
          </cell>
          <cell r="J479">
            <v>5.0141463414634151E-2</v>
          </cell>
          <cell r="K479">
            <v>90.254634146341516</v>
          </cell>
          <cell r="L479">
            <v>501.41463414634148</v>
          </cell>
          <cell r="O479"/>
          <cell r="Q479">
            <v>2</v>
          </cell>
          <cell r="R479" t="str">
            <v>RT0402BRD071K33L</v>
          </cell>
          <cell r="S479" t="str">
            <v>Yageo</v>
          </cell>
          <cell r="T479" t="str">
            <v>TTI</v>
          </cell>
          <cell r="U479">
            <v>2.41E-2</v>
          </cell>
          <cell r="V479">
            <v>10000</v>
          </cell>
          <cell r="W479">
            <v>0</v>
          </cell>
          <cell r="X479">
            <v>1</v>
          </cell>
          <cell r="Y479" t="str">
            <v>Y</v>
          </cell>
          <cell r="Z479">
            <v>241</v>
          </cell>
          <cell r="AA479">
            <v>170.16000000000003</v>
          </cell>
          <cell r="AB479">
            <v>0.51935985990855138</v>
          </cell>
          <cell r="AC479" t="str">
            <v>JH</v>
          </cell>
          <cell r="AD479">
            <v>1062721</v>
          </cell>
          <cell r="AE479" t="str">
            <v>POV0067129</v>
          </cell>
          <cell r="AF479" t="str">
            <v>Stephanie Hill</v>
          </cell>
        </row>
        <row r="480">
          <cell r="A480" t="str">
            <v>648-B08032-001</v>
          </cell>
          <cell r="B480" t="str">
            <v>CAP,SMD,CER,680PF,+/-1%,50V,C0G,0402</v>
          </cell>
          <cell r="C480" t="str">
            <v>CAP</v>
          </cell>
          <cell r="D480">
            <v>15</v>
          </cell>
          <cell r="E480">
            <v>1</v>
          </cell>
          <cell r="F480" t="str">
            <v>19 Weeks</v>
          </cell>
          <cell r="G480">
            <v>10000</v>
          </cell>
          <cell r="H480">
            <v>9.8040000000000002E-3</v>
          </cell>
          <cell r="I480">
            <v>98.04</v>
          </cell>
          <cell r="J480">
            <v>1.195609756097561E-2</v>
          </cell>
          <cell r="K480">
            <v>21.520975609756107</v>
          </cell>
          <cell r="L480">
            <v>119.5609756097561</v>
          </cell>
          <cell r="O480"/>
          <cell r="Q480">
            <v>1</v>
          </cell>
          <cell r="R480" t="str">
            <v>GCM1555C1H681FA16D</v>
          </cell>
          <cell r="S480" t="str">
            <v>Murata Electronics</v>
          </cell>
          <cell r="T480" t="str">
            <v>TTI</v>
          </cell>
          <cell r="U480">
            <v>8.9999999999999993E-3</v>
          </cell>
          <cell r="V480">
            <v>10000</v>
          </cell>
          <cell r="W480">
            <v>0</v>
          </cell>
          <cell r="X480">
            <v>1</v>
          </cell>
          <cell r="Y480" t="str">
            <v>Y</v>
          </cell>
          <cell r="Z480">
            <v>90</v>
          </cell>
          <cell r="AA480">
            <v>8.0400000000000063</v>
          </cell>
          <cell r="AB480">
            <v>0.24724602203182378</v>
          </cell>
          <cell r="AC480" t="str">
            <v>JH</v>
          </cell>
          <cell r="AD480">
            <v>1062721</v>
          </cell>
          <cell r="AE480" t="str">
            <v>POV0067129</v>
          </cell>
          <cell r="AF480" t="str">
            <v>Stephanie Hill</v>
          </cell>
        </row>
        <row r="481">
          <cell r="A481" t="str">
            <v>28-449032-00</v>
          </cell>
          <cell r="B481" t="str">
            <v>RES,CARBON FILM,4.7K OHM,1/4W,+/-5%,250V</v>
          </cell>
          <cell r="C481" t="str">
            <v>RES</v>
          </cell>
          <cell r="D481">
            <v>15</v>
          </cell>
          <cell r="E481">
            <v>1</v>
          </cell>
          <cell r="F481" t="str">
            <v>28 Weeks</v>
          </cell>
          <cell r="G481">
            <v>10000</v>
          </cell>
          <cell r="H481">
            <v>7.3530000000000002E-3</v>
          </cell>
          <cell r="I481">
            <v>73.53</v>
          </cell>
          <cell r="J481">
            <v>8.9670731707317073E-3</v>
          </cell>
          <cell r="K481">
            <v>16.140731707317073</v>
          </cell>
          <cell r="L481">
            <v>89.670731707317074</v>
          </cell>
          <cell r="M481" t="str">
            <v>CHINA</v>
          </cell>
          <cell r="N481" t="str">
            <v>8532240040</v>
          </cell>
          <cell r="O481">
            <v>0.35</v>
          </cell>
          <cell r="P481">
            <v>25.735499999999998</v>
          </cell>
          <cell r="Q481">
            <v>1</v>
          </cell>
          <cell r="R481" t="str">
            <v>CFR-25JB-52-4K7</v>
          </cell>
          <cell r="S481" t="str">
            <v>YAGEO</v>
          </cell>
          <cell r="T481" t="str">
            <v>TTI</v>
          </cell>
          <cell r="U481">
            <v>6.7299999999999999E-3</v>
          </cell>
          <cell r="V481">
            <v>10000</v>
          </cell>
          <cell r="W481">
            <v>0</v>
          </cell>
          <cell r="X481">
            <v>1</v>
          </cell>
          <cell r="Y481" t="str">
            <v>Y</v>
          </cell>
          <cell r="Z481">
            <v>67.3</v>
          </cell>
          <cell r="AA481">
            <v>6.230000000000004</v>
          </cell>
          <cell r="AB481">
            <v>0.24947640418876649</v>
          </cell>
          <cell r="AC481" t="str">
            <v>JH</v>
          </cell>
          <cell r="AD481">
            <v>1062721</v>
          </cell>
          <cell r="AE481" t="str">
            <v>POV0067129</v>
          </cell>
          <cell r="AF481" t="str">
            <v>Stephanie Hill</v>
          </cell>
        </row>
        <row r="482">
          <cell r="A482" t="str">
            <v>615-121726-042</v>
          </cell>
          <cell r="B482" t="str">
            <v>RES,SMD,1.2K,1/10W,1%,0402</v>
          </cell>
          <cell r="C482" t="str">
            <v>RES</v>
          </cell>
          <cell r="D482">
            <v>25</v>
          </cell>
          <cell r="E482">
            <v>1</v>
          </cell>
          <cell r="F482" t="str">
            <v>3 Weeks</v>
          </cell>
          <cell r="G482">
            <v>10000</v>
          </cell>
          <cell r="H482">
            <v>3.6770000000000001E-3</v>
          </cell>
          <cell r="I482">
            <v>36.770000000000003</v>
          </cell>
          <cell r="J482">
            <v>4.4841463414634153E-3</v>
          </cell>
          <cell r="K482">
            <v>8.0714634146341524</v>
          </cell>
          <cell r="L482">
            <v>44.841463414634156</v>
          </cell>
          <cell r="O482"/>
          <cell r="Q482">
            <v>3</v>
          </cell>
          <cell r="R482" t="str">
            <v>ERJ-2RKF1201X</v>
          </cell>
          <cell r="S482" t="str">
            <v>Panasonic</v>
          </cell>
          <cell r="T482" t="str">
            <v>Future</v>
          </cell>
          <cell r="U482">
            <v>2.9299999999999999E-3</v>
          </cell>
          <cell r="V482">
            <v>10000</v>
          </cell>
          <cell r="W482">
            <v>0</v>
          </cell>
          <cell r="Y482" t="str">
            <v>Y</v>
          </cell>
          <cell r="Z482">
            <v>29.299999999999997</v>
          </cell>
          <cell r="AA482">
            <v>7.470000000000006</v>
          </cell>
          <cell r="AB482">
            <v>0.346586891487626</v>
          </cell>
          <cell r="AD482">
            <v>1062411</v>
          </cell>
          <cell r="AE482" t="str">
            <v>POV0067098</v>
          </cell>
          <cell r="AF482" t="str">
            <v>SH</v>
          </cell>
        </row>
        <row r="483">
          <cell r="A483" t="str">
            <v>615-121726-033</v>
          </cell>
          <cell r="B483" t="str">
            <v>RES,SMD,33 OHM,1/10W,1%,0402</v>
          </cell>
          <cell r="C483" t="str">
            <v>RES</v>
          </cell>
          <cell r="D483">
            <v>40</v>
          </cell>
          <cell r="E483">
            <v>1</v>
          </cell>
          <cell r="F483" t="str">
            <v>9 Weeks</v>
          </cell>
          <cell r="G483">
            <v>10000</v>
          </cell>
          <cell r="H483">
            <v>3.6770000000000001E-3</v>
          </cell>
          <cell r="I483">
            <v>36.770000000000003</v>
          </cell>
          <cell r="J483">
            <v>4.4841463414634153E-3</v>
          </cell>
          <cell r="K483">
            <v>8.0714634146341524</v>
          </cell>
          <cell r="L483">
            <v>44.841463414634156</v>
          </cell>
          <cell r="O483"/>
          <cell r="Q483">
            <v>3</v>
          </cell>
          <cell r="R483" t="str">
            <v>ERJ-2RKF33R0X</v>
          </cell>
          <cell r="S483" t="str">
            <v>Panasonic</v>
          </cell>
          <cell r="T483" t="str">
            <v>Future</v>
          </cell>
          <cell r="U483">
            <v>3.0799999999999998E-3</v>
          </cell>
          <cell r="V483">
            <v>10000</v>
          </cell>
          <cell r="W483">
            <v>0</v>
          </cell>
          <cell r="Y483" t="str">
            <v>Y</v>
          </cell>
          <cell r="Z483">
            <v>30.799999999999997</v>
          </cell>
          <cell r="AA483">
            <v>5.970000000000006</v>
          </cell>
          <cell r="AB483">
            <v>0.31313570845798222</v>
          </cell>
          <cell r="AD483">
            <v>1062411</v>
          </cell>
          <cell r="AE483" t="str">
            <v>POV0067098</v>
          </cell>
          <cell r="AF483" t="str">
            <v>SH</v>
          </cell>
        </row>
        <row r="484">
          <cell r="A484" t="str">
            <v>615-121726-008</v>
          </cell>
          <cell r="B484" t="str">
            <v>RES,SMD,20 OHM,1/10W,1%,0402</v>
          </cell>
          <cell r="C484" t="str">
            <v>RES</v>
          </cell>
          <cell r="D484">
            <v>25</v>
          </cell>
          <cell r="E484">
            <v>1</v>
          </cell>
          <cell r="F484" t="str">
            <v>23 Weeks</v>
          </cell>
          <cell r="G484">
            <v>10000</v>
          </cell>
          <cell r="H484">
            <v>3.6770000000000001E-3</v>
          </cell>
          <cell r="I484">
            <v>36.770000000000003</v>
          </cell>
          <cell r="J484">
            <v>4.4841463414634153E-3</v>
          </cell>
          <cell r="K484">
            <v>8.0714634146341524</v>
          </cell>
          <cell r="L484">
            <v>44.841463414634156</v>
          </cell>
          <cell r="O484"/>
          <cell r="Q484">
            <v>3</v>
          </cell>
          <cell r="R484" t="str">
            <v>ERJ-2RKF20R0X</v>
          </cell>
          <cell r="S484" t="str">
            <v>Panasonic</v>
          </cell>
          <cell r="T484" t="str">
            <v>Future</v>
          </cell>
          <cell r="U484">
            <v>2.5699999999999998E-3</v>
          </cell>
          <cell r="V484">
            <v>10000</v>
          </cell>
          <cell r="W484">
            <v>0</v>
          </cell>
          <cell r="Y484" t="str">
            <v>Y</v>
          </cell>
          <cell r="Z484">
            <v>25.7</v>
          </cell>
          <cell r="AA484">
            <v>11.070000000000004</v>
          </cell>
          <cell r="AB484">
            <v>0.42686973075877088</v>
          </cell>
          <cell r="AD484">
            <v>1062411</v>
          </cell>
          <cell r="AE484" t="str">
            <v>POV0067098</v>
          </cell>
          <cell r="AF484" t="str">
            <v>SH</v>
          </cell>
        </row>
        <row r="485">
          <cell r="A485" t="str">
            <v>648-A42571-001</v>
          </cell>
          <cell r="B485" t="str">
            <v>CAP,SMD,CER,0.47UF,±10%,10VDC,X7R,0402</v>
          </cell>
          <cell r="C485" t="str">
            <v>CAP</v>
          </cell>
          <cell r="D485">
            <v>40</v>
          </cell>
          <cell r="E485">
            <v>1</v>
          </cell>
          <cell r="F485" t="str">
            <v>3 Weeks</v>
          </cell>
          <cell r="G485">
            <v>10000</v>
          </cell>
          <cell r="H485">
            <v>0.15143999999999999</v>
          </cell>
          <cell r="I485">
            <v>1514.3999999999999</v>
          </cell>
          <cell r="J485">
            <v>0.18468292682926829</v>
          </cell>
          <cell r="K485">
            <v>332.42926829268299</v>
          </cell>
          <cell r="L485">
            <v>1846.8292682926829</v>
          </cell>
          <cell r="O485"/>
          <cell r="Q485">
            <v>2</v>
          </cell>
          <cell r="R485" t="str">
            <v>GRM155R71A474KE01D</v>
          </cell>
          <cell r="S485" t="str">
            <v>Murata</v>
          </cell>
          <cell r="T485" t="str">
            <v>Future</v>
          </cell>
          <cell r="U485">
            <v>1.46E-2</v>
          </cell>
          <cell r="V485">
            <v>10000</v>
          </cell>
          <cell r="W485">
            <v>0</v>
          </cell>
          <cell r="X485">
            <v>45491</v>
          </cell>
          <cell r="Y485" t="str">
            <v>Y</v>
          </cell>
          <cell r="Z485">
            <v>146</v>
          </cell>
          <cell r="AA485">
            <v>1368.3999999999999</v>
          </cell>
          <cell r="AB485">
            <v>0.92094558901215007</v>
          </cell>
          <cell r="AD485">
            <v>1062411</v>
          </cell>
          <cell r="AE485" t="str">
            <v>POV0067098</v>
          </cell>
          <cell r="AF485" t="str">
            <v>SH</v>
          </cell>
        </row>
        <row r="486">
          <cell r="A486" t="str">
            <v>615-121726-216</v>
          </cell>
          <cell r="B486" t="str">
            <v>RES,SMD,60.4K OHM,1/10W,1%,0402</v>
          </cell>
          <cell r="C486" t="str">
            <v>RES</v>
          </cell>
          <cell r="D486">
            <v>25</v>
          </cell>
          <cell r="E486">
            <v>1</v>
          </cell>
          <cell r="F486" t="str">
            <v>23 Weeks</v>
          </cell>
          <cell r="G486">
            <v>10000</v>
          </cell>
          <cell r="H486">
            <v>3.6770000000000001E-3</v>
          </cell>
          <cell r="I486">
            <v>36.770000000000003</v>
          </cell>
          <cell r="J486">
            <v>4.4841463414634153E-3</v>
          </cell>
          <cell r="K486">
            <v>8.0714634146341524</v>
          </cell>
          <cell r="L486">
            <v>44.841463414634156</v>
          </cell>
          <cell r="O486"/>
          <cell r="Q486">
            <v>3</v>
          </cell>
          <cell r="R486" t="str">
            <v>ERJ-2RKF6042X</v>
          </cell>
          <cell r="S486" t="str">
            <v>Panasonic</v>
          </cell>
          <cell r="T486" t="str">
            <v>Future</v>
          </cell>
          <cell r="U486">
            <v>3.0799999999999998E-3</v>
          </cell>
          <cell r="V486">
            <v>10000</v>
          </cell>
          <cell r="W486">
            <v>0</v>
          </cell>
          <cell r="Y486" t="str">
            <v>Y</v>
          </cell>
          <cell r="Z486">
            <v>30.799999999999997</v>
          </cell>
          <cell r="AA486">
            <v>5.970000000000006</v>
          </cell>
          <cell r="AB486">
            <v>0.31313570845798222</v>
          </cell>
          <cell r="AD486">
            <v>1062411</v>
          </cell>
          <cell r="AE486" t="str">
            <v>POV0067098</v>
          </cell>
          <cell r="AF486" t="str">
            <v>SH</v>
          </cell>
        </row>
        <row r="487">
          <cell r="A487" t="str">
            <v>615-A00422-820</v>
          </cell>
          <cell r="B487" t="str">
            <v>RES SMD 820 OHM 0.1% 1/16W 0402</v>
          </cell>
          <cell r="C487" t="str">
            <v>RES</v>
          </cell>
          <cell r="D487">
            <v>25</v>
          </cell>
          <cell r="E487">
            <v>1</v>
          </cell>
          <cell r="F487" t="str">
            <v>27 Weeks</v>
          </cell>
          <cell r="G487">
            <v>10000</v>
          </cell>
          <cell r="H487">
            <v>4.1116E-2</v>
          </cell>
          <cell r="I487">
            <v>411.16</v>
          </cell>
          <cell r="J487">
            <v>5.0141463414634151E-2</v>
          </cell>
          <cell r="K487">
            <v>90.254634146341516</v>
          </cell>
          <cell r="L487">
            <v>501.41463414634148</v>
          </cell>
          <cell r="O487"/>
          <cell r="Q487">
            <v>2</v>
          </cell>
          <cell r="R487" t="str">
            <v>RT0402BRD07820RL</v>
          </cell>
          <cell r="S487" t="str">
            <v>Yageo</v>
          </cell>
          <cell r="T487" t="str">
            <v>Future</v>
          </cell>
          <cell r="U487">
            <v>1.7999999999999999E-2</v>
          </cell>
          <cell r="V487">
            <v>10000</v>
          </cell>
          <cell r="W487">
            <v>0</v>
          </cell>
          <cell r="Y487" t="str">
            <v>Y</v>
          </cell>
          <cell r="Z487">
            <v>180</v>
          </cell>
          <cell r="AA487">
            <v>231.16000000000003</v>
          </cell>
          <cell r="AB487">
            <v>0.64101566300223767</v>
          </cell>
          <cell r="AD487">
            <v>1062411</v>
          </cell>
          <cell r="AE487" t="str">
            <v>POV0067098</v>
          </cell>
          <cell r="AF487" t="str">
            <v>SH</v>
          </cell>
        </row>
        <row r="488">
          <cell r="A488" t="str">
            <v>615-162861-118</v>
          </cell>
          <cell r="B488" t="str">
            <v>RES,0805,TF,1/8W,0.1%,25PPM,499 ROHS</v>
          </cell>
          <cell r="C488" t="str">
            <v>RES</v>
          </cell>
          <cell r="D488">
            <v>15</v>
          </cell>
          <cell r="E488">
            <v>1</v>
          </cell>
          <cell r="F488" t="str">
            <v>21 Weeks</v>
          </cell>
          <cell r="G488">
            <v>5000</v>
          </cell>
          <cell r="H488">
            <v>5.0245999999999999E-2</v>
          </cell>
          <cell r="I488">
            <v>251.23</v>
          </cell>
          <cell r="J488">
            <v>6.1275609756097561E-2</v>
          </cell>
          <cell r="K488">
            <v>55.148048780487812</v>
          </cell>
          <cell r="L488">
            <v>306.3780487804878</v>
          </cell>
          <cell r="O488"/>
          <cell r="Q488">
            <v>2</v>
          </cell>
          <cell r="R488" t="str">
            <v>ERA-6AEB4990V</v>
          </cell>
          <cell r="S488" t="str">
            <v>Panasonic</v>
          </cell>
          <cell r="T488" t="str">
            <v>Future</v>
          </cell>
          <cell r="U488">
            <v>2.5499999999999998E-2</v>
          </cell>
          <cell r="V488">
            <v>5000</v>
          </cell>
          <cell r="W488">
            <v>0</v>
          </cell>
          <cell r="Y488" t="str">
            <v>Y</v>
          </cell>
          <cell r="Z488">
            <v>127.49999999999999</v>
          </cell>
          <cell r="AA488">
            <v>123.73</v>
          </cell>
          <cell r="AB488">
            <v>0.58384747044540863</v>
          </cell>
          <cell r="AD488">
            <v>1062411</v>
          </cell>
          <cell r="AE488" t="str">
            <v>POV0067098</v>
          </cell>
          <cell r="AF488" t="str">
            <v>SH</v>
          </cell>
        </row>
        <row r="489">
          <cell r="A489" t="str">
            <v>615-901301-487</v>
          </cell>
          <cell r="B489" t="str">
            <v>RES,SMD,0805,4.87K,1%,1/10W,ROHS</v>
          </cell>
          <cell r="C489" t="str">
            <v>RES</v>
          </cell>
          <cell r="D489">
            <v>25</v>
          </cell>
          <cell r="E489">
            <v>1</v>
          </cell>
          <cell r="F489" t="str">
            <v>23 Weeks</v>
          </cell>
          <cell r="G489">
            <v>5000</v>
          </cell>
          <cell r="H489">
            <v>7.3530000000000002E-3</v>
          </cell>
          <cell r="I489">
            <v>36.765000000000001</v>
          </cell>
          <cell r="J489">
            <v>8.9670731707317073E-3</v>
          </cell>
          <cell r="K489">
            <v>8.0703658536585365</v>
          </cell>
          <cell r="L489">
            <v>44.835365853658537</v>
          </cell>
          <cell r="O489"/>
          <cell r="Q489">
            <v>3</v>
          </cell>
          <cell r="R489" t="str">
            <v>RC0805FR-074K87L</v>
          </cell>
          <cell r="S489" t="str">
            <v>YAGEO</v>
          </cell>
          <cell r="T489" t="str">
            <v>Future</v>
          </cell>
          <cell r="U489">
            <v>1.7899999999999999E-3</v>
          </cell>
          <cell r="V489">
            <v>5000</v>
          </cell>
          <cell r="W489">
            <v>0</v>
          </cell>
          <cell r="Y489" t="str">
            <v>Y</v>
          </cell>
          <cell r="Z489">
            <v>8.9499999999999993</v>
          </cell>
          <cell r="AA489">
            <v>27.815000000000001</v>
          </cell>
          <cell r="AB489">
            <v>0.80038079695362441</v>
          </cell>
          <cell r="AD489">
            <v>1062411</v>
          </cell>
          <cell r="AE489" t="str">
            <v>POV0067098</v>
          </cell>
          <cell r="AF489" t="str">
            <v>SH</v>
          </cell>
        </row>
        <row r="490">
          <cell r="A490" t="str">
            <v>615-179931-004</v>
          </cell>
          <cell r="B490" t="str">
            <v>RES,SMD,THK FILM,100K OHM,1%,1/4W,1206</v>
          </cell>
          <cell r="C490" t="str">
            <v>RES</v>
          </cell>
          <cell r="D490">
            <v>25</v>
          </cell>
          <cell r="E490">
            <v>1</v>
          </cell>
          <cell r="F490" t="str">
            <v>15 Weeks</v>
          </cell>
          <cell r="G490">
            <v>5000</v>
          </cell>
          <cell r="H490">
            <v>8.5789999999999998E-3</v>
          </cell>
          <cell r="I490">
            <v>42.894999999999996</v>
          </cell>
          <cell r="J490">
            <v>1.046219512195122E-2</v>
          </cell>
          <cell r="K490">
            <v>9.4159756097561029</v>
          </cell>
          <cell r="L490">
            <v>52.310975609756099</v>
          </cell>
          <cell r="O490"/>
          <cell r="Q490">
            <v>3</v>
          </cell>
          <cell r="R490" t="str">
            <v>RC1206FR-07100KL</v>
          </cell>
          <cell r="S490" t="str">
            <v>YAGEO</v>
          </cell>
          <cell r="T490" t="str">
            <v>Future</v>
          </cell>
          <cell r="U490">
            <v>3.0899999999999999E-3</v>
          </cell>
          <cell r="V490">
            <v>5000</v>
          </cell>
          <cell r="W490">
            <v>0</v>
          </cell>
          <cell r="Y490" t="str">
            <v>Y</v>
          </cell>
          <cell r="Z490">
            <v>15.45</v>
          </cell>
          <cell r="AA490">
            <v>27.444999999999997</v>
          </cell>
          <cell r="AB490">
            <v>0.70465089171232087</v>
          </cell>
          <cell r="AD490">
            <v>1062411</v>
          </cell>
          <cell r="AE490" t="str">
            <v>POV0067098</v>
          </cell>
          <cell r="AF490" t="str">
            <v>SH</v>
          </cell>
        </row>
        <row r="491">
          <cell r="A491" t="str">
            <v>615-049171-249</v>
          </cell>
          <cell r="B491" t="str">
            <v>RES,SMD,0805,24.9K OHMS,0.1%,ROHS</v>
          </cell>
          <cell r="C491" t="str">
            <v>RES</v>
          </cell>
          <cell r="D491">
            <v>25</v>
          </cell>
          <cell r="E491">
            <v>1</v>
          </cell>
          <cell r="F491" t="str">
            <v>17 Weeks</v>
          </cell>
          <cell r="G491">
            <v>5000</v>
          </cell>
          <cell r="H491">
            <v>0.164217</v>
          </cell>
          <cell r="I491">
            <v>821.08500000000004</v>
          </cell>
          <cell r="J491">
            <v>0.20026463414634149</v>
          </cell>
          <cell r="K491">
            <v>180.23817073170744</v>
          </cell>
          <cell r="L491">
            <v>1001.3231707317075</v>
          </cell>
          <cell r="O491"/>
          <cell r="Q491">
            <v>2</v>
          </cell>
          <cell r="R491" t="str">
            <v>TNPW080524K9BEEA</v>
          </cell>
          <cell r="S491" t="str">
            <v>Vishay / Dale</v>
          </cell>
          <cell r="T491" t="str">
            <v>TTI</v>
          </cell>
          <cell r="U491">
            <v>0.12</v>
          </cell>
          <cell r="V491">
            <v>5000</v>
          </cell>
          <cell r="W491">
            <v>0</v>
          </cell>
          <cell r="X491">
            <v>1</v>
          </cell>
          <cell r="Y491" t="str">
            <v>Y</v>
          </cell>
          <cell r="Z491">
            <v>600</v>
          </cell>
          <cell r="AA491">
            <v>221.08500000000004</v>
          </cell>
          <cell r="AB491">
            <v>0.40079285335866577</v>
          </cell>
          <cell r="AD491">
            <v>1062721</v>
          </cell>
          <cell r="AE491" t="str">
            <v>POV0067129</v>
          </cell>
          <cell r="AF491" t="str">
            <v>Stephanie Hill</v>
          </cell>
        </row>
        <row r="492">
          <cell r="A492" t="str">
            <v>615-162861-275</v>
          </cell>
          <cell r="B492" t="str">
            <v>RES,0805,TF,1/8W,0.1%,25PPM,12K ROHS</v>
          </cell>
          <cell r="C492" t="str">
            <v>RES</v>
          </cell>
          <cell r="D492">
            <v>25</v>
          </cell>
          <cell r="E492">
            <v>1</v>
          </cell>
          <cell r="F492" t="str">
            <v>17 Weeks</v>
          </cell>
          <cell r="G492">
            <v>5000</v>
          </cell>
          <cell r="H492">
            <v>5.0245999999999999E-2</v>
          </cell>
          <cell r="I492">
            <v>251.23</v>
          </cell>
          <cell r="J492">
            <v>6.1275609756097561E-2</v>
          </cell>
          <cell r="K492">
            <v>55.148048780487812</v>
          </cell>
          <cell r="L492">
            <v>306.3780487804878</v>
          </cell>
          <cell r="O492"/>
          <cell r="Q492">
            <v>2</v>
          </cell>
          <cell r="R492" t="str">
            <v>ERA-6AEB123V</v>
          </cell>
          <cell r="S492" t="str">
            <v>Panasonic</v>
          </cell>
          <cell r="T492" t="str">
            <v>TTI</v>
          </cell>
          <cell r="U492">
            <v>3.2000000000000001E-2</v>
          </cell>
          <cell r="V492">
            <v>5000</v>
          </cell>
          <cell r="W492">
            <v>0</v>
          </cell>
          <cell r="X492">
            <v>1</v>
          </cell>
          <cell r="Y492" t="str">
            <v>Y</v>
          </cell>
          <cell r="Z492">
            <v>160</v>
          </cell>
          <cell r="AA492">
            <v>91.22999999999999</v>
          </cell>
          <cell r="AB492">
            <v>0.4777693746765912</v>
          </cell>
          <cell r="AC492" t="str">
            <v>JH</v>
          </cell>
          <cell r="AD492">
            <v>1062721</v>
          </cell>
          <cell r="AE492" t="str">
            <v>POV0067129</v>
          </cell>
          <cell r="AF492" t="str">
            <v>Stephanie Hill</v>
          </cell>
        </row>
        <row r="493">
          <cell r="A493" t="str">
            <v>615-052826-752</v>
          </cell>
          <cell r="B493" t="str">
            <v>RES,0805,0.1%,1/8W,25PPM,7.5K ROHS</v>
          </cell>
          <cell r="C493" t="str">
            <v>RES</v>
          </cell>
          <cell r="D493">
            <v>15</v>
          </cell>
          <cell r="E493">
            <v>1</v>
          </cell>
          <cell r="F493" t="str">
            <v>28 Weeks</v>
          </cell>
          <cell r="G493">
            <v>5000</v>
          </cell>
          <cell r="H493">
            <v>3.4313999999999997E-2</v>
          </cell>
          <cell r="I493">
            <v>171.57</v>
          </cell>
          <cell r="J493">
            <v>4.1846341463414635E-2</v>
          </cell>
          <cell r="K493">
            <v>37.661707317073194</v>
          </cell>
          <cell r="L493">
            <v>209.23170731707319</v>
          </cell>
          <cell r="O493"/>
          <cell r="Q493">
            <v>1</v>
          </cell>
          <cell r="R493" t="str">
            <v>ERA-6AEB752V</v>
          </cell>
          <cell r="S493" t="str">
            <v>Panasonic</v>
          </cell>
          <cell r="T493" t="str">
            <v>TTI</v>
          </cell>
          <cell r="U493">
            <v>3.2000000000000001E-2</v>
          </cell>
          <cell r="V493">
            <v>5000</v>
          </cell>
          <cell r="W493">
            <v>0</v>
          </cell>
          <cell r="Y493" t="str">
            <v>Y</v>
          </cell>
          <cell r="Z493">
            <v>160</v>
          </cell>
          <cell r="AA493">
            <v>11.569999999999993</v>
          </cell>
          <cell r="AB493">
            <v>0.23529754619105914</v>
          </cell>
          <cell r="AC493" t="str">
            <v>JH</v>
          </cell>
          <cell r="AD493">
            <v>1062721</v>
          </cell>
          <cell r="AE493" t="str">
            <v>POV0067129</v>
          </cell>
          <cell r="AF493" t="str">
            <v>Stephanie Hill</v>
          </cell>
        </row>
        <row r="494">
          <cell r="A494" t="str">
            <v>615-A80550-001</v>
          </cell>
          <cell r="B494" t="str">
            <v>RES,SMD,1M OHM,1%,100PPM,0.25W,1206</v>
          </cell>
          <cell r="C494" t="str">
            <v>RES</v>
          </cell>
          <cell r="D494">
            <v>25</v>
          </cell>
          <cell r="E494">
            <v>1</v>
          </cell>
          <cell r="F494" t="str">
            <v>19 Weeks</v>
          </cell>
          <cell r="G494">
            <v>5000</v>
          </cell>
          <cell r="H494">
            <v>7.3530000000000002E-3</v>
          </cell>
          <cell r="I494">
            <v>36.765000000000001</v>
          </cell>
          <cell r="J494">
            <v>8.9670731707317073E-3</v>
          </cell>
          <cell r="K494">
            <v>8.0703658536585365</v>
          </cell>
          <cell r="L494">
            <v>44.835365853658537</v>
          </cell>
          <cell r="O494"/>
          <cell r="Q494">
            <v>1</v>
          </cell>
          <cell r="R494" t="str">
            <v>CRCW12061M00FKEAC</v>
          </cell>
          <cell r="S494" t="str">
            <v>Vishay</v>
          </cell>
          <cell r="T494" t="str">
            <v>TTI</v>
          </cell>
          <cell r="U494">
            <v>6.7299999999999999E-3</v>
          </cell>
          <cell r="V494">
            <v>5000</v>
          </cell>
          <cell r="W494">
            <v>0</v>
          </cell>
          <cell r="X494">
            <v>1</v>
          </cell>
          <cell r="Y494" t="str">
            <v>Y</v>
          </cell>
          <cell r="Z494">
            <v>33.65</v>
          </cell>
          <cell r="AA494">
            <v>3.115000000000002</v>
          </cell>
          <cell r="AB494">
            <v>0.24947640418876649</v>
          </cell>
          <cell r="AC494" t="str">
            <v>JH</v>
          </cell>
          <cell r="AD494">
            <v>1062721</v>
          </cell>
          <cell r="AE494" t="str">
            <v>POV0067129</v>
          </cell>
          <cell r="AF494" t="str">
            <v>Stephanie Hill</v>
          </cell>
        </row>
        <row r="495">
          <cell r="A495" t="str">
            <v>615-055213-470</v>
          </cell>
          <cell r="B495" t="str">
            <v>RES,SMD,TF,0805,4.70K OHM 1%,1/8W,ROHS</v>
          </cell>
          <cell r="C495" t="str">
            <v>RES</v>
          </cell>
          <cell r="D495">
            <v>25</v>
          </cell>
          <cell r="E495">
            <v>1</v>
          </cell>
          <cell r="F495" t="str">
            <v>23 Weeks</v>
          </cell>
          <cell r="G495">
            <v>5000</v>
          </cell>
          <cell r="H495">
            <v>9.8040000000000002E-3</v>
          </cell>
          <cell r="I495">
            <v>49.02</v>
          </cell>
          <cell r="J495">
            <v>1.195609756097561E-2</v>
          </cell>
          <cell r="K495">
            <v>10.760487804878053</v>
          </cell>
          <cell r="L495">
            <v>59.780487804878049</v>
          </cell>
          <cell r="M495" t="str">
            <v>CHINA</v>
          </cell>
          <cell r="N495" t="str">
            <v>8533210020</v>
          </cell>
          <cell r="O495">
            <v>0.35</v>
          </cell>
          <cell r="P495">
            <v>17.157</v>
          </cell>
          <cell r="Q495">
            <v>2</v>
          </cell>
          <cell r="R495" t="str">
            <v>ERJ-6ENF4701V</v>
          </cell>
          <cell r="S495" t="str">
            <v>Panasonic</v>
          </cell>
          <cell r="T495" t="str">
            <v>Future</v>
          </cell>
          <cell r="U495">
            <v>7.6E-3</v>
          </cell>
          <cell r="V495">
            <v>5000</v>
          </cell>
          <cell r="W495">
            <v>0</v>
          </cell>
          <cell r="Y495" t="str">
            <v>Y</v>
          </cell>
          <cell r="Z495">
            <v>38</v>
          </cell>
          <cell r="AA495">
            <v>11.020000000000003</v>
          </cell>
          <cell r="AB495">
            <v>0.36434108527131781</v>
          </cell>
          <cell r="AD495">
            <v>1062411</v>
          </cell>
          <cell r="AE495" t="str">
            <v>POV0067098</v>
          </cell>
          <cell r="AF495" t="str">
            <v>SH</v>
          </cell>
        </row>
        <row r="496">
          <cell r="A496" t="str">
            <v>615-116029-845</v>
          </cell>
          <cell r="B496" t="str">
            <v>RES,SMD,1206,1%,1/4W,84.5K ROHS</v>
          </cell>
          <cell r="C496" t="str">
            <v>RES</v>
          </cell>
          <cell r="D496">
            <v>15</v>
          </cell>
          <cell r="E496">
            <v>1</v>
          </cell>
          <cell r="F496" t="str">
            <v>19 Weeks</v>
          </cell>
          <cell r="G496">
            <v>5000</v>
          </cell>
          <cell r="H496">
            <v>8.5789999999999998E-3</v>
          </cell>
          <cell r="I496">
            <v>42.894999999999996</v>
          </cell>
          <cell r="J496">
            <v>1.046219512195122E-2</v>
          </cell>
          <cell r="K496">
            <v>9.4159756097561029</v>
          </cell>
          <cell r="L496">
            <v>52.310975609756099</v>
          </cell>
          <cell r="O496"/>
          <cell r="Q496">
            <v>3</v>
          </cell>
          <cell r="R496" t="str">
            <v>RC1206FR-0784K5L</v>
          </cell>
          <cell r="S496" t="str">
            <v>YAGEO</v>
          </cell>
          <cell r="T496" t="str">
            <v>Future</v>
          </cell>
          <cell r="U496">
            <v>2.82E-3</v>
          </cell>
          <cell r="V496">
            <v>5000</v>
          </cell>
          <cell r="W496">
            <v>0</v>
          </cell>
          <cell r="Y496" t="str">
            <v>Y</v>
          </cell>
          <cell r="Z496">
            <v>14.1</v>
          </cell>
          <cell r="AA496">
            <v>28.794999999999995</v>
          </cell>
          <cell r="AB496">
            <v>0.73045809534910833</v>
          </cell>
          <cell r="AD496">
            <v>1062411</v>
          </cell>
          <cell r="AE496" t="str">
            <v>POV0067098</v>
          </cell>
          <cell r="AF496" t="str">
            <v>SH</v>
          </cell>
        </row>
        <row r="497">
          <cell r="A497" t="str">
            <v>615-901300-887</v>
          </cell>
          <cell r="B497" t="str">
            <v>RES,SMD,0805,887,1%,1/10W,ROHS</v>
          </cell>
          <cell r="C497" t="str">
            <v>RES</v>
          </cell>
          <cell r="D497">
            <v>15</v>
          </cell>
          <cell r="E497">
            <v>1</v>
          </cell>
          <cell r="F497" t="str">
            <v>15 Weeks</v>
          </cell>
          <cell r="G497">
            <v>5000</v>
          </cell>
          <cell r="H497">
            <v>3.0000000000000001E-3</v>
          </cell>
          <cell r="I497">
            <v>15</v>
          </cell>
          <cell r="J497">
            <v>3.6585365853658539E-3</v>
          </cell>
          <cell r="K497">
            <v>3.2926829268292686</v>
          </cell>
          <cell r="L497">
            <v>18.292682926829269</v>
          </cell>
          <cell r="M497" t="str">
            <v>CHINA</v>
          </cell>
          <cell r="N497">
            <v>8533210030</v>
          </cell>
          <cell r="O497">
            <v>0.35</v>
          </cell>
          <cell r="P497">
            <v>5.25</v>
          </cell>
          <cell r="Q497">
            <v>3</v>
          </cell>
          <cell r="R497" t="str">
            <v>RC0805FR-07887RL</v>
          </cell>
          <cell r="S497" t="str">
            <v>YAGEO</v>
          </cell>
          <cell r="T497" t="str">
            <v>Future</v>
          </cell>
          <cell r="U497">
            <v>1.7899999999999999E-3</v>
          </cell>
          <cell r="V497">
            <v>5000</v>
          </cell>
          <cell r="W497">
            <v>0</v>
          </cell>
          <cell r="Y497" t="str">
            <v>Y</v>
          </cell>
          <cell r="Z497">
            <v>8.9499999999999993</v>
          </cell>
          <cell r="AA497">
            <v>6.0500000000000007</v>
          </cell>
          <cell r="AB497">
            <v>0.51073333333333337</v>
          </cell>
          <cell r="AD497">
            <v>1062411</v>
          </cell>
          <cell r="AE497" t="str">
            <v>POV0067098</v>
          </cell>
          <cell r="AF497" t="str">
            <v>SH</v>
          </cell>
        </row>
        <row r="498">
          <cell r="A498" t="str">
            <v>615-032231-017</v>
          </cell>
          <cell r="B498" t="str">
            <v>RES,SMD,THKF,1206,3.3K OHM,5%,1/4W,ROHS</v>
          </cell>
          <cell r="C498" t="str">
            <v>RES</v>
          </cell>
          <cell r="D498">
            <v>25</v>
          </cell>
          <cell r="E498">
            <v>1</v>
          </cell>
          <cell r="F498" t="str">
            <v>19 Weeks</v>
          </cell>
          <cell r="G498">
            <v>5000</v>
          </cell>
          <cell r="H498">
            <v>1.0392E-2</v>
          </cell>
          <cell r="I498">
            <v>51.96</v>
          </cell>
          <cell r="J498">
            <v>1.2673170731707317E-2</v>
          </cell>
          <cell r="K498">
            <v>11.405853658536593</v>
          </cell>
          <cell r="L498">
            <v>63.365853658536587</v>
          </cell>
          <cell r="O498"/>
          <cell r="Q498">
            <v>2</v>
          </cell>
          <cell r="R498" t="str">
            <v>RC1206JR-073K3L</v>
          </cell>
          <cell r="S498" t="str">
            <v>YAGEO</v>
          </cell>
          <cell r="T498" t="str">
            <v>Future</v>
          </cell>
          <cell r="U498">
            <v>2.7499999999999998E-3</v>
          </cell>
          <cell r="V498">
            <v>5000</v>
          </cell>
          <cell r="W498">
            <v>0</v>
          </cell>
          <cell r="Y498" t="str">
            <v>Y</v>
          </cell>
          <cell r="Z498">
            <v>13.75</v>
          </cell>
          <cell r="AA498">
            <v>38.21</v>
          </cell>
          <cell r="AB498">
            <v>0.78300615858352574</v>
          </cell>
          <cell r="AD498">
            <v>1062411</v>
          </cell>
          <cell r="AE498" t="str">
            <v>POV0067098</v>
          </cell>
          <cell r="AF498" t="str">
            <v>SH</v>
          </cell>
        </row>
        <row r="499">
          <cell r="A499" t="str">
            <v>615-052825-220</v>
          </cell>
          <cell r="B499" t="str">
            <v>RES,SMD,0805,MF,1/10W,0.1%,220,ROHS</v>
          </cell>
          <cell r="C499" t="str">
            <v>RES</v>
          </cell>
          <cell r="D499">
            <v>25</v>
          </cell>
          <cell r="E499">
            <v>1</v>
          </cell>
          <cell r="F499" t="str">
            <v>3 Weeks</v>
          </cell>
          <cell r="G499">
            <v>5000</v>
          </cell>
          <cell r="H499">
            <v>5.2999999999999999E-2</v>
          </cell>
          <cell r="I499">
            <v>265</v>
          </cell>
          <cell r="J499">
            <v>6.4634146341463417E-2</v>
          </cell>
          <cell r="K499">
            <v>58.170731707317088</v>
          </cell>
          <cell r="L499">
            <v>323.17073170731709</v>
          </cell>
          <cell r="M499" t="str">
            <v>TAIWAN</v>
          </cell>
          <cell r="N499" t="str">
            <v>8533210030</v>
          </cell>
          <cell r="O499">
            <v>0.35</v>
          </cell>
          <cell r="P499">
            <v>92.75</v>
          </cell>
          <cell r="Q499">
            <v>2</v>
          </cell>
          <cell r="R499" t="str">
            <v>ERA-6AEB221V</v>
          </cell>
          <cell r="S499" t="str">
            <v>Panasonic</v>
          </cell>
          <cell r="T499" t="str">
            <v>Future</v>
          </cell>
          <cell r="U499">
            <v>2.8299999999999999E-2</v>
          </cell>
          <cell r="V499">
            <v>5000</v>
          </cell>
          <cell r="W499">
            <v>0</v>
          </cell>
          <cell r="Y499" t="str">
            <v>Y</v>
          </cell>
          <cell r="Z499">
            <v>141.5</v>
          </cell>
          <cell r="AA499">
            <v>123.5</v>
          </cell>
          <cell r="AB499">
            <v>0.5621509433962264</v>
          </cell>
          <cell r="AD499">
            <v>1062411</v>
          </cell>
          <cell r="AE499" t="str">
            <v>POV0067098</v>
          </cell>
          <cell r="AF499" t="str">
            <v>SH</v>
          </cell>
        </row>
        <row r="500">
          <cell r="A500" t="str">
            <v>615-097890-822</v>
          </cell>
          <cell r="B500" t="str">
            <v>RES,1206 8.2K 5% 1/8W,ROHS</v>
          </cell>
          <cell r="C500" t="str">
            <v>RES</v>
          </cell>
          <cell r="D500">
            <v>25</v>
          </cell>
          <cell r="E500">
            <v>1</v>
          </cell>
          <cell r="F500" t="str">
            <v>19 Weeks</v>
          </cell>
          <cell r="G500">
            <v>5000</v>
          </cell>
          <cell r="H500">
            <v>7.3530000000000002E-3</v>
          </cell>
          <cell r="I500">
            <v>36.765000000000001</v>
          </cell>
          <cell r="J500">
            <v>8.9670731707317073E-3</v>
          </cell>
          <cell r="K500">
            <v>8.0703658536585365</v>
          </cell>
          <cell r="L500">
            <v>44.835365853658537</v>
          </cell>
          <cell r="O500"/>
          <cell r="Q500">
            <v>2</v>
          </cell>
          <cell r="R500" t="str">
            <v>RC1206JR-078K2L</v>
          </cell>
          <cell r="S500" t="str">
            <v>YAGEO</v>
          </cell>
          <cell r="T500" t="str">
            <v>Future</v>
          </cell>
          <cell r="U500">
            <v>2.4499999999999999E-3</v>
          </cell>
          <cell r="V500">
            <v>5000</v>
          </cell>
          <cell r="W500">
            <v>0</v>
          </cell>
          <cell r="Y500" t="str">
            <v>Y</v>
          </cell>
          <cell r="Z500">
            <v>12.25</v>
          </cell>
          <cell r="AA500">
            <v>24.515000000000001</v>
          </cell>
          <cell r="AB500">
            <v>0.72677818577451381</v>
          </cell>
          <cell r="AD500">
            <v>1062411</v>
          </cell>
          <cell r="AE500" t="str">
            <v>POV0067098</v>
          </cell>
          <cell r="AF500" t="str">
            <v>SH</v>
          </cell>
        </row>
        <row r="501">
          <cell r="A501" t="str">
            <v>615-032231-012</v>
          </cell>
          <cell r="B501" t="str">
            <v>RES,SMD,THKF,1206,910 OHM,5%,1/4W,ROHS</v>
          </cell>
          <cell r="C501" t="str">
            <v>RES</v>
          </cell>
          <cell r="D501">
            <v>15</v>
          </cell>
          <cell r="E501">
            <v>1</v>
          </cell>
          <cell r="F501" t="str">
            <v>29 Weeks</v>
          </cell>
          <cell r="G501">
            <v>5000</v>
          </cell>
          <cell r="H501">
            <v>7.3530000000000002E-3</v>
          </cell>
          <cell r="I501">
            <v>36.765000000000001</v>
          </cell>
          <cell r="J501">
            <v>8.9670731707317073E-3</v>
          </cell>
          <cell r="K501">
            <v>8.0703658536585365</v>
          </cell>
          <cell r="L501">
            <v>44.835365853658537</v>
          </cell>
          <cell r="O501"/>
          <cell r="Q501">
            <v>2</v>
          </cell>
          <cell r="R501" t="str">
            <v>RC1206JR-07910RL</v>
          </cell>
          <cell r="S501" t="str">
            <v>YAGEO</v>
          </cell>
          <cell r="T501" t="str">
            <v>Future</v>
          </cell>
          <cell r="U501">
            <v>2.6199999999999999E-3</v>
          </cell>
          <cell r="V501">
            <v>5000</v>
          </cell>
          <cell r="W501">
            <v>0</v>
          </cell>
          <cell r="Y501" t="str">
            <v>Y</v>
          </cell>
          <cell r="Z501">
            <v>13.1</v>
          </cell>
          <cell r="AA501">
            <v>23.664999999999999</v>
          </cell>
          <cell r="AB501">
            <v>0.70781993744050054</v>
          </cell>
          <cell r="AD501">
            <v>1062411</v>
          </cell>
          <cell r="AE501" t="str">
            <v>POV0067098</v>
          </cell>
          <cell r="AF501" t="str">
            <v>SH</v>
          </cell>
        </row>
        <row r="502">
          <cell r="A502" t="str">
            <v>615-901301-464</v>
          </cell>
          <cell r="B502" t="str">
            <v>RES,SMD,0805,4.64K,1%,1/10W,ROHS</v>
          </cell>
          <cell r="C502" t="str">
            <v>RES</v>
          </cell>
          <cell r="D502">
            <v>15</v>
          </cell>
          <cell r="E502">
            <v>1</v>
          </cell>
          <cell r="F502" t="str">
            <v>23 Weeks</v>
          </cell>
          <cell r="G502">
            <v>5000</v>
          </cell>
          <cell r="H502">
            <v>9.3380000000000008E-3</v>
          </cell>
          <cell r="I502">
            <v>46.690000000000005</v>
          </cell>
          <cell r="J502">
            <v>1.1387804878048783E-2</v>
          </cell>
          <cell r="K502">
            <v>10.24902439024391</v>
          </cell>
          <cell r="L502">
            <v>56.939024390243915</v>
          </cell>
          <cell r="O502"/>
          <cell r="Q502">
            <v>3</v>
          </cell>
          <cell r="R502" t="str">
            <v>RC0805FR-074K64L</v>
          </cell>
          <cell r="S502" t="str">
            <v>YAGEO</v>
          </cell>
          <cell r="T502" t="str">
            <v>Future</v>
          </cell>
          <cell r="U502">
            <v>1.5900000000000001E-3</v>
          </cell>
          <cell r="V502">
            <v>5000</v>
          </cell>
          <cell r="W502">
            <v>0</v>
          </cell>
          <cell r="Y502" t="str">
            <v>Y</v>
          </cell>
          <cell r="Z502">
            <v>7.95</v>
          </cell>
          <cell r="AA502">
            <v>38.74</v>
          </cell>
          <cell r="AB502">
            <v>0.86037695437995287</v>
          </cell>
          <cell r="AD502">
            <v>1062411</v>
          </cell>
          <cell r="AE502" t="str">
            <v>POV0067098</v>
          </cell>
          <cell r="AF502" t="str">
            <v>SH</v>
          </cell>
        </row>
        <row r="503">
          <cell r="A503" t="str">
            <v>648-A74701-123</v>
          </cell>
          <cell r="B503" t="str">
            <v>CAP,SMD,CER,0.012UF,5%,25V,C0G,0603</v>
          </cell>
          <cell r="C503" t="str">
            <v>CAP</v>
          </cell>
          <cell r="D503">
            <v>15</v>
          </cell>
          <cell r="E503">
            <v>1</v>
          </cell>
          <cell r="F503" t="str">
            <v>31 Weeks</v>
          </cell>
          <cell r="G503">
            <v>4000</v>
          </cell>
          <cell r="H503">
            <v>9.4364000000000003E-2</v>
          </cell>
          <cell r="I503">
            <v>377.45600000000002</v>
          </cell>
          <cell r="J503">
            <v>0.11507804878048782</v>
          </cell>
          <cell r="K503">
            <v>82.856195121951259</v>
          </cell>
          <cell r="L503">
            <v>460.31219512195128</v>
          </cell>
          <cell r="O503"/>
          <cell r="Q503">
            <v>1</v>
          </cell>
          <cell r="R503" t="str">
            <v>C0603C123J3GACTU</v>
          </cell>
          <cell r="S503" t="str">
            <v>Kemet</v>
          </cell>
          <cell r="T503" t="str">
            <v>TTI</v>
          </cell>
          <cell r="U503">
            <v>0.08</v>
          </cell>
          <cell r="V503">
            <v>4000</v>
          </cell>
          <cell r="W503">
            <v>0</v>
          </cell>
          <cell r="X503">
            <v>1</v>
          </cell>
          <cell r="Y503" t="str">
            <v>Y</v>
          </cell>
          <cell r="Z503">
            <v>320</v>
          </cell>
          <cell r="AA503">
            <v>57.456000000000017</v>
          </cell>
          <cell r="AB503">
            <v>0.30481963460641781</v>
          </cell>
          <cell r="AC503" t="str">
            <v>JH</v>
          </cell>
          <cell r="AD503">
            <v>1062721</v>
          </cell>
          <cell r="AE503" t="str">
            <v>POV0067129</v>
          </cell>
          <cell r="AF503" t="str">
            <v>Stephanie Hill</v>
          </cell>
        </row>
        <row r="504">
          <cell r="A504" t="str">
            <v>648-A74701-153</v>
          </cell>
          <cell r="B504" t="str">
            <v>CAP,SMD,CER,0.015UF,5%,25V,C0G,0603</v>
          </cell>
          <cell r="C504" t="str">
            <v>CAP</v>
          </cell>
          <cell r="D504">
            <v>15</v>
          </cell>
          <cell r="E504">
            <v>1</v>
          </cell>
          <cell r="F504" t="str">
            <v>31 Weeks</v>
          </cell>
          <cell r="G504">
            <v>4000</v>
          </cell>
          <cell r="H504">
            <v>7.7206999999999998E-2</v>
          </cell>
          <cell r="I504">
            <v>308.82799999999997</v>
          </cell>
          <cell r="J504">
            <v>9.4154878048780491E-2</v>
          </cell>
          <cell r="K504">
            <v>67.791512195121982</v>
          </cell>
          <cell r="L504">
            <v>376.61951219512196</v>
          </cell>
          <cell r="O504"/>
          <cell r="Q504">
            <v>1</v>
          </cell>
          <cell r="R504" t="str">
            <v>C0603C153J3GACTU</v>
          </cell>
          <cell r="S504" t="str">
            <v>Kemet</v>
          </cell>
          <cell r="T504" t="str">
            <v>TTI</v>
          </cell>
          <cell r="U504">
            <v>5.6000000000000001E-2</v>
          </cell>
          <cell r="V504">
            <v>4000</v>
          </cell>
          <cell r="W504">
            <v>0</v>
          </cell>
          <cell r="X504">
            <v>1</v>
          </cell>
          <cell r="Y504" t="str">
            <v>Y</v>
          </cell>
          <cell r="Z504">
            <v>224</v>
          </cell>
          <cell r="AA504">
            <v>84.827999999999975</v>
          </cell>
          <cell r="AB504">
            <v>0.4052352765940912</v>
          </cell>
          <cell r="AC504" t="str">
            <v>JH</v>
          </cell>
          <cell r="AD504">
            <v>1062721</v>
          </cell>
          <cell r="AE504" t="str">
            <v>POV0067129</v>
          </cell>
          <cell r="AF504" t="str">
            <v>Stephanie Hill</v>
          </cell>
        </row>
        <row r="505">
          <cell r="A505" t="str">
            <v>682-341005-002</v>
          </cell>
          <cell r="B505" t="str">
            <v>FUSE,SMD,RESETTABLE PTC,2.6A,24V,2920</v>
          </cell>
          <cell r="C505" t="str">
            <v>FUSE</v>
          </cell>
          <cell r="D505">
            <v>25</v>
          </cell>
          <cell r="E505">
            <v>1</v>
          </cell>
          <cell r="F505" t="str">
            <v>25 Weeks</v>
          </cell>
          <cell r="G505">
            <v>4000</v>
          </cell>
          <cell r="H505">
            <v>0.40299299999999999</v>
          </cell>
          <cell r="I505">
            <v>1611.972</v>
          </cell>
          <cell r="J505">
            <v>0.49145487804878052</v>
          </cell>
          <cell r="K505">
            <v>353.84751219512214</v>
          </cell>
          <cell r="L505">
            <v>1965.8195121951221</v>
          </cell>
          <cell r="O505"/>
          <cell r="Q505">
            <v>1</v>
          </cell>
          <cell r="R505" t="str">
            <v>MF-LSMF260X-2</v>
          </cell>
          <cell r="S505" t="str">
            <v>Bourns</v>
          </cell>
          <cell r="T505" t="str">
            <v>TTI</v>
          </cell>
          <cell r="U505">
            <v>0.36599999999999999</v>
          </cell>
          <cell r="V505">
            <v>4000</v>
          </cell>
          <cell r="W505">
            <v>0</v>
          </cell>
          <cell r="X505">
            <v>1</v>
          </cell>
          <cell r="Y505" t="str">
            <v>Y</v>
          </cell>
          <cell r="Z505">
            <v>1464</v>
          </cell>
          <cell r="AA505">
            <v>147.97199999999998</v>
          </cell>
          <cell r="AB505">
            <v>0.25527242408677076</v>
          </cell>
          <cell r="AC505" t="str">
            <v>JH</v>
          </cell>
          <cell r="AD505">
            <v>1062721</v>
          </cell>
          <cell r="AE505" t="str">
            <v>POV0067129</v>
          </cell>
          <cell r="AF505" t="str">
            <v>Stephanie Hill</v>
          </cell>
        </row>
        <row r="506">
          <cell r="A506" t="str">
            <v>618-A04362-008</v>
          </cell>
          <cell r="B506" t="str">
            <v>RES,METAL FILM,0.008 OHM,1W,±1%,2512</v>
          </cell>
          <cell r="C506" t="str">
            <v>RES</v>
          </cell>
          <cell r="D506">
            <v>15</v>
          </cell>
          <cell r="E506">
            <v>1</v>
          </cell>
          <cell r="F506" t="str">
            <v>25 Weeks</v>
          </cell>
          <cell r="G506">
            <v>4000</v>
          </cell>
          <cell r="H506">
            <v>0.132048</v>
          </cell>
          <cell r="I506">
            <v>528.19200000000001</v>
          </cell>
          <cell r="J506">
            <v>0.16103414634146343</v>
          </cell>
          <cell r="K506">
            <v>115.94458536585375</v>
          </cell>
          <cell r="L506">
            <v>644.13658536585376</v>
          </cell>
          <cell r="O506"/>
          <cell r="Q506">
            <v>1</v>
          </cell>
          <cell r="R506" t="str">
            <v>PE2512FKE070R008L</v>
          </cell>
          <cell r="S506" t="str">
            <v>Yageo</v>
          </cell>
          <cell r="T506" t="str">
            <v>TTI</v>
          </cell>
          <cell r="U506">
            <v>9.4100000000000003E-2</v>
          </cell>
          <cell r="V506">
            <v>4000</v>
          </cell>
          <cell r="W506">
            <v>0</v>
          </cell>
          <cell r="X506">
            <v>1</v>
          </cell>
          <cell r="Y506" t="str">
            <v>Y</v>
          </cell>
          <cell r="Z506">
            <v>376.40000000000003</v>
          </cell>
          <cell r="AA506">
            <v>151.79199999999997</v>
          </cell>
          <cell r="AB506">
            <v>0.41565188416333454</v>
          </cell>
          <cell r="AC506" t="str">
            <v>JH</v>
          </cell>
          <cell r="AD506">
            <v>1062721</v>
          </cell>
          <cell r="AE506" t="str">
            <v>POV0067129</v>
          </cell>
          <cell r="AF506" t="str">
            <v>Stephanie Hill</v>
          </cell>
        </row>
        <row r="507">
          <cell r="A507" t="str">
            <v>648-157397-220</v>
          </cell>
          <cell r="B507" t="str">
            <v>CAP,0805,CER,C0G,1%,100V,22PF ROHS</v>
          </cell>
          <cell r="C507" t="str">
            <v>CAP</v>
          </cell>
          <cell r="D507">
            <v>25</v>
          </cell>
          <cell r="E507">
            <v>1</v>
          </cell>
          <cell r="F507" t="str">
            <v>17 Weeks</v>
          </cell>
          <cell r="G507">
            <v>4000</v>
          </cell>
          <cell r="H507">
            <v>9.4364000000000003E-2</v>
          </cell>
          <cell r="I507">
            <v>377.45600000000002</v>
          </cell>
          <cell r="J507">
            <v>0.11507804878048782</v>
          </cell>
          <cell r="K507">
            <v>82.856195121951259</v>
          </cell>
          <cell r="L507">
            <v>460.31219512195128</v>
          </cell>
          <cell r="O507"/>
          <cell r="Q507">
            <v>1</v>
          </cell>
          <cell r="R507" t="str">
            <v>08051A220FAT2A</v>
          </cell>
          <cell r="S507" t="str">
            <v>Kyocera AVX</v>
          </cell>
          <cell r="T507" t="str">
            <v>TTI</v>
          </cell>
          <cell r="U507">
            <v>0.09</v>
          </cell>
          <cell r="V507">
            <v>4000</v>
          </cell>
          <cell r="W507">
            <v>0</v>
          </cell>
          <cell r="X507">
            <v>1</v>
          </cell>
          <cell r="Y507" t="str">
            <v>Y</v>
          </cell>
          <cell r="Z507">
            <v>360</v>
          </cell>
          <cell r="AA507">
            <v>17.456000000000017</v>
          </cell>
          <cell r="AB507">
            <v>0.21792208893221998</v>
          </cell>
          <cell r="AC507" t="str">
            <v>JH</v>
          </cell>
          <cell r="AD507">
            <v>1062721</v>
          </cell>
          <cell r="AE507" t="str">
            <v>POV0067129</v>
          </cell>
          <cell r="AF507" t="str">
            <v>Stephanie Hill</v>
          </cell>
        </row>
        <row r="508">
          <cell r="A508" t="str">
            <v>615-098743-222</v>
          </cell>
          <cell r="B508" t="str">
            <v>RESISTOR,SMD,2010,2.2K OHM,5% 1/2W,ROHS</v>
          </cell>
          <cell r="C508" t="str">
            <v>RES</v>
          </cell>
          <cell r="D508">
            <v>25</v>
          </cell>
          <cell r="E508">
            <v>1</v>
          </cell>
          <cell r="F508" t="str">
            <v>17 Weeks</v>
          </cell>
          <cell r="G508">
            <v>4000</v>
          </cell>
          <cell r="H508">
            <v>4.1667000000000003E-2</v>
          </cell>
          <cell r="I508">
            <v>166.66800000000001</v>
          </cell>
          <cell r="J508">
            <v>5.0813414634146348E-2</v>
          </cell>
          <cell r="K508">
            <v>36.585658536585385</v>
          </cell>
          <cell r="L508">
            <v>203.25365853658539</v>
          </cell>
          <cell r="O508"/>
          <cell r="Q508">
            <v>2</v>
          </cell>
          <cell r="R508" t="str">
            <v>CRCW20102K20JNEF</v>
          </cell>
          <cell r="S508" t="str">
            <v>Vishay</v>
          </cell>
          <cell r="T508" t="str">
            <v>Future</v>
          </cell>
          <cell r="U508">
            <v>2.52E-2</v>
          </cell>
          <cell r="V508">
            <v>4000</v>
          </cell>
          <cell r="W508">
            <v>0</v>
          </cell>
          <cell r="Y508" t="str">
            <v>Y</v>
          </cell>
          <cell r="Z508">
            <v>100.8</v>
          </cell>
          <cell r="AA508">
            <v>65.868000000000009</v>
          </cell>
          <cell r="AB508">
            <v>0.50406796745626048</v>
          </cell>
          <cell r="AD508">
            <v>1062411</v>
          </cell>
          <cell r="AE508" t="str">
            <v>POV0067098</v>
          </cell>
          <cell r="AF508" t="str">
            <v>SH</v>
          </cell>
        </row>
        <row r="509">
          <cell r="A509" t="str">
            <v>630-135486-002</v>
          </cell>
          <cell r="B509" t="str">
            <v>IC,SMD,NAND,2-INPUT,1.65-5.5V,SOT-23-5</v>
          </cell>
          <cell r="C509" t="str">
            <v>IC</v>
          </cell>
          <cell r="D509">
            <v>25</v>
          </cell>
          <cell r="E509">
            <v>1</v>
          </cell>
          <cell r="F509" t="str">
            <v>3 Weeks</v>
          </cell>
          <cell r="G509">
            <v>3000</v>
          </cell>
          <cell r="H509">
            <v>5.2697000000000001E-2</v>
          </cell>
          <cell r="I509">
            <v>158.09100000000001</v>
          </cell>
          <cell r="J509">
            <v>6.4264634146341468E-2</v>
          </cell>
          <cell r="K509">
            <v>34.702902439024399</v>
          </cell>
          <cell r="L509">
            <v>192.79390243902441</v>
          </cell>
          <cell r="O509"/>
          <cell r="Q509">
            <v>1</v>
          </cell>
          <cell r="R509" t="str">
            <v>SN74LVC1G00DBVR</v>
          </cell>
          <cell r="S509" t="str">
            <v>Texas Instruments</v>
          </cell>
          <cell r="T509" t="str">
            <v>TI Store</v>
          </cell>
          <cell r="U509">
            <v>2.7E-2</v>
          </cell>
          <cell r="V509">
            <v>3000</v>
          </cell>
          <cell r="W509">
            <v>0</v>
          </cell>
          <cell r="X509">
            <v>1</v>
          </cell>
          <cell r="Y509" t="str">
            <v>Y</v>
          </cell>
          <cell r="Z509">
            <v>81</v>
          </cell>
          <cell r="AA509">
            <v>77.091000000000008</v>
          </cell>
          <cell r="AB509">
            <v>0.57986223124656056</v>
          </cell>
          <cell r="AC509" t="str">
            <v>JH</v>
          </cell>
          <cell r="AD509">
            <v>1062721</v>
          </cell>
          <cell r="AE509" t="str">
            <v>POV0067160</v>
          </cell>
          <cell r="AF509" t="str">
            <v>JH</v>
          </cell>
        </row>
        <row r="510">
          <cell r="A510" t="str">
            <v>609-099412-300</v>
          </cell>
          <cell r="B510" t="str">
            <v>DIODE,TVS,30V ,1.5KW,SMC,ROHS</v>
          </cell>
          <cell r="C510" t="str">
            <v>DIO</v>
          </cell>
          <cell r="D510">
            <v>15</v>
          </cell>
          <cell r="E510">
            <v>1</v>
          </cell>
          <cell r="F510" t="str">
            <v>35 Weeks</v>
          </cell>
          <cell r="G510">
            <v>3000</v>
          </cell>
          <cell r="H510">
            <v>0.192269</v>
          </cell>
          <cell r="I510">
            <v>576.80700000000002</v>
          </cell>
          <cell r="J510">
            <v>0.23447439024390246</v>
          </cell>
          <cell r="K510">
            <v>126.61617073170737</v>
          </cell>
          <cell r="L510">
            <v>703.42317073170739</v>
          </cell>
          <cell r="O510"/>
          <cell r="Q510">
            <v>3</v>
          </cell>
          <cell r="R510" t="str">
            <v>1.5SMC30A</v>
          </cell>
          <cell r="S510" t="str">
            <v>Bourns</v>
          </cell>
          <cell r="T510" t="str">
            <v>TTI</v>
          </cell>
          <cell r="U510">
            <v>0.18</v>
          </cell>
          <cell r="V510">
            <v>3000</v>
          </cell>
          <cell r="W510">
            <v>0</v>
          </cell>
          <cell r="X510">
            <v>1</v>
          </cell>
          <cell r="Y510" t="str">
            <v>Y</v>
          </cell>
          <cell r="Z510">
            <v>540</v>
          </cell>
          <cell r="AA510">
            <v>36.807000000000016</v>
          </cell>
          <cell r="AB510">
            <v>0.23232554389943261</v>
          </cell>
          <cell r="AD510">
            <v>1062721</v>
          </cell>
          <cell r="AE510" t="str">
            <v>POV0067129</v>
          </cell>
          <cell r="AF510" t="str">
            <v>Stephanie Hill</v>
          </cell>
        </row>
        <row r="511">
          <cell r="A511" t="str">
            <v>687-A95661-001</v>
          </cell>
          <cell r="B511" t="str">
            <v>TEST PT,SMD,VERT,3.5A,BRS,1.6X0.8X1.15IN</v>
          </cell>
          <cell r="C511" t="str">
            <v>TP</v>
          </cell>
          <cell r="D511">
            <v>30</v>
          </cell>
          <cell r="E511">
            <v>1</v>
          </cell>
          <cell r="F511" t="str">
            <v>25 Weeks</v>
          </cell>
          <cell r="G511">
            <v>3000</v>
          </cell>
          <cell r="H511">
            <v>0.13214600000000001</v>
          </cell>
          <cell r="I511">
            <v>396.43800000000005</v>
          </cell>
          <cell r="J511">
            <v>0.16115365853658539</v>
          </cell>
          <cell r="K511">
            <v>87.022975609756145</v>
          </cell>
          <cell r="L511">
            <v>483.46097560975619</v>
          </cell>
          <cell r="O511"/>
          <cell r="Q511">
            <v>1</v>
          </cell>
          <cell r="R511" t="str">
            <v>S2761-46R</v>
          </cell>
          <cell r="S511" t="str">
            <v>Harwin</v>
          </cell>
          <cell r="T511" t="str">
            <v>TTI</v>
          </cell>
          <cell r="U511">
            <v>0.11</v>
          </cell>
          <cell r="V511">
            <v>3000</v>
          </cell>
          <cell r="W511">
            <v>0</v>
          </cell>
          <cell r="X511">
            <v>1</v>
          </cell>
          <cell r="Y511" t="str">
            <v>Y</v>
          </cell>
          <cell r="Z511">
            <v>330</v>
          </cell>
          <cell r="AA511">
            <v>66.438000000000045</v>
          </cell>
          <cell r="AB511">
            <v>0.31742163970154236</v>
          </cell>
          <cell r="AC511" t="str">
            <v>JH</v>
          </cell>
          <cell r="AD511">
            <v>1062721</v>
          </cell>
          <cell r="AE511" t="str">
            <v>POV0067129</v>
          </cell>
          <cell r="AF511" t="str">
            <v>Stephanie Hill</v>
          </cell>
        </row>
        <row r="512">
          <cell r="A512" t="str">
            <v>609-099412-360</v>
          </cell>
          <cell r="B512" t="str">
            <v>DIODE,TVS,36V ,1.5KW,SMC,ROHS</v>
          </cell>
          <cell r="C512" t="str">
            <v>DIO</v>
          </cell>
          <cell r="D512">
            <v>15</v>
          </cell>
          <cell r="E512">
            <v>1</v>
          </cell>
          <cell r="F512" t="str">
            <v>40 Weeks</v>
          </cell>
          <cell r="G512">
            <v>3000</v>
          </cell>
          <cell r="H512">
            <v>0.17524700000000001</v>
          </cell>
          <cell r="I512">
            <v>525.74099999999999</v>
          </cell>
          <cell r="J512">
            <v>0.21371585365853663</v>
          </cell>
          <cell r="K512">
            <v>115.40656097560975</v>
          </cell>
          <cell r="L512">
            <v>641.14756097560985</v>
          </cell>
          <cell r="M512" t="str">
            <v>CHINA</v>
          </cell>
          <cell r="N512">
            <v>8541100080</v>
          </cell>
          <cell r="O512">
            <v>0.35</v>
          </cell>
          <cell r="P512">
            <v>184.00934999999998</v>
          </cell>
          <cell r="Q512">
            <v>3</v>
          </cell>
          <cell r="R512" t="str">
            <v>‎1.5SMC36A‎</v>
          </cell>
          <cell r="S512" t="str">
            <v>Bourns</v>
          </cell>
          <cell r="T512" t="str">
            <v>TTI</v>
          </cell>
          <cell r="U512">
            <v>0.17</v>
          </cell>
          <cell r="V512">
            <v>3000</v>
          </cell>
          <cell r="W512">
            <v>0</v>
          </cell>
          <cell r="X512">
            <v>1</v>
          </cell>
          <cell r="Y512" t="str">
            <v>Y</v>
          </cell>
          <cell r="Z512">
            <v>510.00000000000006</v>
          </cell>
          <cell r="AA512">
            <v>15.740999999999929</v>
          </cell>
          <cell r="AB512">
            <v>0.20455129046431608</v>
          </cell>
          <cell r="AC512" t="str">
            <v>JH</v>
          </cell>
          <cell r="AD512">
            <v>1062721</v>
          </cell>
          <cell r="AE512" t="str">
            <v>POV0067129</v>
          </cell>
          <cell r="AF512" t="str">
            <v>Stephanie Hill</v>
          </cell>
        </row>
        <row r="513">
          <cell r="A513" t="str">
            <v>609-235641-001</v>
          </cell>
          <cell r="B513" t="str">
            <v>DIO,SMD,SCHOTTKY BARR,0.52V,100MA,SOT-23</v>
          </cell>
          <cell r="C513" t="str">
            <v>DIO</v>
          </cell>
          <cell r="D513">
            <v>25</v>
          </cell>
          <cell r="E513">
            <v>1</v>
          </cell>
          <cell r="F513" t="str">
            <v>32 Weeks</v>
          </cell>
          <cell r="G513">
            <v>3000</v>
          </cell>
          <cell r="H513">
            <v>2.0833999999999998E-2</v>
          </cell>
          <cell r="I513">
            <v>62.501999999999995</v>
          </cell>
          <cell r="J513">
            <v>2.5407317073170732E-2</v>
          </cell>
          <cell r="K513">
            <v>13.719951219512197</v>
          </cell>
          <cell r="L513">
            <v>76.221951219512192</v>
          </cell>
          <cell r="O513"/>
          <cell r="Q513">
            <v>1</v>
          </cell>
          <cell r="R513" t="str">
            <v>BAT54ALT1G</v>
          </cell>
          <cell r="S513" t="str">
            <v>On Semiconductor</v>
          </cell>
          <cell r="T513" t="str">
            <v>Future</v>
          </cell>
          <cell r="U513">
            <v>1.38E-2</v>
          </cell>
          <cell r="V513">
            <v>3000</v>
          </cell>
          <cell r="W513">
            <v>0</v>
          </cell>
          <cell r="Y513" t="str">
            <v>Y</v>
          </cell>
          <cell r="Z513">
            <v>41.4</v>
          </cell>
          <cell r="AA513">
            <v>21.101999999999997</v>
          </cell>
          <cell r="AB513">
            <v>0.45684938081981374</v>
          </cell>
          <cell r="AD513">
            <v>1062411</v>
          </cell>
          <cell r="AE513" t="str">
            <v>POV0067098</v>
          </cell>
          <cell r="AF513" t="str">
            <v>SH</v>
          </cell>
        </row>
        <row r="514">
          <cell r="A514" t="str">
            <v>609-049039-001</v>
          </cell>
          <cell r="B514" t="str">
            <v>DIO,SMD,1N4148W,FASTSW,200MW,SOD123,ROHS</v>
          </cell>
          <cell r="C514" t="str">
            <v>DIO</v>
          </cell>
          <cell r="D514">
            <v>25</v>
          </cell>
          <cell r="E514">
            <v>1</v>
          </cell>
          <cell r="F514" t="str">
            <v>13 Weeks</v>
          </cell>
          <cell r="G514">
            <v>3000</v>
          </cell>
          <cell r="H514">
            <v>1.8383E-2</v>
          </cell>
          <cell r="I514">
            <v>55.149000000000001</v>
          </cell>
          <cell r="J514">
            <v>2.2418292682926829E-2</v>
          </cell>
          <cell r="K514">
            <v>12.105878048780497</v>
          </cell>
          <cell r="L514">
            <v>67.254878048780483</v>
          </cell>
          <cell r="O514"/>
          <cell r="Q514">
            <v>1</v>
          </cell>
          <cell r="R514" t="str">
            <v>1N4148W-TP</v>
          </cell>
          <cell r="S514" t="str">
            <v>MCC</v>
          </cell>
          <cell r="T514" t="str">
            <v>Future</v>
          </cell>
          <cell r="U514">
            <v>6.1700000000000001E-3</v>
          </cell>
          <cell r="V514">
            <v>3000</v>
          </cell>
          <cell r="W514">
            <v>0</v>
          </cell>
          <cell r="Y514" t="str">
            <v>Y</v>
          </cell>
          <cell r="Z514">
            <v>18.510000000000002</v>
          </cell>
          <cell r="AA514">
            <v>36.638999999999996</v>
          </cell>
          <cell r="AB514">
            <v>0.72477832780286122</v>
          </cell>
          <cell r="AD514">
            <v>1062411</v>
          </cell>
          <cell r="AE514" t="str">
            <v>POV0067098</v>
          </cell>
          <cell r="AF514" t="str">
            <v>SH</v>
          </cell>
        </row>
        <row r="515">
          <cell r="A515" t="str">
            <v>609-A58376-001</v>
          </cell>
          <cell r="B515" t="str">
            <v>DIO,SMD,SCHOTTKY,30V,1A,POWERDI123</v>
          </cell>
          <cell r="C515" t="str">
            <v>DIO</v>
          </cell>
          <cell r="D515">
            <v>25</v>
          </cell>
          <cell r="E515">
            <v>1</v>
          </cell>
          <cell r="F515" t="str">
            <v>20 Weeks</v>
          </cell>
          <cell r="G515">
            <v>3000</v>
          </cell>
          <cell r="H515">
            <v>0.14676600000000001</v>
          </cell>
          <cell r="I515">
            <v>440.298</v>
          </cell>
          <cell r="J515">
            <v>0.17898292682926831</v>
          </cell>
          <cell r="K515">
            <v>96.650780487804923</v>
          </cell>
          <cell r="L515">
            <v>536.94878048780492</v>
          </cell>
          <cell r="O515"/>
          <cell r="Q515">
            <v>1</v>
          </cell>
          <cell r="R515" t="str">
            <v>DFLS130L-7</v>
          </cell>
          <cell r="S515" t="str">
            <v>DIODES INCORPORATED</v>
          </cell>
          <cell r="T515" t="str">
            <v>Future</v>
          </cell>
          <cell r="U515">
            <v>7.2499999999999995E-2</v>
          </cell>
          <cell r="V515">
            <v>3000</v>
          </cell>
          <cell r="W515">
            <v>0</v>
          </cell>
          <cell r="Y515" t="str">
            <v>Y</v>
          </cell>
          <cell r="Z515">
            <v>217.49999999999997</v>
          </cell>
          <cell r="AA515">
            <v>222.79800000000003</v>
          </cell>
          <cell r="AB515">
            <v>0.5949334314487007</v>
          </cell>
          <cell r="AD515">
            <v>1062411</v>
          </cell>
          <cell r="AE515" t="str">
            <v>POV0067098</v>
          </cell>
          <cell r="AF515" t="str">
            <v>SH</v>
          </cell>
        </row>
        <row r="516">
          <cell r="A516" t="str">
            <v>609-901596-001</v>
          </cell>
          <cell r="B516" t="str">
            <v>DIODE,SCHOTTKY,DUAL SERIES,SOT-323</v>
          </cell>
          <cell r="C516" t="str">
            <v>DIO</v>
          </cell>
          <cell r="D516">
            <v>15</v>
          </cell>
          <cell r="E516">
            <v>1</v>
          </cell>
          <cell r="F516" t="str">
            <v>12 Weeks</v>
          </cell>
          <cell r="G516">
            <v>3000</v>
          </cell>
          <cell r="H516">
            <v>3.5639999999999998E-2</v>
          </cell>
          <cell r="I516">
            <v>106.91999999999999</v>
          </cell>
          <cell r="J516">
            <v>4.3463414634146338E-2</v>
          </cell>
          <cell r="K516">
            <v>23.470243902439023</v>
          </cell>
          <cell r="L516">
            <v>130.39024390243901</v>
          </cell>
          <cell r="O516"/>
          <cell r="Q516">
            <v>2</v>
          </cell>
          <cell r="R516" t="str">
            <v>BAT54SWT1G</v>
          </cell>
          <cell r="S516" t="str">
            <v>On Semiconductor</v>
          </cell>
          <cell r="T516" t="str">
            <v>Future</v>
          </cell>
          <cell r="U516">
            <v>1.9099999999999999E-2</v>
          </cell>
          <cell r="V516">
            <v>3000</v>
          </cell>
          <cell r="W516">
            <v>0</v>
          </cell>
          <cell r="Y516" t="str">
            <v>Y</v>
          </cell>
          <cell r="Z516">
            <v>57.3</v>
          </cell>
          <cell r="AA516">
            <v>49.61999999999999</v>
          </cell>
          <cell r="AB516">
            <v>0.56054994388327717</v>
          </cell>
          <cell r="AD516">
            <v>1062411</v>
          </cell>
          <cell r="AE516" t="str">
            <v>POV0067098</v>
          </cell>
          <cell r="AF516" t="str">
            <v>SH</v>
          </cell>
        </row>
        <row r="517">
          <cell r="A517" t="str">
            <v>630-099034-011</v>
          </cell>
          <cell r="B517" t="str">
            <v>IC,SMD,74HC11 3-IN AND SO14</v>
          </cell>
          <cell r="C517" t="str">
            <v>IC</v>
          </cell>
          <cell r="D517">
            <v>25</v>
          </cell>
          <cell r="E517">
            <v>1</v>
          </cell>
          <cell r="F517" t="str">
            <v>3 Weeks</v>
          </cell>
          <cell r="G517">
            <v>2500</v>
          </cell>
          <cell r="H517">
            <v>0.14460899999999999</v>
          </cell>
          <cell r="I517">
            <v>361.52249999999998</v>
          </cell>
          <cell r="J517">
            <v>0.17635243902439024</v>
          </cell>
          <cell r="K517">
            <v>79.358597560975625</v>
          </cell>
          <cell r="L517">
            <v>440.8810975609756</v>
          </cell>
          <cell r="O517"/>
          <cell r="Q517">
            <v>5</v>
          </cell>
          <cell r="R517" t="str">
            <v>SN74HC11DR</v>
          </cell>
          <cell r="S517" t="str">
            <v>Texas Instruments</v>
          </cell>
          <cell r="T517" t="str">
            <v>TI Store</v>
          </cell>
          <cell r="U517">
            <v>5.3999999999999999E-2</v>
          </cell>
          <cell r="V517">
            <v>2500</v>
          </cell>
          <cell r="W517">
            <v>0</v>
          </cell>
          <cell r="X517">
            <v>1</v>
          </cell>
          <cell r="Y517" t="str">
            <v>Y</v>
          </cell>
          <cell r="Z517">
            <v>135</v>
          </cell>
          <cell r="AA517">
            <v>226.52249999999998</v>
          </cell>
          <cell r="AB517">
            <v>0.69379499201294526</v>
          </cell>
          <cell r="AC517" t="str">
            <v>JH</v>
          </cell>
          <cell r="AD517">
            <v>1062721</v>
          </cell>
          <cell r="AE517" t="str">
            <v>POV0067160</v>
          </cell>
          <cell r="AF517" t="str">
            <v>JH</v>
          </cell>
        </row>
        <row r="518">
          <cell r="A518" t="str">
            <v>630-048331-001</v>
          </cell>
          <cell r="B518" t="str">
            <v>IC,SMD,LM311,VOLT COMPARATOR,8SOIC</v>
          </cell>
          <cell r="C518" t="str">
            <v>IC</v>
          </cell>
          <cell r="D518">
            <v>15</v>
          </cell>
          <cell r="E518">
            <v>1</v>
          </cell>
          <cell r="F518" t="str">
            <v>3 Weeks</v>
          </cell>
          <cell r="G518">
            <v>2500</v>
          </cell>
          <cell r="H518">
            <v>0.350493</v>
          </cell>
          <cell r="I518">
            <v>876.23249999999996</v>
          </cell>
          <cell r="J518">
            <v>0.42743048780487808</v>
          </cell>
          <cell r="K518">
            <v>192.34371951219521</v>
          </cell>
          <cell r="L518">
            <v>1068.5762195121952</v>
          </cell>
          <cell r="O518"/>
          <cell r="Q518">
            <v>1</v>
          </cell>
          <cell r="R518" t="str">
            <v>LM311MX/NOPB</v>
          </cell>
          <cell r="S518" t="str">
            <v>Texas Instruments</v>
          </cell>
          <cell r="T518" t="str">
            <v>TI Store</v>
          </cell>
          <cell r="U518">
            <v>0.249</v>
          </cell>
          <cell r="V518">
            <v>2500</v>
          </cell>
          <cell r="W518">
            <v>0</v>
          </cell>
          <cell r="X518">
            <v>1</v>
          </cell>
          <cell r="Y518" t="str">
            <v>Y</v>
          </cell>
          <cell r="Z518">
            <v>622.5</v>
          </cell>
          <cell r="AA518">
            <v>253.73249999999996</v>
          </cell>
          <cell r="AB518">
            <v>0.4174491359313881</v>
          </cell>
          <cell r="AC518" t="str">
            <v>JH</v>
          </cell>
          <cell r="AD518">
            <v>1062721</v>
          </cell>
          <cell r="AE518" t="str">
            <v>POV0067160</v>
          </cell>
          <cell r="AF518" t="str">
            <v>JH</v>
          </cell>
        </row>
        <row r="519">
          <cell r="A519" t="str">
            <v>630-129637-001</v>
          </cell>
          <cell r="B519" t="str">
            <v>IC,SMD,DUAL OPAMP,RTR IN/OUT</v>
          </cell>
          <cell r="C519" t="str">
            <v>IC</v>
          </cell>
          <cell r="D519">
            <v>25</v>
          </cell>
          <cell r="E519">
            <v>1</v>
          </cell>
          <cell r="F519" t="str">
            <v>12 Weeks</v>
          </cell>
          <cell r="G519">
            <v>2500</v>
          </cell>
          <cell r="H519">
            <v>1.5808949999999999</v>
          </cell>
          <cell r="I519">
            <v>3952.2374999999997</v>
          </cell>
          <cell r="J519">
            <v>1.927920731707317</v>
          </cell>
          <cell r="K519">
            <v>867.56432926829302</v>
          </cell>
          <cell r="L519">
            <v>4819.8018292682927</v>
          </cell>
          <cell r="O519"/>
          <cell r="Q519">
            <v>1</v>
          </cell>
          <cell r="R519" t="str">
            <v>LM7332MAX/NOPB</v>
          </cell>
          <cell r="S519" t="str">
            <v>TEXAS INSTRUMENTS</v>
          </cell>
          <cell r="T519" t="str">
            <v>TI Store</v>
          </cell>
          <cell r="U519">
            <v>1.2</v>
          </cell>
          <cell r="V519">
            <v>2500</v>
          </cell>
          <cell r="W519">
            <v>0</v>
          </cell>
          <cell r="X519">
            <v>1</v>
          </cell>
          <cell r="Y519" t="str">
            <v>Y</v>
          </cell>
          <cell r="Z519">
            <v>3000</v>
          </cell>
          <cell r="AA519">
            <v>952.23749999999973</v>
          </cell>
          <cell r="AB519">
            <v>0.37756777015551324</v>
          </cell>
          <cell r="AC519" t="str">
            <v>JH</v>
          </cell>
          <cell r="AD519">
            <v>1062721</v>
          </cell>
          <cell r="AE519" t="str">
            <v>POV0067160</v>
          </cell>
          <cell r="AF519" t="str">
            <v>JH</v>
          </cell>
        </row>
        <row r="520">
          <cell r="A520" t="str">
            <v>682-020656-007</v>
          </cell>
          <cell r="B520" t="str">
            <v>FUSE,SMD,1812,6V-30V,XXX,ROHS</v>
          </cell>
          <cell r="C520" t="str">
            <v>FUSE</v>
          </cell>
          <cell r="D520">
            <v>25</v>
          </cell>
          <cell r="E520">
            <v>1</v>
          </cell>
          <cell r="F520" t="str">
            <v>18 Weeks</v>
          </cell>
          <cell r="G520">
            <v>2000</v>
          </cell>
          <cell r="H520">
            <v>0.16176599999999999</v>
          </cell>
          <cell r="I520">
            <v>323.53199999999998</v>
          </cell>
          <cell r="J520">
            <v>0.19727560975609756</v>
          </cell>
          <cell r="K520">
            <v>71.01921951219515</v>
          </cell>
          <cell r="L520">
            <v>394.55121951219513</v>
          </cell>
          <cell r="O520"/>
          <cell r="Q520">
            <v>1</v>
          </cell>
          <cell r="R520" t="str">
            <v>1812L110PR</v>
          </cell>
          <cell r="S520" t="str">
            <v>Littelfuse</v>
          </cell>
          <cell r="T520" t="str">
            <v>TTI</v>
          </cell>
          <cell r="U520">
            <v>0.15</v>
          </cell>
          <cell r="V520">
            <v>2000</v>
          </cell>
          <cell r="W520">
            <v>0</v>
          </cell>
          <cell r="X520">
            <v>1</v>
          </cell>
          <cell r="Y520" t="str">
            <v>Y</v>
          </cell>
          <cell r="Z520">
            <v>300</v>
          </cell>
          <cell r="AA520">
            <v>23.531999999999982</v>
          </cell>
          <cell r="AB520">
            <v>0.23964244649679167</v>
          </cell>
          <cell r="AC520" t="str">
            <v>JH</v>
          </cell>
          <cell r="AD520">
            <v>1062721</v>
          </cell>
          <cell r="AE520" t="str">
            <v>POV0067129</v>
          </cell>
          <cell r="AF520" t="str">
            <v>Stephanie Hill</v>
          </cell>
        </row>
        <row r="521">
          <cell r="A521" t="str">
            <v>686-227297-002</v>
          </cell>
          <cell r="B521" t="str">
            <v>SMT CABLE CLIP,1.5-2MM DIA</v>
          </cell>
          <cell r="C521" t="str">
            <v>TP</v>
          </cell>
          <cell r="D521">
            <v>25</v>
          </cell>
          <cell r="E521">
            <v>1</v>
          </cell>
          <cell r="F521" t="str">
            <v>24 Weeks</v>
          </cell>
          <cell r="G521">
            <v>1300</v>
          </cell>
          <cell r="H521">
            <v>0.15323700000000001</v>
          </cell>
          <cell r="I521">
            <v>199.2081</v>
          </cell>
          <cell r="J521">
            <v>0.18687439024390246</v>
          </cell>
          <cell r="K521">
            <v>43.728607317073198</v>
          </cell>
          <cell r="L521">
            <v>242.9367073170732</v>
          </cell>
          <cell r="O521"/>
          <cell r="Q521">
            <v>1</v>
          </cell>
          <cell r="R521" t="str">
            <v>S8121-46R</v>
          </cell>
          <cell r="S521" t="str">
            <v>Harwin</v>
          </cell>
          <cell r="T521" t="str">
            <v>TTI</v>
          </cell>
          <cell r="U521">
            <v>0.12</v>
          </cell>
          <cell r="V521">
            <v>1300</v>
          </cell>
          <cell r="W521">
            <v>0</v>
          </cell>
          <cell r="X521">
            <v>1</v>
          </cell>
          <cell r="Y521" t="str">
            <v>Y</v>
          </cell>
          <cell r="Z521">
            <v>156</v>
          </cell>
          <cell r="AA521">
            <v>43.208100000000002</v>
          </cell>
          <cell r="AB521">
            <v>0.35785743651990065</v>
          </cell>
          <cell r="AC521" t="str">
            <v>JH</v>
          </cell>
          <cell r="AD521">
            <v>1062721</v>
          </cell>
          <cell r="AE521" t="str">
            <v>POV0067129</v>
          </cell>
          <cell r="AF521" t="str">
            <v>Stephanie Hill</v>
          </cell>
        </row>
        <row r="522">
          <cell r="A522" t="str">
            <v>670-A11993-500</v>
          </cell>
          <cell r="B522" t="str">
            <v>FUSE,PPTC,5A HOLD CUR,60V,THT</v>
          </cell>
          <cell r="C522" t="str">
            <v>FUSE</v>
          </cell>
          <cell r="D522">
            <v>15</v>
          </cell>
          <cell r="E522">
            <v>1</v>
          </cell>
          <cell r="F522" t="str">
            <v>18 Weeks</v>
          </cell>
          <cell r="G522">
            <v>1000</v>
          </cell>
          <cell r="H522">
            <v>0.59559300000000004</v>
          </cell>
          <cell r="I522">
            <v>595.59300000000007</v>
          </cell>
          <cell r="J522">
            <v>0.72633292682926842</v>
          </cell>
          <cell r="K522">
            <v>130.73992682926837</v>
          </cell>
          <cell r="L522">
            <v>726.33292682926844</v>
          </cell>
          <cell r="M522" t="str">
            <v>CHINA</v>
          </cell>
          <cell r="N522">
            <v>8533408070</v>
          </cell>
          <cell r="O522">
            <v>0.35</v>
          </cell>
          <cell r="P522">
            <v>208.45755000000003</v>
          </cell>
          <cell r="Q522">
            <v>1</v>
          </cell>
          <cell r="R522" t="str">
            <v>RKEF500</v>
          </cell>
          <cell r="S522" t="str">
            <v>Littelfuse</v>
          </cell>
          <cell r="T522" t="str">
            <v>Future</v>
          </cell>
          <cell r="U522">
            <v>0.59499999999999997</v>
          </cell>
          <cell r="V522">
            <v>1000</v>
          </cell>
          <cell r="W522">
            <v>0</v>
          </cell>
          <cell r="X522" t="str">
            <v>7/18/2024 Ship</v>
          </cell>
          <cell r="Y522" t="str">
            <v>Y</v>
          </cell>
          <cell r="Z522">
            <v>595</v>
          </cell>
          <cell r="AA522">
            <v>0.59300000000007458</v>
          </cell>
          <cell r="AB522">
            <v>0.18081643001176995</v>
          </cell>
          <cell r="AD522">
            <v>1062411</v>
          </cell>
          <cell r="AE522" t="str">
            <v>POV0067098</v>
          </cell>
          <cell r="AF522" t="str">
            <v>SH</v>
          </cell>
        </row>
        <row r="523">
          <cell r="A523" t="str">
            <v>667-A66914-004</v>
          </cell>
          <cell r="B523" t="str">
            <v>CONN,SMD,HDR,4POSN,1ROW,2MM PITCH,RTANG</v>
          </cell>
          <cell r="C523" t="str">
            <v>CONN</v>
          </cell>
          <cell r="D523">
            <v>25</v>
          </cell>
          <cell r="E523">
            <v>1</v>
          </cell>
          <cell r="F523" t="str">
            <v>19 Weeks</v>
          </cell>
          <cell r="G523">
            <v>1000</v>
          </cell>
          <cell r="H523">
            <v>0.63085999999999998</v>
          </cell>
          <cell r="I523">
            <v>630.86</v>
          </cell>
          <cell r="J523">
            <v>0.76934146341463416</v>
          </cell>
          <cell r="K523">
            <v>138.48146341463416</v>
          </cell>
          <cell r="L523">
            <v>769.34146341463418</v>
          </cell>
          <cell r="O523"/>
          <cell r="Q523">
            <v>1</v>
          </cell>
          <cell r="R523" t="str">
            <v>SM04B-PASS-TBT(LF)(SN)</v>
          </cell>
          <cell r="S523" t="str">
            <v>J.S.T. MFG. CO.,LTD.</v>
          </cell>
          <cell r="T523" t="str">
            <v>Future</v>
          </cell>
          <cell r="U523">
            <v>0.375</v>
          </cell>
          <cell r="V523">
            <v>1000</v>
          </cell>
          <cell r="W523">
            <v>0</v>
          </cell>
          <cell r="Y523" t="str">
            <v>Y</v>
          </cell>
          <cell r="Z523">
            <v>375</v>
          </cell>
          <cell r="AA523">
            <v>255.86</v>
          </cell>
          <cell r="AB523">
            <v>0.51257014234536991</v>
          </cell>
          <cell r="AC523" t="str">
            <v>SH</v>
          </cell>
          <cell r="AD523">
            <v>1062411</v>
          </cell>
          <cell r="AE523" t="str">
            <v>POV0067098</v>
          </cell>
          <cell r="AF523" t="str">
            <v>SH</v>
          </cell>
        </row>
        <row r="524">
          <cell r="A524" t="str">
            <v>645-182367-006</v>
          </cell>
          <cell r="B524" t="str">
            <v>SWITCH,PUSH BUT,SPST,50MA,24V,1.40MM HT</v>
          </cell>
          <cell r="C524" t="str">
            <v>SW</v>
          </cell>
          <cell r="D524">
            <v>15</v>
          </cell>
          <cell r="E524">
            <v>1</v>
          </cell>
          <cell r="F524" t="str">
            <v>23 Weeks</v>
          </cell>
          <cell r="G524">
            <v>750</v>
          </cell>
          <cell r="H524">
            <v>7.5981000000000007E-2</v>
          </cell>
          <cell r="I524">
            <v>56.985750000000003</v>
          </cell>
          <cell r="J524">
            <v>9.2659756097560983E-2</v>
          </cell>
          <cell r="K524">
            <v>12.509067073170733</v>
          </cell>
          <cell r="L524">
            <v>69.494817073170736</v>
          </cell>
          <cell r="O524"/>
          <cell r="Q524">
            <v>1</v>
          </cell>
          <cell r="R524" t="str">
            <v>1825910-6</v>
          </cell>
          <cell r="S524" t="str">
            <v>TE Connectivity</v>
          </cell>
          <cell r="T524" t="str">
            <v>Future</v>
          </cell>
          <cell r="U524">
            <v>4.5199999999999997E-2</v>
          </cell>
          <cell r="V524">
            <v>750</v>
          </cell>
          <cell r="W524">
            <v>0</v>
          </cell>
          <cell r="Y524" t="str">
            <v>Y</v>
          </cell>
          <cell r="Z524">
            <v>33.9</v>
          </cell>
          <cell r="AA524">
            <v>23.085750000000004</v>
          </cell>
          <cell r="AB524">
            <v>0.51219383793316753</v>
          </cell>
          <cell r="AD524">
            <v>1062411</v>
          </cell>
          <cell r="AE524" t="str">
            <v>POV0067098</v>
          </cell>
          <cell r="AF524" t="str">
            <v>SH</v>
          </cell>
        </row>
        <row r="525">
          <cell r="A525" t="str">
            <v>32-08483-00</v>
          </cell>
          <cell r="B525" t="str">
            <v>LED,T-1 3/4,GREEN,LOW CURRENT</v>
          </cell>
          <cell r="C525" t="str">
            <v>LED</v>
          </cell>
          <cell r="D525">
            <v>25</v>
          </cell>
          <cell r="E525">
            <v>1</v>
          </cell>
          <cell r="F525" t="str">
            <v>15 Weeks</v>
          </cell>
          <cell r="G525">
            <v>500</v>
          </cell>
          <cell r="H525">
            <v>8.0882999999999997E-2</v>
          </cell>
          <cell r="I525">
            <v>40.441499999999998</v>
          </cell>
          <cell r="J525">
            <v>9.8637804878048782E-2</v>
          </cell>
          <cell r="K525">
            <v>8.8774024390243937</v>
          </cell>
          <cell r="L525">
            <v>49.318902439024392</v>
          </cell>
          <cell r="O525"/>
          <cell r="Q525">
            <v>1</v>
          </cell>
          <cell r="R525" t="str">
            <v>LTL-4233</v>
          </cell>
          <cell r="S525" t="str">
            <v>LITE-ON TECHNOLOGY CORPORATION</v>
          </cell>
          <cell r="T525" t="str">
            <v>Future</v>
          </cell>
          <cell r="U525">
            <v>3.73E-2</v>
          </cell>
          <cell r="V525">
            <v>500</v>
          </cell>
          <cell r="W525">
            <v>0</v>
          </cell>
          <cell r="Y525" t="str">
            <v>Y</v>
          </cell>
          <cell r="Z525">
            <v>18.649999999999999</v>
          </cell>
          <cell r="AA525">
            <v>21.791499999999999</v>
          </cell>
          <cell r="AB525">
            <v>0.62184884339107116</v>
          </cell>
          <cell r="AD525">
            <v>1062411</v>
          </cell>
          <cell r="AE525" t="str">
            <v>POV0067098</v>
          </cell>
          <cell r="AF525" t="str">
            <v>SH</v>
          </cell>
        </row>
        <row r="526">
          <cell r="A526" t="str">
            <v>662-060106-010</v>
          </cell>
          <cell r="B526" t="str">
            <v>L.E.D., RT ANGLE, GRN, 2.4V,RoHS</v>
          </cell>
          <cell r="C526" t="str">
            <v>LED</v>
          </cell>
          <cell r="D526">
            <v>25</v>
          </cell>
          <cell r="E526" t="str">
            <v>N/A</v>
          </cell>
          <cell r="F526" t="str">
            <v>25 Weeks</v>
          </cell>
          <cell r="G526">
            <v>500</v>
          </cell>
          <cell r="H526">
            <v>0.833928</v>
          </cell>
          <cell r="I526">
            <v>416.964</v>
          </cell>
          <cell r="J526">
            <v>1.0169853658536585</v>
          </cell>
          <cell r="K526">
            <v>91.528682926829276</v>
          </cell>
          <cell r="L526">
            <v>508.49268292682927</v>
          </cell>
          <cell r="O526"/>
          <cell r="Q526">
            <v>1</v>
          </cell>
          <cell r="R526" t="str">
            <v>555-2301F</v>
          </cell>
          <cell r="S526" t="str">
            <v>DIALIGHT</v>
          </cell>
          <cell r="T526" t="str">
            <v>Future</v>
          </cell>
          <cell r="U526">
            <v>0.56999999999999995</v>
          </cell>
          <cell r="V526">
            <v>500</v>
          </cell>
          <cell r="W526">
            <v>0</v>
          </cell>
          <cell r="Y526" t="str">
            <v>Y</v>
          </cell>
          <cell r="Z526">
            <v>285</v>
          </cell>
          <cell r="AA526">
            <v>131.964</v>
          </cell>
          <cell r="AB526">
            <v>0.43951995855757331</v>
          </cell>
          <cell r="AD526">
            <v>1062411</v>
          </cell>
          <cell r="AE526" t="str">
            <v>POV0067098</v>
          </cell>
          <cell r="AF526" t="str">
            <v>SH</v>
          </cell>
        </row>
        <row r="527">
          <cell r="A527" t="str">
            <v>670-095989-400</v>
          </cell>
          <cell r="B527" t="str">
            <v>PTC,RUE SERIES 4.00A,ROHS</v>
          </cell>
          <cell r="C527" t="str">
            <v>PTC</v>
          </cell>
          <cell r="D527">
            <v>15</v>
          </cell>
          <cell r="E527" t="str">
            <v>N/A</v>
          </cell>
          <cell r="F527" t="str">
            <v>17 Weeks</v>
          </cell>
          <cell r="G527">
            <v>500</v>
          </cell>
          <cell r="H527">
            <v>0.32108100000000001</v>
          </cell>
          <cell r="I527">
            <v>160.54050000000001</v>
          </cell>
          <cell r="J527">
            <v>0.39156219512195123</v>
          </cell>
          <cell r="K527">
            <v>35.24059756097563</v>
          </cell>
          <cell r="L527">
            <v>195.78109756097561</v>
          </cell>
          <cell r="O527"/>
          <cell r="Q527">
            <v>1</v>
          </cell>
          <cell r="R527" t="str">
            <v>RUEF400</v>
          </cell>
          <cell r="S527" t="str">
            <v>Littelfuse</v>
          </cell>
          <cell r="T527" t="str">
            <v>Future</v>
          </cell>
          <cell r="U527">
            <v>0.245</v>
          </cell>
          <cell r="V527">
            <v>500</v>
          </cell>
          <cell r="W527">
            <v>0</v>
          </cell>
          <cell r="Y527" t="str">
            <v>Y</v>
          </cell>
          <cell r="Z527">
            <v>122.5</v>
          </cell>
          <cell r="AA527">
            <v>38.040500000000009</v>
          </cell>
          <cell r="AB527">
            <v>0.37430118879659646</v>
          </cell>
          <cell r="AD527">
            <v>1062411</v>
          </cell>
          <cell r="AE527" t="str">
            <v>POV0067098</v>
          </cell>
          <cell r="AF527" t="str">
            <v>SH</v>
          </cell>
        </row>
        <row r="528">
          <cell r="A528" t="str">
            <v>648-097892-107</v>
          </cell>
          <cell r="B528" t="str">
            <v>CAP,7343H,100UF,10V,10% L-ESR,ROHS</v>
          </cell>
          <cell r="C528" t="str">
            <v>CAP</v>
          </cell>
          <cell r="D528">
            <v>25</v>
          </cell>
          <cell r="E528">
            <v>1</v>
          </cell>
          <cell r="F528" t="str">
            <v>13 Weeks</v>
          </cell>
          <cell r="G528">
            <v>500</v>
          </cell>
          <cell r="H528">
            <v>0.93753200000000003</v>
          </cell>
          <cell r="I528">
            <v>468.76600000000002</v>
          </cell>
          <cell r="J528">
            <v>1.1433317073170732</v>
          </cell>
          <cell r="K528">
            <v>102.89985365853664</v>
          </cell>
          <cell r="L528">
            <v>571.66585365853666</v>
          </cell>
          <cell r="O528"/>
          <cell r="Q528">
            <v>3</v>
          </cell>
          <cell r="R528" t="str">
            <v>TPSD107K010R0100</v>
          </cell>
          <cell r="S528" t="str">
            <v>Kyocera AVX Components</v>
          </cell>
          <cell r="T528" t="str">
            <v>Future</v>
          </cell>
          <cell r="U528">
            <v>0.22</v>
          </cell>
          <cell r="V528">
            <v>500</v>
          </cell>
          <cell r="W528">
            <v>0</v>
          </cell>
          <cell r="Y528" t="str">
            <v>Y</v>
          </cell>
          <cell r="Z528">
            <v>110</v>
          </cell>
          <cell r="AA528">
            <v>358.76600000000002</v>
          </cell>
          <cell r="AB528">
            <v>0.80757990127270318</v>
          </cell>
          <cell r="AD528">
            <v>1062411</v>
          </cell>
          <cell r="AE528" t="str">
            <v>POV0067098</v>
          </cell>
          <cell r="AF528" t="str">
            <v>SH</v>
          </cell>
        </row>
        <row r="529">
          <cell r="A529" t="str">
            <v>668-161365-001</v>
          </cell>
          <cell r="B529" t="str">
            <v>CONN,RCPT,2POSN,UNIV MATE-LOCK,600V,19A</v>
          </cell>
          <cell r="C529" t="str">
            <v>CONN</v>
          </cell>
          <cell r="D529">
            <v>15</v>
          </cell>
          <cell r="E529">
            <v>1</v>
          </cell>
          <cell r="F529" t="str">
            <v>18 Weeks</v>
          </cell>
          <cell r="G529">
            <v>500</v>
          </cell>
          <cell r="H529">
            <v>0.83720000000000006</v>
          </cell>
          <cell r="I529">
            <v>418.6</v>
          </cell>
          <cell r="J529">
            <v>1.0209756097560976</v>
          </cell>
          <cell r="K529">
            <v>91.887804878048826</v>
          </cell>
          <cell r="L529">
            <v>510.48780487804879</v>
          </cell>
          <cell r="O529"/>
          <cell r="Q529">
            <v>1</v>
          </cell>
          <cell r="R529" t="str">
            <v>350824-1</v>
          </cell>
          <cell r="S529" t="str">
            <v>TE CONNECTIVITY</v>
          </cell>
          <cell r="T529" t="str">
            <v>Future</v>
          </cell>
          <cell r="U529">
            <v>0.53500000000000003</v>
          </cell>
          <cell r="V529">
            <v>500</v>
          </cell>
          <cell r="W529">
            <v>0</v>
          </cell>
          <cell r="Y529" t="str">
            <v>Y</v>
          </cell>
          <cell r="Z529">
            <v>267.5</v>
          </cell>
          <cell r="AA529">
            <v>151.10000000000002</v>
          </cell>
          <cell r="AB529">
            <v>0.47599139990444339</v>
          </cell>
          <cell r="AD529">
            <v>1062411</v>
          </cell>
          <cell r="AE529" t="str">
            <v>POV0067098</v>
          </cell>
          <cell r="AF529" t="str">
            <v>SH</v>
          </cell>
        </row>
        <row r="530">
          <cell r="A530" t="str">
            <v>648-225118-007</v>
          </cell>
          <cell r="B530" t="str">
            <v>CAP,SMD,NPO,22PF,1%,250V,0805</v>
          </cell>
          <cell r="C530" t="str">
            <v>CAP</v>
          </cell>
          <cell r="D530">
            <v>25</v>
          </cell>
          <cell r="E530">
            <v>1</v>
          </cell>
          <cell r="F530" t="str">
            <v>3 Weeks</v>
          </cell>
          <cell r="G530">
            <v>500</v>
          </cell>
          <cell r="H530">
            <v>0.96569400000000005</v>
          </cell>
          <cell r="I530">
            <v>482.84700000000004</v>
          </cell>
          <cell r="J530">
            <v>1.1776756097560976</v>
          </cell>
          <cell r="K530">
            <v>105.99080487804878</v>
          </cell>
          <cell r="L530">
            <v>588.83780487804881</v>
          </cell>
          <cell r="O530"/>
          <cell r="Q530">
            <v>2</v>
          </cell>
          <cell r="R530" t="str">
            <v>600F220FT250XT</v>
          </cell>
          <cell r="S530" t="str">
            <v>Kyocera AVX</v>
          </cell>
          <cell r="T530" t="str">
            <v>TTI</v>
          </cell>
          <cell r="U530">
            <v>0.82499999999999996</v>
          </cell>
          <cell r="V530">
            <v>500</v>
          </cell>
          <cell r="W530">
            <v>0</v>
          </cell>
          <cell r="X530">
            <v>1</v>
          </cell>
          <cell r="Y530" t="str">
            <v>Y</v>
          </cell>
          <cell r="Z530">
            <v>412.5</v>
          </cell>
          <cell r="AA530">
            <v>70.347000000000037</v>
          </cell>
          <cell r="AB530">
            <v>0.29946753319374464</v>
          </cell>
          <cell r="AD530">
            <v>1062721</v>
          </cell>
          <cell r="AE530" t="str">
            <v>POV0067129</v>
          </cell>
          <cell r="AF530" t="str">
            <v>Stephanie Hill</v>
          </cell>
        </row>
        <row r="531">
          <cell r="A531" t="str">
            <v>648-B12344-001</v>
          </cell>
          <cell r="B531" t="str">
            <v>CAP,TANT,ELCTLT,6.3VDC,330UF,20%,7343</v>
          </cell>
          <cell r="C531" t="str">
            <v>CAP</v>
          </cell>
          <cell r="D531">
            <v>25</v>
          </cell>
          <cell r="E531">
            <v>1</v>
          </cell>
          <cell r="F531" t="str">
            <v>17 Weeks</v>
          </cell>
          <cell r="G531">
            <v>500</v>
          </cell>
          <cell r="H531">
            <v>2.8186499999999999</v>
          </cell>
          <cell r="I531">
            <v>1409.325</v>
          </cell>
          <cell r="J531">
            <v>3.4373780487804879</v>
          </cell>
          <cell r="K531">
            <v>309.36402439024391</v>
          </cell>
          <cell r="L531">
            <v>1718.689024390244</v>
          </cell>
          <cell r="O531"/>
          <cell r="Q531">
            <v>1</v>
          </cell>
          <cell r="R531" t="str">
            <v>T530D337M006ATE010</v>
          </cell>
          <cell r="S531" t="str">
            <v>Kemet</v>
          </cell>
          <cell r="T531" t="str">
            <v>TTI</v>
          </cell>
          <cell r="U531">
            <v>3.1</v>
          </cell>
          <cell r="V531">
            <v>500</v>
          </cell>
          <cell r="W531">
            <v>0</v>
          </cell>
          <cell r="X531">
            <v>1</v>
          </cell>
          <cell r="Y531" t="str">
            <v>Y</v>
          </cell>
          <cell r="Z531">
            <v>1550</v>
          </cell>
          <cell r="AA531">
            <v>-140.67499999999995</v>
          </cell>
          <cell r="AB531" t="str">
            <v/>
          </cell>
          <cell r="AC531" t="str">
            <v>JH</v>
          </cell>
          <cell r="AD531">
            <v>1062721</v>
          </cell>
          <cell r="AE531" t="str">
            <v>POV0067129</v>
          </cell>
          <cell r="AF531" t="str">
            <v>Stephanie Hill</v>
          </cell>
        </row>
        <row r="532">
          <cell r="A532" t="str">
            <v>608-096583-203</v>
          </cell>
          <cell r="B532" t="str">
            <v>RES,SMD,POT,12T,T-ADJ,0.25SQ,20K,ROHS</v>
          </cell>
          <cell r="C532" t="str">
            <v>RES</v>
          </cell>
          <cell r="D532">
            <v>25</v>
          </cell>
          <cell r="E532">
            <v>1</v>
          </cell>
          <cell r="F532" t="str">
            <v>20 Weeks</v>
          </cell>
          <cell r="G532">
            <v>500</v>
          </cell>
          <cell r="H532">
            <v>2.5980599999999998</v>
          </cell>
          <cell r="I532">
            <v>1299.03</v>
          </cell>
          <cell r="J532">
            <v>3.1683658536585364</v>
          </cell>
          <cell r="K532">
            <v>285.15292682926838</v>
          </cell>
          <cell r="L532">
            <v>1584.1829268292681</v>
          </cell>
          <cell r="O532"/>
          <cell r="Q532">
            <v>3</v>
          </cell>
          <cell r="R532" t="str">
            <v>84WR20KLF</v>
          </cell>
          <cell r="S532" t="str">
            <v>BI Technologies / TT Electronics</v>
          </cell>
          <cell r="T532" t="str">
            <v>TTI</v>
          </cell>
          <cell r="U532">
            <v>1.42</v>
          </cell>
          <cell r="V532">
            <v>500</v>
          </cell>
          <cell r="W532">
            <v>0</v>
          </cell>
          <cell r="X532">
            <v>1</v>
          </cell>
          <cell r="Y532" t="str">
            <v>Y</v>
          </cell>
          <cell r="Z532">
            <v>710</v>
          </cell>
          <cell r="AA532">
            <v>589.03</v>
          </cell>
          <cell r="AB532">
            <v>0.55181943450112769</v>
          </cell>
          <cell r="AC532" t="str">
            <v>JH</v>
          </cell>
          <cell r="AD532">
            <v>1062721</v>
          </cell>
          <cell r="AE532" t="str">
            <v>POV0067129</v>
          </cell>
          <cell r="AF532" t="str">
            <v>Stephanie Hill</v>
          </cell>
        </row>
        <row r="533">
          <cell r="A533" t="str">
            <v>648-B36944-476</v>
          </cell>
          <cell r="B533" t="str">
            <v>CAP,SMD,MLCC,47UF,20%,35VDC,X7R,2220</v>
          </cell>
          <cell r="C533" t="str">
            <v>CAP</v>
          </cell>
          <cell r="D533">
            <v>25</v>
          </cell>
          <cell r="E533">
            <v>1</v>
          </cell>
          <cell r="F533" t="str">
            <v>33 Weeks</v>
          </cell>
          <cell r="G533">
            <v>500</v>
          </cell>
          <cell r="H533">
            <v>2.5980599999999998</v>
          </cell>
          <cell r="I533">
            <v>1299.03</v>
          </cell>
          <cell r="J533">
            <v>3.1683658536585364</v>
          </cell>
          <cell r="K533">
            <v>285.15292682926838</v>
          </cell>
          <cell r="L533">
            <v>1584.1829268292681</v>
          </cell>
          <cell r="O533"/>
          <cell r="Q533">
            <v>1</v>
          </cell>
          <cell r="R533" t="str">
            <v>CGA9N1X7R1V476M230KC</v>
          </cell>
          <cell r="S533" t="str">
            <v>TDK</v>
          </cell>
          <cell r="T533" t="str">
            <v>TTI</v>
          </cell>
          <cell r="U533">
            <v>2.36</v>
          </cell>
          <cell r="V533">
            <v>500</v>
          </cell>
          <cell r="W533">
            <v>0</v>
          </cell>
          <cell r="X533">
            <v>1</v>
          </cell>
          <cell r="Y533" t="str">
            <v>Y</v>
          </cell>
          <cell r="Z533">
            <v>1180</v>
          </cell>
          <cell r="AA533">
            <v>119.02999999999997</v>
          </cell>
          <cell r="AB533">
            <v>0.25513652494553618</v>
          </cell>
          <cell r="AC533" t="str">
            <v>JH</v>
          </cell>
          <cell r="AD533">
            <v>1062721</v>
          </cell>
          <cell r="AE533" t="str">
            <v>POV0067129</v>
          </cell>
          <cell r="AF533" t="str">
            <v>Stephanie Hill</v>
          </cell>
        </row>
        <row r="534">
          <cell r="A534" t="str">
            <v>648-036367-221</v>
          </cell>
          <cell r="B534" t="str">
            <v>CAP,SMD,AL,ELCTLT,FK,LESR,20%,35V,220UF</v>
          </cell>
          <cell r="C534" t="str">
            <v>CAP</v>
          </cell>
          <cell r="D534">
            <v>25</v>
          </cell>
          <cell r="E534">
            <v>1</v>
          </cell>
          <cell r="F534" t="str">
            <v>25 Weeks</v>
          </cell>
          <cell r="G534">
            <v>500</v>
          </cell>
          <cell r="H534">
            <v>0.264708</v>
          </cell>
          <cell r="I534">
            <v>132.35400000000001</v>
          </cell>
          <cell r="J534">
            <v>0.32281463414634148</v>
          </cell>
          <cell r="K534">
            <v>29.053317073170746</v>
          </cell>
          <cell r="L534">
            <v>161.40731707317073</v>
          </cell>
          <cell r="O534"/>
          <cell r="Q534">
            <v>1</v>
          </cell>
          <cell r="R534" t="str">
            <v>EEE-FK1V221P</v>
          </cell>
          <cell r="S534" t="str">
            <v>Panasonic</v>
          </cell>
          <cell r="T534" t="str">
            <v>Future</v>
          </cell>
          <cell r="U534">
            <v>0.193</v>
          </cell>
          <cell r="V534">
            <v>500</v>
          </cell>
          <cell r="W534">
            <v>0</v>
          </cell>
          <cell r="Y534" t="str">
            <v>Y</v>
          </cell>
          <cell r="Z534">
            <v>96.5</v>
          </cell>
          <cell r="AA534">
            <v>35.854000000000013</v>
          </cell>
          <cell r="AB534">
            <v>0.40213367181951432</v>
          </cell>
          <cell r="AD534">
            <v>1062411</v>
          </cell>
          <cell r="AE534" t="str">
            <v>POV0067098</v>
          </cell>
          <cell r="AF534" t="str">
            <v>SH</v>
          </cell>
        </row>
        <row r="535">
          <cell r="A535" t="str">
            <v>648-097893-106</v>
          </cell>
          <cell r="B535" t="str">
            <v>CAP,SMD,TANT L-ESR,35V,10%,10UF,ROHS</v>
          </cell>
          <cell r="C535" t="str">
            <v>CAP</v>
          </cell>
          <cell r="D535">
            <v>25</v>
          </cell>
          <cell r="E535">
            <v>1</v>
          </cell>
          <cell r="F535" t="str">
            <v>16 Weeks</v>
          </cell>
          <cell r="G535">
            <v>500</v>
          </cell>
          <cell r="H535">
            <v>0.65686800000000001</v>
          </cell>
          <cell r="I535">
            <v>328.43400000000003</v>
          </cell>
          <cell r="J535">
            <v>0.80105853658536597</v>
          </cell>
          <cell r="K535">
            <v>72.095268292682931</v>
          </cell>
          <cell r="L535">
            <v>400.52926829268296</v>
          </cell>
          <cell r="O535"/>
          <cell r="Q535">
            <v>3</v>
          </cell>
          <cell r="R535" t="str">
            <v>593D106X9035D2TE3</v>
          </cell>
          <cell r="S535" t="str">
            <v>Vishay</v>
          </cell>
          <cell r="T535" t="str">
            <v>Future</v>
          </cell>
          <cell r="U535">
            <v>0.2</v>
          </cell>
          <cell r="V535">
            <v>500</v>
          </cell>
          <cell r="W535">
            <v>0</v>
          </cell>
          <cell r="Y535" t="str">
            <v>Y</v>
          </cell>
          <cell r="Z535">
            <v>100</v>
          </cell>
          <cell r="AA535">
            <v>228.43400000000003</v>
          </cell>
          <cell r="AB535">
            <v>0.75033035556611072</v>
          </cell>
          <cell r="AD535">
            <v>1062411</v>
          </cell>
          <cell r="AE535" t="str">
            <v>POV0067098</v>
          </cell>
          <cell r="AF535" t="str">
            <v>SH</v>
          </cell>
        </row>
        <row r="536">
          <cell r="A536" t="str">
            <v>670-097907-300</v>
          </cell>
          <cell r="B536" t="str">
            <v>FUSE,3.00A,GEN PUR,RSTBL,ROHS</v>
          </cell>
          <cell r="C536" t="str">
            <v>FUSE</v>
          </cell>
          <cell r="D536">
            <v>25</v>
          </cell>
          <cell r="E536">
            <v>1</v>
          </cell>
          <cell r="F536" t="str">
            <v>25 Weeks</v>
          </cell>
          <cell r="G536">
            <v>250</v>
          </cell>
          <cell r="H536">
            <v>0.44853300000000002</v>
          </cell>
          <cell r="I536">
            <v>112.13325</v>
          </cell>
          <cell r="J536">
            <v>0.54699146341463423</v>
          </cell>
          <cell r="K536">
            <v>24.614615853658535</v>
          </cell>
          <cell r="L536">
            <v>136.74786585365857</v>
          </cell>
          <cell r="O536"/>
          <cell r="Q536">
            <v>1</v>
          </cell>
          <cell r="R536" t="str">
            <v>RXEF300</v>
          </cell>
          <cell r="S536" t="str">
            <v>Littelfuse</v>
          </cell>
          <cell r="T536" t="str">
            <v>Future</v>
          </cell>
          <cell r="U536">
            <v>0.32</v>
          </cell>
          <cell r="V536">
            <v>250</v>
          </cell>
          <cell r="W536">
            <v>0</v>
          </cell>
          <cell r="Y536" t="str">
            <v>Y</v>
          </cell>
          <cell r="Z536">
            <v>80</v>
          </cell>
          <cell r="AA536">
            <v>32.133250000000004</v>
          </cell>
          <cell r="AB536">
            <v>0.41498172932649335</v>
          </cell>
          <cell r="AD536">
            <v>1062411</v>
          </cell>
          <cell r="AE536" t="str">
            <v>POV0067098</v>
          </cell>
          <cell r="AF536" t="str">
            <v>SH</v>
          </cell>
        </row>
        <row r="537">
          <cell r="A537" t="str">
            <v>670-095989-500</v>
          </cell>
          <cell r="B537" t="str">
            <v>PTC,RUE SERIES 5.00A,ROHS</v>
          </cell>
          <cell r="C537" t="str">
            <v>PTC</v>
          </cell>
          <cell r="D537">
            <v>25</v>
          </cell>
          <cell r="E537" t="str">
            <v>N/A</v>
          </cell>
          <cell r="F537" t="str">
            <v>17 Weeks</v>
          </cell>
          <cell r="G537">
            <v>250</v>
          </cell>
          <cell r="H537">
            <v>0.45833699999999999</v>
          </cell>
          <cell r="I537">
            <v>114.58425</v>
          </cell>
          <cell r="J537">
            <v>0.55894756097560983</v>
          </cell>
          <cell r="K537">
            <v>25.152640243902454</v>
          </cell>
          <cell r="L537">
            <v>139.73689024390245</v>
          </cell>
          <cell r="O537"/>
          <cell r="Q537">
            <v>1</v>
          </cell>
          <cell r="R537" t="str">
            <v>RUEF500</v>
          </cell>
          <cell r="S537" t="str">
            <v>Littelfuse</v>
          </cell>
          <cell r="T537" t="str">
            <v>Future</v>
          </cell>
          <cell r="U537">
            <v>0.29499999999999998</v>
          </cell>
          <cell r="V537">
            <v>250</v>
          </cell>
          <cell r="W537">
            <v>0</v>
          </cell>
          <cell r="Y537" t="str">
            <v>Y</v>
          </cell>
          <cell r="Z537">
            <v>73.75</v>
          </cell>
          <cell r="AA537">
            <v>40.834249999999997</v>
          </cell>
          <cell r="AB537">
            <v>0.47222240403894955</v>
          </cell>
          <cell r="AD537">
            <v>1062411</v>
          </cell>
          <cell r="AE537" t="str">
            <v>POV0067098</v>
          </cell>
          <cell r="AF537" t="str">
            <v>SH</v>
          </cell>
        </row>
        <row r="538">
          <cell r="A538" t="str">
            <v>670-097092-800</v>
          </cell>
          <cell r="B538" t="str">
            <v>FUSE,PTC,RUEF, 8.0A ROHS</v>
          </cell>
          <cell r="C538" t="str">
            <v>FUSE</v>
          </cell>
          <cell r="D538">
            <v>25</v>
          </cell>
          <cell r="E538">
            <v>1</v>
          </cell>
          <cell r="F538" t="str">
            <v>18 Weeks</v>
          </cell>
          <cell r="G538">
            <v>250</v>
          </cell>
          <cell r="H538">
            <v>0.58199999999999996</v>
          </cell>
          <cell r="I538">
            <v>145.5</v>
          </cell>
          <cell r="J538">
            <v>0.70975609756097557</v>
          </cell>
          <cell r="K538">
            <v>31.939024390243901</v>
          </cell>
          <cell r="L538">
            <v>177.4390243902439</v>
          </cell>
          <cell r="O538"/>
          <cell r="Q538">
            <v>3</v>
          </cell>
          <cell r="R538" t="str">
            <v>RUEF800</v>
          </cell>
          <cell r="S538" t="str">
            <v>Littelfuse</v>
          </cell>
          <cell r="T538" t="str">
            <v>Future</v>
          </cell>
          <cell r="U538">
            <v>0.33</v>
          </cell>
          <cell r="V538">
            <v>250</v>
          </cell>
          <cell r="W538">
            <v>0</v>
          </cell>
          <cell r="X538">
            <v>45560</v>
          </cell>
          <cell r="Y538" t="str">
            <v>Y</v>
          </cell>
          <cell r="Z538">
            <v>82.5</v>
          </cell>
          <cell r="AA538">
            <v>63</v>
          </cell>
          <cell r="AB538">
            <v>0.53505154639175256</v>
          </cell>
          <cell r="AD538">
            <v>1062411</v>
          </cell>
          <cell r="AE538" t="str">
            <v>POV0067098</v>
          </cell>
          <cell r="AF538" t="str">
            <v>SH</v>
          </cell>
        </row>
        <row r="539">
          <cell r="A539" t="str">
            <v>668-B30762-003</v>
          </cell>
          <cell r="B539" t="str">
            <v>CONN,HDR,SHRD,3POSN,3A,600V,1ROW,TH</v>
          </cell>
          <cell r="C539" t="str">
            <v>CONN</v>
          </cell>
          <cell r="D539">
            <v>15</v>
          </cell>
          <cell r="E539">
            <v>1</v>
          </cell>
          <cell r="F539" t="str">
            <v>13 Weeks</v>
          </cell>
          <cell r="G539">
            <v>208</v>
          </cell>
          <cell r="H539">
            <v>0.83333999999999997</v>
          </cell>
          <cell r="I539">
            <v>173.33472</v>
          </cell>
          <cell r="J539">
            <v>1.016268292682927</v>
          </cell>
          <cell r="K539">
            <v>38.049084878048802</v>
          </cell>
          <cell r="L539">
            <v>211.38380487804881</v>
          </cell>
          <cell r="O539"/>
          <cell r="Q539">
            <v>1</v>
          </cell>
          <cell r="R539" t="str">
            <v>5-103634-2</v>
          </cell>
          <cell r="S539" t="str">
            <v>TE CONNECTIVITY</v>
          </cell>
          <cell r="T539" t="str">
            <v>TTI</v>
          </cell>
          <cell r="U539">
            <v>0.58599999999999997</v>
          </cell>
          <cell r="V539">
            <v>208</v>
          </cell>
          <cell r="W539">
            <v>0</v>
          </cell>
          <cell r="X539">
            <v>1</v>
          </cell>
          <cell r="Y539" t="str">
            <v>Y</v>
          </cell>
          <cell r="Z539">
            <v>121.88799999999999</v>
          </cell>
          <cell r="AA539">
            <v>51.446720000000013</v>
          </cell>
          <cell r="AB539">
            <v>0.42338061295509644</v>
          </cell>
          <cell r="AC539" t="str">
            <v>JH</v>
          </cell>
          <cell r="AD539">
            <v>1062721</v>
          </cell>
          <cell r="AE539" t="str">
            <v>POV0067129</v>
          </cell>
          <cell r="AF539" t="str">
            <v>Stephanie Hill</v>
          </cell>
        </row>
        <row r="540">
          <cell r="A540" t="str">
            <v>668-097964-004</v>
          </cell>
          <cell r="B540" t="str">
            <v>CONN,HDR 4P R/A MINI M-N-L</v>
          </cell>
          <cell r="C540" t="str">
            <v>CONN</v>
          </cell>
          <cell r="D540">
            <v>25</v>
          </cell>
          <cell r="E540">
            <v>1</v>
          </cell>
          <cell r="F540" t="str">
            <v>23 Weeks</v>
          </cell>
          <cell r="G540">
            <v>200</v>
          </cell>
          <cell r="H540">
            <v>1.20099</v>
          </cell>
          <cell r="I540">
            <v>240.19800000000001</v>
          </cell>
          <cell r="J540">
            <v>1.4646219512195122</v>
          </cell>
          <cell r="K540">
            <v>52.726390243902443</v>
          </cell>
          <cell r="L540">
            <v>292.92439024390245</v>
          </cell>
          <cell r="O540"/>
          <cell r="Q540">
            <v>2</v>
          </cell>
          <cell r="R540" t="str">
            <v>1-770968-0</v>
          </cell>
          <cell r="S540" t="str">
            <v>Tyco</v>
          </cell>
          <cell r="T540" t="str">
            <v>Future</v>
          </cell>
          <cell r="U540">
            <v>0.78</v>
          </cell>
          <cell r="V540">
            <v>200</v>
          </cell>
          <cell r="W540">
            <v>0</v>
          </cell>
          <cell r="Y540" t="str">
            <v>Y</v>
          </cell>
          <cell r="Z540">
            <v>156</v>
          </cell>
          <cell r="AA540">
            <v>84.198000000000008</v>
          </cell>
          <cell r="AB540">
            <v>0.46743936252591611</v>
          </cell>
          <cell r="AD540">
            <v>1062411</v>
          </cell>
          <cell r="AE540" t="str">
            <v>POV0067098</v>
          </cell>
          <cell r="AF540" t="str">
            <v>SH</v>
          </cell>
        </row>
        <row r="541">
          <cell r="A541" t="str">
            <v>668-061260-008</v>
          </cell>
          <cell r="B541" t="str">
            <v>CONN,HDR,PCB,ST,MINI-U M-N-LOK,8P,ROHS</v>
          </cell>
          <cell r="C541" t="str">
            <v>CONN</v>
          </cell>
          <cell r="D541">
            <v>15</v>
          </cell>
          <cell r="E541">
            <v>1</v>
          </cell>
          <cell r="F541" t="str">
            <v>28 Weeks</v>
          </cell>
          <cell r="G541">
            <v>200</v>
          </cell>
          <cell r="H541">
            <v>2.376061</v>
          </cell>
          <cell r="I541">
            <v>475.2122</v>
          </cell>
          <cell r="J541">
            <v>2.8976353658536587</v>
          </cell>
          <cell r="K541">
            <v>104.31487317073169</v>
          </cell>
          <cell r="L541">
            <v>579.52707317073168</v>
          </cell>
          <cell r="O541"/>
          <cell r="Q541">
            <v>1</v>
          </cell>
          <cell r="R541" t="str">
            <v>1-794065-1</v>
          </cell>
          <cell r="S541" t="str">
            <v>TE CONNECTIVITY</v>
          </cell>
          <cell r="T541" t="str">
            <v>Future</v>
          </cell>
          <cell r="U541">
            <v>1.48</v>
          </cell>
          <cell r="V541">
            <v>200</v>
          </cell>
          <cell r="W541">
            <v>0</v>
          </cell>
          <cell r="Y541" t="str">
            <v>Y</v>
          </cell>
          <cell r="Z541">
            <v>296</v>
          </cell>
          <cell r="AA541">
            <v>179.2122</v>
          </cell>
          <cell r="AB541">
            <v>0.48923870220503596</v>
          </cell>
          <cell r="AD541">
            <v>1062411</v>
          </cell>
          <cell r="AE541" t="str">
            <v>POV0067098</v>
          </cell>
          <cell r="AF541" t="str">
            <v>SH</v>
          </cell>
        </row>
        <row r="542">
          <cell r="A542" t="str">
            <v>668-061260-112</v>
          </cell>
          <cell r="B542" t="str">
            <v>CONN,HDR,PCB,ST,MINI-U M-N-LOK,12P,ROHS</v>
          </cell>
          <cell r="C542" t="str">
            <v>CONN</v>
          </cell>
          <cell r="D542">
            <v>25</v>
          </cell>
          <cell r="E542">
            <v>1</v>
          </cell>
          <cell r="F542" t="str">
            <v>28 Weeks</v>
          </cell>
          <cell r="G542">
            <v>200</v>
          </cell>
          <cell r="H542">
            <v>4.6508950000000002</v>
          </cell>
          <cell r="I542">
            <v>930.17900000000009</v>
          </cell>
          <cell r="J542">
            <v>5.6718231707317077</v>
          </cell>
          <cell r="K542">
            <v>204.1856341463415</v>
          </cell>
          <cell r="L542">
            <v>1134.3646341463416</v>
          </cell>
          <cell r="O542"/>
          <cell r="Q542">
            <v>1</v>
          </cell>
          <cell r="R542" t="str">
            <v>1-794066-1</v>
          </cell>
          <cell r="S542" t="str">
            <v>TE CONNECTIVITY</v>
          </cell>
          <cell r="T542" t="str">
            <v>Future</v>
          </cell>
          <cell r="U542">
            <v>3.05</v>
          </cell>
          <cell r="V542">
            <v>200</v>
          </cell>
          <cell r="W542">
            <v>0</v>
          </cell>
          <cell r="Y542" t="str">
            <v>Y</v>
          </cell>
          <cell r="Z542">
            <v>610</v>
          </cell>
          <cell r="AA542">
            <v>320.17900000000009</v>
          </cell>
          <cell r="AB542">
            <v>0.46225403927631137</v>
          </cell>
          <cell r="AD542">
            <v>1062411</v>
          </cell>
          <cell r="AE542" t="str">
            <v>POV0067098</v>
          </cell>
          <cell r="AF542" t="str">
            <v>SH</v>
          </cell>
        </row>
        <row r="543">
          <cell r="A543" t="str">
            <v>668-099502-006</v>
          </cell>
          <cell r="B543" t="str">
            <v>CONN,MDLR JK,6P6,RJ11,VERT</v>
          </cell>
          <cell r="C543" t="str">
            <v>CONN</v>
          </cell>
          <cell r="D543">
            <v>15</v>
          </cell>
          <cell r="E543">
            <v>1</v>
          </cell>
          <cell r="F543" t="str">
            <v>25 Weeks</v>
          </cell>
          <cell r="G543">
            <v>200</v>
          </cell>
          <cell r="H543">
            <v>1.13849</v>
          </cell>
          <cell r="I543">
            <v>227.69800000000001</v>
          </cell>
          <cell r="J543">
            <v>1.3884024390243903</v>
          </cell>
          <cell r="K543">
            <v>49.982487804878048</v>
          </cell>
          <cell r="L543">
            <v>277.68048780487806</v>
          </cell>
          <cell r="O543"/>
          <cell r="Q543">
            <v>3</v>
          </cell>
          <cell r="R543" t="str">
            <v>5520258-3</v>
          </cell>
          <cell r="S543" t="str">
            <v>Tyco</v>
          </cell>
          <cell r="T543" t="str">
            <v>Future</v>
          </cell>
          <cell r="U543">
            <v>0.66500000000000004</v>
          </cell>
          <cell r="V543">
            <v>200</v>
          </cell>
          <cell r="W543">
            <v>0</v>
          </cell>
          <cell r="Y543" t="str">
            <v>Y</v>
          </cell>
          <cell r="Z543">
            <v>133</v>
          </cell>
          <cell r="AA543">
            <v>94.698000000000008</v>
          </cell>
          <cell r="AB543">
            <v>0.52103224446415863</v>
          </cell>
          <cell r="AD543">
            <v>1062411</v>
          </cell>
          <cell r="AE543" t="str">
            <v>POV0067098</v>
          </cell>
          <cell r="AF543" t="str">
            <v>SH</v>
          </cell>
        </row>
        <row r="544">
          <cell r="A544" t="str">
            <v>631-A53030-001</v>
          </cell>
          <cell r="B544" t="str">
            <v>IC,OPTOCOUPLER,1-CH DARLINGTON,4-PIN DIP</v>
          </cell>
          <cell r="C544" t="str">
            <v>IC</v>
          </cell>
          <cell r="D544">
            <v>15</v>
          </cell>
          <cell r="E544">
            <v>1</v>
          </cell>
          <cell r="F544" t="str">
            <v>27 Weeks</v>
          </cell>
          <cell r="G544">
            <v>200</v>
          </cell>
          <cell r="H544">
            <v>0.37806699999999999</v>
          </cell>
          <cell r="I544">
            <v>75.613399999999999</v>
          </cell>
          <cell r="J544">
            <v>0.46105731707317077</v>
          </cell>
          <cell r="K544">
            <v>16.598063414634154</v>
          </cell>
          <cell r="L544">
            <v>92.211463414634153</v>
          </cell>
          <cell r="O544"/>
          <cell r="Q544">
            <v>1</v>
          </cell>
          <cell r="R544" t="str">
            <v>TLP627M(E</v>
          </cell>
          <cell r="S544" t="str">
            <v>Toshiba</v>
          </cell>
          <cell r="T544" t="str">
            <v>TTI</v>
          </cell>
          <cell r="U544">
            <v>0.38</v>
          </cell>
          <cell r="V544">
            <v>200</v>
          </cell>
          <cell r="W544">
            <v>0</v>
          </cell>
          <cell r="X544">
            <v>1</v>
          </cell>
          <cell r="Y544" t="str">
            <v>Y</v>
          </cell>
          <cell r="Z544">
            <v>76</v>
          </cell>
          <cell r="AA544">
            <v>-0.38660000000000139</v>
          </cell>
          <cell r="AB544" t="str">
            <v/>
          </cell>
          <cell r="AD544">
            <v>1062721</v>
          </cell>
          <cell r="AE544" t="str">
            <v>POV0067129</v>
          </cell>
          <cell r="AF544" t="str">
            <v>Stephanie Hill</v>
          </cell>
        </row>
        <row r="545">
          <cell r="A545" t="str">
            <v>668-097964-006</v>
          </cell>
          <cell r="B545" t="str">
            <v>CONN,HDR 6P R/A MINI M-N-L</v>
          </cell>
          <cell r="C545" t="str">
            <v>CONN</v>
          </cell>
          <cell r="D545">
            <v>25</v>
          </cell>
          <cell r="E545">
            <v>1</v>
          </cell>
          <cell r="F545" t="str">
            <v>23 Weeks</v>
          </cell>
          <cell r="G545">
            <v>100</v>
          </cell>
          <cell r="H545">
            <v>1.39707</v>
          </cell>
          <cell r="I545">
            <v>139.70699999999999</v>
          </cell>
          <cell r="J545">
            <v>1.7037439024390246</v>
          </cell>
          <cell r="K545">
            <v>30.667390243902446</v>
          </cell>
          <cell r="L545">
            <v>170.37439024390247</v>
          </cell>
          <cell r="O545"/>
          <cell r="Q545">
            <v>2</v>
          </cell>
          <cell r="R545" t="str">
            <v>1-770969-0</v>
          </cell>
          <cell r="S545" t="str">
            <v>Tyco</v>
          </cell>
          <cell r="T545" t="str">
            <v>Future</v>
          </cell>
          <cell r="U545">
            <v>0.79500000000000004</v>
          </cell>
          <cell r="V545">
            <v>100</v>
          </cell>
          <cell r="W545">
            <v>0</v>
          </cell>
          <cell r="Y545" t="str">
            <v>Y</v>
          </cell>
          <cell r="Z545">
            <v>79.5</v>
          </cell>
          <cell r="AA545">
            <v>60.206999999999994</v>
          </cell>
          <cell r="AB545">
            <v>0.53338057506066283</v>
          </cell>
          <cell r="AD545">
            <v>1062411</v>
          </cell>
          <cell r="AE545" t="str">
            <v>POV0067098</v>
          </cell>
          <cell r="AF545" t="str">
            <v>SH</v>
          </cell>
        </row>
        <row r="546">
          <cell r="A546" t="str">
            <v>668-161363-001</v>
          </cell>
          <cell r="B546" t="str">
            <v>CONN,PLUG,2POSN,UNIV MATE-LOCK,600V,19A</v>
          </cell>
          <cell r="C546" t="str">
            <v>CONN</v>
          </cell>
          <cell r="D546">
            <v>15</v>
          </cell>
          <cell r="E546">
            <v>1</v>
          </cell>
          <cell r="F546" t="str">
            <v>16 Weeks</v>
          </cell>
          <cell r="G546">
            <v>100</v>
          </cell>
          <cell r="H546">
            <v>0.45833699999999999</v>
          </cell>
          <cell r="I546">
            <v>45.8337</v>
          </cell>
          <cell r="J546">
            <v>0.55894756097560983</v>
          </cell>
          <cell r="K546">
            <v>10.061056097560979</v>
          </cell>
          <cell r="L546">
            <v>55.894756097560986</v>
          </cell>
          <cell r="O546"/>
          <cell r="Q546">
            <v>1</v>
          </cell>
          <cell r="R546" t="str">
            <v>350786-1</v>
          </cell>
          <cell r="S546" t="str">
            <v>TE CONNECTIVITY LTD</v>
          </cell>
          <cell r="T546" t="str">
            <v>Future</v>
          </cell>
          <cell r="U546">
            <v>0.375</v>
          </cell>
          <cell r="V546">
            <v>100</v>
          </cell>
          <cell r="W546">
            <v>0</v>
          </cell>
          <cell r="Y546" t="str">
            <v>Y</v>
          </cell>
          <cell r="Z546">
            <v>37.5</v>
          </cell>
          <cell r="AA546">
            <v>8.3337000000000003</v>
          </cell>
          <cell r="AB546">
            <v>0.3290962763206986</v>
          </cell>
          <cell r="AD546">
            <v>1062411</v>
          </cell>
          <cell r="AE546" t="str">
            <v>POV0067098</v>
          </cell>
          <cell r="AF546" t="str">
            <v>SH</v>
          </cell>
        </row>
        <row r="547">
          <cell r="A547" t="str">
            <v>670-048042-001</v>
          </cell>
          <cell r="B547" t="str">
            <v>FUSE,0.4A, RSTBL, 72V</v>
          </cell>
          <cell r="C547" t="str">
            <v>FUSE</v>
          </cell>
          <cell r="D547">
            <v>15</v>
          </cell>
          <cell r="E547">
            <v>1</v>
          </cell>
          <cell r="F547" t="str">
            <v>17 Weeks</v>
          </cell>
          <cell r="G547">
            <v>100</v>
          </cell>
          <cell r="H547">
            <v>0.25858100000000001</v>
          </cell>
          <cell r="I547">
            <v>25.8581</v>
          </cell>
          <cell r="J547">
            <v>0.31534268292682932</v>
          </cell>
          <cell r="K547">
            <v>5.6761682926829273</v>
          </cell>
          <cell r="L547">
            <v>31.534268292682931</v>
          </cell>
          <cell r="O547"/>
          <cell r="Q547">
            <v>1</v>
          </cell>
          <cell r="R547" t="str">
            <v>RXEF040</v>
          </cell>
          <cell r="S547" t="str">
            <v>Littelfuse</v>
          </cell>
          <cell r="T547" t="str">
            <v>Future</v>
          </cell>
          <cell r="U547">
            <v>0.183</v>
          </cell>
          <cell r="V547">
            <v>100</v>
          </cell>
          <cell r="W547">
            <v>0</v>
          </cell>
          <cell r="Y547" t="str">
            <v>Y</v>
          </cell>
          <cell r="Z547">
            <v>18.3</v>
          </cell>
          <cell r="AA547">
            <v>7.5580999999999996</v>
          </cell>
          <cell r="AB547">
            <v>0.41967894006133477</v>
          </cell>
          <cell r="AD547">
            <v>1062411</v>
          </cell>
          <cell r="AE547" t="str">
            <v>POV0067098</v>
          </cell>
          <cell r="AF547" t="str">
            <v>SH</v>
          </cell>
        </row>
        <row r="548">
          <cell r="A548" t="str">
            <v>668-307568-026</v>
          </cell>
          <cell r="B548" t="str">
            <v>CONN,RCPT,D-SUB,PCB,26 PIN,RTANG,5A MAX</v>
          </cell>
          <cell r="C548" t="str">
            <v>CONN</v>
          </cell>
          <cell r="D548">
            <v>25</v>
          </cell>
          <cell r="E548">
            <v>1</v>
          </cell>
          <cell r="F548" t="str">
            <v>42 Weeks</v>
          </cell>
          <cell r="G548">
            <v>100</v>
          </cell>
          <cell r="H548">
            <v>27.640172</v>
          </cell>
          <cell r="I548">
            <v>2764.0171999999998</v>
          </cell>
          <cell r="J548">
            <v>33.707526829268296</v>
          </cell>
          <cell r="K548">
            <v>606.73548292682926</v>
          </cell>
          <cell r="L548">
            <v>3370.7526829268295</v>
          </cell>
          <cell r="O548"/>
          <cell r="Q548">
            <v>1</v>
          </cell>
          <cell r="R548" t="str">
            <v>173113-0157</v>
          </cell>
          <cell r="S548" t="str">
            <v>MOLEX, LLC</v>
          </cell>
          <cell r="T548" t="str">
            <v>TTI</v>
          </cell>
          <cell r="U548">
            <v>33.64</v>
          </cell>
          <cell r="V548">
            <v>100</v>
          </cell>
          <cell r="W548">
            <v>0</v>
          </cell>
          <cell r="X548">
            <v>1</v>
          </cell>
          <cell r="Y548" t="str">
            <v>Y</v>
          </cell>
          <cell r="Z548">
            <v>3364</v>
          </cell>
          <cell r="AA548">
            <v>-599.98280000000022</v>
          </cell>
          <cell r="AB548" t="str">
            <v/>
          </cell>
          <cell r="AC548" t="str">
            <v>JH</v>
          </cell>
          <cell r="AD548">
            <v>1062721</v>
          </cell>
          <cell r="AE548" t="str">
            <v>POV0067129</v>
          </cell>
          <cell r="AF548" t="str">
            <v>Stephanie Hill</v>
          </cell>
        </row>
        <row r="549">
          <cell r="A549" t="str">
            <v>667-A00288-001</v>
          </cell>
          <cell r="B549" t="str">
            <v>CONN,SMD,MICRO SD,8PIN,PUSH-PUSH,.5A,10V</v>
          </cell>
          <cell r="C549" t="str">
            <v>CONN</v>
          </cell>
          <cell r="D549">
            <v>25</v>
          </cell>
          <cell r="E549">
            <v>1</v>
          </cell>
          <cell r="F549" t="str">
            <v>3 Weeks</v>
          </cell>
          <cell r="G549">
            <v>100</v>
          </cell>
          <cell r="H549">
            <v>1.885799</v>
          </cell>
          <cell r="I549">
            <v>188.57990000000001</v>
          </cell>
          <cell r="J549">
            <v>2.2997548780487804</v>
          </cell>
          <cell r="K549">
            <v>41.395587804878062</v>
          </cell>
          <cell r="L549">
            <v>229.97548780487804</v>
          </cell>
          <cell r="O549"/>
          <cell r="Q549">
            <v>1</v>
          </cell>
          <cell r="R549" t="str">
            <v>503398-1892</v>
          </cell>
          <cell r="S549" t="str">
            <v>MOLEX, LLC</v>
          </cell>
          <cell r="T549" t="str">
            <v>TTI</v>
          </cell>
          <cell r="U549">
            <v>1.7</v>
          </cell>
          <cell r="V549">
            <v>100</v>
          </cell>
          <cell r="W549">
            <v>0</v>
          </cell>
          <cell r="X549">
            <v>1</v>
          </cell>
          <cell r="Y549" t="str">
            <v>Y</v>
          </cell>
          <cell r="Z549">
            <v>170</v>
          </cell>
          <cell r="AA549">
            <v>18.579900000000009</v>
          </cell>
          <cell r="AB549">
            <v>0.26079078417158985</v>
          </cell>
          <cell r="AC549" t="str">
            <v>JH</v>
          </cell>
          <cell r="AD549">
            <v>1062721</v>
          </cell>
          <cell r="AE549" t="str">
            <v>POV0067129</v>
          </cell>
          <cell r="AF549" t="str">
            <v>Stephanie Hill</v>
          </cell>
        </row>
        <row r="550">
          <cell r="A550" t="str">
            <v>670-332664-016</v>
          </cell>
          <cell r="B550" t="str">
            <v>FUSE,FAST-ACT,5A,600VAC/300VDC,5AG</v>
          </cell>
          <cell r="C550" t="str">
            <v>FUSE</v>
          </cell>
          <cell r="D550">
            <v>25</v>
          </cell>
          <cell r="E550">
            <v>1</v>
          </cell>
          <cell r="F550" t="str">
            <v>15 Weeks</v>
          </cell>
          <cell r="G550">
            <v>100</v>
          </cell>
          <cell r="H550">
            <v>14.82855</v>
          </cell>
          <cell r="I550">
            <v>1482.855</v>
          </cell>
          <cell r="J550">
            <v>18.083597560975612</v>
          </cell>
          <cell r="K550">
            <v>325.50475609756108</v>
          </cell>
          <cell r="L550">
            <v>1808.3597560975611</v>
          </cell>
          <cell r="O550"/>
          <cell r="Q550">
            <v>1</v>
          </cell>
          <cell r="R550" t="str">
            <v>KLKR005.T</v>
          </cell>
          <cell r="S550" t="str">
            <v>Littelfuse</v>
          </cell>
          <cell r="T550" t="str">
            <v>TTI</v>
          </cell>
          <cell r="U550">
            <v>9.69</v>
          </cell>
          <cell r="V550">
            <v>100</v>
          </cell>
          <cell r="W550">
            <v>0</v>
          </cell>
          <cell r="X550">
            <v>1</v>
          </cell>
          <cell r="Y550" t="str">
            <v>Y</v>
          </cell>
          <cell r="Z550">
            <v>969</v>
          </cell>
          <cell r="AA550">
            <v>513.85500000000002</v>
          </cell>
          <cell r="AB550">
            <v>0.46415529502210262</v>
          </cell>
          <cell r="AC550" t="str">
            <v>JH</v>
          </cell>
          <cell r="AD550">
            <v>1062721</v>
          </cell>
          <cell r="AE550" t="str">
            <v>POV0067129</v>
          </cell>
          <cell r="AF550" t="str">
            <v>Stephanie Hill</v>
          </cell>
        </row>
        <row r="551">
          <cell r="A551" t="str">
            <v>668-A75508-002</v>
          </cell>
          <cell r="B551" t="str">
            <v>CONN,RCPT,COMBO-D,7W2,40A PWR,UNC 4-40</v>
          </cell>
          <cell r="C551" t="str">
            <v>CONN</v>
          </cell>
          <cell r="D551">
            <v>25</v>
          </cell>
          <cell r="E551">
            <v>1</v>
          </cell>
          <cell r="F551" t="str">
            <v>13 Weeks</v>
          </cell>
          <cell r="G551">
            <v>100</v>
          </cell>
          <cell r="H551">
            <v>9.8652750000000005</v>
          </cell>
          <cell r="I551">
            <v>986.52750000000003</v>
          </cell>
          <cell r="J551">
            <v>12.030823170731709</v>
          </cell>
          <cell r="K551">
            <v>216.55481707317074</v>
          </cell>
          <cell r="L551">
            <v>1203.082317073171</v>
          </cell>
          <cell r="O551"/>
          <cell r="Q551">
            <v>1</v>
          </cell>
          <cell r="R551" t="str">
            <v>DAO7W2S300G40LF</v>
          </cell>
          <cell r="S551" t="str">
            <v>Amphenol FCI</v>
          </cell>
          <cell r="T551" t="str">
            <v>TTI</v>
          </cell>
          <cell r="U551">
            <v>8.83</v>
          </cell>
          <cell r="V551">
            <v>100</v>
          </cell>
          <cell r="W551">
            <v>0</v>
          </cell>
          <cell r="X551">
            <v>1</v>
          </cell>
          <cell r="Y551" t="str">
            <v>Y</v>
          </cell>
          <cell r="Z551">
            <v>883</v>
          </cell>
          <cell r="AA551">
            <v>103.52750000000003</v>
          </cell>
          <cell r="AB551">
            <v>0.2660518840072883</v>
          </cell>
          <cell r="AC551" t="str">
            <v>JH</v>
          </cell>
          <cell r="AD551">
            <v>1062721</v>
          </cell>
          <cell r="AE551" t="str">
            <v>POV0067129</v>
          </cell>
          <cell r="AF551" t="str">
            <v>Stephanie Hill</v>
          </cell>
        </row>
        <row r="552">
          <cell r="A552" t="str">
            <v>668-098499-104</v>
          </cell>
          <cell r="B552" t="str">
            <v>CONN,HDR,4P,RTANG,MTE</v>
          </cell>
          <cell r="C552" t="str">
            <v>CONN</v>
          </cell>
          <cell r="D552">
            <v>25</v>
          </cell>
          <cell r="E552">
            <v>1</v>
          </cell>
          <cell r="F552" t="str">
            <v>19 Weeks</v>
          </cell>
          <cell r="G552">
            <v>84</v>
          </cell>
          <cell r="H552">
            <v>0.76716300000000004</v>
          </cell>
          <cell r="I552">
            <v>64.441692000000003</v>
          </cell>
          <cell r="J552">
            <v>0.93556463414634161</v>
          </cell>
          <cell r="K552">
            <v>14.145737268292692</v>
          </cell>
          <cell r="L552">
            <v>78.587429268292695</v>
          </cell>
          <cell r="O552"/>
          <cell r="Q552">
            <v>1</v>
          </cell>
          <cell r="R552" t="str">
            <v>5-103673-3</v>
          </cell>
          <cell r="S552" t="str">
            <v>TE CONNECTIVITY</v>
          </cell>
          <cell r="T552" t="str">
            <v>Future</v>
          </cell>
          <cell r="U552">
            <v>0.54</v>
          </cell>
          <cell r="V552">
            <v>84</v>
          </cell>
          <cell r="W552">
            <v>0</v>
          </cell>
          <cell r="Y552" t="str">
            <v>Y</v>
          </cell>
          <cell r="Z552">
            <v>45.36</v>
          </cell>
          <cell r="AA552">
            <v>19.081692000000004</v>
          </cell>
          <cell r="AB552">
            <v>0.42280845139820356</v>
          </cell>
          <cell r="AD552">
            <v>1062411</v>
          </cell>
          <cell r="AE552" t="str">
            <v>POV0067098</v>
          </cell>
          <cell r="AF552" t="str">
            <v>SH</v>
          </cell>
        </row>
        <row r="553">
          <cell r="A553" t="str">
            <v>644-B18976-001</v>
          </cell>
          <cell r="B553" t="str">
            <v>RLY,REED SW,SPNO,2A,1000VAC/DC,5VDC,TH</v>
          </cell>
          <cell r="C553" t="str">
            <v>RLY</v>
          </cell>
          <cell r="D553">
            <v>25</v>
          </cell>
          <cell r="E553">
            <v>1</v>
          </cell>
          <cell r="F553" t="str">
            <v>29 Weeks</v>
          </cell>
          <cell r="G553">
            <v>50</v>
          </cell>
          <cell r="H553">
            <v>76.642769999999999</v>
          </cell>
          <cell r="I553">
            <v>3832.1385</v>
          </cell>
          <cell r="J553">
            <v>93.466792682926837</v>
          </cell>
          <cell r="K553">
            <v>841.20113414634216</v>
          </cell>
          <cell r="L553">
            <v>4673.3396341463422</v>
          </cell>
          <cell r="O553"/>
          <cell r="Q553">
            <v>1</v>
          </cell>
          <cell r="R553" t="str">
            <v>DAT72415-HR</v>
          </cell>
          <cell r="S553" t="str">
            <v>Cynergy3</v>
          </cell>
          <cell r="T553" t="str">
            <v>Master Electronics</v>
          </cell>
          <cell r="U553">
            <v>64.069999999999993</v>
          </cell>
          <cell r="V553">
            <v>50</v>
          </cell>
          <cell r="W553">
            <v>0</v>
          </cell>
          <cell r="X553">
            <v>50</v>
          </cell>
          <cell r="Y553" t="str">
            <v>Y</v>
          </cell>
          <cell r="Z553">
            <v>3203.4999999999995</v>
          </cell>
          <cell r="AA553">
            <v>628.63850000000048</v>
          </cell>
          <cell r="AB553">
            <v>0.31451590280466135</v>
          </cell>
          <cell r="AC553" t="str">
            <v>JH</v>
          </cell>
          <cell r="AD553">
            <v>1062721</v>
          </cell>
          <cell r="AE553" t="str">
            <v>POV0067145</v>
          </cell>
          <cell r="AF553" t="str">
            <v>JH</v>
          </cell>
        </row>
        <row r="554">
          <cell r="A554" t="str">
            <v>682-343485-200</v>
          </cell>
          <cell r="B554" t="str">
            <v>FUSE,SMD,2A,32VAC/63VDC,FAST ACT,0603</v>
          </cell>
          <cell r="C554" t="str">
            <v>FUSE</v>
          </cell>
          <cell r="D554">
            <v>15</v>
          </cell>
          <cell r="E554">
            <v>1</v>
          </cell>
          <cell r="F554" t="str">
            <v>15 Weeks</v>
          </cell>
          <cell r="G554">
            <v>5000</v>
          </cell>
          <cell r="H554">
            <v>0.112746</v>
          </cell>
          <cell r="I554">
            <v>563.73</v>
          </cell>
          <cell r="J554">
            <v>0.13749512195121952</v>
          </cell>
          <cell r="K554">
            <v>123.74560975609756</v>
          </cell>
          <cell r="L554">
            <v>687.47560975609758</v>
          </cell>
          <cell r="O554"/>
          <cell r="Q554">
            <v>1</v>
          </cell>
          <cell r="R554" t="str">
            <v>0686F2000-01</v>
          </cell>
          <cell r="S554" t="str">
            <v>Bel</v>
          </cell>
          <cell r="T554" t="str">
            <v>Master Electronics</v>
          </cell>
          <cell r="U554">
            <v>0.12230000000000001</v>
          </cell>
          <cell r="V554">
            <v>5000</v>
          </cell>
          <cell r="W554">
            <v>0</v>
          </cell>
          <cell r="X554">
            <v>1</v>
          </cell>
          <cell r="Y554" t="str">
            <v>Y</v>
          </cell>
          <cell r="Z554">
            <v>611.5</v>
          </cell>
          <cell r="AA554">
            <v>-47.769999999999982</v>
          </cell>
          <cell r="AB554" t="str">
            <v/>
          </cell>
          <cell r="AC554" t="str">
            <v>JH</v>
          </cell>
          <cell r="AD554">
            <v>1062721</v>
          </cell>
          <cell r="AE554" t="str">
            <v>POV0067145</v>
          </cell>
          <cell r="AF554" t="str">
            <v>JH</v>
          </cell>
        </row>
        <row r="555">
          <cell r="A555" t="str">
            <v>615-A35815-001</v>
          </cell>
          <cell r="B555" t="str">
            <v>RES,SMD,1MOHM,+/-1%,200PPM,1/4W,0603</v>
          </cell>
          <cell r="C555" t="str">
            <v>RES</v>
          </cell>
          <cell r="D555">
            <v>15</v>
          </cell>
          <cell r="E555">
            <v>1</v>
          </cell>
          <cell r="F555" t="str">
            <v>15 Weeks</v>
          </cell>
          <cell r="G555">
            <v>5000</v>
          </cell>
          <cell r="H555">
            <v>1.8383E-2</v>
          </cell>
          <cell r="I555">
            <v>91.915000000000006</v>
          </cell>
          <cell r="J555">
            <v>2.2418292682926829E-2</v>
          </cell>
          <cell r="K555">
            <v>20.176463414634156</v>
          </cell>
          <cell r="L555">
            <v>112.09146341463415</v>
          </cell>
          <cell r="O555"/>
          <cell r="Q555">
            <v>1</v>
          </cell>
          <cell r="R555" t="str">
            <v>CRGP0603F1M0</v>
          </cell>
          <cell r="S555" t="str">
            <v>NEOHM - TE CONNECTIVITY</v>
          </cell>
          <cell r="T555" t="str">
            <v>Master Electronics</v>
          </cell>
          <cell r="U555">
            <v>1.9300000000000001E-2</v>
          </cell>
          <cell r="V555">
            <v>5000</v>
          </cell>
          <cell r="W555">
            <v>0</v>
          </cell>
          <cell r="X555">
            <v>1</v>
          </cell>
          <cell r="Y555" t="str">
            <v>Y</v>
          </cell>
          <cell r="Z555">
            <v>96.5</v>
          </cell>
          <cell r="AA555">
            <v>-4.5849999999999937</v>
          </cell>
          <cell r="AB555" t="str">
            <v/>
          </cell>
          <cell r="AC555" t="str">
            <v>JH</v>
          </cell>
          <cell r="AD555">
            <v>1062721</v>
          </cell>
          <cell r="AE555" t="str">
            <v>POV0067145</v>
          </cell>
          <cell r="AF555" t="str">
            <v>JH</v>
          </cell>
        </row>
        <row r="556">
          <cell r="A556" t="str">
            <v>723-B34232-008</v>
          </cell>
          <cell r="B556" t="str">
            <v>STDF,RND,FLARE MT,M3X0.5 THD,8MM LG,BRS</v>
          </cell>
          <cell r="C556" t="str">
            <v>STDF</v>
          </cell>
          <cell r="D556">
            <v>50</v>
          </cell>
          <cell r="E556" t="str">
            <v>N/A</v>
          </cell>
          <cell r="F556" t="str">
            <v>13 Weeks</v>
          </cell>
          <cell r="G556">
            <v>5000</v>
          </cell>
          <cell r="H556">
            <v>0.30147299999999999</v>
          </cell>
          <cell r="I556">
            <v>1507.365</v>
          </cell>
          <cell r="J556">
            <v>0.36765000000000003</v>
          </cell>
          <cell r="K556">
            <v>330.88500000000022</v>
          </cell>
          <cell r="L556">
            <v>1838.2500000000002</v>
          </cell>
          <cell r="O556"/>
          <cell r="Q556">
            <v>1</v>
          </cell>
          <cell r="R556" t="str">
            <v>KFB3-M3-8ET</v>
          </cell>
          <cell r="S556" t="str">
            <v>PENN ENGINEERING</v>
          </cell>
          <cell r="T556" t="str">
            <v>Bisco</v>
          </cell>
          <cell r="U556">
            <v>0.26</v>
          </cell>
          <cell r="V556">
            <v>4000</v>
          </cell>
          <cell r="W556">
            <v>1000</v>
          </cell>
          <cell r="X556">
            <v>1</v>
          </cell>
          <cell r="Y556" t="str">
            <v>Y</v>
          </cell>
          <cell r="Z556">
            <v>1040</v>
          </cell>
          <cell r="AA556">
            <v>165.89200000000005</v>
          </cell>
          <cell r="AB556">
            <v>0.29280565755473964</v>
          </cell>
          <cell r="AC556" t="str">
            <v>JH</v>
          </cell>
          <cell r="AD556">
            <v>1062721</v>
          </cell>
          <cell r="AE556" t="str">
            <v>POV0067183</v>
          </cell>
          <cell r="AF556" t="str">
            <v>JH</v>
          </cell>
        </row>
        <row r="557">
          <cell r="A557" t="str">
            <v>630-333296-002</v>
          </cell>
          <cell r="B557" t="str">
            <v>IC,SMD,LV I2C SW W/RESET,8-CHAN,VQFN-24</v>
          </cell>
          <cell r="C557" t="str">
            <v>IC</v>
          </cell>
          <cell r="D557">
            <v>15</v>
          </cell>
          <cell r="E557">
            <v>2</v>
          </cell>
          <cell r="F557" t="str">
            <v>3 Weeks</v>
          </cell>
          <cell r="G557">
            <v>3000</v>
          </cell>
          <cell r="H557">
            <v>0.94118400000000002</v>
          </cell>
          <cell r="I557">
            <v>2823.5520000000001</v>
          </cell>
          <cell r="J557">
            <v>1.1477853658536585</v>
          </cell>
          <cell r="K557">
            <v>619.80409756097606</v>
          </cell>
          <cell r="L557">
            <v>3443.3560975609757</v>
          </cell>
          <cell r="O557"/>
          <cell r="Q557">
            <v>2</v>
          </cell>
          <cell r="R557" t="str">
            <v>TCA9548ARGER</v>
          </cell>
          <cell r="S557" t="str">
            <v>Texas Instruments</v>
          </cell>
          <cell r="T557" t="str">
            <v>TI Store</v>
          </cell>
          <cell r="U557">
            <v>0.43</v>
          </cell>
          <cell r="V557">
            <v>3000</v>
          </cell>
          <cell r="W557">
            <v>0</v>
          </cell>
          <cell r="X557">
            <v>1</v>
          </cell>
          <cell r="Y557" t="str">
            <v>Y</v>
          </cell>
          <cell r="Z557">
            <v>1290</v>
          </cell>
          <cell r="AA557">
            <v>1533.5520000000001</v>
          </cell>
          <cell r="AB557">
            <v>0.6253654970760234</v>
          </cell>
          <cell r="AC557" t="str">
            <v>JH</v>
          </cell>
          <cell r="AD557">
            <v>1062721</v>
          </cell>
          <cell r="AE557" t="str">
            <v xml:space="preserve">POV0067184 </v>
          </cell>
          <cell r="AF557" t="str">
            <v>Jake Harris</v>
          </cell>
        </row>
        <row r="558">
          <cell r="A558" t="str">
            <v>630-B14805-001</v>
          </cell>
          <cell r="B558" t="str">
            <v>IC,SMD,PWR SW,40V,80MOHM,QFN-16</v>
          </cell>
          <cell r="C558" t="str">
            <v>IC</v>
          </cell>
          <cell r="D558">
            <v>25</v>
          </cell>
          <cell r="E558">
            <v>1</v>
          </cell>
          <cell r="F558" t="str">
            <v>3 Weeks</v>
          </cell>
          <cell r="G558">
            <v>3000</v>
          </cell>
          <cell r="H558">
            <v>1.0955969999999999</v>
          </cell>
          <cell r="I558">
            <v>3286.7909999999997</v>
          </cell>
          <cell r="J558">
            <v>1.3360939024390244</v>
          </cell>
          <cell r="K558">
            <v>721.49070731707343</v>
          </cell>
          <cell r="L558">
            <v>4008.2817073170731</v>
          </cell>
          <cell r="O558"/>
          <cell r="Q558">
            <v>1</v>
          </cell>
          <cell r="R558" t="str">
            <v>TPS27S100BRRKT</v>
          </cell>
          <cell r="S558" t="str">
            <v>Texas Instruments</v>
          </cell>
          <cell r="T558" t="str">
            <v>TI Store</v>
          </cell>
          <cell r="U558">
            <v>1.032</v>
          </cell>
          <cell r="V558">
            <v>3000</v>
          </cell>
          <cell r="W558">
            <v>0</v>
          </cell>
          <cell r="X558">
            <v>1</v>
          </cell>
          <cell r="Y558" t="str">
            <v>Y</v>
          </cell>
          <cell r="Z558">
            <v>3096</v>
          </cell>
          <cell r="AA558">
            <v>190.79099999999971</v>
          </cell>
          <cell r="AB558">
            <v>0.22759919934063344</v>
          </cell>
          <cell r="AC558" t="str">
            <v>JH</v>
          </cell>
          <cell r="AD558">
            <v>1062721</v>
          </cell>
          <cell r="AE558" t="str">
            <v xml:space="preserve">POV0067184 </v>
          </cell>
          <cell r="AF558" t="str">
            <v>Jake Harris</v>
          </cell>
        </row>
        <row r="559">
          <cell r="A559" t="str">
            <v>630-232594-001</v>
          </cell>
          <cell r="B559" t="str">
            <v>IC,SMD,I/O,EXPANDER,I2C,16B</v>
          </cell>
          <cell r="C559" t="str">
            <v>IC</v>
          </cell>
          <cell r="D559">
            <v>25</v>
          </cell>
          <cell r="E559">
            <v>1</v>
          </cell>
          <cell r="F559" t="str">
            <v>3 Weeks</v>
          </cell>
          <cell r="G559">
            <v>3000</v>
          </cell>
          <cell r="H559">
            <v>0.79167299999999996</v>
          </cell>
          <cell r="I559">
            <v>2375.0189999999998</v>
          </cell>
          <cell r="J559">
            <v>0.9654548780487805</v>
          </cell>
          <cell r="K559">
            <v>521.34563414634158</v>
          </cell>
          <cell r="L559">
            <v>2896.3646341463414</v>
          </cell>
          <cell r="O559"/>
          <cell r="Q559">
            <v>1</v>
          </cell>
          <cell r="R559" t="str">
            <v>TCA9539RTWR</v>
          </cell>
          <cell r="S559" t="str">
            <v>Texas Instruments</v>
          </cell>
          <cell r="T559" t="str">
            <v>TI Store</v>
          </cell>
          <cell r="U559">
            <v>0.59</v>
          </cell>
          <cell r="V559">
            <v>3000</v>
          </cell>
          <cell r="W559">
            <v>0</v>
          </cell>
          <cell r="X559">
            <v>1</v>
          </cell>
          <cell r="Y559" t="str">
            <v>Y</v>
          </cell>
          <cell r="Z559">
            <v>1770</v>
          </cell>
          <cell r="AA559">
            <v>605.01899999999978</v>
          </cell>
          <cell r="AB559">
            <v>0.38888909941352046</v>
          </cell>
          <cell r="AC559" t="str">
            <v>JH</v>
          </cell>
          <cell r="AD559">
            <v>1062721</v>
          </cell>
          <cell r="AE559" t="str">
            <v xml:space="preserve">POV0067184 </v>
          </cell>
          <cell r="AF559" t="str">
            <v>Jake Harris</v>
          </cell>
        </row>
        <row r="560">
          <cell r="A560" t="str">
            <v>630-119587-001</v>
          </cell>
          <cell r="B560" t="str">
            <v>IC,SMD,DUAL BUFFER GATE</v>
          </cell>
          <cell r="C560" t="str">
            <v>IC</v>
          </cell>
          <cell r="D560">
            <v>15</v>
          </cell>
          <cell r="E560">
            <v>1</v>
          </cell>
          <cell r="F560" t="str">
            <v>9 Weeks</v>
          </cell>
          <cell r="G560">
            <v>3000</v>
          </cell>
          <cell r="H560">
            <v>1.0490280000000001</v>
          </cell>
          <cell r="I560">
            <v>3147.0840000000003</v>
          </cell>
          <cell r="J560">
            <v>1.2793024390243903</v>
          </cell>
          <cell r="K560">
            <v>690.82331707317098</v>
          </cell>
          <cell r="L560">
            <v>3837.9073170731708</v>
          </cell>
          <cell r="O560"/>
          <cell r="Q560">
            <v>1</v>
          </cell>
          <cell r="R560" t="str">
            <v>SN74LVC2G34MDCKREP</v>
          </cell>
          <cell r="S560" t="str">
            <v>Texas Instruments</v>
          </cell>
          <cell r="T560" t="str">
            <v>TI Store</v>
          </cell>
          <cell r="U560">
            <v>0.79</v>
          </cell>
          <cell r="V560">
            <v>3000</v>
          </cell>
          <cell r="W560">
            <v>0</v>
          </cell>
          <cell r="X560">
            <v>1</v>
          </cell>
          <cell r="Y560" t="str">
            <v>Y</v>
          </cell>
          <cell r="Z560">
            <v>2370</v>
          </cell>
          <cell r="AA560">
            <v>777.08400000000029</v>
          </cell>
          <cell r="AB560">
            <v>0.38247596822963736</v>
          </cell>
          <cell r="AC560" t="str">
            <v>JH</v>
          </cell>
          <cell r="AD560">
            <v>1062721</v>
          </cell>
          <cell r="AE560" t="str">
            <v xml:space="preserve">POV0067184 </v>
          </cell>
          <cell r="AF560" t="str">
            <v>Jake Harris</v>
          </cell>
        </row>
        <row r="561">
          <cell r="A561" t="str">
            <v>630-121755-001</v>
          </cell>
          <cell r="B561" t="str">
            <v>IC,SMD,LDO,REG,150MA,1.8V,SC70-5</v>
          </cell>
          <cell r="C561" t="str">
            <v>IC</v>
          </cell>
          <cell r="D561">
            <v>15</v>
          </cell>
          <cell r="E561">
            <v>1</v>
          </cell>
          <cell r="F561" t="str">
            <v>9 Weeks</v>
          </cell>
          <cell r="G561">
            <v>3000</v>
          </cell>
          <cell r="H561">
            <v>0.46666999999999997</v>
          </cell>
          <cell r="I561">
            <v>1400.01</v>
          </cell>
          <cell r="J561">
            <v>0.56910975609756098</v>
          </cell>
          <cell r="K561">
            <v>307.31926829268309</v>
          </cell>
          <cell r="L561">
            <v>1707.3292682926829</v>
          </cell>
          <cell r="O561"/>
          <cell r="Q561">
            <v>1</v>
          </cell>
          <cell r="R561" t="str">
            <v>TPS71718DCKR</v>
          </cell>
          <cell r="S561" t="str">
            <v>Texas Instruments</v>
          </cell>
          <cell r="T561" t="str">
            <v>TI Store</v>
          </cell>
          <cell r="U561">
            <v>0.33500000000000002</v>
          </cell>
          <cell r="V561">
            <v>3000</v>
          </cell>
          <cell r="W561">
            <v>0</v>
          </cell>
          <cell r="X561">
            <v>1</v>
          </cell>
          <cell r="Y561" t="str">
            <v>Y</v>
          </cell>
          <cell r="Z561">
            <v>1005.0000000000001</v>
          </cell>
          <cell r="AA561">
            <v>395.00999999999988</v>
          </cell>
          <cell r="AB561">
            <v>0.41136134741894692</v>
          </cell>
          <cell r="AC561" t="str">
            <v>JH</v>
          </cell>
          <cell r="AD561">
            <v>1062721</v>
          </cell>
          <cell r="AE561" t="str">
            <v xml:space="preserve">POV0067184 </v>
          </cell>
          <cell r="AF561" t="str">
            <v>Jake Harris</v>
          </cell>
        </row>
        <row r="562">
          <cell r="A562" t="str">
            <v>630-135486-001</v>
          </cell>
          <cell r="B562" t="str">
            <v>IC,SMD,SINGLE 2 IN NAND</v>
          </cell>
          <cell r="C562" t="str">
            <v>IC</v>
          </cell>
          <cell r="D562">
            <v>25</v>
          </cell>
          <cell r="E562">
            <v>1</v>
          </cell>
          <cell r="F562" t="str">
            <v>9 Weeks</v>
          </cell>
          <cell r="G562">
            <v>3000</v>
          </cell>
          <cell r="H562">
            <v>4.5344000000000002E-2</v>
          </cell>
          <cell r="I562">
            <v>136.03200000000001</v>
          </cell>
          <cell r="J562">
            <v>5.5297560975609762E-2</v>
          </cell>
          <cell r="K562">
            <v>29.86068292682927</v>
          </cell>
          <cell r="L562">
            <v>165.89268292682928</v>
          </cell>
          <cell r="M562" t="str">
            <v>CHINA</v>
          </cell>
          <cell r="N562">
            <v>8542390001</v>
          </cell>
          <cell r="O562">
            <v>0.35</v>
          </cell>
          <cell r="P562">
            <v>47.611200000000004</v>
          </cell>
          <cell r="Q562">
            <v>1</v>
          </cell>
          <cell r="R562" t="str">
            <v>SN74LVC1G00DCKR</v>
          </cell>
          <cell r="S562" t="str">
            <v>Texas Instruments</v>
          </cell>
          <cell r="T562" t="str">
            <v>TI Store</v>
          </cell>
          <cell r="U562">
            <v>2.3E-2</v>
          </cell>
          <cell r="V562">
            <v>3000</v>
          </cell>
          <cell r="W562">
            <v>0</v>
          </cell>
          <cell r="X562">
            <v>1</v>
          </cell>
          <cell r="Y562" t="str">
            <v>Y</v>
          </cell>
          <cell r="Z562">
            <v>69</v>
          </cell>
          <cell r="AA562">
            <v>67.032000000000011</v>
          </cell>
          <cell r="AB562">
            <v>0.58406845448129863</v>
          </cell>
          <cell r="AC562" t="str">
            <v>JH</v>
          </cell>
          <cell r="AD562">
            <v>1062721</v>
          </cell>
          <cell r="AE562" t="str">
            <v xml:space="preserve">POV0067184 </v>
          </cell>
          <cell r="AF562" t="str">
            <v>Jake Harris</v>
          </cell>
        </row>
        <row r="563">
          <cell r="A563" t="str">
            <v>630-023134-001</v>
          </cell>
          <cell r="B563" t="str">
            <v>IC,SMD,VOLTAGE REGULATOR,78M05,ROHS</v>
          </cell>
          <cell r="C563" t="str">
            <v>IC</v>
          </cell>
          <cell r="D563">
            <v>25</v>
          </cell>
          <cell r="E563">
            <v>2</v>
          </cell>
          <cell r="F563" t="str">
            <v>3 Weeks</v>
          </cell>
          <cell r="G563">
            <v>2500</v>
          </cell>
          <cell r="H563">
            <v>0.79167299999999996</v>
          </cell>
          <cell r="I563">
            <v>1979.1824999999999</v>
          </cell>
          <cell r="J563">
            <v>0.9654548780487805</v>
          </cell>
          <cell r="K563">
            <v>434.45469512195132</v>
          </cell>
          <cell r="L563">
            <v>2413.6371951219512</v>
          </cell>
          <cell r="O563"/>
          <cell r="Q563">
            <v>1</v>
          </cell>
          <cell r="R563" t="str">
            <v>LM78M05CDTX/NOPB</v>
          </cell>
          <cell r="S563" t="str">
            <v>Texas Instruments</v>
          </cell>
          <cell r="T563" t="str">
            <v>TI Store</v>
          </cell>
          <cell r="U563">
            <v>0.57999999999999996</v>
          </cell>
          <cell r="V563">
            <v>2500</v>
          </cell>
          <cell r="W563">
            <v>0</v>
          </cell>
          <cell r="X563">
            <v>1</v>
          </cell>
          <cell r="Y563" t="str">
            <v>Y</v>
          </cell>
          <cell r="Z563">
            <v>1450</v>
          </cell>
          <cell r="AA563">
            <v>529.18249999999989</v>
          </cell>
          <cell r="AB563">
            <v>0.3992469112878676</v>
          </cell>
          <cell r="AC563" t="str">
            <v>JH</v>
          </cell>
          <cell r="AD563">
            <v>1062721</v>
          </cell>
          <cell r="AE563" t="str">
            <v xml:space="preserve">POV0067184 </v>
          </cell>
          <cell r="AF563" t="str">
            <v>Jake Harris</v>
          </cell>
        </row>
        <row r="564">
          <cell r="A564" t="str">
            <v>630-B14817-001</v>
          </cell>
          <cell r="B564" t="str">
            <v>IC,SMD,SW,DUAL,SPDT,MSOP10</v>
          </cell>
          <cell r="C564" t="str">
            <v>IC</v>
          </cell>
          <cell r="D564">
            <v>25</v>
          </cell>
          <cell r="E564">
            <v>1</v>
          </cell>
          <cell r="F564" t="str">
            <v>3 Weeks</v>
          </cell>
          <cell r="G564">
            <v>2500</v>
          </cell>
          <cell r="H564">
            <v>0.25858100000000001</v>
          </cell>
          <cell r="I564">
            <v>646.45249999999999</v>
          </cell>
          <cell r="J564">
            <v>0.31534268292682932</v>
          </cell>
          <cell r="K564">
            <v>141.9042073170732</v>
          </cell>
          <cell r="L564">
            <v>788.3567073170733</v>
          </cell>
          <cell r="O564"/>
          <cell r="Q564">
            <v>1</v>
          </cell>
          <cell r="R564" t="str">
            <v>TS5A623157DGSR</v>
          </cell>
          <cell r="S564" t="str">
            <v>Texas Instruments</v>
          </cell>
          <cell r="T564" t="str">
            <v>TI Store</v>
          </cell>
          <cell r="U564">
            <v>0.18</v>
          </cell>
          <cell r="V564">
            <v>2500</v>
          </cell>
          <cell r="W564">
            <v>0</v>
          </cell>
          <cell r="X564">
            <v>1</v>
          </cell>
          <cell r="Y564" t="str">
            <v>Y</v>
          </cell>
          <cell r="Z564">
            <v>450</v>
          </cell>
          <cell r="AA564">
            <v>196.45249999999999</v>
          </cell>
          <cell r="AB564">
            <v>0.42919240006032933</v>
          </cell>
          <cell r="AC564" t="str">
            <v>JH</v>
          </cell>
          <cell r="AD564">
            <v>1062721</v>
          </cell>
          <cell r="AE564" t="str">
            <v xml:space="preserve">POV0067184 </v>
          </cell>
          <cell r="AF564" t="str">
            <v>Jake Harris</v>
          </cell>
        </row>
        <row r="565">
          <cell r="A565" t="str">
            <v>630-B20591-001</v>
          </cell>
          <cell r="B565" t="str">
            <v>IC,SMD,GATE DR,HALF BRDG,4A,600V,SOIC-14</v>
          </cell>
          <cell r="C565" t="str">
            <v>IC</v>
          </cell>
          <cell r="D565">
            <v>15</v>
          </cell>
          <cell r="E565">
            <v>2</v>
          </cell>
          <cell r="F565" t="str">
            <v>3 Weeks</v>
          </cell>
          <cell r="G565">
            <v>2500</v>
          </cell>
          <cell r="H565">
            <v>1.64151</v>
          </cell>
          <cell r="I565">
            <v>4103.7749999999996</v>
          </cell>
          <cell r="J565">
            <v>2.0018414634146344</v>
          </cell>
          <cell r="K565">
            <v>900.82865853658586</v>
          </cell>
          <cell r="L565">
            <v>5004.6036585365864</v>
          </cell>
          <cell r="O565"/>
          <cell r="Q565">
            <v>1</v>
          </cell>
          <cell r="R565" t="str">
            <v>UCC27714DR</v>
          </cell>
          <cell r="S565" t="str">
            <v>Texas Instruments</v>
          </cell>
          <cell r="T565" t="str">
            <v>TI Store</v>
          </cell>
          <cell r="U565">
            <v>1.222</v>
          </cell>
          <cell r="V565">
            <v>2500</v>
          </cell>
          <cell r="W565">
            <v>0</v>
          </cell>
          <cell r="X565">
            <v>1</v>
          </cell>
          <cell r="Y565" t="str">
            <v>Y</v>
          </cell>
          <cell r="Z565">
            <v>3055</v>
          </cell>
          <cell r="AA565">
            <v>1048.7749999999996</v>
          </cell>
          <cell r="AB565">
            <v>0.38956204957630491</v>
          </cell>
          <cell r="AC565" t="str">
            <v>JH</v>
          </cell>
          <cell r="AD565">
            <v>1062721</v>
          </cell>
          <cell r="AE565" t="str">
            <v xml:space="preserve">POV0067184 </v>
          </cell>
          <cell r="AF565" t="str">
            <v>Jake Harris</v>
          </cell>
        </row>
        <row r="566">
          <cell r="A566" t="str">
            <v>630-122441-001</v>
          </cell>
          <cell r="B566" t="str">
            <v>IC,SMD,DUAL FET BUS SWITCH 8-TSSOP</v>
          </cell>
          <cell r="C566" t="str">
            <v>IC</v>
          </cell>
          <cell r="D566">
            <v>15</v>
          </cell>
          <cell r="E566">
            <v>1</v>
          </cell>
          <cell r="F566" t="str">
            <v>3 Weeks</v>
          </cell>
          <cell r="G566">
            <v>2000</v>
          </cell>
          <cell r="H566">
            <v>0.31127700000000003</v>
          </cell>
          <cell r="I566">
            <v>622.55400000000009</v>
          </cell>
          <cell r="J566">
            <v>0.37960609756097569</v>
          </cell>
          <cell r="K566">
            <v>136.65819512195128</v>
          </cell>
          <cell r="L566">
            <v>759.21219512195137</v>
          </cell>
          <cell r="O566"/>
          <cell r="Q566">
            <v>1</v>
          </cell>
          <cell r="R566" t="str">
            <v>SN74CB3Q3306APWR</v>
          </cell>
          <cell r="S566" t="str">
            <v>Texas Instruments</v>
          </cell>
          <cell r="T566" t="str">
            <v>TI Store</v>
          </cell>
          <cell r="U566">
            <v>0.21</v>
          </cell>
          <cell r="V566">
            <v>2000</v>
          </cell>
          <cell r="W566">
            <v>0</v>
          </cell>
          <cell r="X566">
            <v>1</v>
          </cell>
          <cell r="Y566" t="str">
            <v>Y</v>
          </cell>
          <cell r="Z566">
            <v>420</v>
          </cell>
          <cell r="AA566">
            <v>202.55400000000009</v>
          </cell>
          <cell r="AB566">
            <v>0.44679497682128788</v>
          </cell>
          <cell r="AC566" t="str">
            <v>JH</v>
          </cell>
          <cell r="AD566">
            <v>1062721</v>
          </cell>
          <cell r="AE566" t="str">
            <v xml:space="preserve">POV0067184 </v>
          </cell>
          <cell r="AF566" t="str">
            <v>Jake Harris</v>
          </cell>
        </row>
        <row r="567">
          <cell r="A567" t="str">
            <v>630-333296-001</v>
          </cell>
          <cell r="B567" t="str">
            <v>IC,SMD,I2C SW,8-CHAN,24PIN,5.5V,TSSOP</v>
          </cell>
          <cell r="C567" t="str">
            <v>IC</v>
          </cell>
          <cell r="D567">
            <v>15</v>
          </cell>
          <cell r="E567">
            <v>1</v>
          </cell>
          <cell r="F567" t="str">
            <v>3 Weeks</v>
          </cell>
          <cell r="G567">
            <v>2000</v>
          </cell>
          <cell r="H567">
            <v>0.68750599999999995</v>
          </cell>
          <cell r="I567">
            <v>1375.0119999999999</v>
          </cell>
          <cell r="J567">
            <v>0.83842195121951213</v>
          </cell>
          <cell r="K567">
            <v>301.83190243902459</v>
          </cell>
          <cell r="L567">
            <v>1676.8439024390243</v>
          </cell>
          <cell r="O567"/>
          <cell r="Q567">
            <v>1</v>
          </cell>
          <cell r="R567" t="str">
            <v>TCA9548APWR</v>
          </cell>
          <cell r="S567" t="str">
            <v>Texas Instruments</v>
          </cell>
          <cell r="T567" t="str">
            <v>TI Store</v>
          </cell>
          <cell r="U567">
            <v>0.4</v>
          </cell>
          <cell r="V567">
            <v>2000</v>
          </cell>
          <cell r="W567">
            <v>0</v>
          </cell>
          <cell r="X567">
            <v>1</v>
          </cell>
          <cell r="Y567" t="str">
            <v>Y</v>
          </cell>
          <cell r="Z567">
            <v>800</v>
          </cell>
          <cell r="AA567">
            <v>575.01199999999994</v>
          </cell>
          <cell r="AB567">
            <v>0.52291325457523286</v>
          </cell>
          <cell r="AC567" t="str">
            <v>JH</v>
          </cell>
          <cell r="AD567">
            <v>1062721</v>
          </cell>
          <cell r="AE567" t="str">
            <v xml:space="preserve">POV0067184 </v>
          </cell>
          <cell r="AF567" t="str">
            <v>Jake Harris</v>
          </cell>
        </row>
        <row r="568">
          <cell r="A568" t="str">
            <v>630-A89300-001</v>
          </cell>
          <cell r="B568" t="str">
            <v>IC,SMD,ADC,12BIT,1-MSPS,16CHAN,TSSOP-38</v>
          </cell>
          <cell r="C568" t="str">
            <v>IC</v>
          </cell>
          <cell r="D568">
            <v>15</v>
          </cell>
          <cell r="E568">
            <v>2</v>
          </cell>
          <cell r="F568" t="str">
            <v>3 Weeks</v>
          </cell>
          <cell r="G568">
            <v>500</v>
          </cell>
          <cell r="H568">
            <v>5.6127900000000004</v>
          </cell>
          <cell r="I568">
            <v>2806.395</v>
          </cell>
          <cell r="J568">
            <v>6.8448658536585372</v>
          </cell>
          <cell r="K568">
            <v>616.0379268292686</v>
          </cell>
          <cell r="L568">
            <v>3422.4329268292686</v>
          </cell>
          <cell r="O568"/>
          <cell r="Q568">
            <v>1</v>
          </cell>
          <cell r="R568" t="str">
            <v>ADS7953SDBTR</v>
          </cell>
          <cell r="S568" t="str">
            <v>Texas Instruments</v>
          </cell>
          <cell r="T568" t="str">
            <v>TI Store</v>
          </cell>
          <cell r="U568">
            <v>4.3150000000000004</v>
          </cell>
          <cell r="V568">
            <v>500</v>
          </cell>
          <cell r="W568">
            <v>0</v>
          </cell>
          <cell r="X568">
            <v>1</v>
          </cell>
          <cell r="Y568" t="str">
            <v>Y</v>
          </cell>
          <cell r="Z568">
            <v>2157.5</v>
          </cell>
          <cell r="AA568">
            <v>648.89499999999998</v>
          </cell>
          <cell r="AB568">
            <v>0.36960050171127024</v>
          </cell>
          <cell r="AC568" t="str">
            <v>JH</v>
          </cell>
          <cell r="AD568">
            <v>1062721</v>
          </cell>
          <cell r="AE568" t="str">
            <v xml:space="preserve">POV0067184 </v>
          </cell>
          <cell r="AF568" t="str">
            <v>Jake Harris</v>
          </cell>
        </row>
        <row r="569">
          <cell r="A569" t="str">
            <v>630-A60335-001</v>
          </cell>
          <cell r="B569" t="str">
            <v>IC,SMD,PRCN,OPAMP,ZERO-DRIFT,SOIC-8</v>
          </cell>
          <cell r="C569" t="str">
            <v>IC</v>
          </cell>
          <cell r="D569">
            <v>15</v>
          </cell>
          <cell r="E569">
            <v>2</v>
          </cell>
          <cell r="F569" t="str">
            <v>9 Weeks</v>
          </cell>
          <cell r="G569">
            <v>300</v>
          </cell>
          <cell r="H569">
            <v>3.5539499999999999</v>
          </cell>
          <cell r="I569">
            <v>1066.1849999999999</v>
          </cell>
          <cell r="J569">
            <v>4.3340853658536584</v>
          </cell>
          <cell r="K569">
            <v>234.04060975609764</v>
          </cell>
          <cell r="L569">
            <v>1300.2256097560976</v>
          </cell>
          <cell r="O569"/>
          <cell r="Q569">
            <v>1</v>
          </cell>
          <cell r="R569" t="str">
            <v>INA188IDR</v>
          </cell>
          <cell r="S569" t="str">
            <v>Texas Instruments</v>
          </cell>
          <cell r="T569" t="str">
            <v>TI Store</v>
          </cell>
          <cell r="U569">
            <v>2.4049999999999998</v>
          </cell>
          <cell r="V569">
            <v>300</v>
          </cell>
          <cell r="W569">
            <v>0</v>
          </cell>
          <cell r="X569">
            <v>1</v>
          </cell>
          <cell r="Y569" t="str">
            <v>Y</v>
          </cell>
          <cell r="Z569">
            <v>721.49999999999989</v>
          </cell>
          <cell r="AA569">
            <v>344.68500000000006</v>
          </cell>
          <cell r="AB569">
            <v>0.44509630129855526</v>
          </cell>
          <cell r="AC569" t="str">
            <v>JH</v>
          </cell>
          <cell r="AD569">
            <v>1062721</v>
          </cell>
          <cell r="AE569" t="str">
            <v xml:space="preserve">POV0067184 </v>
          </cell>
          <cell r="AF569" t="str">
            <v>Jake Harris</v>
          </cell>
        </row>
        <row r="570">
          <cell r="A570" t="str">
            <v>630-144359-001</v>
          </cell>
          <cell r="B570" t="str">
            <v>IC,SMD,DC-DC CONV,6V-42V,2A</v>
          </cell>
          <cell r="C570" t="str">
            <v>IC</v>
          </cell>
          <cell r="D570">
            <v>15</v>
          </cell>
          <cell r="E570">
            <v>3</v>
          </cell>
          <cell r="F570" t="str">
            <v>9 Weeks</v>
          </cell>
          <cell r="G570">
            <v>250</v>
          </cell>
          <cell r="H570">
            <v>10.02459</v>
          </cell>
          <cell r="I570">
            <v>2506.1475</v>
          </cell>
          <cell r="J570">
            <v>12.225109756097561</v>
          </cell>
          <cell r="K570">
            <v>550.1299390243903</v>
          </cell>
          <cell r="L570">
            <v>3056.2774390243903</v>
          </cell>
          <cell r="O570"/>
          <cell r="Q570">
            <v>1</v>
          </cell>
          <cell r="R570" t="str">
            <v>LMZ14202TZ-ADJ/NOPB</v>
          </cell>
          <cell r="S570" t="str">
            <v>TEXAS INSTRUMENTS</v>
          </cell>
          <cell r="T570" t="str">
            <v>TI Store</v>
          </cell>
          <cell r="U570">
            <v>8.766</v>
          </cell>
          <cell r="V570">
            <v>250</v>
          </cell>
          <cell r="W570">
            <v>0</v>
          </cell>
          <cell r="X570">
            <v>1</v>
          </cell>
          <cell r="Y570" t="str">
            <v>Y</v>
          </cell>
          <cell r="Z570">
            <v>2191.5</v>
          </cell>
          <cell r="AA570">
            <v>314.64750000000004</v>
          </cell>
          <cell r="AB570">
            <v>0.28295122294278374</v>
          </cell>
          <cell r="AC570" t="str">
            <v>JH</v>
          </cell>
          <cell r="AD570">
            <v>1062721</v>
          </cell>
          <cell r="AE570" t="str">
            <v xml:space="preserve">POV0067184 </v>
          </cell>
          <cell r="AF570" t="str">
            <v>Jake Harris</v>
          </cell>
        </row>
        <row r="571">
          <cell r="A571" t="str">
            <v>630-B31546-001</v>
          </cell>
          <cell r="B571" t="str">
            <v>IC,SMD,DIFF AMPL,16P,3.3 TO 5V,VQFN</v>
          </cell>
          <cell r="C571" t="str">
            <v>IC</v>
          </cell>
          <cell r="D571">
            <v>15</v>
          </cell>
          <cell r="E571">
            <v>2</v>
          </cell>
          <cell r="F571" t="str">
            <v>3 Weeks</v>
          </cell>
          <cell r="G571">
            <v>250</v>
          </cell>
          <cell r="H571">
            <v>3.6519900000000001</v>
          </cell>
          <cell r="I571">
            <v>912.99750000000006</v>
          </cell>
          <cell r="J571">
            <v>4.4536463414634149</v>
          </cell>
          <cell r="K571">
            <v>200.41408536585379</v>
          </cell>
          <cell r="L571">
            <v>1113.4115853658536</v>
          </cell>
          <cell r="O571"/>
          <cell r="Q571">
            <v>1</v>
          </cell>
          <cell r="R571" t="str">
            <v>THS4520RGTR</v>
          </cell>
          <cell r="S571" t="str">
            <v>Texas Instruments</v>
          </cell>
          <cell r="T571" t="str">
            <v>TI Store</v>
          </cell>
          <cell r="U571">
            <v>3.0990000000000002</v>
          </cell>
          <cell r="V571">
            <v>250</v>
          </cell>
          <cell r="W571">
            <v>0</v>
          </cell>
          <cell r="X571">
            <v>1</v>
          </cell>
          <cell r="Y571" t="str">
            <v>Y</v>
          </cell>
          <cell r="Z571">
            <v>774.75</v>
          </cell>
          <cell r="AA571">
            <v>138.24750000000006</v>
          </cell>
          <cell r="AB571">
            <v>0.30416567405715789</v>
          </cell>
          <cell r="AC571" t="str">
            <v>JH</v>
          </cell>
          <cell r="AD571">
            <v>1062721</v>
          </cell>
          <cell r="AE571" t="str">
            <v xml:space="preserve">POV0067184 </v>
          </cell>
          <cell r="AF571" t="str">
            <v>Jake Harris</v>
          </cell>
        </row>
        <row r="572">
          <cell r="A572" t="str">
            <v>630-129718-001</v>
          </cell>
          <cell r="B572" t="str">
            <v>IC,SMD,V REG,LDO,NEG ADJ,1A</v>
          </cell>
          <cell r="C572" t="str">
            <v>IC</v>
          </cell>
          <cell r="D572">
            <v>25</v>
          </cell>
          <cell r="E572">
            <v>2</v>
          </cell>
          <cell r="F572" t="str">
            <v>3 Weeks</v>
          </cell>
          <cell r="G572">
            <v>250</v>
          </cell>
          <cell r="H572">
            <v>4.3995449999999998</v>
          </cell>
          <cell r="I572">
            <v>1099.88625</v>
          </cell>
          <cell r="J572">
            <v>5.3652987804878052</v>
          </cell>
          <cell r="K572">
            <v>241.43844512195119</v>
          </cell>
          <cell r="L572">
            <v>1341.3246951219512</v>
          </cell>
          <cell r="O572"/>
          <cell r="Q572">
            <v>1</v>
          </cell>
          <cell r="R572" t="str">
            <v>TPS7A3301RGWR</v>
          </cell>
          <cell r="S572" t="str">
            <v>Texas Instruments</v>
          </cell>
          <cell r="T572" t="str">
            <v>TI Store</v>
          </cell>
          <cell r="U572">
            <v>3.0819999999999999</v>
          </cell>
          <cell r="V572">
            <v>250</v>
          </cell>
          <cell r="W572">
            <v>0</v>
          </cell>
          <cell r="X572">
            <v>1</v>
          </cell>
          <cell r="Y572" t="str">
            <v>Y</v>
          </cell>
          <cell r="Z572">
            <v>770.5</v>
          </cell>
          <cell r="AA572">
            <v>329.38625000000002</v>
          </cell>
          <cell r="AB572">
            <v>0.42556787122304696</v>
          </cell>
          <cell r="AC572" t="str">
            <v>JH</v>
          </cell>
          <cell r="AD572">
            <v>1062721</v>
          </cell>
          <cell r="AE572" t="str">
            <v xml:space="preserve">POV0067184 </v>
          </cell>
          <cell r="AF572" t="str">
            <v>Jake Harris</v>
          </cell>
        </row>
        <row r="573">
          <cell r="A573" t="str">
            <v>630-345767-001</v>
          </cell>
          <cell r="B573" t="str">
            <v>IC,SMD,V RGLTR,LDO,0.8-5VOUT,1A,20-WQFN</v>
          </cell>
          <cell r="C573" t="str">
            <v>IC</v>
          </cell>
          <cell r="D573">
            <v>40</v>
          </cell>
          <cell r="E573">
            <v>1</v>
          </cell>
          <cell r="F573" t="str">
            <v>3 Weeks</v>
          </cell>
          <cell r="G573">
            <v>250</v>
          </cell>
          <cell r="H573">
            <v>3.0925739999999999</v>
          </cell>
          <cell r="I573">
            <v>773.14350000000002</v>
          </cell>
          <cell r="J573">
            <v>3.7714317073170731</v>
          </cell>
          <cell r="K573">
            <v>169.7144268292684</v>
          </cell>
          <cell r="L573">
            <v>942.85792682926831</v>
          </cell>
          <cell r="O573"/>
          <cell r="Q573">
            <v>2</v>
          </cell>
          <cell r="R573" t="str">
            <v>TPS7A8801RTJR</v>
          </cell>
          <cell r="S573" t="str">
            <v>Texas Instruments</v>
          </cell>
          <cell r="T573" t="str">
            <v>TI Store</v>
          </cell>
          <cell r="U573">
            <v>1.7370000000000001</v>
          </cell>
          <cell r="V573">
            <v>250</v>
          </cell>
          <cell r="W573">
            <v>0</v>
          </cell>
          <cell r="X573">
            <v>1</v>
          </cell>
          <cell r="Y573" t="str">
            <v>Y</v>
          </cell>
          <cell r="Z573">
            <v>434.25</v>
          </cell>
          <cell r="AA573">
            <v>338.89350000000002</v>
          </cell>
          <cell r="AB573">
            <v>0.53943220113730506</v>
          </cell>
          <cell r="AC573" t="str">
            <v>JH</v>
          </cell>
          <cell r="AD573">
            <v>1062721</v>
          </cell>
          <cell r="AE573" t="str">
            <v xml:space="preserve">POV0067184 </v>
          </cell>
          <cell r="AF573" t="str">
            <v>Jake Harris</v>
          </cell>
        </row>
        <row r="574">
          <cell r="A574" t="str">
            <v>630-270805-001</v>
          </cell>
          <cell r="B574" t="str">
            <v>IC,SMD,ADC,12BIT,I2C,W/REF,10-MSOP</v>
          </cell>
          <cell r="C574" t="str">
            <v>IC</v>
          </cell>
          <cell r="D574">
            <v>15</v>
          </cell>
          <cell r="E574">
            <v>2</v>
          </cell>
          <cell r="F574" t="str">
            <v>3 Weeks</v>
          </cell>
          <cell r="G574">
            <v>250</v>
          </cell>
          <cell r="H574">
            <v>1.8505050000000001</v>
          </cell>
          <cell r="I574">
            <v>462.62625000000003</v>
          </cell>
          <cell r="J574">
            <v>2.2567134146341465</v>
          </cell>
          <cell r="K574">
            <v>101.55210365853668</v>
          </cell>
          <cell r="L574">
            <v>564.17835365853659</v>
          </cell>
          <cell r="O574"/>
          <cell r="Q574">
            <v>1</v>
          </cell>
          <cell r="R574" t="str">
            <v>ADS1015IDGSR</v>
          </cell>
          <cell r="S574" t="str">
            <v>Texas Instruments</v>
          </cell>
          <cell r="T574" t="str">
            <v>TI Store</v>
          </cell>
          <cell r="U574">
            <v>1.2410000000000001</v>
          </cell>
          <cell r="V574">
            <v>250</v>
          </cell>
          <cell r="W574">
            <v>0</v>
          </cell>
          <cell r="X574">
            <v>1</v>
          </cell>
          <cell r="Y574" t="str">
            <v>Y</v>
          </cell>
          <cell r="Z574">
            <v>310.25</v>
          </cell>
          <cell r="AA574">
            <v>152.37625000000003</v>
          </cell>
          <cell r="AB574">
            <v>0.45008524700014318</v>
          </cell>
          <cell r="AC574" t="str">
            <v>JH</v>
          </cell>
          <cell r="AD574">
            <v>1062721</v>
          </cell>
          <cell r="AE574" t="str">
            <v xml:space="preserve">POV0067184 </v>
          </cell>
          <cell r="AF574" t="str">
            <v>Jake Harris</v>
          </cell>
        </row>
        <row r="575">
          <cell r="A575" t="str">
            <v>630-105350-001</v>
          </cell>
          <cell r="B575" t="str">
            <v>IC,SMD,OPAMP GP R-R 5.5MHZ ROHS</v>
          </cell>
          <cell r="C575" t="str">
            <v>IC</v>
          </cell>
          <cell r="D575">
            <v>15</v>
          </cell>
          <cell r="E575">
            <v>2</v>
          </cell>
          <cell r="F575" t="str">
            <v>8 Weeks</v>
          </cell>
          <cell r="G575">
            <v>225</v>
          </cell>
          <cell r="H575">
            <v>3.3823799999999999</v>
          </cell>
          <cell r="I575">
            <v>761.03549999999996</v>
          </cell>
          <cell r="J575">
            <v>4.1248536585365851</v>
          </cell>
          <cell r="K575">
            <v>167.05657317073178</v>
          </cell>
          <cell r="L575">
            <v>928.09207317073162</v>
          </cell>
          <cell r="O575"/>
          <cell r="Q575">
            <v>1</v>
          </cell>
          <cell r="R575" t="str">
            <v>OPA2340UA/2K5</v>
          </cell>
          <cell r="S575" t="str">
            <v>Texas Instruments</v>
          </cell>
          <cell r="T575" t="str">
            <v>TI Store</v>
          </cell>
          <cell r="U575">
            <v>1.881</v>
          </cell>
          <cell r="V575">
            <v>250</v>
          </cell>
          <cell r="W575">
            <v>-25</v>
          </cell>
          <cell r="X575">
            <v>1</v>
          </cell>
          <cell r="Y575" t="str">
            <v>Y</v>
          </cell>
          <cell r="Z575">
            <v>470.25</v>
          </cell>
          <cell r="AA575">
            <v>290.78549999999996</v>
          </cell>
          <cell r="AB575">
            <v>0.4933153578249635</v>
          </cell>
          <cell r="AC575" t="str">
            <v>JH</v>
          </cell>
          <cell r="AD575">
            <v>1062721</v>
          </cell>
          <cell r="AE575" t="str">
            <v xml:space="preserve">POV0067184 </v>
          </cell>
          <cell r="AF575" t="str">
            <v>Jake Harris</v>
          </cell>
        </row>
        <row r="576">
          <cell r="A576" t="str">
            <v>630-A73078-001</v>
          </cell>
          <cell r="B576" t="str">
            <v>IC,SMD,OP-AMP,2CKT,75MA,2.7-40V,SOT-23-8</v>
          </cell>
          <cell r="C576" t="str">
            <v>IC</v>
          </cell>
          <cell r="D576">
            <v>15</v>
          </cell>
          <cell r="E576">
            <v>1</v>
          </cell>
          <cell r="F576" t="str">
            <v>3 Weeks</v>
          </cell>
          <cell r="G576">
            <v>200</v>
          </cell>
          <cell r="H576">
            <v>1.3603050000000001</v>
          </cell>
          <cell r="I576">
            <v>272.06100000000004</v>
          </cell>
          <cell r="J576">
            <v>1.658908536585366</v>
          </cell>
          <cell r="K576">
            <v>59.72070731707322</v>
          </cell>
          <cell r="L576">
            <v>331.7817073170732</v>
          </cell>
          <cell r="O576"/>
          <cell r="Q576">
            <v>1</v>
          </cell>
          <cell r="R576" t="str">
            <v>OPA2991IDDFR</v>
          </cell>
          <cell r="S576" t="str">
            <v>Texas Instruments</v>
          </cell>
          <cell r="T576" t="str">
            <v>TI Store</v>
          </cell>
          <cell r="U576">
            <v>0.90100000000000002</v>
          </cell>
          <cell r="V576">
            <v>250</v>
          </cell>
          <cell r="W576">
            <v>-50</v>
          </cell>
          <cell r="X576">
            <v>2</v>
          </cell>
          <cell r="Y576" t="str">
            <v>Y</v>
          </cell>
          <cell r="Z576">
            <v>225.25</v>
          </cell>
          <cell r="AA576">
            <v>46.811000000000035</v>
          </cell>
          <cell r="AB576">
            <v>0.3210897556062795</v>
          </cell>
          <cell r="AC576" t="str">
            <v>JH</v>
          </cell>
          <cell r="AD576">
            <v>1062721</v>
          </cell>
          <cell r="AE576" t="str">
            <v xml:space="preserve">POV0067184 </v>
          </cell>
          <cell r="AF576" t="str">
            <v>Jake Harris</v>
          </cell>
        </row>
        <row r="577">
          <cell r="A577" t="str">
            <v>630-B10796-001</v>
          </cell>
          <cell r="B577" t="str">
            <v>IC,SMD,V RGLTR,FXD OUT,35V,TO-263-3</v>
          </cell>
          <cell r="C577" t="str">
            <v>IC</v>
          </cell>
          <cell r="D577">
            <v>15</v>
          </cell>
          <cell r="E577">
            <v>3</v>
          </cell>
          <cell r="F577" t="str">
            <v>9 Weeks</v>
          </cell>
          <cell r="G577">
            <v>200</v>
          </cell>
          <cell r="H577">
            <v>1.538689</v>
          </cell>
          <cell r="I577">
            <v>307.73779999999999</v>
          </cell>
          <cell r="J577">
            <v>1.8764500000000002</v>
          </cell>
          <cell r="K577">
            <v>67.552200000000028</v>
          </cell>
          <cell r="L577">
            <v>375.29</v>
          </cell>
          <cell r="O577"/>
          <cell r="Q577">
            <v>1</v>
          </cell>
          <cell r="R577" t="str">
            <v>LM7812SX/NOPB</v>
          </cell>
          <cell r="S577" t="str">
            <v>Texas Instruments</v>
          </cell>
          <cell r="T577" t="str">
            <v>TI Store</v>
          </cell>
          <cell r="U577">
            <v>0.83599999999999997</v>
          </cell>
          <cell r="V577">
            <v>250</v>
          </cell>
          <cell r="W577">
            <v>-50</v>
          </cell>
          <cell r="X577">
            <v>2</v>
          </cell>
          <cell r="Y577" t="str">
            <v>Y</v>
          </cell>
          <cell r="Z577">
            <v>209</v>
          </cell>
          <cell r="AA577">
            <v>98.737799999999993</v>
          </cell>
          <cell r="AB577">
            <v>0.4430973380585681</v>
          </cell>
          <cell r="AC577" t="str">
            <v>JH</v>
          </cell>
          <cell r="AD577">
            <v>1062721</v>
          </cell>
          <cell r="AE577" t="str">
            <v>Are</v>
          </cell>
          <cell r="AF577" t="str">
            <v>Jake Harris</v>
          </cell>
        </row>
        <row r="578">
          <cell r="A578" t="str">
            <v>630-242662-001</v>
          </cell>
          <cell r="B578" t="str">
            <v>IC,SMD,DIFF LINE,1RCVR,1.8V,65LVDS SER</v>
          </cell>
          <cell r="C578" t="str">
            <v>IC</v>
          </cell>
          <cell r="D578">
            <v>25</v>
          </cell>
          <cell r="E578">
            <v>1</v>
          </cell>
          <cell r="F578" t="str">
            <v>3 Weeks</v>
          </cell>
          <cell r="G578">
            <v>200</v>
          </cell>
          <cell r="H578">
            <v>1.0747640000000001</v>
          </cell>
          <cell r="I578">
            <v>214.95280000000002</v>
          </cell>
          <cell r="J578">
            <v>1.3106878048780488</v>
          </cell>
          <cell r="K578">
            <v>47.184760975609777</v>
          </cell>
          <cell r="L578">
            <v>262.13756097560974</v>
          </cell>
          <cell r="O578"/>
          <cell r="Q578">
            <v>1</v>
          </cell>
          <cell r="R578" t="str">
            <v>SN65LVDS4RSER</v>
          </cell>
          <cell r="S578" t="str">
            <v>Texas Instruments</v>
          </cell>
          <cell r="T578" t="str">
            <v>TI Store</v>
          </cell>
          <cell r="U578">
            <v>0.70199999999999996</v>
          </cell>
          <cell r="V578">
            <v>250</v>
          </cell>
          <cell r="W578">
            <v>-50</v>
          </cell>
          <cell r="X578">
            <v>2</v>
          </cell>
          <cell r="Y578" t="str">
            <v>Y</v>
          </cell>
          <cell r="Z578">
            <v>175.5</v>
          </cell>
          <cell r="AA578">
            <v>39.452800000000025</v>
          </cell>
          <cell r="AB578">
            <v>0.33050418510482293</v>
          </cell>
          <cell r="AC578" t="str">
            <v>JH</v>
          </cell>
          <cell r="AD578">
            <v>1062721</v>
          </cell>
          <cell r="AE578" t="str">
            <v xml:space="preserve">POV0067184 </v>
          </cell>
          <cell r="AF578" t="str">
            <v>Jake Harris</v>
          </cell>
        </row>
        <row r="579">
          <cell r="A579" t="str">
            <v>630-A93022-001</v>
          </cell>
          <cell r="B579" t="str">
            <v>IC,SMD,INV,6-CHAN,4.5-5.5V,SOIC-14</v>
          </cell>
          <cell r="C579" t="str">
            <v>IC</v>
          </cell>
          <cell r="D579">
            <v>25</v>
          </cell>
          <cell r="E579">
            <v>1</v>
          </cell>
          <cell r="F579" t="str">
            <v>3 Weeks</v>
          </cell>
          <cell r="G579">
            <v>200</v>
          </cell>
          <cell r="H579">
            <v>0.33823799999999998</v>
          </cell>
          <cell r="I579">
            <v>67.647599999999997</v>
          </cell>
          <cell r="J579">
            <v>0.41248536585365853</v>
          </cell>
          <cell r="K579">
            <v>14.849473170731713</v>
          </cell>
          <cell r="L579">
            <v>82.49707317073171</v>
          </cell>
          <cell r="O579"/>
          <cell r="Q579">
            <v>1</v>
          </cell>
          <cell r="R579" t="str">
            <v>SN74ACT04DR</v>
          </cell>
          <cell r="S579" t="str">
            <v>Texas Instruments</v>
          </cell>
          <cell r="T579" t="str">
            <v>TI Store</v>
          </cell>
          <cell r="U579">
            <v>0.17299999999999999</v>
          </cell>
          <cell r="V579">
            <v>250</v>
          </cell>
          <cell r="W579">
            <v>-50</v>
          </cell>
          <cell r="X579">
            <v>1</v>
          </cell>
          <cell r="Y579" t="str">
            <v>Y</v>
          </cell>
          <cell r="Z579">
            <v>43.25</v>
          </cell>
          <cell r="AA579">
            <v>24.397599999999997</v>
          </cell>
          <cell r="AB579">
            <v>0.47573897669688214</v>
          </cell>
          <cell r="AC579" t="str">
            <v>JH</v>
          </cell>
          <cell r="AD579">
            <v>1062721</v>
          </cell>
          <cell r="AE579" t="str">
            <v xml:space="preserve">POV0067184 </v>
          </cell>
          <cell r="AF579" t="str">
            <v>Jake Harris</v>
          </cell>
        </row>
        <row r="580">
          <cell r="A580" t="str">
            <v>630-A52002-001</v>
          </cell>
          <cell r="B580" t="str">
            <v>IC,SMD,NON INV,BFR,1.65-3.6V,VQFN-14</v>
          </cell>
          <cell r="C580" t="str">
            <v>IC</v>
          </cell>
          <cell r="D580">
            <v>25</v>
          </cell>
          <cell r="E580">
            <v>2</v>
          </cell>
          <cell r="F580" t="str">
            <v>3 Weeks</v>
          </cell>
          <cell r="G580">
            <v>200</v>
          </cell>
          <cell r="H580">
            <v>0.19975699999999999</v>
          </cell>
          <cell r="I580">
            <v>39.9514</v>
          </cell>
          <cell r="J580">
            <v>0.24360609756097562</v>
          </cell>
          <cell r="K580">
            <v>8.7698195121951272</v>
          </cell>
          <cell r="L580">
            <v>48.721219512195127</v>
          </cell>
          <cell r="O580"/>
          <cell r="Q580">
            <v>1</v>
          </cell>
          <cell r="R580" t="str">
            <v>SN74LVC125ARGYR</v>
          </cell>
          <cell r="S580" t="str">
            <v>Texas Instruments</v>
          </cell>
          <cell r="T580" t="str">
            <v>TI Store</v>
          </cell>
          <cell r="U580">
            <v>0.17</v>
          </cell>
          <cell r="V580">
            <v>200</v>
          </cell>
          <cell r="W580">
            <v>0</v>
          </cell>
          <cell r="X580">
            <v>1</v>
          </cell>
          <cell r="Y580" t="str">
            <v>Y</v>
          </cell>
          <cell r="Z580">
            <v>34</v>
          </cell>
          <cell r="AA580">
            <v>5.9513999999999996</v>
          </cell>
          <cell r="AB580">
            <v>0.30215211481950577</v>
          </cell>
          <cell r="AC580" t="str">
            <v>JH</v>
          </cell>
          <cell r="AD580">
            <v>1062721</v>
          </cell>
          <cell r="AE580" t="str">
            <v xml:space="preserve">POV0067184 </v>
          </cell>
          <cell r="AF580" t="str">
            <v>Jake Harris</v>
          </cell>
        </row>
        <row r="581">
          <cell r="A581" t="str">
            <v>630-004007-001</v>
          </cell>
          <cell r="B581" t="str">
            <v>IC,SMD,OPA2132U,OPAMP,FET,ROHS</v>
          </cell>
          <cell r="C581" t="str">
            <v>IC</v>
          </cell>
          <cell r="D581">
            <v>15</v>
          </cell>
          <cell r="E581">
            <v>3</v>
          </cell>
          <cell r="F581" t="str">
            <v>3 Weeks</v>
          </cell>
          <cell r="G581">
            <v>60</v>
          </cell>
          <cell r="H581">
            <v>10.502535</v>
          </cell>
          <cell r="I581">
            <v>630.15210000000002</v>
          </cell>
          <cell r="J581">
            <v>12.807969512195122</v>
          </cell>
          <cell r="K581">
            <v>138.32607073170732</v>
          </cell>
          <cell r="L581">
            <v>768.47817073170734</v>
          </cell>
          <cell r="O581"/>
          <cell r="Q581">
            <v>3</v>
          </cell>
          <cell r="R581" t="str">
            <v>OPA2132U/2K5</v>
          </cell>
          <cell r="S581" t="str">
            <v>TEXAS INSTRUMENTS</v>
          </cell>
          <cell r="T581" t="str">
            <v>TI Store</v>
          </cell>
          <cell r="U581">
            <v>10.555999999999999</v>
          </cell>
          <cell r="V581">
            <v>60</v>
          </cell>
          <cell r="W581">
            <v>0</v>
          </cell>
          <cell r="X581">
            <v>1</v>
          </cell>
          <cell r="Y581" t="str">
            <v>Y</v>
          </cell>
          <cell r="Z581">
            <v>633.3599999999999</v>
          </cell>
          <cell r="AA581">
            <v>-3.2078999999998814</v>
          </cell>
          <cell r="AB581" t="str">
            <v/>
          </cell>
          <cell r="AC581" t="str">
            <v>JH</v>
          </cell>
          <cell r="AD581">
            <v>1062721</v>
          </cell>
          <cell r="AE581" t="str">
            <v xml:space="preserve">POV0067184 </v>
          </cell>
          <cell r="AF581" t="str">
            <v>Jake Harris</v>
          </cell>
        </row>
        <row r="582">
          <cell r="A582" t="str">
            <v>630-311348-001</v>
          </cell>
          <cell r="B582" t="str">
            <v>IC,SMD,ADC,16 BIT,500 KSPS,8 CHAN MUX</v>
          </cell>
          <cell r="C582" t="str">
            <v>IC</v>
          </cell>
          <cell r="D582">
            <v>15</v>
          </cell>
          <cell r="E582">
            <v>2</v>
          </cell>
          <cell r="F582" t="str">
            <v>15 Weeks</v>
          </cell>
          <cell r="G582">
            <v>60</v>
          </cell>
          <cell r="H582">
            <v>12.806475000000001</v>
          </cell>
          <cell r="I582">
            <v>768.38850000000002</v>
          </cell>
          <cell r="J582">
            <v>15.617652439024392</v>
          </cell>
          <cell r="K582">
            <v>168.67064634146345</v>
          </cell>
          <cell r="L582">
            <v>937.05914634146347</v>
          </cell>
          <cell r="O582"/>
          <cell r="Q582">
            <v>1</v>
          </cell>
          <cell r="R582" t="str">
            <v>ADS8688IDBTR</v>
          </cell>
          <cell r="S582" t="str">
            <v>Texas Instruments</v>
          </cell>
          <cell r="T582" t="str">
            <v>TI Store</v>
          </cell>
          <cell r="U582">
            <v>11.603</v>
          </cell>
          <cell r="V582">
            <v>60</v>
          </cell>
          <cell r="W582">
            <v>0</v>
          </cell>
          <cell r="X582">
            <v>1</v>
          </cell>
          <cell r="Y582" t="str">
            <v>Y</v>
          </cell>
          <cell r="Z582">
            <v>696.18</v>
          </cell>
          <cell r="AA582">
            <v>72.208500000000072</v>
          </cell>
          <cell r="AB582">
            <v>0.25705863635387582</v>
          </cell>
          <cell r="AC582" t="str">
            <v>JH</v>
          </cell>
          <cell r="AD582">
            <v>1062721</v>
          </cell>
          <cell r="AE582" t="str">
            <v xml:space="preserve">POV0067184 </v>
          </cell>
          <cell r="AF582" t="str">
            <v>Jake Harris</v>
          </cell>
        </row>
        <row r="583">
          <cell r="A583" t="str">
            <v>631-015265-001</v>
          </cell>
          <cell r="B583" t="str">
            <v>IC,PWR OPAMP,TO-220,OPA548T,ROHS</v>
          </cell>
          <cell r="C583" t="str">
            <v>IC</v>
          </cell>
          <cell r="D583">
            <v>15</v>
          </cell>
          <cell r="E583" t="str">
            <v>N/A</v>
          </cell>
          <cell r="F583" t="str">
            <v>9 Weeks</v>
          </cell>
          <cell r="G583">
            <v>50</v>
          </cell>
          <cell r="H583">
            <v>13.823639999999999</v>
          </cell>
          <cell r="I583">
            <v>691.18200000000002</v>
          </cell>
          <cell r="J583">
            <v>16.858097560975612</v>
          </cell>
          <cell r="K583">
            <v>151.72287804878056</v>
          </cell>
          <cell r="L583">
            <v>842.90487804878057</v>
          </cell>
          <cell r="O583"/>
          <cell r="Q583">
            <v>1</v>
          </cell>
          <cell r="R583" t="str">
            <v>OPA548T</v>
          </cell>
          <cell r="S583" t="str">
            <v>Texas Instruments</v>
          </cell>
          <cell r="T583" t="str">
            <v>TI Store</v>
          </cell>
          <cell r="U583">
            <v>13.016</v>
          </cell>
          <cell r="V583">
            <v>50</v>
          </cell>
          <cell r="W583">
            <v>0</v>
          </cell>
          <cell r="Y583" t="str">
            <v>Y</v>
          </cell>
          <cell r="Z583">
            <v>650.79999999999995</v>
          </cell>
          <cell r="AA583">
            <v>40.382000000000062</v>
          </cell>
          <cell r="AB583">
            <v>0.22790813418173517</v>
          </cell>
          <cell r="AC583" t="str">
            <v>JH</v>
          </cell>
          <cell r="AD583">
            <v>1062721</v>
          </cell>
          <cell r="AE583" t="str">
            <v xml:space="preserve">POV0067184 </v>
          </cell>
          <cell r="AF583" t="str">
            <v>Jake Harris</v>
          </cell>
        </row>
        <row r="584">
          <cell r="A584" t="str">
            <v>626-B25312-001</v>
          </cell>
          <cell r="B584" t="str">
            <v>XSTR,SMD,PNP,100V,1A,500MW,SOT-89,ROHS</v>
          </cell>
          <cell r="C584" t="str">
            <v>XSTR</v>
          </cell>
          <cell r="D584">
            <v>15</v>
          </cell>
          <cell r="E584">
            <v>1</v>
          </cell>
          <cell r="F584" t="str">
            <v>12 Weeks</v>
          </cell>
          <cell r="G584">
            <v>1000</v>
          </cell>
          <cell r="H584">
            <v>0.19117799999999999</v>
          </cell>
          <cell r="I584">
            <v>191.178</v>
          </cell>
          <cell r="J584">
            <v>0.23314390243902439</v>
          </cell>
          <cell r="K584">
            <v>41.965902439024404</v>
          </cell>
          <cell r="L584">
            <v>233.14390243902437</v>
          </cell>
          <cell r="O584"/>
          <cell r="Q584">
            <v>1</v>
          </cell>
          <cell r="R584" t="str">
            <v>2SA1416S-TD-E</v>
          </cell>
          <cell r="S584" t="str">
            <v>ON SEMICONDUCTOR</v>
          </cell>
          <cell r="T584" t="str">
            <v>Flip Electronics</v>
          </cell>
          <cell r="U584">
            <v>7.9000000000000001E-2</v>
          </cell>
          <cell r="V584">
            <v>1000</v>
          </cell>
          <cell r="W584">
            <v>0</v>
          </cell>
          <cell r="X584">
            <v>1</v>
          </cell>
          <cell r="Y584" t="str">
            <v>Y</v>
          </cell>
          <cell r="Z584">
            <v>79</v>
          </cell>
          <cell r="AA584">
            <v>112.178</v>
          </cell>
          <cell r="AB584">
            <v>0.66115348000292917</v>
          </cell>
          <cell r="AC584" t="str">
            <v>JH</v>
          </cell>
          <cell r="AD584">
            <v>1062721</v>
          </cell>
          <cell r="AE584" t="str">
            <v>POV0067194</v>
          </cell>
          <cell r="AF584" t="str">
            <v>JH</v>
          </cell>
        </row>
        <row r="585">
          <cell r="A585" t="str">
            <v>682-A91737-006</v>
          </cell>
          <cell r="B585" t="str">
            <v>FUSE,SMD,PPTC,24V,6A,2920,ROHS</v>
          </cell>
          <cell r="C585" t="str">
            <v>FUSE</v>
          </cell>
          <cell r="D585">
            <v>25</v>
          </cell>
          <cell r="E585">
            <v>2</v>
          </cell>
          <cell r="F585" t="str">
            <v>18 Weeks</v>
          </cell>
          <cell r="G585">
            <v>2500</v>
          </cell>
          <cell r="H585">
            <v>1.286775</v>
          </cell>
          <cell r="I585">
            <v>3216.9375</v>
          </cell>
          <cell r="J585">
            <v>1.5692378048780489</v>
          </cell>
          <cell r="K585">
            <v>706.15701219512221</v>
          </cell>
          <cell r="L585">
            <v>3923.0945121951222</v>
          </cell>
          <cell r="O585"/>
          <cell r="Q585">
            <v>1</v>
          </cell>
          <cell r="R585" t="str">
            <v>2920L600/24SLER</v>
          </cell>
          <cell r="S585" t="str">
            <v>Littelfuse</v>
          </cell>
          <cell r="T585" t="str">
            <v>Mouser</v>
          </cell>
          <cell r="U585">
            <v>1.28</v>
          </cell>
          <cell r="V585">
            <v>2500</v>
          </cell>
          <cell r="W585">
            <v>0</v>
          </cell>
          <cell r="X585">
            <v>1</v>
          </cell>
          <cell r="Y585" t="str">
            <v>Y</v>
          </cell>
          <cell r="Z585">
            <v>3200</v>
          </cell>
          <cell r="AA585">
            <v>16.9375</v>
          </cell>
          <cell r="AB585">
            <v>0.18431738260379638</v>
          </cell>
          <cell r="AD585">
            <v>1062721</v>
          </cell>
          <cell r="AE585" t="str">
            <v>POV0067198</v>
          </cell>
          <cell r="AF585" t="str">
            <v>ES</v>
          </cell>
        </row>
        <row r="586">
          <cell r="A586" t="str">
            <v>682-A91737-005</v>
          </cell>
          <cell r="B586" t="str">
            <v>FUSE,SMD,PPTC,24V,5A,2920,ROHS</v>
          </cell>
          <cell r="C586" t="str">
            <v>FUSE</v>
          </cell>
          <cell r="D586">
            <v>15</v>
          </cell>
          <cell r="E586">
            <v>2</v>
          </cell>
          <cell r="F586" t="str">
            <v>18 Weeks</v>
          </cell>
          <cell r="G586">
            <v>1500</v>
          </cell>
          <cell r="H586">
            <v>1.352695</v>
          </cell>
          <cell r="I586">
            <v>2029.0425</v>
          </cell>
          <cell r="J586">
            <v>1.649628048780488</v>
          </cell>
          <cell r="K586">
            <v>445.39957317073186</v>
          </cell>
          <cell r="L586">
            <v>2474.4420731707319</v>
          </cell>
          <cell r="O586"/>
          <cell r="Q586">
            <v>1</v>
          </cell>
          <cell r="R586" t="str">
            <v>2920L500/24SLDR</v>
          </cell>
          <cell r="S586" t="str">
            <v>Littelfuse</v>
          </cell>
          <cell r="T586" t="str">
            <v>Mouser</v>
          </cell>
          <cell r="U586">
            <v>1.26</v>
          </cell>
          <cell r="V586">
            <v>1500</v>
          </cell>
          <cell r="W586">
            <v>0</v>
          </cell>
          <cell r="X586">
            <v>1</v>
          </cell>
          <cell r="Y586" t="str">
            <v>Y</v>
          </cell>
          <cell r="Z586">
            <v>1890</v>
          </cell>
          <cell r="AA586">
            <v>139.04250000000002</v>
          </cell>
          <cell r="AB586">
            <v>0.2361914548364562</v>
          </cell>
          <cell r="AD586">
            <v>1062721</v>
          </cell>
          <cell r="AE586" t="str">
            <v>POV0067198</v>
          </cell>
          <cell r="AF586" t="str">
            <v>ES</v>
          </cell>
        </row>
        <row r="587">
          <cell r="A587" t="str">
            <v>646-130453-004</v>
          </cell>
          <cell r="B587" t="str">
            <v>SW,SMD,DIP STRAIGHT 4 POLES,ROHS</v>
          </cell>
          <cell r="C587" t="str">
            <v>SW</v>
          </cell>
          <cell r="D587">
            <v>25</v>
          </cell>
          <cell r="E587">
            <v>1</v>
          </cell>
          <cell r="F587" t="str">
            <v>12 Weeks</v>
          </cell>
          <cell r="G587">
            <v>500</v>
          </cell>
          <cell r="H587">
            <v>2.6599970000000002</v>
          </cell>
          <cell r="I587">
            <v>1329.9985000000001</v>
          </cell>
          <cell r="J587">
            <v>3.2438987804878052</v>
          </cell>
          <cell r="K587">
            <v>291.95089024390268</v>
          </cell>
          <cell r="L587">
            <v>1621.9493902439026</v>
          </cell>
          <cell r="M587" t="str">
            <v>CHINA</v>
          </cell>
          <cell r="N587">
            <v>8536509065</v>
          </cell>
          <cell r="O587">
            <v>0.35</v>
          </cell>
          <cell r="P587">
            <v>465.49947500000002</v>
          </cell>
          <cell r="Q587">
            <v>1</v>
          </cell>
          <cell r="R587" t="str">
            <v>76HPSB04GWRT</v>
          </cell>
          <cell r="S587" t="str">
            <v>Grayhill</v>
          </cell>
          <cell r="T587" t="str">
            <v>Mouser</v>
          </cell>
          <cell r="U587">
            <v>2.5099999999999998</v>
          </cell>
          <cell r="V587">
            <v>500</v>
          </cell>
          <cell r="W587">
            <v>0</v>
          </cell>
          <cell r="X587">
            <v>1</v>
          </cell>
          <cell r="Y587" t="str">
            <v>Y</v>
          </cell>
          <cell r="Z587">
            <v>1255</v>
          </cell>
          <cell r="AA587">
            <v>74.998500000000149</v>
          </cell>
          <cell r="AB587">
            <v>0.22623972884179955</v>
          </cell>
          <cell r="AD587">
            <v>1062721</v>
          </cell>
          <cell r="AE587" t="str">
            <v>POV0067198</v>
          </cell>
          <cell r="AF587" t="str">
            <v>ES</v>
          </cell>
        </row>
        <row r="588">
          <cell r="A588" t="str">
            <v>618-B36776-151</v>
          </cell>
          <cell r="B588" t="str">
            <v>RES,THK FILM,150 OHM,5%,200W,SOT227</v>
          </cell>
          <cell r="C588" t="str">
            <v>RES</v>
          </cell>
          <cell r="D588">
            <v>75</v>
          </cell>
          <cell r="E588" t="str">
            <v>N/A</v>
          </cell>
          <cell r="F588" t="str">
            <v>22 Weeks</v>
          </cell>
          <cell r="G588">
            <v>150</v>
          </cell>
          <cell r="H588">
            <v>47.91</v>
          </cell>
          <cell r="I588">
            <v>7186.4999999999991</v>
          </cell>
          <cell r="J588">
            <v>58.426829268292686</v>
          </cell>
          <cell r="K588">
            <v>1577.5243902439024</v>
          </cell>
          <cell r="L588">
            <v>8764.0243902439033</v>
          </cell>
          <cell r="O588"/>
          <cell r="Q588">
            <v>1</v>
          </cell>
          <cell r="R588" t="str">
            <v>TGHLV150RJE</v>
          </cell>
          <cell r="S588" t="str">
            <v>Ohmite</v>
          </cell>
          <cell r="T588" t="str">
            <v>Mouser</v>
          </cell>
          <cell r="U588">
            <v>43.17</v>
          </cell>
          <cell r="V588">
            <v>150</v>
          </cell>
          <cell r="W588">
            <v>0</v>
          </cell>
          <cell r="X588">
            <v>26</v>
          </cell>
          <cell r="Y588" t="str">
            <v>Y</v>
          </cell>
          <cell r="Z588">
            <v>6475.5</v>
          </cell>
          <cell r="AA588">
            <v>710.99999999999909</v>
          </cell>
          <cell r="AB588">
            <v>0.26112711333750793</v>
          </cell>
          <cell r="AD588">
            <v>1062721</v>
          </cell>
          <cell r="AE588" t="str">
            <v>POV0067198</v>
          </cell>
          <cell r="AF588" t="str">
            <v>ES</v>
          </cell>
        </row>
        <row r="589">
          <cell r="A589" t="str">
            <v>668-A26896-015</v>
          </cell>
          <cell r="B589" t="str">
            <v>CONN,PLUG,D-SUB,HD,15POSN,RTANG,4-40INSR</v>
          </cell>
          <cell r="C589" t="str">
            <v>CONN</v>
          </cell>
          <cell r="D589">
            <v>25</v>
          </cell>
          <cell r="E589">
            <v>1</v>
          </cell>
          <cell r="F589" t="str">
            <v>24 Weeks</v>
          </cell>
          <cell r="G589">
            <v>270</v>
          </cell>
          <cell r="H589">
            <v>2.7696299999999998</v>
          </cell>
          <cell r="I589">
            <v>747.80009999999993</v>
          </cell>
          <cell r="J589">
            <v>3.3775975609756097</v>
          </cell>
          <cell r="K589">
            <v>164.15124146341464</v>
          </cell>
          <cell r="L589">
            <v>911.95134146341456</v>
          </cell>
          <cell r="O589"/>
          <cell r="Q589">
            <v>1</v>
          </cell>
          <cell r="R589" t="str">
            <v>181-015-113R531</v>
          </cell>
          <cell r="S589" t="str">
            <v>NORCOMP</v>
          </cell>
          <cell r="T589" t="str">
            <v>Mouser</v>
          </cell>
          <cell r="U589">
            <v>2.81</v>
          </cell>
          <cell r="V589">
            <v>270</v>
          </cell>
          <cell r="W589">
            <v>0</v>
          </cell>
          <cell r="X589">
            <v>1</v>
          </cell>
          <cell r="Y589" t="str">
            <v>Y</v>
          </cell>
          <cell r="Z589">
            <v>758.7</v>
          </cell>
          <cell r="AA589">
            <v>-10.899900000000116</v>
          </cell>
          <cell r="AB589" t="str">
            <v/>
          </cell>
          <cell r="AD589">
            <v>1062721</v>
          </cell>
          <cell r="AE589" t="str">
            <v>POV0067198</v>
          </cell>
          <cell r="AF589" t="str">
            <v>ES</v>
          </cell>
        </row>
        <row r="590">
          <cell r="A590" t="str">
            <v>668-024902-004</v>
          </cell>
          <cell r="B590" t="str">
            <v>CONN,DSUB,DUAL PORT,F/M,25P/25P ROHS</v>
          </cell>
          <cell r="C590" t="str">
            <v>CONN</v>
          </cell>
          <cell r="D590">
            <v>25</v>
          </cell>
          <cell r="E590" t="str">
            <v>N/A</v>
          </cell>
          <cell r="F590" t="str">
            <v>19 Weeks</v>
          </cell>
          <cell r="G590">
            <v>50</v>
          </cell>
          <cell r="H590">
            <v>9.4486050000000006</v>
          </cell>
          <cell r="I590">
            <v>472.43025</v>
          </cell>
          <cell r="J590">
            <v>11.522689024390246</v>
          </cell>
          <cell r="K590">
            <v>103.70420121951224</v>
          </cell>
          <cell r="L590">
            <v>576.13445121951236</v>
          </cell>
          <cell r="O590"/>
          <cell r="Q590">
            <v>1</v>
          </cell>
          <cell r="R590" t="str">
            <v>178-025-313R571</v>
          </cell>
          <cell r="S590" t="str">
            <v>NORCOMP</v>
          </cell>
          <cell r="T590" t="str">
            <v>Mouser</v>
          </cell>
          <cell r="U590">
            <v>9.18</v>
          </cell>
          <cell r="V590">
            <v>50</v>
          </cell>
          <cell r="W590">
            <v>0</v>
          </cell>
          <cell r="X590">
            <v>1</v>
          </cell>
          <cell r="Y590" t="str">
            <v>Y</v>
          </cell>
          <cell r="Z590">
            <v>459</v>
          </cell>
          <cell r="AA590">
            <v>13.430250000000001</v>
          </cell>
          <cell r="AB590">
            <v>0.20331096495196932</v>
          </cell>
          <cell r="AD590">
            <v>1062721</v>
          </cell>
          <cell r="AE590" t="str">
            <v>POV0067198</v>
          </cell>
          <cell r="AF590" t="str">
            <v>ES</v>
          </cell>
        </row>
        <row r="591">
          <cell r="A591" t="str">
            <v>648-225119-025</v>
          </cell>
          <cell r="B591" t="str">
            <v>CAP,SMD,C0G,100PF,1%,50V,0805</v>
          </cell>
          <cell r="C591" t="str">
            <v>CAP</v>
          </cell>
          <cell r="D591">
            <v>30</v>
          </cell>
          <cell r="E591">
            <v>1</v>
          </cell>
          <cell r="F591" t="str">
            <v>15 Weeks</v>
          </cell>
          <cell r="G591">
            <v>4000</v>
          </cell>
          <cell r="H591">
            <v>0.24378900000000001</v>
          </cell>
          <cell r="I591">
            <v>975.15600000000006</v>
          </cell>
          <cell r="J591">
            <v>0.29730365853658541</v>
          </cell>
          <cell r="K591">
            <v>214.05863414634166</v>
          </cell>
          <cell r="L591">
            <v>1189.2146341463417</v>
          </cell>
          <cell r="O591"/>
          <cell r="Q591">
            <v>1</v>
          </cell>
          <cell r="R591" t="str">
            <v>C0805C101F5GAC</v>
          </cell>
          <cell r="S591" t="str">
            <v>Kemet</v>
          </cell>
          <cell r="T591" t="str">
            <v>Mouser</v>
          </cell>
          <cell r="U591">
            <v>0.215</v>
          </cell>
          <cell r="V591">
            <v>4000</v>
          </cell>
          <cell r="W591">
            <v>0</v>
          </cell>
          <cell r="X591">
            <v>1</v>
          </cell>
          <cell r="Y591" t="str">
            <v>Y</v>
          </cell>
          <cell r="Z591">
            <v>860</v>
          </cell>
          <cell r="AA591">
            <v>115.15600000000006</v>
          </cell>
          <cell r="AB591">
            <v>0.27683365533309556</v>
          </cell>
          <cell r="AD591">
            <v>1062721</v>
          </cell>
          <cell r="AE591" t="str">
            <v>POV0067198</v>
          </cell>
          <cell r="AF591" t="str">
            <v>ES</v>
          </cell>
        </row>
        <row r="592">
          <cell r="A592" t="str">
            <v>668-092915-026</v>
          </cell>
          <cell r="B592" t="str">
            <v>CONN,HDR,PCB MT,.100 CTR 26P,ROHS</v>
          </cell>
          <cell r="C592" t="str">
            <v>CONN</v>
          </cell>
          <cell r="D592">
            <v>15</v>
          </cell>
          <cell r="E592">
            <v>1</v>
          </cell>
          <cell r="F592" t="str">
            <v>9 Weeks</v>
          </cell>
          <cell r="G592">
            <v>250</v>
          </cell>
          <cell r="H592">
            <v>4.0938559999999997</v>
          </cell>
          <cell r="I592">
            <v>1023.4639999999999</v>
          </cell>
          <cell r="J592">
            <v>4.9925073170731711</v>
          </cell>
          <cell r="K592">
            <v>224.66282926829285</v>
          </cell>
          <cell r="L592">
            <v>1248.1268292682928</v>
          </cell>
          <cell r="M592" t="str">
            <v>CHINA</v>
          </cell>
          <cell r="N592">
            <v>8536694040</v>
          </cell>
          <cell r="O592">
            <v>0.35</v>
          </cell>
          <cell r="P592">
            <v>358.21239999999995</v>
          </cell>
          <cell r="Q592">
            <v>3</v>
          </cell>
          <cell r="R592" t="str">
            <v>65863-075LF</v>
          </cell>
          <cell r="S592" t="str">
            <v>Amphenol FCI</v>
          </cell>
          <cell r="T592" t="str">
            <v>Mouser</v>
          </cell>
          <cell r="U592">
            <v>1.65</v>
          </cell>
          <cell r="V592">
            <v>260</v>
          </cell>
          <cell r="W592">
            <v>-10</v>
          </cell>
          <cell r="X592">
            <v>1</v>
          </cell>
          <cell r="Y592" t="str">
            <v>Y</v>
          </cell>
          <cell r="Z592">
            <v>429</v>
          </cell>
          <cell r="AA592">
            <v>594.46399999999994</v>
          </cell>
          <cell r="AB592">
            <v>0.65628493039325275</v>
          </cell>
          <cell r="AD592">
            <v>1062721</v>
          </cell>
          <cell r="AE592" t="str">
            <v>POV0067198</v>
          </cell>
          <cell r="AF592" t="str">
            <v>ES</v>
          </cell>
        </row>
        <row r="593">
          <cell r="A593" t="str">
            <v>615-A00423-332</v>
          </cell>
          <cell r="B593" t="str">
            <v>RES SMD 3.32KOHM 0.1% 1/16W 0402</v>
          </cell>
          <cell r="C593" t="str">
            <v>RES</v>
          </cell>
          <cell r="D593">
            <v>15</v>
          </cell>
          <cell r="E593">
            <v>1</v>
          </cell>
          <cell r="F593" t="str">
            <v>23 Weeks</v>
          </cell>
          <cell r="G593">
            <v>10000</v>
          </cell>
          <cell r="H593">
            <v>4.1116E-2</v>
          </cell>
          <cell r="I593">
            <v>411.16</v>
          </cell>
          <cell r="J593">
            <v>5.0141463414634151E-2</v>
          </cell>
          <cell r="K593">
            <v>90.254634146341516</v>
          </cell>
          <cell r="L593">
            <v>501.41463414634148</v>
          </cell>
          <cell r="O593"/>
          <cell r="Q593">
            <v>2</v>
          </cell>
          <cell r="R593" t="str">
            <v>ERA-2AEB3321X</v>
          </cell>
          <cell r="S593" t="str">
            <v>Panasonic</v>
          </cell>
          <cell r="T593" t="str">
            <v>TTI</v>
          </cell>
          <cell r="U593">
            <v>4.2999999999999997E-2</v>
          </cell>
          <cell r="V593">
            <v>10000</v>
          </cell>
          <cell r="W593">
            <v>0</v>
          </cell>
          <cell r="X593">
            <v>1</v>
          </cell>
          <cell r="Y593" t="str">
            <v>Y</v>
          </cell>
          <cell r="Z593">
            <v>429.99999999999994</v>
          </cell>
          <cell r="AA593">
            <v>-18.839999999999918</v>
          </cell>
          <cell r="AB593" t="str">
            <v/>
          </cell>
          <cell r="AD593">
            <v>1062721</v>
          </cell>
          <cell r="AE593" t="str">
            <v>POV0067200</v>
          </cell>
          <cell r="AF593" t="str">
            <v>Stephanie Hill</v>
          </cell>
        </row>
        <row r="594">
          <cell r="A594" t="str">
            <v>615-A00422-412</v>
          </cell>
          <cell r="B594" t="str">
            <v>RES SMD 412 OHM 0.1% 1/16W 0402</v>
          </cell>
          <cell r="C594" t="str">
            <v>RES</v>
          </cell>
          <cell r="D594">
            <v>25</v>
          </cell>
          <cell r="E594">
            <v>1</v>
          </cell>
          <cell r="F594" t="str">
            <v>23 Weeks</v>
          </cell>
          <cell r="G594">
            <v>10000</v>
          </cell>
          <cell r="H594">
            <v>4.1116E-2</v>
          </cell>
          <cell r="I594">
            <v>411.16</v>
          </cell>
          <cell r="J594">
            <v>5.0141463414634151E-2</v>
          </cell>
          <cell r="K594">
            <v>90.254634146341516</v>
          </cell>
          <cell r="L594">
            <v>501.41463414634148</v>
          </cell>
          <cell r="O594"/>
          <cell r="Q594">
            <v>2</v>
          </cell>
          <cell r="R594" t="str">
            <v>ERA-2AEB4120X</v>
          </cell>
          <cell r="S594" t="str">
            <v>Panasonic</v>
          </cell>
          <cell r="T594" t="str">
            <v>TTI</v>
          </cell>
          <cell r="U594">
            <v>4.2000000000000003E-2</v>
          </cell>
          <cell r="V594">
            <v>10000</v>
          </cell>
          <cell r="W594">
            <v>0</v>
          </cell>
          <cell r="X594">
            <v>1</v>
          </cell>
          <cell r="Y594" t="str">
            <v>Y</v>
          </cell>
          <cell r="Z594">
            <v>420</v>
          </cell>
          <cell r="AA594">
            <v>-8.839999999999975</v>
          </cell>
          <cell r="AB594" t="str">
            <v/>
          </cell>
          <cell r="AD594">
            <v>1062721</v>
          </cell>
          <cell r="AE594" t="str">
            <v>POV0067200</v>
          </cell>
          <cell r="AF594" t="str">
            <v>Stephanie Hill</v>
          </cell>
        </row>
        <row r="595">
          <cell r="A595" t="str">
            <v>615-121726-069</v>
          </cell>
          <cell r="B595" t="str">
            <v>RES,SMD,270K,1/10W,1%,0402</v>
          </cell>
          <cell r="C595" t="str">
            <v>RES</v>
          </cell>
          <cell r="D595">
            <v>25</v>
          </cell>
          <cell r="E595">
            <v>1</v>
          </cell>
          <cell r="F595" t="str">
            <v>14 Weeks</v>
          </cell>
          <cell r="G595">
            <v>10000</v>
          </cell>
          <cell r="H595">
            <v>3.6770000000000001E-3</v>
          </cell>
          <cell r="I595">
            <v>36.770000000000003</v>
          </cell>
          <cell r="J595">
            <v>4.4841463414634153E-3</v>
          </cell>
          <cell r="K595">
            <v>8.0714634146341524</v>
          </cell>
          <cell r="L595">
            <v>44.841463414634156</v>
          </cell>
          <cell r="O595"/>
          <cell r="Q595">
            <v>3</v>
          </cell>
          <cell r="R595" t="str">
            <v>RK73H1ETTP2703F</v>
          </cell>
          <cell r="S595" t="str">
            <v>KOA Speer</v>
          </cell>
          <cell r="T595" t="str">
            <v>TTI</v>
          </cell>
          <cell r="U595">
            <v>2.97E-3</v>
          </cell>
          <cell r="V595">
            <v>10000</v>
          </cell>
          <cell r="W595">
            <v>0</v>
          </cell>
          <cell r="X595">
            <v>1</v>
          </cell>
          <cell r="Y595" t="str">
            <v>Y</v>
          </cell>
          <cell r="Z595">
            <v>29.7</v>
          </cell>
          <cell r="AA595">
            <v>7.0700000000000038</v>
          </cell>
          <cell r="AB595">
            <v>0.33766657601305428</v>
          </cell>
          <cell r="AD595">
            <v>1062721</v>
          </cell>
          <cell r="AE595" t="str">
            <v>POV0067200</v>
          </cell>
          <cell r="AF595" t="str">
            <v>Stephanie Hill</v>
          </cell>
        </row>
        <row r="596">
          <cell r="A596" t="str">
            <v>615-121726-432</v>
          </cell>
          <cell r="B596" t="str">
            <v>RES,SMD,432K,1/10W,1%,0402</v>
          </cell>
          <cell r="C596" t="str">
            <v>RES</v>
          </cell>
          <cell r="D596">
            <v>25</v>
          </cell>
          <cell r="E596">
            <v>1</v>
          </cell>
          <cell r="F596" t="str">
            <v>3 Weeks</v>
          </cell>
          <cell r="G596">
            <v>10000</v>
          </cell>
          <cell r="H596">
            <v>4.7299999999999998E-3</v>
          </cell>
          <cell r="I596">
            <v>47.3</v>
          </cell>
          <cell r="J596">
            <v>5.7682926829268292E-3</v>
          </cell>
          <cell r="K596">
            <v>10.382926829268293</v>
          </cell>
          <cell r="L596">
            <v>57.68292682926829</v>
          </cell>
          <cell r="M596" t="str">
            <v>CHINA</v>
          </cell>
          <cell r="N596">
            <v>8533210030</v>
          </cell>
          <cell r="O596">
            <v>0.35</v>
          </cell>
          <cell r="P596">
            <v>16.555</v>
          </cell>
          <cell r="Q596">
            <v>3</v>
          </cell>
          <cell r="R596" t="str">
            <v>RK73H1ETTP4323F</v>
          </cell>
          <cell r="S596" t="str">
            <v>KOA Speer</v>
          </cell>
          <cell r="T596" t="str">
            <v>TTI</v>
          </cell>
          <cell r="U596">
            <v>3.0200000000000001E-3</v>
          </cell>
          <cell r="V596">
            <v>10000</v>
          </cell>
          <cell r="W596">
            <v>0</v>
          </cell>
          <cell r="X596">
            <v>1</v>
          </cell>
          <cell r="Y596" t="str">
            <v>Y</v>
          </cell>
          <cell r="Z596">
            <v>30.200000000000003</v>
          </cell>
          <cell r="AA596">
            <v>17.099999999999994</v>
          </cell>
          <cell r="AB596">
            <v>0.47644820295983081</v>
          </cell>
          <cell r="AD596">
            <v>1062721</v>
          </cell>
          <cell r="AE596" t="str">
            <v>POV0067200</v>
          </cell>
          <cell r="AF596" t="str">
            <v>Stephanie Hill</v>
          </cell>
        </row>
        <row r="597">
          <cell r="A597" t="str">
            <v>615-B07870-001</v>
          </cell>
          <cell r="B597" t="str">
            <v>RES,SMD,THK FILM,2M OHM,+/-1%,0.3W,0603</v>
          </cell>
          <cell r="C597" t="str">
            <v>RES</v>
          </cell>
          <cell r="D597">
            <v>25</v>
          </cell>
          <cell r="E597">
            <v>1</v>
          </cell>
          <cell r="F597" t="str">
            <v>18 Weeks</v>
          </cell>
          <cell r="G597">
            <v>50000</v>
          </cell>
          <cell r="H597">
            <v>1.4706E-2</v>
          </cell>
          <cell r="I597">
            <v>735.30000000000007</v>
          </cell>
          <cell r="J597">
            <v>1.7934146341463415E-2</v>
          </cell>
          <cell r="K597">
            <v>161.40731707317082</v>
          </cell>
          <cell r="L597">
            <v>896.70731707317077</v>
          </cell>
          <cell r="O597"/>
          <cell r="Q597">
            <v>1</v>
          </cell>
          <cell r="R597" t="str">
            <v>SDR03EZPF2004</v>
          </cell>
          <cell r="S597" t="str">
            <v>ROHM</v>
          </cell>
          <cell r="T597" t="str">
            <v>Mouser</v>
          </cell>
          <cell r="U597">
            <v>1.4999999999999999E-2</v>
          </cell>
          <cell r="V597">
            <v>50000</v>
          </cell>
          <cell r="W597">
            <v>0</v>
          </cell>
          <cell r="X597" t="str">
            <v>Partial in stock; lead time TBD</v>
          </cell>
          <cell r="Y597" t="str">
            <v>Y</v>
          </cell>
          <cell r="Z597">
            <v>750</v>
          </cell>
          <cell r="AA597">
            <v>-14.699999999999932</v>
          </cell>
          <cell r="AB597" t="str">
            <v/>
          </cell>
          <cell r="AD597">
            <v>1062721</v>
          </cell>
          <cell r="AE597" t="str">
            <v>POV0067198</v>
          </cell>
          <cell r="AF597" t="str">
            <v>ES</v>
          </cell>
        </row>
        <row r="598">
          <cell r="A598" t="str">
            <v>615-326252-001</v>
          </cell>
          <cell r="B598" t="str">
            <v>RES,SMD,JMPR,1/4W,THK FILM,1206</v>
          </cell>
          <cell r="C598" t="str">
            <v>RES</v>
          </cell>
          <cell r="D598">
            <v>25</v>
          </cell>
          <cell r="E598">
            <v>1</v>
          </cell>
          <cell r="F598" t="str">
            <v>19 Weeks</v>
          </cell>
          <cell r="G598">
            <v>10000</v>
          </cell>
          <cell r="H598">
            <v>6.1279999999999998E-3</v>
          </cell>
          <cell r="I598">
            <v>61.28</v>
          </cell>
          <cell r="J598">
            <v>7.4731707317073175E-3</v>
          </cell>
          <cell r="K598">
            <v>13.451707317073172</v>
          </cell>
          <cell r="L598">
            <v>74.731707317073173</v>
          </cell>
          <cell r="O598"/>
          <cell r="Q598">
            <v>1</v>
          </cell>
          <cell r="R598" t="str">
            <v>CRCW12060000Z0EBC</v>
          </cell>
          <cell r="S598" t="str">
            <v>Vishay</v>
          </cell>
          <cell r="T598" t="str">
            <v>Mouser</v>
          </cell>
          <cell r="U598">
            <v>6.0000000000000001E-3</v>
          </cell>
          <cell r="V598">
            <v>10000</v>
          </cell>
          <cell r="W598">
            <v>0</v>
          </cell>
          <cell r="X598">
            <v>1</v>
          </cell>
          <cell r="Y598" t="str">
            <v>Y</v>
          </cell>
          <cell r="Z598">
            <v>60</v>
          </cell>
          <cell r="AA598">
            <v>1.2800000000000011</v>
          </cell>
          <cell r="AB598">
            <v>0.19712793733681466</v>
          </cell>
          <cell r="AD598">
            <v>1062721</v>
          </cell>
          <cell r="AE598" t="str">
            <v>POV0067198</v>
          </cell>
          <cell r="AF598" t="str">
            <v>ES</v>
          </cell>
        </row>
        <row r="599">
          <cell r="A599" t="str">
            <v>615-A00422-365</v>
          </cell>
          <cell r="B599" t="str">
            <v>RES SMD 365 OHM 0.1% 1/16W 0402</v>
          </cell>
          <cell r="C599" t="str">
            <v>RES</v>
          </cell>
          <cell r="D599">
            <v>25</v>
          </cell>
          <cell r="E599">
            <v>1</v>
          </cell>
          <cell r="F599" t="str">
            <v>22 Weeks</v>
          </cell>
          <cell r="G599">
            <v>10000</v>
          </cell>
          <cell r="H599">
            <v>4.1116E-2</v>
          </cell>
          <cell r="I599">
            <v>411.16</v>
          </cell>
          <cell r="J599">
            <v>5.0141463414634151E-2</v>
          </cell>
          <cell r="K599">
            <v>90.254634146341516</v>
          </cell>
          <cell r="L599">
            <v>501.41463414634148</v>
          </cell>
          <cell r="O599"/>
          <cell r="Q599">
            <v>2</v>
          </cell>
          <cell r="R599" t="str">
            <v>RT0402BRD07365RL</v>
          </cell>
          <cell r="S599" t="str">
            <v>Yageo</v>
          </cell>
          <cell r="T599" t="str">
            <v>Mouser</v>
          </cell>
          <cell r="U599">
            <v>0.04</v>
          </cell>
          <cell r="V599">
            <v>10000</v>
          </cell>
          <cell r="W599">
            <v>0</v>
          </cell>
          <cell r="X599">
            <v>1</v>
          </cell>
          <cell r="Y599" t="str">
            <v>Y</v>
          </cell>
          <cell r="Z599">
            <v>400</v>
          </cell>
          <cell r="AA599">
            <v>11.160000000000025</v>
          </cell>
          <cell r="AB599">
            <v>0.20225702889386132</v>
          </cell>
          <cell r="AD599">
            <v>1062721</v>
          </cell>
          <cell r="AE599" t="str">
            <v>POV0067198</v>
          </cell>
          <cell r="AF599" t="str">
            <v>ES</v>
          </cell>
        </row>
        <row r="600">
          <cell r="A600" t="str">
            <v>615-228652-001</v>
          </cell>
          <cell r="B600" t="str">
            <v>RES,SMD,THK FILM,0OHM,1/5W,0402</v>
          </cell>
          <cell r="C600" t="str">
            <v>RES</v>
          </cell>
          <cell r="D600">
            <v>75</v>
          </cell>
          <cell r="E600">
            <v>1</v>
          </cell>
          <cell r="F600" t="str">
            <v>16 Weeks</v>
          </cell>
          <cell r="G600">
            <v>10000</v>
          </cell>
          <cell r="H600">
            <v>1.0343E-2</v>
          </cell>
          <cell r="I600">
            <v>103.42999999999999</v>
          </cell>
          <cell r="J600">
            <v>1.2613414634146341E-2</v>
          </cell>
          <cell r="K600">
            <v>22.704146341463414</v>
          </cell>
          <cell r="L600">
            <v>126.13414634146341</v>
          </cell>
          <cell r="O600"/>
          <cell r="Q600">
            <v>1</v>
          </cell>
          <cell r="R600" t="str">
            <v>CRCW04020000Z0EDHP</v>
          </cell>
          <cell r="S600" t="str">
            <v>Vishay</v>
          </cell>
          <cell r="T600" t="str">
            <v>TTI</v>
          </cell>
          <cell r="U600">
            <v>9.5600000000000008E-3</v>
          </cell>
          <cell r="V600">
            <v>10000</v>
          </cell>
          <cell r="W600">
            <v>0</v>
          </cell>
          <cell r="X600">
            <v>1</v>
          </cell>
          <cell r="Y600" t="str">
            <v>Y</v>
          </cell>
          <cell r="Z600">
            <v>95.600000000000009</v>
          </cell>
          <cell r="AA600">
            <v>7.8299999999999841</v>
          </cell>
          <cell r="AB600">
            <v>0.24207676689548474</v>
          </cell>
          <cell r="AD600">
            <v>1062721</v>
          </cell>
          <cell r="AE600" t="str">
            <v>POV0067200</v>
          </cell>
          <cell r="AF600" t="str">
            <v>Stephanie Hill</v>
          </cell>
        </row>
        <row r="601">
          <cell r="A601" t="str">
            <v>615-121726-050</v>
          </cell>
          <cell r="B601" t="str">
            <v>RES,SMD,1.5K,1/10W,1%,0402</v>
          </cell>
          <cell r="C601" t="str">
            <v>RES</v>
          </cell>
          <cell r="D601">
            <v>25</v>
          </cell>
          <cell r="E601">
            <v>1</v>
          </cell>
          <cell r="F601" t="str">
            <v>22 Weeks</v>
          </cell>
          <cell r="G601">
            <v>10000</v>
          </cell>
          <cell r="H601">
            <v>6.0000000000000001E-3</v>
          </cell>
          <cell r="I601">
            <v>60</v>
          </cell>
          <cell r="J601">
            <v>7.3170731707317077E-3</v>
          </cell>
          <cell r="K601">
            <v>13.170731707317074</v>
          </cell>
          <cell r="L601">
            <v>73.170731707317074</v>
          </cell>
          <cell r="M601" t="str">
            <v>CHINA</v>
          </cell>
          <cell r="N601">
            <v>8533210030</v>
          </cell>
          <cell r="O601">
            <v>0.35</v>
          </cell>
          <cell r="P601">
            <v>21</v>
          </cell>
          <cell r="Q601">
            <v>3</v>
          </cell>
          <cell r="R601" t="str">
            <v>RK73H1ETTP1501F</v>
          </cell>
          <cell r="S601" t="str">
            <v>KOA Speer Electronics</v>
          </cell>
          <cell r="T601" t="str">
            <v>TTI</v>
          </cell>
          <cell r="U601">
            <v>2.97E-3</v>
          </cell>
          <cell r="V601">
            <v>10000</v>
          </cell>
          <cell r="W601">
            <v>0</v>
          </cell>
          <cell r="X601">
            <v>1</v>
          </cell>
          <cell r="Y601" t="str">
            <v>Y</v>
          </cell>
          <cell r="Z601">
            <v>29.7</v>
          </cell>
          <cell r="AA601">
            <v>30.3</v>
          </cell>
          <cell r="AB601">
            <v>0.59410000000000007</v>
          </cell>
          <cell r="AD601">
            <v>1062721</v>
          </cell>
          <cell r="AE601" t="str">
            <v>POV0067200</v>
          </cell>
          <cell r="AF601" t="str">
            <v>Stephanie Hill</v>
          </cell>
        </row>
        <row r="602">
          <cell r="A602" t="str">
            <v>615-121726-073</v>
          </cell>
          <cell r="B602" t="str">
            <v>RES,SMD,15K,1/10W,1%,0402</v>
          </cell>
          <cell r="C602" t="str">
            <v>RES</v>
          </cell>
          <cell r="D602">
            <v>25</v>
          </cell>
          <cell r="E602">
            <v>1</v>
          </cell>
          <cell r="F602" t="str">
            <v>25 Weeks</v>
          </cell>
          <cell r="G602">
            <v>10000</v>
          </cell>
          <cell r="H602">
            <v>6.0000000000000001E-3</v>
          </cell>
          <cell r="I602">
            <v>60</v>
          </cell>
          <cell r="J602">
            <v>7.3170731707317077E-3</v>
          </cell>
          <cell r="K602">
            <v>13.170731707317074</v>
          </cell>
          <cell r="L602">
            <v>73.170731707317074</v>
          </cell>
          <cell r="M602" t="str">
            <v>CHINA</v>
          </cell>
          <cell r="N602">
            <v>8533210030</v>
          </cell>
          <cell r="O602">
            <v>0.35</v>
          </cell>
          <cell r="P602">
            <v>21</v>
          </cell>
          <cell r="Q602">
            <v>3</v>
          </cell>
          <cell r="R602" t="str">
            <v>RK73H1ETTP1502F</v>
          </cell>
          <cell r="S602" t="str">
            <v>KOA Speer Electronics</v>
          </cell>
          <cell r="T602" t="str">
            <v>TTI</v>
          </cell>
          <cell r="U602">
            <v>2.97E-3</v>
          </cell>
          <cell r="V602">
            <v>10000</v>
          </cell>
          <cell r="W602">
            <v>0</v>
          </cell>
          <cell r="X602">
            <v>1</v>
          </cell>
          <cell r="Y602" t="str">
            <v>Y</v>
          </cell>
          <cell r="Z602">
            <v>29.7</v>
          </cell>
          <cell r="AA602">
            <v>30.3</v>
          </cell>
          <cell r="AB602">
            <v>0.59410000000000007</v>
          </cell>
          <cell r="AD602">
            <v>1062721</v>
          </cell>
          <cell r="AE602" t="str">
            <v>POV0067200</v>
          </cell>
          <cell r="AF602" t="str">
            <v>Stephanie Hill</v>
          </cell>
        </row>
        <row r="603">
          <cell r="A603" t="str">
            <v>615-121726-322</v>
          </cell>
          <cell r="B603" t="str">
            <v>RES,SMD,3.24K,1/10W,1%,0402</v>
          </cell>
          <cell r="C603" t="str">
            <v>RES</v>
          </cell>
          <cell r="D603">
            <v>25</v>
          </cell>
          <cell r="E603">
            <v>1</v>
          </cell>
          <cell r="F603" t="str">
            <v>3 Weeks</v>
          </cell>
          <cell r="G603">
            <v>10000</v>
          </cell>
          <cell r="H603">
            <v>3.6770000000000001E-3</v>
          </cell>
          <cell r="I603">
            <v>36.770000000000003</v>
          </cell>
          <cell r="J603">
            <v>4.4841463414634153E-3</v>
          </cell>
          <cell r="K603">
            <v>8.0714634146341524</v>
          </cell>
          <cell r="L603">
            <v>44.841463414634156</v>
          </cell>
          <cell r="M603" t="str">
            <v>CHINA</v>
          </cell>
          <cell r="N603">
            <v>8533210030</v>
          </cell>
          <cell r="O603">
            <v>0.35</v>
          </cell>
          <cell r="P603">
            <v>12.8695</v>
          </cell>
          <cell r="Q603">
            <v>3</v>
          </cell>
          <cell r="R603" t="str">
            <v>RK73H1ETTP3241F</v>
          </cell>
          <cell r="S603" t="str">
            <v>KOA Speer Electronics</v>
          </cell>
          <cell r="T603" t="str">
            <v>TTI</v>
          </cell>
          <cell r="U603">
            <v>2.97E-3</v>
          </cell>
          <cell r="V603">
            <v>10000</v>
          </cell>
          <cell r="W603">
            <v>0</v>
          </cell>
          <cell r="X603">
            <v>1</v>
          </cell>
          <cell r="Y603" t="str">
            <v>Y</v>
          </cell>
          <cell r="Z603">
            <v>29.7</v>
          </cell>
          <cell r="AA603">
            <v>7.0700000000000038</v>
          </cell>
          <cell r="AB603">
            <v>0.33766657601305428</v>
          </cell>
          <cell r="AD603">
            <v>1062721</v>
          </cell>
          <cell r="AE603" t="str">
            <v>POV0067200</v>
          </cell>
          <cell r="AF603" t="str">
            <v>Stephanie Hill</v>
          </cell>
        </row>
        <row r="604">
          <cell r="A604" t="str">
            <v>615-121726-059</v>
          </cell>
          <cell r="B604" t="str">
            <v>RES,SMD,3.9K,1/10W,1%,0402</v>
          </cell>
          <cell r="C604" t="str">
            <v>RES</v>
          </cell>
          <cell r="D604">
            <v>25</v>
          </cell>
          <cell r="E604">
            <v>1</v>
          </cell>
          <cell r="F604" t="str">
            <v>11 Weeks</v>
          </cell>
          <cell r="G604">
            <v>10000</v>
          </cell>
          <cell r="H604">
            <v>3.6770000000000001E-3</v>
          </cell>
          <cell r="I604">
            <v>36.770000000000003</v>
          </cell>
          <cell r="J604">
            <v>4.4841463414634153E-3</v>
          </cell>
          <cell r="K604">
            <v>8.0714634146341524</v>
          </cell>
          <cell r="L604">
            <v>44.841463414634156</v>
          </cell>
          <cell r="O604"/>
          <cell r="Q604">
            <v>3</v>
          </cell>
          <cell r="R604" t="str">
            <v>RK73H1ETTP3901F</v>
          </cell>
          <cell r="S604" t="str">
            <v>KOA Speer Electronics</v>
          </cell>
          <cell r="T604" t="str">
            <v>TTI</v>
          </cell>
          <cell r="U604">
            <v>2.97E-3</v>
          </cell>
          <cell r="V604">
            <v>10000</v>
          </cell>
          <cell r="W604">
            <v>0</v>
          </cell>
          <cell r="X604">
            <v>1</v>
          </cell>
          <cell r="Y604" t="str">
            <v>Y</v>
          </cell>
          <cell r="Z604">
            <v>29.7</v>
          </cell>
          <cell r="AA604">
            <v>7.0700000000000038</v>
          </cell>
          <cell r="AB604">
            <v>0.33766657601305428</v>
          </cell>
          <cell r="AD604">
            <v>1062721</v>
          </cell>
          <cell r="AE604" t="str">
            <v>POV0067200</v>
          </cell>
          <cell r="AF604" t="str">
            <v>Stephanie Hill</v>
          </cell>
        </row>
        <row r="605">
          <cell r="A605" t="str">
            <v>615-303725-087</v>
          </cell>
          <cell r="B605" t="str">
            <v>RES,SMD,10.5K,0.1%,1/16W,0402,ROHS</v>
          </cell>
          <cell r="C605" t="str">
            <v>RES</v>
          </cell>
          <cell r="D605">
            <v>25</v>
          </cell>
          <cell r="E605">
            <v>1</v>
          </cell>
          <cell r="F605" t="str">
            <v>23 Weeks</v>
          </cell>
          <cell r="G605">
            <v>10000</v>
          </cell>
          <cell r="H605">
            <v>4.1116E-2</v>
          </cell>
          <cell r="I605">
            <v>411.16</v>
          </cell>
          <cell r="J605">
            <v>5.0141463414634151E-2</v>
          </cell>
          <cell r="K605">
            <v>90.254634146341516</v>
          </cell>
          <cell r="L605">
            <v>501.41463414634148</v>
          </cell>
          <cell r="O605"/>
          <cell r="Q605">
            <v>2</v>
          </cell>
          <cell r="R605" t="str">
            <v>RT0402BRD0710K5L</v>
          </cell>
          <cell r="S605" t="str">
            <v>Yageo</v>
          </cell>
          <cell r="T605" t="str">
            <v>TTI</v>
          </cell>
          <cell r="U605">
            <v>3.4200000000000001E-2</v>
          </cell>
          <cell r="V605">
            <v>10000</v>
          </cell>
          <cell r="W605">
            <v>0</v>
          </cell>
          <cell r="X605">
            <v>1</v>
          </cell>
          <cell r="Y605" t="str">
            <v>Y</v>
          </cell>
          <cell r="Z605">
            <v>342</v>
          </cell>
          <cell r="AA605">
            <v>69.160000000000025</v>
          </cell>
          <cell r="AB605">
            <v>0.31792975970425141</v>
          </cell>
          <cell r="AD605">
            <v>1062721</v>
          </cell>
          <cell r="AE605" t="str">
            <v>POV0067200</v>
          </cell>
          <cell r="AF605" t="str">
            <v>Stephanie Hill</v>
          </cell>
        </row>
        <row r="606">
          <cell r="A606" t="str">
            <v>615-064170-162</v>
          </cell>
          <cell r="B606" t="str">
            <v>RES,SMD,0805,RG,MF,0.1%,1/10W,1.62K</v>
          </cell>
          <cell r="C606" t="str">
            <v>RES</v>
          </cell>
          <cell r="D606">
            <v>15</v>
          </cell>
          <cell r="E606">
            <v>1</v>
          </cell>
          <cell r="F606" t="str">
            <v>23 Weeks</v>
          </cell>
          <cell r="G606">
            <v>5000</v>
          </cell>
          <cell r="H606">
            <v>5.1263000000000003E-2</v>
          </cell>
          <cell r="I606">
            <v>256.315</v>
          </cell>
          <cell r="J606">
            <v>6.2515853658536596E-2</v>
          </cell>
          <cell r="K606">
            <v>56.264268292682971</v>
          </cell>
          <cell r="L606">
            <v>312.57926829268297</v>
          </cell>
          <cell r="O606"/>
          <cell r="Q606">
            <v>2</v>
          </cell>
          <cell r="R606" t="str">
            <v>RT0805BRD071K62L</v>
          </cell>
          <cell r="S606" t="str">
            <v>Yageo</v>
          </cell>
          <cell r="T606" t="str">
            <v>TTI</v>
          </cell>
          <cell r="U606">
            <v>3.7400000000000003E-2</v>
          </cell>
          <cell r="V606">
            <v>5000</v>
          </cell>
          <cell r="W606">
            <v>0</v>
          </cell>
          <cell r="Y606" t="str">
            <v>Y</v>
          </cell>
          <cell r="Z606">
            <v>187</v>
          </cell>
          <cell r="AA606">
            <v>69.314999999999998</v>
          </cell>
          <cell r="AB606">
            <v>0.40175175077541314</v>
          </cell>
          <cell r="AD606">
            <v>1062721</v>
          </cell>
          <cell r="AE606" t="str">
            <v>POV0067200</v>
          </cell>
          <cell r="AF606" t="str">
            <v>Stephanie Hill</v>
          </cell>
        </row>
        <row r="607">
          <cell r="A607" t="str">
            <v>615-098743-390</v>
          </cell>
          <cell r="B607" t="str">
            <v>RESISTOR,SMD,2010,39 OHM,5% 1/2W,ROHS</v>
          </cell>
          <cell r="C607" t="str">
            <v>RES</v>
          </cell>
          <cell r="D607">
            <v>15</v>
          </cell>
          <cell r="E607">
            <v>1</v>
          </cell>
          <cell r="F607" t="str">
            <v>17 Weeks</v>
          </cell>
          <cell r="G607">
            <v>4000</v>
          </cell>
          <cell r="H607">
            <v>4.4325999999999997E-2</v>
          </cell>
          <cell r="I607">
            <v>177.304</v>
          </cell>
          <cell r="J607">
            <v>5.4056097560975611E-2</v>
          </cell>
          <cell r="K607">
            <v>38.92039024390246</v>
          </cell>
          <cell r="L607">
            <v>216.22439024390243</v>
          </cell>
          <cell r="O607"/>
          <cell r="Q607">
            <v>2</v>
          </cell>
          <cell r="R607" t="str">
            <v>CRCW201039R0JNEF</v>
          </cell>
          <cell r="S607" t="str">
            <v>Vishay / Dale</v>
          </cell>
          <cell r="T607" t="str">
            <v>TTI</v>
          </cell>
          <cell r="U607">
            <v>4.4999999999999998E-2</v>
          </cell>
          <cell r="V607">
            <v>4000</v>
          </cell>
          <cell r="W607">
            <v>0</v>
          </cell>
          <cell r="X607">
            <v>1</v>
          </cell>
          <cell r="Y607" t="str">
            <v>Y</v>
          </cell>
          <cell r="Z607">
            <v>180</v>
          </cell>
          <cell r="AA607">
            <v>-2.695999999999998</v>
          </cell>
          <cell r="AB607" t="str">
            <v/>
          </cell>
          <cell r="AD607">
            <v>1062721</v>
          </cell>
          <cell r="AE607" t="str">
            <v>POV0067200</v>
          </cell>
          <cell r="AF607" t="str">
            <v>Stephanie Hill</v>
          </cell>
        </row>
        <row r="608">
          <cell r="A608" t="str">
            <v>615-098743-302</v>
          </cell>
          <cell r="B608" t="str">
            <v>RESISTOR,SMD,2010,3K OHM,5% 1/2W,ROHS</v>
          </cell>
          <cell r="C608" t="str">
            <v>RES</v>
          </cell>
          <cell r="D608">
            <v>25</v>
          </cell>
          <cell r="E608">
            <v>1</v>
          </cell>
          <cell r="F608" t="str">
            <v>15 Weeks</v>
          </cell>
          <cell r="G608">
            <v>4000</v>
          </cell>
          <cell r="H608">
            <v>3.7990999999999997E-2</v>
          </cell>
          <cell r="I608">
            <v>151.964</v>
          </cell>
          <cell r="J608">
            <v>4.633048780487805E-2</v>
          </cell>
          <cell r="K608">
            <v>33.357951219512216</v>
          </cell>
          <cell r="L608">
            <v>185.32195121951219</v>
          </cell>
          <cell r="O608"/>
          <cell r="Q608">
            <v>2</v>
          </cell>
          <cell r="R608" t="str">
            <v>CRCW20103K00JNEF</v>
          </cell>
          <cell r="S608" t="str">
            <v>Vishay</v>
          </cell>
          <cell r="T608" t="str">
            <v>TTI</v>
          </cell>
          <cell r="U608">
            <v>2.6599999999999999E-2</v>
          </cell>
          <cell r="V608">
            <v>4000</v>
          </cell>
          <cell r="W608">
            <v>0</v>
          </cell>
          <cell r="X608">
            <v>1</v>
          </cell>
          <cell r="Y608" t="str">
            <v>Y</v>
          </cell>
          <cell r="Z608">
            <v>106.39999999999999</v>
          </cell>
          <cell r="AA608">
            <v>45.564000000000007</v>
          </cell>
          <cell r="AB608">
            <v>0.42586402042589033</v>
          </cell>
          <cell r="AD608">
            <v>1062721</v>
          </cell>
          <cell r="AE608" t="str">
            <v>POV0067200</v>
          </cell>
          <cell r="AF608" t="str">
            <v>Stephanie Hill</v>
          </cell>
        </row>
        <row r="609">
          <cell r="A609" t="str">
            <v>615-047233-470</v>
          </cell>
          <cell r="B609" t="str">
            <v>RES,SMD,1210,10-100 OHMS,1%,0.33W,ROHS</v>
          </cell>
          <cell r="C609" t="str">
            <v>RES</v>
          </cell>
          <cell r="D609">
            <v>25</v>
          </cell>
          <cell r="E609">
            <v>1</v>
          </cell>
          <cell r="F609" t="str">
            <v>13 Weeks</v>
          </cell>
          <cell r="G609">
            <v>5000</v>
          </cell>
          <cell r="H609">
            <v>3.3982999999999999E-2</v>
          </cell>
          <cell r="I609">
            <v>169.91499999999999</v>
          </cell>
          <cell r="J609">
            <v>4.1442682926829268E-2</v>
          </cell>
          <cell r="K609">
            <v>37.298414634146354</v>
          </cell>
          <cell r="L609">
            <v>207.21341463414635</v>
          </cell>
          <cell r="O609"/>
          <cell r="Q609">
            <v>2</v>
          </cell>
          <cell r="R609" t="str">
            <v>RK73H2ETTD47R0F</v>
          </cell>
          <cell r="S609" t="str">
            <v>KOA Speer</v>
          </cell>
          <cell r="T609" t="str">
            <v>Mouser</v>
          </cell>
          <cell r="U609">
            <v>2.4799999999999999E-2</v>
          </cell>
          <cell r="V609">
            <v>5000</v>
          </cell>
          <cell r="W609">
            <v>0</v>
          </cell>
          <cell r="X609">
            <v>1</v>
          </cell>
          <cell r="Y609" t="str">
            <v>Y</v>
          </cell>
          <cell r="Z609">
            <v>124</v>
          </cell>
          <cell r="AA609">
            <v>45.914999999999992</v>
          </cell>
          <cell r="AB609">
            <v>0.40158314451343324</v>
          </cell>
          <cell r="AD609">
            <v>1062721</v>
          </cell>
          <cell r="AE609" t="str">
            <v>POV0067198</v>
          </cell>
          <cell r="AF609" t="str">
            <v>ES</v>
          </cell>
        </row>
        <row r="610">
          <cell r="A610" t="str">
            <v>615-310369-002</v>
          </cell>
          <cell r="B610" t="str">
            <v>RES,SMD,3.9K OHM,±0.1%TOL,1/5W,0805</v>
          </cell>
          <cell r="C610" t="str">
            <v>RES</v>
          </cell>
          <cell r="D610">
            <v>25</v>
          </cell>
          <cell r="E610">
            <v>1</v>
          </cell>
          <cell r="F610" t="str">
            <v>13 Weeks</v>
          </cell>
          <cell r="G610">
            <v>5000</v>
          </cell>
          <cell r="H610">
            <v>0.16470699999999999</v>
          </cell>
          <cell r="I610">
            <v>823.53499999999997</v>
          </cell>
          <cell r="J610">
            <v>0.20086219512195122</v>
          </cell>
          <cell r="K610">
            <v>180.77597560975619</v>
          </cell>
          <cell r="L610">
            <v>1004.3109756097562</v>
          </cell>
          <cell r="O610"/>
          <cell r="Q610">
            <v>1</v>
          </cell>
          <cell r="R610" t="str">
            <v>TNPW08053K90BEEA</v>
          </cell>
          <cell r="S610" t="str">
            <v>Vishay / Dale</v>
          </cell>
          <cell r="T610" t="str">
            <v>Mouser</v>
          </cell>
          <cell r="U610">
            <v>0.17199999999999999</v>
          </cell>
          <cell r="V610">
            <v>5000</v>
          </cell>
          <cell r="W610">
            <v>0</v>
          </cell>
          <cell r="X610">
            <v>1</v>
          </cell>
          <cell r="Y610" t="str">
            <v>Y</v>
          </cell>
          <cell r="Z610">
            <v>859.99999999999989</v>
          </cell>
          <cell r="AA610">
            <v>-36.464999999999918</v>
          </cell>
          <cell r="AB610" t="str">
            <v/>
          </cell>
          <cell r="AD610">
            <v>1062721</v>
          </cell>
          <cell r="AE610" t="str">
            <v>POV0067198</v>
          </cell>
          <cell r="AF610" t="str">
            <v>ES</v>
          </cell>
        </row>
        <row r="611">
          <cell r="A611" t="str">
            <v>615-B07781-001</v>
          </cell>
          <cell r="B611" t="str">
            <v>RES,SMD,THK FILM,127K OHM,1%,0.1W,0603</v>
          </cell>
          <cell r="C611" t="str">
            <v>RES</v>
          </cell>
          <cell r="D611">
            <v>15</v>
          </cell>
          <cell r="E611">
            <v>1</v>
          </cell>
          <cell r="F611" t="str">
            <v>16 Weeks</v>
          </cell>
          <cell r="G611">
            <v>5000</v>
          </cell>
          <cell r="H611">
            <v>2.4510000000000001E-3</v>
          </cell>
          <cell r="I611">
            <v>12.255000000000001</v>
          </cell>
          <cell r="J611">
            <v>2.9890243902439026E-3</v>
          </cell>
          <cell r="K611">
            <v>2.6901219512195134</v>
          </cell>
          <cell r="L611">
            <v>14.945121951219512</v>
          </cell>
          <cell r="M611" t="str">
            <v>CHINA</v>
          </cell>
          <cell r="N611">
            <v>8533210030</v>
          </cell>
          <cell r="O611">
            <v>0.35</v>
          </cell>
          <cell r="P611">
            <v>4.28925</v>
          </cell>
          <cell r="Q611">
            <v>1</v>
          </cell>
          <cell r="R611" t="str">
            <v>RMCF0603FT127K</v>
          </cell>
          <cell r="S611" t="str">
            <v>SEI Stackpole Electronics</v>
          </cell>
          <cell r="T611" t="str">
            <v>Mouser</v>
          </cell>
          <cell r="U611">
            <v>2E-3</v>
          </cell>
          <cell r="V611">
            <v>5000</v>
          </cell>
          <cell r="W611">
            <v>0</v>
          </cell>
          <cell r="X611">
            <v>1</v>
          </cell>
          <cell r="Y611" t="str">
            <v>Y</v>
          </cell>
          <cell r="Z611">
            <v>10</v>
          </cell>
          <cell r="AA611">
            <v>2.2550000000000008</v>
          </cell>
          <cell r="AB611">
            <v>0.33088535291717669</v>
          </cell>
          <cell r="AD611">
            <v>1062721</v>
          </cell>
          <cell r="AE611" t="str">
            <v>POV0067198</v>
          </cell>
          <cell r="AF611" t="str">
            <v>ES</v>
          </cell>
        </row>
        <row r="612">
          <cell r="A612" t="str">
            <v>615-B08007-001</v>
          </cell>
          <cell r="B612" t="str">
            <v>RES,SMD,THK FILM,10M OHM,1%,.25W,0603</v>
          </cell>
          <cell r="C612" t="str">
            <v>RES</v>
          </cell>
          <cell r="D612">
            <v>25</v>
          </cell>
          <cell r="E612">
            <v>1</v>
          </cell>
          <cell r="F612" t="str">
            <v>22 Weeks</v>
          </cell>
          <cell r="G612">
            <v>5000</v>
          </cell>
          <cell r="H612">
            <v>1.3481E-2</v>
          </cell>
          <cell r="I612">
            <v>67.405000000000001</v>
          </cell>
          <cell r="J612">
            <v>1.6440243902439027E-2</v>
          </cell>
          <cell r="K612">
            <v>14.796219512195123</v>
          </cell>
          <cell r="L612">
            <v>82.201219512195138</v>
          </cell>
          <cell r="O612"/>
          <cell r="Q612">
            <v>1</v>
          </cell>
          <cell r="R612" t="str">
            <v>RCS060310M0FKEA</v>
          </cell>
          <cell r="S612" t="str">
            <v>Vishay / Dale</v>
          </cell>
          <cell r="T612" t="str">
            <v>TTI</v>
          </cell>
          <cell r="U612">
            <v>1.3899999999999999E-2</v>
          </cell>
          <cell r="V612">
            <v>5000</v>
          </cell>
          <cell r="W612">
            <v>0</v>
          </cell>
          <cell r="X612">
            <v>1</v>
          </cell>
          <cell r="Y612" t="str">
            <v>Y</v>
          </cell>
          <cell r="Z612">
            <v>69.5</v>
          </cell>
          <cell r="AA612">
            <v>-2.0949999999999989</v>
          </cell>
          <cell r="AB612" t="str">
            <v/>
          </cell>
          <cell r="AD612">
            <v>1062721</v>
          </cell>
          <cell r="AE612" t="str">
            <v>POV0067200</v>
          </cell>
          <cell r="AF612" t="str">
            <v>Stephanie Hill</v>
          </cell>
        </row>
        <row r="613">
          <cell r="A613" t="str">
            <v>615-A72185-010</v>
          </cell>
          <cell r="B613" t="str">
            <v>RES,SMD,10 OHM,0.1%,25PPM,0.33W,1206</v>
          </cell>
          <cell r="C613" t="str">
            <v>RES</v>
          </cell>
          <cell r="D613">
            <v>15</v>
          </cell>
          <cell r="E613">
            <v>1</v>
          </cell>
          <cell r="F613" t="str">
            <v>15 Weeks</v>
          </cell>
          <cell r="G613">
            <v>5000</v>
          </cell>
          <cell r="H613">
            <v>0.13603100000000001</v>
          </cell>
          <cell r="I613">
            <v>680.15500000000009</v>
          </cell>
          <cell r="J613">
            <v>0.16589146341463418</v>
          </cell>
          <cell r="K613">
            <v>149.3023170731708</v>
          </cell>
          <cell r="L613">
            <v>829.45731707317088</v>
          </cell>
          <cell r="O613"/>
          <cell r="Q613">
            <v>1</v>
          </cell>
          <cell r="R613" t="str">
            <v>RS73F2BTTD10R0B</v>
          </cell>
          <cell r="S613" t="str">
            <v>KOA Speer</v>
          </cell>
          <cell r="T613" t="str">
            <v>Mouser</v>
          </cell>
          <cell r="U613">
            <v>0.128</v>
          </cell>
          <cell r="V613">
            <v>5000</v>
          </cell>
          <cell r="W613">
            <v>0</v>
          </cell>
          <cell r="X613">
            <v>1</v>
          </cell>
          <cell r="Y613" t="str">
            <v>Y</v>
          </cell>
          <cell r="Z613">
            <v>640</v>
          </cell>
          <cell r="AA613">
            <v>40.155000000000086</v>
          </cell>
          <cell r="AB613">
            <v>0.22841117098308483</v>
          </cell>
          <cell r="AD613">
            <v>1062721</v>
          </cell>
          <cell r="AE613" t="str">
            <v>POV0067198</v>
          </cell>
          <cell r="AF613" t="str">
            <v>ES</v>
          </cell>
        </row>
        <row r="614">
          <cell r="A614" t="str">
            <v>29-407195-00</v>
          </cell>
          <cell r="B614" t="str">
            <v>CAP,.01UF,25V,CERAMIC,+/-1%,SMT</v>
          </cell>
          <cell r="C614" t="str">
            <v>CAP</v>
          </cell>
          <cell r="D614">
            <v>15</v>
          </cell>
          <cell r="E614">
            <v>1</v>
          </cell>
          <cell r="F614" t="str">
            <v>16 Weeks</v>
          </cell>
          <cell r="G614">
            <v>4000</v>
          </cell>
          <cell r="H614">
            <v>0.81373200000000001</v>
          </cell>
          <cell r="I614">
            <v>3254.9279999999999</v>
          </cell>
          <cell r="J614">
            <v>0.99235609756097565</v>
          </cell>
          <cell r="K614">
            <v>714.49639024390262</v>
          </cell>
          <cell r="L614">
            <v>3969.4243902439025</v>
          </cell>
          <cell r="O614"/>
          <cell r="Q614">
            <v>1</v>
          </cell>
          <cell r="R614" t="str">
            <v>C0805C103F3GACTU</v>
          </cell>
          <cell r="S614" t="str">
            <v>Kemet</v>
          </cell>
          <cell r="T614" t="str">
            <v>Mouser</v>
          </cell>
          <cell r="U614">
            <v>0.83899999999999997</v>
          </cell>
          <cell r="V614">
            <v>4000</v>
          </cell>
          <cell r="W614">
            <v>0</v>
          </cell>
          <cell r="X614">
            <v>11</v>
          </cell>
          <cell r="Y614" t="str">
            <v>Y</v>
          </cell>
          <cell r="Z614">
            <v>3356</v>
          </cell>
          <cell r="AA614">
            <v>-101.07200000000012</v>
          </cell>
          <cell r="AB614" t="str">
            <v/>
          </cell>
          <cell r="AD614">
            <v>1062721</v>
          </cell>
          <cell r="AE614" t="str">
            <v>POV0067198</v>
          </cell>
          <cell r="AF614" t="str">
            <v>ES</v>
          </cell>
        </row>
        <row r="615">
          <cell r="A615" t="str">
            <v>648-A92805-474</v>
          </cell>
          <cell r="B615" t="str">
            <v>CAP,SMD,MLCC,470NF,10%,50V,X5R,0603</v>
          </cell>
          <cell r="C615" t="str">
            <v>CAP</v>
          </cell>
          <cell r="D615">
            <v>15</v>
          </cell>
          <cell r="E615">
            <v>1</v>
          </cell>
          <cell r="F615" t="str">
            <v>19 Weeks</v>
          </cell>
          <cell r="G615">
            <v>4000</v>
          </cell>
          <cell r="H615">
            <v>3.1863000000000002E-2</v>
          </cell>
          <cell r="I615">
            <v>127.45200000000001</v>
          </cell>
          <cell r="J615">
            <v>3.8857317073170736E-2</v>
          </cell>
          <cell r="K615">
            <v>27.97726829268295</v>
          </cell>
          <cell r="L615">
            <v>155.42926829268293</v>
          </cell>
          <cell r="O615"/>
          <cell r="Q615">
            <v>1</v>
          </cell>
          <cell r="R615" t="str">
            <v>C1608X5R1H474K080AB</v>
          </cell>
          <cell r="S615" t="str">
            <v>TDK</v>
          </cell>
          <cell r="T615" t="str">
            <v>TTI</v>
          </cell>
          <cell r="U615">
            <v>3.5200000000000002E-2</v>
          </cell>
          <cell r="V615">
            <v>4000</v>
          </cell>
          <cell r="W615">
            <v>0</v>
          </cell>
          <cell r="X615">
            <v>1</v>
          </cell>
          <cell r="Y615" t="str">
            <v>Y</v>
          </cell>
          <cell r="Z615">
            <v>140.80000000000001</v>
          </cell>
          <cell r="AA615">
            <v>-13.347999999999999</v>
          </cell>
          <cell r="AB615" t="str">
            <v/>
          </cell>
          <cell r="AD615">
            <v>1062721</v>
          </cell>
          <cell r="AE615" t="str">
            <v>POV0067200</v>
          </cell>
          <cell r="AF615" t="str">
            <v>Stephanie Hill</v>
          </cell>
        </row>
        <row r="616">
          <cell r="A616" t="str">
            <v>648-347674-047</v>
          </cell>
          <cell r="B616" t="str">
            <v>CAP,SMD,CER,0.47UF,±10%TOL,25V,X5R,0805</v>
          </cell>
          <cell r="C616" t="str">
            <v>CAP</v>
          </cell>
          <cell r="D616">
            <v>15</v>
          </cell>
          <cell r="E616">
            <v>1</v>
          </cell>
          <cell r="F616" t="str">
            <v>62 Weeks</v>
          </cell>
          <cell r="G616">
            <v>4000</v>
          </cell>
          <cell r="H616">
            <v>0.16911899999999999</v>
          </cell>
          <cell r="I616">
            <v>676.476</v>
          </cell>
          <cell r="J616">
            <v>0.20624268292682926</v>
          </cell>
          <cell r="K616">
            <v>148.4947317073171</v>
          </cell>
          <cell r="L616">
            <v>824.9707317073171</v>
          </cell>
          <cell r="O616"/>
          <cell r="Q616">
            <v>2</v>
          </cell>
          <cell r="R616" t="str">
            <v>TMK212BJ474KD-T</v>
          </cell>
          <cell r="S616" t="str">
            <v>TAIYO YUDEN</v>
          </cell>
          <cell r="T616" t="str">
            <v>TTI</v>
          </cell>
          <cell r="U616">
            <v>1.5100000000000001E-2</v>
          </cell>
          <cell r="V616">
            <v>4000</v>
          </cell>
          <cell r="W616">
            <v>0</v>
          </cell>
          <cell r="X616">
            <v>1</v>
          </cell>
          <cell r="Y616" t="str">
            <v>Y</v>
          </cell>
          <cell r="Z616">
            <v>60.400000000000006</v>
          </cell>
          <cell r="AA616">
            <v>616.07600000000002</v>
          </cell>
          <cell r="AB616">
            <v>0.926785281369923</v>
          </cell>
          <cell r="AD616">
            <v>1062721</v>
          </cell>
          <cell r="AE616" t="str">
            <v>POV0067200</v>
          </cell>
          <cell r="AF616" t="str">
            <v>Stephanie Hill</v>
          </cell>
        </row>
        <row r="617">
          <cell r="A617" t="str">
            <v>630-340180-001</v>
          </cell>
          <cell r="B617" t="str">
            <v>IC,SMD,EEPROM,8PIN,2KB,I2C,1.6-5.5V,US 8</v>
          </cell>
          <cell r="C617" t="str">
            <v>IC</v>
          </cell>
          <cell r="D617">
            <v>25</v>
          </cell>
          <cell r="E617">
            <v>1</v>
          </cell>
          <cell r="F617" t="str">
            <v>65 Weeks</v>
          </cell>
          <cell r="G617">
            <v>3000</v>
          </cell>
          <cell r="H617">
            <v>0.22059000000000001</v>
          </cell>
          <cell r="I617">
            <v>661.77</v>
          </cell>
          <cell r="J617">
            <v>0.26901219512195124</v>
          </cell>
          <cell r="K617">
            <v>145.26658536585376</v>
          </cell>
          <cell r="L617">
            <v>807.03658536585374</v>
          </cell>
          <cell r="O617"/>
          <cell r="Q617">
            <v>1</v>
          </cell>
          <cell r="R617" t="str">
            <v>N24C02UVTG</v>
          </cell>
          <cell r="S617" t="str">
            <v>ONSEMI</v>
          </cell>
          <cell r="T617" t="str">
            <v>Flip Electronics</v>
          </cell>
          <cell r="U617">
            <v>0.12</v>
          </cell>
          <cell r="V617">
            <v>3000</v>
          </cell>
          <cell r="W617">
            <v>0</v>
          </cell>
          <cell r="Y617" t="str">
            <v>Y</v>
          </cell>
          <cell r="Z617">
            <v>360</v>
          </cell>
          <cell r="AA617">
            <v>301.77</v>
          </cell>
          <cell r="AB617">
            <v>0.5539235686114512</v>
          </cell>
          <cell r="AC617" t="str">
            <v>JH</v>
          </cell>
          <cell r="AD617">
            <v>1062721</v>
          </cell>
          <cell r="AE617" t="str">
            <v>POV0067194</v>
          </cell>
          <cell r="AF617" t="str">
            <v>JH</v>
          </cell>
        </row>
        <row r="618">
          <cell r="A618" t="str">
            <v>626-A76438-001</v>
          </cell>
          <cell r="B618" t="str">
            <v>XSTR,SMD,FIELD EFT,N-CHAN,40V,50A,D-PAK</v>
          </cell>
          <cell r="C618" t="str">
            <v>XSTR</v>
          </cell>
          <cell r="D618">
            <v>15</v>
          </cell>
          <cell r="E618">
            <v>1</v>
          </cell>
          <cell r="F618" t="str">
            <v>16 Weeks</v>
          </cell>
          <cell r="G618">
            <v>2500</v>
          </cell>
          <cell r="H618">
            <v>1.04</v>
          </cell>
          <cell r="I618">
            <v>2600</v>
          </cell>
          <cell r="J618">
            <v>1.2682926829268293</v>
          </cell>
          <cell r="K618">
            <v>570.73170731707341</v>
          </cell>
          <cell r="L618">
            <v>3170.7317073170734</v>
          </cell>
          <cell r="O618"/>
          <cell r="Q618">
            <v>1</v>
          </cell>
          <cell r="R618" t="str">
            <v>FDD8453LZ</v>
          </cell>
          <cell r="S618" t="str">
            <v>On Semiconductor</v>
          </cell>
          <cell r="T618" t="str">
            <v>Flip Electronics</v>
          </cell>
          <cell r="U618">
            <v>0.78</v>
          </cell>
          <cell r="V618">
            <v>2500</v>
          </cell>
          <cell r="W618">
            <v>0</v>
          </cell>
          <cell r="X618">
            <v>1</v>
          </cell>
          <cell r="Y618" t="str">
            <v>Y</v>
          </cell>
          <cell r="Z618">
            <v>1950</v>
          </cell>
          <cell r="AA618">
            <v>650</v>
          </cell>
          <cell r="AB618">
            <v>0.38500000000000001</v>
          </cell>
          <cell r="AC618" t="str">
            <v>JH</v>
          </cell>
          <cell r="AD618">
            <v>1062721</v>
          </cell>
          <cell r="AE618" t="str">
            <v>POV0067194</v>
          </cell>
          <cell r="AF618" t="str">
            <v>JH</v>
          </cell>
        </row>
        <row r="619">
          <cell r="A619" t="str">
            <v>626-B20598-001</v>
          </cell>
          <cell r="B619" t="str">
            <v>XSTR,SMD,MOSFET,N-CHAN,40V,78A,DFN5</v>
          </cell>
          <cell r="C619" t="str">
            <v>XSTR</v>
          </cell>
          <cell r="D619">
            <v>25</v>
          </cell>
          <cell r="E619">
            <v>1</v>
          </cell>
          <cell r="F619" t="str">
            <v>47 Weeks</v>
          </cell>
          <cell r="G619">
            <v>1500</v>
          </cell>
          <cell r="H619">
            <v>0.357846</v>
          </cell>
          <cell r="I619">
            <v>536.76900000000001</v>
          </cell>
          <cell r="J619">
            <v>0.43639756097560978</v>
          </cell>
          <cell r="K619">
            <v>117.82734146341465</v>
          </cell>
          <cell r="L619">
            <v>654.59634146341466</v>
          </cell>
          <cell r="O619"/>
          <cell r="Q619">
            <v>1</v>
          </cell>
          <cell r="R619" t="str">
            <v>NTMFS5C460NLT1G</v>
          </cell>
          <cell r="S619" t="str">
            <v>ONSEMI</v>
          </cell>
          <cell r="T619" t="str">
            <v>Flip Electronics</v>
          </cell>
          <cell r="U619">
            <v>0.22</v>
          </cell>
          <cell r="V619">
            <v>1834</v>
          </cell>
          <cell r="W619">
            <v>-334</v>
          </cell>
          <cell r="X619">
            <v>1</v>
          </cell>
          <cell r="Y619" t="str">
            <v>Y</v>
          </cell>
          <cell r="Z619">
            <v>403.48</v>
          </cell>
          <cell r="AA619">
            <v>133.28899999999999</v>
          </cell>
          <cell r="AB619">
            <v>0.38362014199776817</v>
          </cell>
          <cell r="AC619" t="str">
            <v>JH</v>
          </cell>
          <cell r="AD619">
            <v>1062721</v>
          </cell>
          <cell r="AE619" t="str">
            <v>POV0067194</v>
          </cell>
          <cell r="AF619" t="str">
            <v>JH</v>
          </cell>
        </row>
        <row r="620">
          <cell r="A620" t="str">
            <v>670-095989-185</v>
          </cell>
          <cell r="B620" t="str">
            <v>PTC,RXE SERIES 1.85A,ROHS</v>
          </cell>
          <cell r="C620" t="str">
            <v>PTC</v>
          </cell>
          <cell r="D620">
            <v>15</v>
          </cell>
          <cell r="E620">
            <v>1</v>
          </cell>
          <cell r="F620" t="str">
            <v>20 Weeks</v>
          </cell>
          <cell r="G620">
            <v>1500</v>
          </cell>
          <cell r="H620">
            <v>0.264708</v>
          </cell>
          <cell r="I620">
            <v>397.06200000000001</v>
          </cell>
          <cell r="J620">
            <v>0.32281463414634148</v>
          </cell>
          <cell r="K620">
            <v>87.159951219512209</v>
          </cell>
          <cell r="L620">
            <v>484.22195121951222</v>
          </cell>
          <cell r="O620"/>
          <cell r="Q620">
            <v>1</v>
          </cell>
          <cell r="R620" t="str">
            <v>RXEF185</v>
          </cell>
          <cell r="S620" t="str">
            <v>Littelfuse</v>
          </cell>
          <cell r="T620" t="str">
            <v>TTI</v>
          </cell>
          <cell r="U620">
            <v>0.23100000000000001</v>
          </cell>
          <cell r="V620">
            <v>1500</v>
          </cell>
          <cell r="W620">
            <v>0</v>
          </cell>
          <cell r="X620">
            <v>1</v>
          </cell>
          <cell r="Y620" t="str">
            <v>Y</v>
          </cell>
          <cell r="Z620">
            <v>346.5</v>
          </cell>
          <cell r="AA620">
            <v>50.562000000000012</v>
          </cell>
          <cell r="AB620">
            <v>0.28441905798086953</v>
          </cell>
          <cell r="AD620">
            <v>1062721</v>
          </cell>
          <cell r="AE620" t="str">
            <v>POV0067200</v>
          </cell>
          <cell r="AF620" t="str">
            <v>Stephanie Hill</v>
          </cell>
        </row>
        <row r="621">
          <cell r="A621" t="str">
            <v>615-A37741-002</v>
          </cell>
          <cell r="B621" t="str">
            <v>RES,SMD,12OHM,±0.1%,25PPM,1/16W,0402</v>
          </cell>
          <cell r="C621" t="str">
            <v>RES</v>
          </cell>
          <cell r="D621">
            <v>25</v>
          </cell>
          <cell r="E621">
            <v>1</v>
          </cell>
          <cell r="F621" t="str">
            <v>11 Weeks</v>
          </cell>
          <cell r="G621">
            <v>1000</v>
          </cell>
          <cell r="H621">
            <v>0.131129</v>
          </cell>
          <cell r="I621">
            <v>131.12899999999999</v>
          </cell>
          <cell r="J621">
            <v>0.15991341463414635</v>
          </cell>
          <cell r="K621">
            <v>28.784414634146344</v>
          </cell>
          <cell r="L621">
            <v>159.91341463414636</v>
          </cell>
          <cell r="O621"/>
          <cell r="Q621">
            <v>1</v>
          </cell>
          <cell r="R621" t="str">
            <v>CPF0402B12RE1</v>
          </cell>
          <cell r="S621" t="str">
            <v>TE Connectivity / Holsworthy</v>
          </cell>
          <cell r="T621" t="str">
            <v>Mouser</v>
          </cell>
          <cell r="U621">
            <v>0.13300000000000001</v>
          </cell>
          <cell r="V621">
            <v>1000</v>
          </cell>
          <cell r="W621">
            <v>0</v>
          </cell>
          <cell r="Y621" t="str">
            <v>Y</v>
          </cell>
          <cell r="Z621">
            <v>133</v>
          </cell>
          <cell r="AA621">
            <v>-1.8710000000000093</v>
          </cell>
          <cell r="AB621" t="str">
            <v/>
          </cell>
          <cell r="AD621">
            <v>1062721</v>
          </cell>
          <cell r="AE621" t="str">
            <v>POV0067198</v>
          </cell>
          <cell r="AF621" t="str">
            <v>ES</v>
          </cell>
        </row>
        <row r="622">
          <cell r="A622" t="str">
            <v>666-A51363-001</v>
          </cell>
          <cell r="B622" t="str">
            <v>SNSR,TEMP,PT100,M222,-50 TO 300DEG C,PT</v>
          </cell>
          <cell r="C622" t="str">
            <v>SNSR</v>
          </cell>
          <cell r="D622">
            <v>15</v>
          </cell>
          <cell r="E622">
            <v>1</v>
          </cell>
          <cell r="F622" t="str">
            <v>3 Weeks</v>
          </cell>
          <cell r="G622">
            <v>1000</v>
          </cell>
          <cell r="H622">
            <v>1.8995249999999999</v>
          </cell>
          <cell r="I622">
            <v>1899.5249999999999</v>
          </cell>
          <cell r="J622">
            <v>2.3164939024390243</v>
          </cell>
          <cell r="K622">
            <v>416.9689024390243</v>
          </cell>
          <cell r="L622">
            <v>2316.4939024390242</v>
          </cell>
          <cell r="O622"/>
          <cell r="Q622">
            <v>1</v>
          </cell>
          <cell r="R622">
            <v>32208550</v>
          </cell>
          <cell r="S622" t="str">
            <v>YAGEO</v>
          </cell>
          <cell r="T622" t="str">
            <v>Mouser</v>
          </cell>
          <cell r="U622">
            <v>1.94</v>
          </cell>
          <cell r="V622">
            <v>1000</v>
          </cell>
          <cell r="W622">
            <v>0</v>
          </cell>
          <cell r="X622">
            <v>1</v>
          </cell>
          <cell r="Y622" t="str">
            <v>Y</v>
          </cell>
          <cell r="Z622">
            <v>1940</v>
          </cell>
          <cell r="AA622">
            <v>-40.475000000000136</v>
          </cell>
          <cell r="AB622" t="str">
            <v/>
          </cell>
          <cell r="AD622">
            <v>1062721</v>
          </cell>
          <cell r="AE622" t="str">
            <v>POV0067198</v>
          </cell>
          <cell r="AF622" t="str">
            <v>ES</v>
          </cell>
        </row>
        <row r="623">
          <cell r="A623" t="str">
            <v>668-334356-002</v>
          </cell>
          <cell r="B623" t="str">
            <v>CONN,HDR,RTANG,2POSN,30A,600V,W/BD LOCK</v>
          </cell>
          <cell r="C623" t="str">
            <v>CONN</v>
          </cell>
          <cell r="D623">
            <v>25</v>
          </cell>
          <cell r="E623">
            <v>1</v>
          </cell>
          <cell r="F623" t="str">
            <v>23 Weeks</v>
          </cell>
          <cell r="G623">
            <v>1050</v>
          </cell>
          <cell r="H623">
            <v>1.4705999999999999</v>
          </cell>
          <cell r="I623">
            <v>1544.1299999999999</v>
          </cell>
          <cell r="J623">
            <v>1.7934146341463415</v>
          </cell>
          <cell r="K623">
            <v>338.95536585365858</v>
          </cell>
          <cell r="L623">
            <v>1883.0853658536587</v>
          </cell>
          <cell r="O623"/>
          <cell r="Q623">
            <v>1</v>
          </cell>
          <cell r="R623" t="str">
            <v>172043-0206</v>
          </cell>
          <cell r="S623" t="str">
            <v>MOLEX, LLC</v>
          </cell>
          <cell r="T623" t="str">
            <v>Mouser</v>
          </cell>
          <cell r="U623">
            <v>1.5</v>
          </cell>
          <cell r="V623">
            <v>1050</v>
          </cell>
          <cell r="W623">
            <v>0</v>
          </cell>
          <cell r="Y623" t="str">
            <v>Y</v>
          </cell>
          <cell r="Z623">
            <v>1575</v>
          </cell>
          <cell r="AA623">
            <v>-30.870000000000118</v>
          </cell>
          <cell r="AB623" t="str">
            <v/>
          </cell>
          <cell r="AD623">
            <v>1062721</v>
          </cell>
          <cell r="AE623" t="str">
            <v>POV0067198</v>
          </cell>
          <cell r="AF623" t="str">
            <v>ES</v>
          </cell>
        </row>
        <row r="624">
          <cell r="A624" t="str">
            <v>615-286483-001</v>
          </cell>
          <cell r="B624" t="str">
            <v>RES,SMD,ZERO OHM JUMPER,0603</v>
          </cell>
          <cell r="C624" t="str">
            <v>RES</v>
          </cell>
          <cell r="D624">
            <v>30</v>
          </cell>
          <cell r="E624">
            <v>1</v>
          </cell>
          <cell r="F624" t="str">
            <v>32 Weeks</v>
          </cell>
          <cell r="G624">
            <v>500</v>
          </cell>
          <cell r="H624">
            <v>2.3506320000000001</v>
          </cell>
          <cell r="I624">
            <v>1175.316</v>
          </cell>
          <cell r="J624">
            <v>2.8666243902439028</v>
          </cell>
          <cell r="K624">
            <v>257.99619512195136</v>
          </cell>
          <cell r="L624">
            <v>1433.3121951219514</v>
          </cell>
          <cell r="O624"/>
          <cell r="Q624">
            <v>1</v>
          </cell>
          <cell r="R624" t="str">
            <v>PZHT0603-0R00GT</v>
          </cell>
          <cell r="S624" t="str">
            <v>Vishay / Sfernice</v>
          </cell>
          <cell r="T624" t="str">
            <v>Mouser</v>
          </cell>
          <cell r="U624">
            <v>2.35</v>
          </cell>
          <cell r="V624">
            <v>500</v>
          </cell>
          <cell r="W624">
            <v>0</v>
          </cell>
          <cell r="X624">
            <v>1</v>
          </cell>
          <cell r="Y624" t="str">
            <v>Y</v>
          </cell>
          <cell r="Z624">
            <v>1175</v>
          </cell>
          <cell r="AA624">
            <v>0.31600000000003092</v>
          </cell>
          <cell r="AB624">
            <v>0.18022046836765615</v>
          </cell>
          <cell r="AD624">
            <v>1062721</v>
          </cell>
          <cell r="AE624" t="str">
            <v>POV0067198</v>
          </cell>
          <cell r="AF624" t="str">
            <v>ES</v>
          </cell>
        </row>
        <row r="625">
          <cell r="A625" t="str">
            <v>621-000682-100</v>
          </cell>
          <cell r="B625" t="str">
            <v>POT,TRIM,CERMET,25 TURN,10 OHM, ROHS</v>
          </cell>
          <cell r="C625" t="str">
            <v>POT</v>
          </cell>
          <cell r="D625">
            <v>25</v>
          </cell>
          <cell r="E625" t="str">
            <v>N/A</v>
          </cell>
          <cell r="F625" t="str">
            <v>15 Weeks</v>
          </cell>
          <cell r="G625">
            <v>250</v>
          </cell>
          <cell r="H625">
            <v>2.3553199999999999</v>
          </cell>
          <cell r="I625">
            <v>588.82999999999993</v>
          </cell>
          <cell r="J625">
            <v>2.8723414634146343</v>
          </cell>
          <cell r="K625">
            <v>129.25536585365853</v>
          </cell>
          <cell r="L625">
            <v>718.08536585365857</v>
          </cell>
          <cell r="O625"/>
          <cell r="Q625">
            <v>2</v>
          </cell>
          <cell r="R625" t="str">
            <v>3299W-1-100LF</v>
          </cell>
          <cell r="S625" t="str">
            <v>Bourns</v>
          </cell>
          <cell r="T625" t="str">
            <v>Mouser</v>
          </cell>
          <cell r="U625">
            <v>1.47</v>
          </cell>
          <cell r="V625">
            <v>250</v>
          </cell>
          <cell r="W625">
            <v>0</v>
          </cell>
          <cell r="X625">
            <v>1</v>
          </cell>
          <cell r="Y625" t="str">
            <v>Y</v>
          </cell>
          <cell r="Z625">
            <v>367.5</v>
          </cell>
          <cell r="AA625">
            <v>221.32999999999993</v>
          </cell>
          <cell r="AB625">
            <v>0.48822240714637499</v>
          </cell>
          <cell r="AD625">
            <v>1062721</v>
          </cell>
          <cell r="AE625" t="str">
            <v>POV0067198</v>
          </cell>
          <cell r="AF625" t="str">
            <v>ES</v>
          </cell>
        </row>
        <row r="626">
          <cell r="A626" t="str">
            <v>648-064017-102</v>
          </cell>
          <cell r="B626" t="str">
            <v>CAP,SMD,AL,ELCTLT,TG,L-E,20%,50V,1000UF</v>
          </cell>
          <cell r="C626" t="str">
            <v>CAP</v>
          </cell>
          <cell r="D626">
            <v>15</v>
          </cell>
          <cell r="E626">
            <v>1</v>
          </cell>
          <cell r="F626" t="str">
            <v>25 Weeks</v>
          </cell>
          <cell r="G626">
            <v>250</v>
          </cell>
          <cell r="H626">
            <v>1.458345</v>
          </cell>
          <cell r="I626">
            <v>364.58625000000001</v>
          </cell>
          <cell r="J626">
            <v>1.7784695121951222</v>
          </cell>
          <cell r="K626">
            <v>80.031128048780488</v>
          </cell>
          <cell r="L626">
            <v>444.61737804878055</v>
          </cell>
          <cell r="O626"/>
          <cell r="Q626">
            <v>1</v>
          </cell>
          <cell r="R626" t="str">
            <v>EEV-TG1H102M</v>
          </cell>
          <cell r="S626" t="str">
            <v>Panasonic</v>
          </cell>
          <cell r="T626" t="str">
            <v>TTI</v>
          </cell>
          <cell r="U626">
            <v>1.25</v>
          </cell>
          <cell r="V626">
            <v>250</v>
          </cell>
          <cell r="W626">
            <v>0</v>
          </cell>
          <cell r="X626">
            <v>1</v>
          </cell>
          <cell r="Y626" t="str">
            <v>Y</v>
          </cell>
          <cell r="Z626">
            <v>312.5</v>
          </cell>
          <cell r="AA626">
            <v>52.086250000000007</v>
          </cell>
          <cell r="AB626">
            <v>0.29714847995501759</v>
          </cell>
          <cell r="AD626">
            <v>1062721</v>
          </cell>
          <cell r="AE626" t="str">
            <v>POV0067200</v>
          </cell>
          <cell r="AF626" t="str">
            <v>Stephanie Hill</v>
          </cell>
        </row>
        <row r="627">
          <cell r="A627" t="str">
            <v>669-116934-001</v>
          </cell>
          <cell r="B627" t="str">
            <v>CONT,PIN,SPRING PROBE</v>
          </cell>
          <cell r="C627" t="str">
            <v>CONT</v>
          </cell>
          <cell r="D627">
            <v>25</v>
          </cell>
          <cell r="E627">
            <v>1</v>
          </cell>
          <cell r="F627" t="str">
            <v>30 Weeks</v>
          </cell>
          <cell r="G627">
            <v>216</v>
          </cell>
          <cell r="H627">
            <v>4.4000000000000004</v>
          </cell>
          <cell r="I627">
            <v>950.40000000000009</v>
          </cell>
          <cell r="J627">
            <v>5.3658536585365857</v>
          </cell>
          <cell r="K627">
            <v>208.62439024390255</v>
          </cell>
          <cell r="L627">
            <v>1159.0243902439024</v>
          </cell>
          <cell r="O627"/>
          <cell r="Q627">
            <v>1</v>
          </cell>
          <cell r="R627" t="str">
            <v>101628-000</v>
          </cell>
          <cell r="S627" t="str">
            <v>INTERCONNECT DEVICES INC.</v>
          </cell>
          <cell r="T627" t="str">
            <v>Mouser</v>
          </cell>
          <cell r="U627">
            <v>4.32</v>
          </cell>
          <cell r="V627">
            <v>216</v>
          </cell>
          <cell r="W627">
            <v>0</v>
          </cell>
          <cell r="X627">
            <v>1</v>
          </cell>
          <cell r="Y627" t="str">
            <v>Y</v>
          </cell>
          <cell r="Z627">
            <v>933.12000000000012</v>
          </cell>
          <cell r="AA627">
            <v>17.279999999999973</v>
          </cell>
          <cell r="AB627">
            <v>0.19490909090909081</v>
          </cell>
          <cell r="AD627">
            <v>1062721</v>
          </cell>
          <cell r="AE627" t="str">
            <v>POV0067198</v>
          </cell>
          <cell r="AF627" t="str">
            <v>ES</v>
          </cell>
        </row>
        <row r="628">
          <cell r="A628" t="str">
            <v>668-008858-004</v>
          </cell>
          <cell r="B628" t="str">
            <v>KEY POLARIZING</v>
          </cell>
          <cell r="C628" t="str">
            <v>KEY</v>
          </cell>
          <cell r="D628">
            <v>15</v>
          </cell>
          <cell r="E628" t="str">
            <v>N/A</v>
          </cell>
          <cell r="F628" t="str">
            <v>9 Weeks</v>
          </cell>
          <cell r="G628">
            <v>200</v>
          </cell>
          <cell r="H628">
            <v>0.26764900000000003</v>
          </cell>
          <cell r="I628">
            <v>53.529800000000009</v>
          </cell>
          <cell r="J628">
            <v>0.3264012195121952</v>
          </cell>
          <cell r="K628">
            <v>11.750443902439031</v>
          </cell>
          <cell r="L628">
            <v>65.28024390243904</v>
          </cell>
          <cell r="O628"/>
          <cell r="Q628">
            <v>1</v>
          </cell>
          <cell r="R628" t="str">
            <v>3518-BLACK</v>
          </cell>
          <cell r="S628" t="str">
            <v>3M</v>
          </cell>
          <cell r="T628" t="str">
            <v>TTI</v>
          </cell>
          <cell r="U628">
            <v>0.27200000000000002</v>
          </cell>
          <cell r="V628">
            <v>200</v>
          </cell>
          <cell r="W628">
            <v>0</v>
          </cell>
          <cell r="X628">
            <v>1</v>
          </cell>
          <cell r="Y628" t="str">
            <v>Y</v>
          </cell>
          <cell r="Z628">
            <v>54.400000000000006</v>
          </cell>
          <cell r="AA628">
            <v>-0.87019999999999698</v>
          </cell>
          <cell r="AB628" t="str">
            <v/>
          </cell>
          <cell r="AD628">
            <v>1062721</v>
          </cell>
          <cell r="AE628" t="str">
            <v>POV0067200</v>
          </cell>
          <cell r="AF628" t="str">
            <v>Stephanie Hill</v>
          </cell>
        </row>
        <row r="629">
          <cell r="A629" t="str">
            <v>630-A08069-001</v>
          </cell>
          <cell r="B629" t="str">
            <v>IC,SMD,MEM,FLASH-NOR,64MB,3.6V,BGA-24</v>
          </cell>
          <cell r="C629" t="str">
            <v>IC</v>
          </cell>
          <cell r="D629">
            <v>25</v>
          </cell>
          <cell r="E629">
            <v>3</v>
          </cell>
          <cell r="F629" t="str">
            <v>3 Weeks</v>
          </cell>
          <cell r="G629">
            <v>100</v>
          </cell>
          <cell r="H629">
            <v>7.462682</v>
          </cell>
          <cell r="I629">
            <v>746.26819999999998</v>
          </cell>
          <cell r="J629">
            <v>9.1008317073170737</v>
          </cell>
          <cell r="K629">
            <v>163.81497073170738</v>
          </cell>
          <cell r="L629">
            <v>910.08317073170736</v>
          </cell>
          <cell r="O629"/>
          <cell r="Q629">
            <v>1</v>
          </cell>
          <cell r="R629" t="str">
            <v>S25FL512SAGBHIA10</v>
          </cell>
          <cell r="S629" t="str">
            <v>Infineon Technologies</v>
          </cell>
          <cell r="T629" t="str">
            <v>Flip Electronics</v>
          </cell>
          <cell r="U629">
            <v>5.12</v>
          </cell>
          <cell r="V629">
            <v>100</v>
          </cell>
          <cell r="W629">
            <v>0</v>
          </cell>
          <cell r="X629">
            <v>1</v>
          </cell>
          <cell r="Y629" t="str">
            <v>Y</v>
          </cell>
          <cell r="Z629">
            <v>512</v>
          </cell>
          <cell r="AA629">
            <v>234.26819999999998</v>
          </cell>
          <cell r="AB629">
            <v>0.4374140556974021</v>
          </cell>
          <cell r="AC629" t="str">
            <v>JH</v>
          </cell>
          <cell r="AD629">
            <v>1062721</v>
          </cell>
          <cell r="AE629" t="str">
            <v>POV0067194</v>
          </cell>
          <cell r="AF629" t="str">
            <v>JH</v>
          </cell>
        </row>
        <row r="630">
          <cell r="A630" t="str">
            <v>609-099412-180</v>
          </cell>
          <cell r="B630" t="str">
            <v>DIODE,TVS,18V ,1.5KW,SMC,ROHS</v>
          </cell>
          <cell r="C630" t="str">
            <v>DIO</v>
          </cell>
          <cell r="D630">
            <v>25</v>
          </cell>
          <cell r="E630">
            <v>1</v>
          </cell>
          <cell r="F630" t="str">
            <v>26 Weeks</v>
          </cell>
          <cell r="G630">
            <v>100</v>
          </cell>
          <cell r="H630">
            <v>0.32200000000000001</v>
          </cell>
          <cell r="I630">
            <v>32.200000000000003</v>
          </cell>
          <cell r="J630">
            <v>0.39268292682926831</v>
          </cell>
          <cell r="K630">
            <v>7.0682926829268311</v>
          </cell>
          <cell r="L630">
            <v>39.268292682926834</v>
          </cell>
          <cell r="O630"/>
          <cell r="Q630">
            <v>3</v>
          </cell>
          <cell r="R630" t="str">
            <v>1.5SMC18A</v>
          </cell>
          <cell r="S630" t="str">
            <v>Littelfuse</v>
          </cell>
          <cell r="T630" t="str">
            <v>Mouser</v>
          </cell>
          <cell r="U630">
            <v>0.373</v>
          </cell>
          <cell r="V630">
            <v>100</v>
          </cell>
          <cell r="W630">
            <v>0</v>
          </cell>
          <cell r="X630">
            <v>1</v>
          </cell>
          <cell r="Y630" t="str">
            <v>Y</v>
          </cell>
          <cell r="Z630">
            <v>37.299999999999997</v>
          </cell>
          <cell r="AA630">
            <v>-5.0999999999999943</v>
          </cell>
          <cell r="AB630" t="str">
            <v/>
          </cell>
          <cell r="AD630">
            <v>1062721</v>
          </cell>
          <cell r="AE630" t="str">
            <v>POV0067198</v>
          </cell>
          <cell r="AF630" t="str">
            <v>ES</v>
          </cell>
        </row>
        <row r="631">
          <cell r="A631" t="str">
            <v>668-024901-004</v>
          </cell>
          <cell r="B631" t="str">
            <v>CONN,DSUB,DUAL PORT,F/M,9P/9P ROHS</v>
          </cell>
          <cell r="C631" t="str">
            <v>CONN</v>
          </cell>
          <cell r="D631">
            <v>25</v>
          </cell>
          <cell r="E631" t="str">
            <v>N/A</v>
          </cell>
          <cell r="F631" t="str">
            <v>19 Weeks</v>
          </cell>
          <cell r="G631">
            <v>90</v>
          </cell>
          <cell r="H631">
            <v>6.8505450000000003</v>
          </cell>
          <cell r="I631">
            <v>616.54905000000008</v>
          </cell>
          <cell r="J631">
            <v>8.3543231707317087</v>
          </cell>
          <cell r="K631">
            <v>135.34003536585374</v>
          </cell>
          <cell r="L631">
            <v>751.88908536585382</v>
          </cell>
          <cell r="O631"/>
          <cell r="Q631">
            <v>1</v>
          </cell>
          <cell r="R631" t="str">
            <v>178-009-313R571</v>
          </cell>
          <cell r="S631" t="str">
            <v>NORCOMP</v>
          </cell>
          <cell r="T631" t="str">
            <v>Mouser</v>
          </cell>
          <cell r="U631">
            <v>7.01</v>
          </cell>
          <cell r="V631">
            <v>90</v>
          </cell>
          <cell r="W631">
            <v>0</v>
          </cell>
          <cell r="X631">
            <v>1</v>
          </cell>
          <cell r="Y631" t="str">
            <v>Y</v>
          </cell>
          <cell r="Z631">
            <v>630.9</v>
          </cell>
          <cell r="AA631">
            <v>-14.350949999999898</v>
          </cell>
          <cell r="AB631" t="str">
            <v/>
          </cell>
          <cell r="AD631">
            <v>1062721</v>
          </cell>
          <cell r="AE631" t="str">
            <v>POV0067198</v>
          </cell>
          <cell r="AF631" t="str">
            <v>ES</v>
          </cell>
        </row>
        <row r="632">
          <cell r="A632" t="str">
            <v>649-346748-001</v>
          </cell>
          <cell r="B632" t="str">
            <v>CAP,AL-ELCTLT,2200UF,50VDC,±20% TOL,ROHS</v>
          </cell>
          <cell r="C632" t="str">
            <v>CAP</v>
          </cell>
          <cell r="D632">
            <v>15</v>
          </cell>
          <cell r="E632" t="str">
            <v>N/A</v>
          </cell>
          <cell r="F632" t="str">
            <v>17 Weeks</v>
          </cell>
          <cell r="G632">
            <v>500</v>
          </cell>
          <cell r="H632">
            <v>1.028807</v>
          </cell>
          <cell r="I632">
            <v>514.40350000000001</v>
          </cell>
          <cell r="J632">
            <v>1.2546426829268293</v>
          </cell>
          <cell r="K632">
            <v>112.91784146341467</v>
          </cell>
          <cell r="L632">
            <v>627.32134146341468</v>
          </cell>
          <cell r="M632" t="str">
            <v>CHINA</v>
          </cell>
          <cell r="N632" t="str">
            <v>8532220020</v>
          </cell>
          <cell r="O632">
            <v>0.35</v>
          </cell>
          <cell r="P632">
            <v>180.041225</v>
          </cell>
          <cell r="Q632">
            <v>1</v>
          </cell>
          <cell r="R632" t="str">
            <v>EKY-500ELL222MMP1S</v>
          </cell>
          <cell r="S632" t="str">
            <v>Chemi-Con</v>
          </cell>
          <cell r="T632" t="str">
            <v>Mouser</v>
          </cell>
          <cell r="U632">
            <v>0.73499999999999999</v>
          </cell>
          <cell r="V632">
            <v>500</v>
          </cell>
          <cell r="W632">
            <v>0</v>
          </cell>
          <cell r="X632">
            <v>1</v>
          </cell>
          <cell r="Y632" t="str">
            <v>Y</v>
          </cell>
          <cell r="Z632">
            <v>367.5</v>
          </cell>
          <cell r="AA632">
            <v>146.90350000000001</v>
          </cell>
          <cell r="AB632">
            <v>0.41417583667296198</v>
          </cell>
          <cell r="AD632">
            <v>1062721</v>
          </cell>
          <cell r="AE632" t="str">
            <v>POV0067198</v>
          </cell>
          <cell r="AF632" t="str">
            <v>ES</v>
          </cell>
        </row>
        <row r="633">
          <cell r="A633" t="str">
            <v>668-A51501-015</v>
          </cell>
          <cell r="B633" t="str">
            <v>CONN,RCPT,D-SUB,H DENSITY,15POSN,3A,60V</v>
          </cell>
          <cell r="C633" t="str">
            <v>CONN</v>
          </cell>
          <cell r="D633">
            <v>25</v>
          </cell>
          <cell r="E633" t="str">
            <v>N/A</v>
          </cell>
          <cell r="F633" t="str">
            <v>3 Weeks</v>
          </cell>
          <cell r="G633">
            <v>50</v>
          </cell>
          <cell r="H633">
            <v>9.9044910000000002</v>
          </cell>
          <cell r="I633">
            <v>495.22455000000002</v>
          </cell>
          <cell r="J633">
            <v>12.078647560975611</v>
          </cell>
          <cell r="K633">
            <v>108.70782804878058</v>
          </cell>
          <cell r="L633">
            <v>603.93237804878049</v>
          </cell>
          <cell r="O633"/>
          <cell r="Q633">
            <v>1</v>
          </cell>
          <cell r="R633" t="str">
            <v>164A17359X</v>
          </cell>
          <cell r="S633" t="str">
            <v>Amphenol CONEC</v>
          </cell>
          <cell r="T633" t="str">
            <v>Mouser</v>
          </cell>
          <cell r="U633">
            <v>10.06</v>
          </cell>
          <cell r="V633">
            <v>50</v>
          </cell>
          <cell r="W633">
            <v>0</v>
          </cell>
          <cell r="X633">
            <v>1</v>
          </cell>
          <cell r="Y633" t="str">
            <v>Y</v>
          </cell>
          <cell r="Z633">
            <v>503</v>
          </cell>
          <cell r="AA633">
            <v>-7.775449999999978</v>
          </cell>
          <cell r="AB633" t="str">
            <v/>
          </cell>
          <cell r="AD633">
            <v>1062721</v>
          </cell>
          <cell r="AE633" t="str">
            <v>POV0067198</v>
          </cell>
          <cell r="AF633" t="str">
            <v>ES</v>
          </cell>
        </row>
        <row r="634">
          <cell r="A634" t="str">
            <v>618-228291-125</v>
          </cell>
          <cell r="B634" t="str">
            <v>RES,AXIAL,22K OHM,10.5W,5%,ROHS</v>
          </cell>
          <cell r="C634" t="str">
            <v>RES</v>
          </cell>
          <cell r="D634">
            <v>25</v>
          </cell>
          <cell r="E634" t="str">
            <v>N/A</v>
          </cell>
          <cell r="F634" t="str">
            <v>3 Weeks</v>
          </cell>
          <cell r="G634">
            <v>50</v>
          </cell>
          <cell r="H634">
            <v>3.1372800000000001</v>
          </cell>
          <cell r="I634">
            <v>156.864</v>
          </cell>
          <cell r="J634">
            <v>3.8259512195121954</v>
          </cell>
          <cell r="K634">
            <v>34.433560975609765</v>
          </cell>
          <cell r="L634">
            <v>191.29756097560977</v>
          </cell>
          <cell r="O634"/>
          <cell r="Q634">
            <v>1</v>
          </cell>
          <cell r="R634" t="str">
            <v>W23-22KJI</v>
          </cell>
          <cell r="S634" t="str">
            <v>Welwyn Components / TT Electronics</v>
          </cell>
          <cell r="T634" t="str">
            <v>Mouser</v>
          </cell>
          <cell r="U634">
            <v>3.11</v>
          </cell>
          <cell r="V634">
            <v>50</v>
          </cell>
          <cell r="W634">
            <v>0</v>
          </cell>
          <cell r="X634">
            <v>1</v>
          </cell>
          <cell r="Y634" t="str">
            <v>Y</v>
          </cell>
          <cell r="Z634">
            <v>155.5</v>
          </cell>
          <cell r="AA634">
            <v>1.3640000000000043</v>
          </cell>
          <cell r="AB634">
            <v>0.18713025295797636</v>
          </cell>
          <cell r="AD634">
            <v>1062721</v>
          </cell>
          <cell r="AE634" t="str">
            <v>POV0067198</v>
          </cell>
          <cell r="AF634" t="str">
            <v>ES</v>
          </cell>
        </row>
        <row r="635">
          <cell r="A635" t="str">
            <v>668-342826-015</v>
          </cell>
          <cell r="B635" t="str">
            <v>CONN,D-SUB,SKT,15PIN,7.5A,PCB MT,BD LOCK</v>
          </cell>
          <cell r="C635" t="str">
            <v>CONN</v>
          </cell>
          <cell r="D635">
            <v>25</v>
          </cell>
          <cell r="E635" t="str">
            <v>N/A</v>
          </cell>
          <cell r="F635" t="str">
            <v>20 Weeks</v>
          </cell>
          <cell r="G635">
            <v>50</v>
          </cell>
          <cell r="H635">
            <v>21.213405000000002</v>
          </cell>
          <cell r="I635">
            <v>1060.6702500000001</v>
          </cell>
          <cell r="J635">
            <v>25.870006097560978</v>
          </cell>
          <cell r="K635">
            <v>232.83005487804894</v>
          </cell>
          <cell r="L635">
            <v>1293.5003048780488</v>
          </cell>
          <cell r="O635"/>
          <cell r="Q635">
            <v>1</v>
          </cell>
          <cell r="R635" t="str">
            <v>DAMZ-15S-N-A197</v>
          </cell>
          <cell r="S635" t="str">
            <v>TE CONNECTIVITY</v>
          </cell>
          <cell r="T635" t="str">
            <v>Mouser</v>
          </cell>
          <cell r="U635">
            <v>17.86</v>
          </cell>
          <cell r="V635">
            <v>50</v>
          </cell>
          <cell r="W635">
            <v>0</v>
          </cell>
          <cell r="X635">
            <v>1</v>
          </cell>
          <cell r="Y635" t="str">
            <v>Y</v>
          </cell>
          <cell r="Z635">
            <v>893</v>
          </cell>
          <cell r="AA635">
            <v>167.67025000000012</v>
          </cell>
          <cell r="AB635">
            <v>0.30962521103990615</v>
          </cell>
          <cell r="AD635">
            <v>1062721</v>
          </cell>
          <cell r="AE635" t="str">
            <v>POV0067198</v>
          </cell>
          <cell r="AF635" t="str">
            <v>ES</v>
          </cell>
        </row>
        <row r="636">
          <cell r="A636" t="str">
            <v>682-343485-500</v>
          </cell>
          <cell r="B636" t="str">
            <v>FUSE,SMD,5A,32VAC/63VDC,FAST ACT,0603</v>
          </cell>
          <cell r="C636" t="str">
            <v>FUSE</v>
          </cell>
          <cell r="D636">
            <v>25</v>
          </cell>
          <cell r="E636">
            <v>1</v>
          </cell>
          <cell r="F636" t="str">
            <v>3 Weeks</v>
          </cell>
          <cell r="G636">
            <v>5000</v>
          </cell>
          <cell r="H636">
            <v>0.13239100000000001</v>
          </cell>
          <cell r="I636">
            <v>661.95500000000004</v>
          </cell>
          <cell r="J636">
            <v>0.16145243902439027</v>
          </cell>
          <cell r="K636">
            <v>145.30719512195128</v>
          </cell>
          <cell r="L636">
            <v>807.26219512195132</v>
          </cell>
          <cell r="O636"/>
          <cell r="Q636">
            <v>1</v>
          </cell>
          <cell r="R636" t="str">
            <v>0686F5000-01</v>
          </cell>
          <cell r="S636" t="str">
            <v>Bel</v>
          </cell>
          <cell r="T636" t="str">
            <v>Digikey</v>
          </cell>
          <cell r="U636">
            <v>0.11966</v>
          </cell>
          <cell r="V636">
            <v>5000</v>
          </cell>
          <cell r="W636">
            <v>0</v>
          </cell>
          <cell r="X636">
            <v>1</v>
          </cell>
          <cell r="Y636" t="str">
            <v>Y</v>
          </cell>
          <cell r="Z636">
            <v>598.30000000000007</v>
          </cell>
          <cell r="AA636">
            <v>63.654999999999973</v>
          </cell>
          <cell r="AB636">
            <v>0.25885294317589569</v>
          </cell>
          <cell r="AD636">
            <v>1062721</v>
          </cell>
          <cell r="AE636" t="str">
            <v>POV0067185</v>
          </cell>
          <cell r="AF636" t="str">
            <v>DM</v>
          </cell>
        </row>
        <row r="637">
          <cell r="A637" t="str">
            <v>648-A80876-392</v>
          </cell>
          <cell r="B637" t="str">
            <v>CAP,SMD,CER,3900PF,+/-1%,50V,C0G,0603</v>
          </cell>
          <cell r="C637" t="str">
            <v>CAP</v>
          </cell>
          <cell r="D637">
            <v>25</v>
          </cell>
          <cell r="E637">
            <v>1</v>
          </cell>
          <cell r="F637" t="str">
            <v>12 Weeks</v>
          </cell>
          <cell r="G637">
            <v>4000</v>
          </cell>
          <cell r="H637">
            <v>3.5540000000000002E-2</v>
          </cell>
          <cell r="I637">
            <v>142.16</v>
          </cell>
          <cell r="J637">
            <v>4.334146341463415E-2</v>
          </cell>
          <cell r="K637">
            <v>31.205853658536597</v>
          </cell>
          <cell r="L637">
            <v>173.36585365853659</v>
          </cell>
          <cell r="O637"/>
          <cell r="Q637">
            <v>1</v>
          </cell>
          <cell r="R637" t="str">
            <v>GCM1885C1H392FA16J</v>
          </cell>
          <cell r="S637" t="str">
            <v>Murata</v>
          </cell>
          <cell r="T637" t="str">
            <v>Digikey</v>
          </cell>
          <cell r="U637">
            <v>4.0340000000000001E-2</v>
          </cell>
          <cell r="V637">
            <v>4000</v>
          </cell>
          <cell r="W637">
            <v>0</v>
          </cell>
          <cell r="X637">
            <v>1</v>
          </cell>
          <cell r="Y637" t="str">
            <v>Y</v>
          </cell>
          <cell r="Z637">
            <v>161.36000000000001</v>
          </cell>
          <cell r="AA637">
            <v>-19.200000000000017</v>
          </cell>
          <cell r="AB637" t="str">
            <v/>
          </cell>
          <cell r="AD637">
            <v>1062721</v>
          </cell>
          <cell r="AE637" t="str">
            <v>POV0067185</v>
          </cell>
          <cell r="AF637" t="str">
            <v>DM</v>
          </cell>
        </row>
        <row r="638">
          <cell r="A638" t="str">
            <v>630-B00972-001</v>
          </cell>
          <cell r="B638" t="str">
            <v>IC,SMD,MOSFET,N-CHAN,100V,35A,TO-252-3</v>
          </cell>
          <cell r="C638" t="str">
            <v>IC</v>
          </cell>
          <cell r="D638">
            <v>25</v>
          </cell>
          <cell r="E638">
            <v>1</v>
          </cell>
          <cell r="F638" t="str">
            <v>12 Weeks</v>
          </cell>
          <cell r="G638">
            <v>200</v>
          </cell>
          <cell r="H638">
            <v>1.3603050000000001</v>
          </cell>
          <cell r="I638">
            <v>272.06100000000004</v>
          </cell>
          <cell r="J638">
            <v>1.658908536585366</v>
          </cell>
          <cell r="K638">
            <v>59.72070731707322</v>
          </cell>
          <cell r="L638">
            <v>331.7817073170732</v>
          </cell>
          <cell r="O638"/>
          <cell r="Q638">
            <v>1</v>
          </cell>
          <cell r="R638" t="str">
            <v>SUD35N10-26P-E3</v>
          </cell>
          <cell r="S638" t="str">
            <v>VISHAY</v>
          </cell>
          <cell r="T638" t="str">
            <v>Digikey</v>
          </cell>
          <cell r="U638">
            <v>1.3826000000000001</v>
          </cell>
          <cell r="V638">
            <v>200</v>
          </cell>
          <cell r="W638">
            <v>0</v>
          </cell>
          <cell r="X638">
            <v>1</v>
          </cell>
          <cell r="Y638" t="str">
            <v>Y</v>
          </cell>
          <cell r="Z638">
            <v>276.52</v>
          </cell>
          <cell r="AA638">
            <v>-4.4589999999999463</v>
          </cell>
          <cell r="AB638" t="str">
            <v/>
          </cell>
          <cell r="AD638">
            <v>1062721</v>
          </cell>
          <cell r="AE638" t="str">
            <v>POV0067185</v>
          </cell>
          <cell r="AF638" t="str">
            <v>DM</v>
          </cell>
        </row>
        <row r="639">
          <cell r="A639" t="str">
            <v>615-252481-096</v>
          </cell>
          <cell r="B639" t="str">
            <v>RES,SMD,453,0.1%,1/4W,1206,ROHS</v>
          </cell>
          <cell r="C639" t="str">
            <v>RES</v>
          </cell>
          <cell r="D639">
            <v>15</v>
          </cell>
          <cell r="E639">
            <v>1</v>
          </cell>
          <cell r="F639" t="str">
            <v>22 Weeks</v>
          </cell>
          <cell r="G639">
            <v>5000</v>
          </cell>
          <cell r="H639">
            <v>0.10482900000000001</v>
          </cell>
          <cell r="I639">
            <v>524.14499999999998</v>
          </cell>
          <cell r="J639">
            <v>0.12784024390243903</v>
          </cell>
          <cell r="K639">
            <v>115.05621951219518</v>
          </cell>
          <cell r="L639">
            <v>639.20121951219517</v>
          </cell>
          <cell r="O639"/>
          <cell r="Q639">
            <v>1</v>
          </cell>
          <cell r="R639" t="str">
            <v>ERA-8AEB4530V</v>
          </cell>
          <cell r="S639" t="str">
            <v>Panasonic</v>
          </cell>
          <cell r="T639" t="str">
            <v>Digikey</v>
          </cell>
          <cell r="U639">
            <v>0.10264</v>
          </cell>
          <cell r="V639">
            <v>5000</v>
          </cell>
          <cell r="W639">
            <v>0</v>
          </cell>
          <cell r="X639" t="str">
            <v>4387 STOCK; BALANCE 18 WKS</v>
          </cell>
          <cell r="Y639" t="str">
            <v>Y</v>
          </cell>
          <cell r="Z639">
            <v>513.19999999999993</v>
          </cell>
          <cell r="AA639">
            <v>10.94500000000005</v>
          </cell>
          <cell r="AB639">
            <v>0.19712293353938337</v>
          </cell>
          <cell r="AD639">
            <v>1062721</v>
          </cell>
          <cell r="AE639" t="str">
            <v>POV0067185</v>
          </cell>
          <cell r="AF639" t="str">
            <v>DM</v>
          </cell>
        </row>
        <row r="640">
          <cell r="A640" t="str">
            <v>615-116031-102</v>
          </cell>
          <cell r="B640" t="str">
            <v>RES,SMD,1206,1.02M OHM,1%,1/4W,ROHS</v>
          </cell>
          <cell r="C640" t="str">
            <v>RES</v>
          </cell>
          <cell r="D640">
            <v>25</v>
          </cell>
          <cell r="E640">
            <v>1</v>
          </cell>
          <cell r="F640" t="str">
            <v>3 Weeks</v>
          </cell>
          <cell r="G640">
            <v>5000</v>
          </cell>
          <cell r="H640">
            <v>7.3530000000000002E-3</v>
          </cell>
          <cell r="I640">
            <v>36.765000000000001</v>
          </cell>
          <cell r="J640">
            <v>8.9670731707317073E-3</v>
          </cell>
          <cell r="K640">
            <v>8.0703658536585365</v>
          </cell>
          <cell r="L640">
            <v>44.835365853658537</v>
          </cell>
          <cell r="O640"/>
          <cell r="Q640">
            <v>3</v>
          </cell>
          <cell r="R640" t="str">
            <v>CRCW12061M02FKEA</v>
          </cell>
          <cell r="S640" t="str">
            <v>Vishay / Dale</v>
          </cell>
          <cell r="T640" t="str">
            <v>Digikey</v>
          </cell>
          <cell r="U640">
            <v>8.5000000000000006E-3</v>
          </cell>
          <cell r="V640">
            <v>5000</v>
          </cell>
          <cell r="W640">
            <v>0</v>
          </cell>
          <cell r="Y640" t="str">
            <v>Y</v>
          </cell>
          <cell r="Z640">
            <v>42.5</v>
          </cell>
          <cell r="AA640">
            <v>-5.7349999999999994</v>
          </cell>
          <cell r="AB640" t="str">
            <v/>
          </cell>
          <cell r="AD640">
            <v>1062721</v>
          </cell>
          <cell r="AE640" t="str">
            <v>POV0067185</v>
          </cell>
          <cell r="AF640" t="str">
            <v>DM</v>
          </cell>
        </row>
        <row r="641">
          <cell r="A641" t="str">
            <v>630-046170-001</v>
          </cell>
          <cell r="B641" t="str">
            <v>IC,SMD,HCPL-2231,DUAL OPTOCOUPLER, ROHS</v>
          </cell>
          <cell r="C641" t="str">
            <v>IC</v>
          </cell>
          <cell r="D641">
            <v>15</v>
          </cell>
          <cell r="E641">
            <v>1</v>
          </cell>
          <cell r="F641" t="str">
            <v>24 Weeks</v>
          </cell>
          <cell r="G641">
            <v>200</v>
          </cell>
          <cell r="H641">
            <v>4.0318949999999996</v>
          </cell>
          <cell r="I641">
            <v>806.37899999999991</v>
          </cell>
          <cell r="J641">
            <v>4.916945121951219</v>
          </cell>
          <cell r="K641">
            <v>177.01002439024398</v>
          </cell>
          <cell r="L641">
            <v>983.38902439024378</v>
          </cell>
          <cell r="O641"/>
          <cell r="Q641">
            <v>1</v>
          </cell>
          <cell r="R641" t="str">
            <v>HCPL-2231-300E</v>
          </cell>
          <cell r="S641" t="str">
            <v>Broadcom Limited</v>
          </cell>
          <cell r="T641" t="str">
            <v>Digikey</v>
          </cell>
          <cell r="U641">
            <v>4.1186999999999996</v>
          </cell>
          <cell r="V641">
            <v>200</v>
          </cell>
          <cell r="W641">
            <v>0</v>
          </cell>
          <cell r="X641">
            <v>1</v>
          </cell>
          <cell r="Y641" t="str">
            <v>Y</v>
          </cell>
          <cell r="Z641">
            <v>823.7399999999999</v>
          </cell>
          <cell r="AA641">
            <v>-17.36099999999999</v>
          </cell>
          <cell r="AB641" t="str">
            <v/>
          </cell>
          <cell r="AD641">
            <v>1062721</v>
          </cell>
          <cell r="AE641" t="str">
            <v>POV0067185</v>
          </cell>
          <cell r="AF641" t="str">
            <v>DM</v>
          </cell>
        </row>
        <row r="642">
          <cell r="A642" t="str">
            <v>615-B09403-001</v>
          </cell>
          <cell r="B642" t="str">
            <v>RES,SMD,THK FILM,750 OHM,1%,1W,1210</v>
          </cell>
          <cell r="C642" t="str">
            <v>RES</v>
          </cell>
          <cell r="D642">
            <v>15</v>
          </cell>
          <cell r="E642">
            <v>1</v>
          </cell>
          <cell r="F642" t="str">
            <v>9 Weeks</v>
          </cell>
          <cell r="G642">
            <v>5000</v>
          </cell>
          <cell r="H642">
            <v>9.4364000000000003E-2</v>
          </cell>
          <cell r="I642">
            <v>471.82</v>
          </cell>
          <cell r="J642">
            <v>0.11507804878048782</v>
          </cell>
          <cell r="K642">
            <v>103.57024390243902</v>
          </cell>
          <cell r="L642">
            <v>575.39024390243912</v>
          </cell>
          <cell r="O642"/>
          <cell r="Q642">
            <v>1</v>
          </cell>
          <cell r="R642" t="str">
            <v>SG73S2E1RTTD7500F</v>
          </cell>
          <cell r="S642" t="str">
            <v>KOA Speer</v>
          </cell>
          <cell r="T642" t="str">
            <v>Digikey</v>
          </cell>
          <cell r="U642">
            <v>0.11554</v>
          </cell>
          <cell r="V642">
            <v>5000</v>
          </cell>
          <cell r="W642">
            <v>0</v>
          </cell>
          <cell r="X642">
            <v>1</v>
          </cell>
          <cell r="Y642" t="str">
            <v>Y</v>
          </cell>
          <cell r="Z642">
            <v>577.70000000000005</v>
          </cell>
          <cell r="AA642">
            <v>-105.88000000000005</v>
          </cell>
          <cell r="AB642" t="str">
            <v/>
          </cell>
          <cell r="AD642">
            <v>1062721</v>
          </cell>
          <cell r="AE642" t="str">
            <v>POV0067185</v>
          </cell>
          <cell r="AF642" t="str">
            <v>DM</v>
          </cell>
        </row>
        <row r="643">
          <cell r="A643" t="str">
            <v>660-B12889-003</v>
          </cell>
          <cell r="B643" t="str">
            <v>PS,DC-DC,SGL OUT,24VDC INPUT,12VDC,SMT</v>
          </cell>
          <cell r="C643" t="str">
            <v>PS</v>
          </cell>
          <cell r="D643">
            <v>15</v>
          </cell>
          <cell r="E643">
            <v>1</v>
          </cell>
          <cell r="F643" t="str">
            <v>13 Weeks</v>
          </cell>
          <cell r="G643">
            <v>228</v>
          </cell>
          <cell r="H643">
            <v>3.084584</v>
          </cell>
          <cell r="I643">
            <v>703.28515200000004</v>
          </cell>
          <cell r="J643">
            <v>3.7616878048780489</v>
          </cell>
          <cell r="K643">
            <v>154.37966751219517</v>
          </cell>
          <cell r="L643">
            <v>857.66481951219509</v>
          </cell>
          <cell r="O643"/>
          <cell r="Q643">
            <v>1</v>
          </cell>
          <cell r="R643" t="str">
            <v>PDSE1-S24-S12-M-TR</v>
          </cell>
          <cell r="S643" t="str">
            <v>CUI</v>
          </cell>
          <cell r="T643" t="str">
            <v>Digikey</v>
          </cell>
          <cell r="U643">
            <v>2.5</v>
          </cell>
          <cell r="V643">
            <v>228</v>
          </cell>
          <cell r="W643">
            <v>0</v>
          </cell>
          <cell r="X643">
            <v>1</v>
          </cell>
          <cell r="Y643" t="str">
            <v>Y</v>
          </cell>
          <cell r="Z643">
            <v>570</v>
          </cell>
          <cell r="AA643">
            <v>133.28515200000004</v>
          </cell>
          <cell r="AB643">
            <v>0.33540470935464872</v>
          </cell>
          <cell r="AD643">
            <v>1062721</v>
          </cell>
          <cell r="AE643" t="str">
            <v>POV0067185</v>
          </cell>
          <cell r="AF643" t="str">
            <v>DM</v>
          </cell>
        </row>
        <row r="644">
          <cell r="A644" t="str">
            <v>631-096454-001</v>
          </cell>
          <cell r="B644" t="str">
            <v>IC,RCV420,4-20mA,ROHS</v>
          </cell>
          <cell r="C644" t="str">
            <v>IC</v>
          </cell>
          <cell r="D644">
            <v>25</v>
          </cell>
          <cell r="E644" t="str">
            <v>N/A</v>
          </cell>
          <cell r="F644" t="str">
            <v>15 Weeks</v>
          </cell>
          <cell r="G644">
            <v>50</v>
          </cell>
          <cell r="H644">
            <v>13.7256</v>
          </cell>
          <cell r="I644">
            <v>686.28</v>
          </cell>
          <cell r="J644">
            <v>16.738536585365853</v>
          </cell>
          <cell r="K644">
            <v>150.64682926829278</v>
          </cell>
          <cell r="L644">
            <v>836.92682926829264</v>
          </cell>
          <cell r="O644"/>
          <cell r="Q644">
            <v>2</v>
          </cell>
          <cell r="R644" t="str">
            <v>RCV420KP</v>
          </cell>
          <cell r="S644" t="str">
            <v>Texas Instruments</v>
          </cell>
          <cell r="T644" t="str">
            <v>Digikey</v>
          </cell>
          <cell r="U644">
            <v>9.8420000000000005</v>
          </cell>
          <cell r="V644">
            <v>50</v>
          </cell>
          <cell r="W644">
            <v>0</v>
          </cell>
          <cell r="X644">
            <v>1</v>
          </cell>
          <cell r="Y644" t="str">
            <v>Y</v>
          </cell>
          <cell r="Z644">
            <v>492.1</v>
          </cell>
          <cell r="AA644">
            <v>194.17999999999995</v>
          </cell>
          <cell r="AB644">
            <v>0.41201550387596897</v>
          </cell>
          <cell r="AD644">
            <v>1062721</v>
          </cell>
          <cell r="AE644" t="str">
            <v>POV0067185</v>
          </cell>
          <cell r="AF644" t="str">
            <v>DM</v>
          </cell>
        </row>
        <row r="645">
          <cell r="A645" t="str">
            <v>670-338640-630</v>
          </cell>
          <cell r="B645" t="str">
            <v>FUSE,CRTG,6.3A,600VAC/400DC,5X20MM</v>
          </cell>
          <cell r="C645" t="str">
            <v>FUSE</v>
          </cell>
          <cell r="D645">
            <v>15</v>
          </cell>
          <cell r="E645" t="str">
            <v>N/A</v>
          </cell>
          <cell r="F645" t="str">
            <v>3 Weeks</v>
          </cell>
          <cell r="G645">
            <v>200</v>
          </cell>
          <cell r="H645">
            <v>1.01</v>
          </cell>
          <cell r="I645">
            <v>202</v>
          </cell>
          <cell r="J645">
            <v>1.2317073170731707</v>
          </cell>
          <cell r="K645">
            <v>44.341463414634148</v>
          </cell>
          <cell r="L645">
            <v>246.34146341463415</v>
          </cell>
          <cell r="O645"/>
          <cell r="Q645">
            <v>2</v>
          </cell>
          <cell r="R645" t="str">
            <v>BK1-S505H-6.3-R</v>
          </cell>
          <cell r="S645" t="str">
            <v>Eaton</v>
          </cell>
          <cell r="T645" t="str">
            <v>Digikey</v>
          </cell>
          <cell r="U645">
            <v>1.046</v>
          </cell>
          <cell r="V645">
            <v>200</v>
          </cell>
          <cell r="W645">
            <v>0</v>
          </cell>
          <cell r="X645">
            <v>1</v>
          </cell>
          <cell r="Y645" t="str">
            <v>Y</v>
          </cell>
          <cell r="Z645">
            <v>209.20000000000002</v>
          </cell>
          <cell r="AA645">
            <v>-7.2000000000000171</v>
          </cell>
          <cell r="AB645" t="str">
            <v/>
          </cell>
          <cell r="AD645">
            <v>1062721</v>
          </cell>
          <cell r="AE645" t="str">
            <v>POV0067185</v>
          </cell>
          <cell r="AF645" t="str">
            <v>DM</v>
          </cell>
        </row>
        <row r="646">
          <cell r="A646" t="str">
            <v>630-A39020-001</v>
          </cell>
          <cell r="B646" t="str">
            <v>IC,SMD,EFUSE,15A,2.7-24V,24-VQFN</v>
          </cell>
          <cell r="C646" t="str">
            <v>IC</v>
          </cell>
          <cell r="D646">
            <v>15</v>
          </cell>
          <cell r="E646">
            <v>2</v>
          </cell>
          <cell r="F646" t="str">
            <v>9 Weeks</v>
          </cell>
          <cell r="G646">
            <v>60</v>
          </cell>
          <cell r="H646">
            <v>2.5858050000000001</v>
          </cell>
          <cell r="I646">
            <v>155.14830000000001</v>
          </cell>
          <cell r="J646">
            <v>3.1534207317073175</v>
          </cell>
          <cell r="K646">
            <v>34.056943902439031</v>
          </cell>
          <cell r="L646">
            <v>189.20524390243907</v>
          </cell>
          <cell r="O646"/>
          <cell r="Q646">
            <v>1</v>
          </cell>
          <cell r="R646" t="str">
            <v>TPS259827ONRGER</v>
          </cell>
          <cell r="S646" t="str">
            <v>Texas Instruments</v>
          </cell>
          <cell r="T646" t="str">
            <v>Digikey</v>
          </cell>
          <cell r="U646">
            <v>2.7271999999999998</v>
          </cell>
          <cell r="V646">
            <v>60</v>
          </cell>
          <cell r="W646">
            <v>0</v>
          </cell>
          <cell r="X646">
            <v>1</v>
          </cell>
          <cell r="Y646" t="str">
            <v>Y</v>
          </cell>
          <cell r="Z646">
            <v>163.63200000000001</v>
          </cell>
          <cell r="AA646">
            <v>-8.4836999999999989</v>
          </cell>
          <cell r="AB646" t="str">
            <v/>
          </cell>
          <cell r="AD646">
            <v>1062721</v>
          </cell>
          <cell r="AE646" t="str">
            <v>POV0067185</v>
          </cell>
          <cell r="AF646" t="str">
            <v>DM</v>
          </cell>
        </row>
        <row r="647">
          <cell r="A647" t="str">
            <v>630-A42470-001</v>
          </cell>
          <cell r="B647" t="str">
            <v>IC,SMD,V LVL TRANSLATOR,2CHAN,I2C,BI-DIR</v>
          </cell>
          <cell r="C647" t="str">
            <v>IC</v>
          </cell>
          <cell r="D647">
            <v>15</v>
          </cell>
          <cell r="E647">
            <v>1</v>
          </cell>
          <cell r="F647" t="str">
            <v>11 Weeks</v>
          </cell>
          <cell r="G647">
            <v>5000</v>
          </cell>
          <cell r="H647">
            <v>0.145565</v>
          </cell>
          <cell r="I647">
            <v>727.82500000000005</v>
          </cell>
          <cell r="J647">
            <v>0.17751829268292685</v>
          </cell>
          <cell r="K647">
            <v>159.76646341463425</v>
          </cell>
          <cell r="L647">
            <v>887.59146341463429</v>
          </cell>
          <cell r="O647"/>
          <cell r="Q647">
            <v>1</v>
          </cell>
          <cell r="R647" t="str">
            <v>FXWA9306L8X</v>
          </cell>
          <cell r="S647" t="str">
            <v>On Semiconductor</v>
          </cell>
          <cell r="T647" t="str">
            <v>Digikey</v>
          </cell>
          <cell r="U647">
            <v>0.14474999999999999</v>
          </cell>
          <cell r="V647">
            <v>5000</v>
          </cell>
          <cell r="W647">
            <v>0</v>
          </cell>
          <cell r="X647">
            <v>1</v>
          </cell>
          <cell r="Y647" t="str">
            <v>Y</v>
          </cell>
          <cell r="Z647">
            <v>723.75</v>
          </cell>
          <cell r="AA647">
            <v>4.0750000000000455</v>
          </cell>
          <cell r="AB647">
            <v>0.18459107615154757</v>
          </cell>
          <cell r="AD647">
            <v>1062721</v>
          </cell>
          <cell r="AE647" t="str">
            <v>POV0067185</v>
          </cell>
          <cell r="AF647" t="str">
            <v>DM</v>
          </cell>
        </row>
        <row r="648">
          <cell r="A648" t="str">
            <v>668-B08249-026</v>
          </cell>
          <cell r="B648" t="str">
            <v>CONN,RCPT,D-SUB,26 POSN,3ROW,3A,THT</v>
          </cell>
          <cell r="C648" t="str">
            <v>CONN</v>
          </cell>
          <cell r="D648">
            <v>25</v>
          </cell>
          <cell r="E648">
            <v>1</v>
          </cell>
          <cell r="F648" t="str">
            <v>3 Weeks</v>
          </cell>
          <cell r="G648">
            <v>70</v>
          </cell>
          <cell r="H648">
            <v>1.935065</v>
          </cell>
          <cell r="I648">
            <v>135.45455000000001</v>
          </cell>
          <cell r="J648">
            <v>2.3598353658536588</v>
          </cell>
          <cell r="K648">
            <v>29.733925609756113</v>
          </cell>
          <cell r="L648">
            <v>165.18847560975613</v>
          </cell>
          <cell r="M648" t="str">
            <v>CHINA</v>
          </cell>
          <cell r="N648" t="str">
            <v>8536694040</v>
          </cell>
          <cell r="O648">
            <v>0.35</v>
          </cell>
          <cell r="P648">
            <v>47.4090925</v>
          </cell>
          <cell r="Q648">
            <v>1</v>
          </cell>
          <cell r="R648" t="str">
            <v>A-HDF26PP/Z-UNC3</v>
          </cell>
          <cell r="S648" t="str">
            <v>Assmann WSW Components</v>
          </cell>
          <cell r="T648" t="str">
            <v>Digikey</v>
          </cell>
          <cell r="U648">
            <v>1.9642900000000001</v>
          </cell>
          <cell r="V648">
            <v>70</v>
          </cell>
          <cell r="W648">
            <v>0</v>
          </cell>
          <cell r="X648">
            <v>1</v>
          </cell>
          <cell r="Y648" t="str">
            <v>Y</v>
          </cell>
          <cell r="Z648">
            <v>137.50030000000001</v>
          </cell>
          <cell r="AA648">
            <v>-2.0457499999999982</v>
          </cell>
          <cell r="AB648" t="str">
            <v/>
          </cell>
          <cell r="AD648">
            <v>1062721</v>
          </cell>
          <cell r="AE648" t="str">
            <v>POV0067185</v>
          </cell>
          <cell r="AF648" t="str">
            <v>DM</v>
          </cell>
        </row>
        <row r="649">
          <cell r="A649" t="str">
            <v>674-127923-001</v>
          </cell>
          <cell r="B649" t="str">
            <v>TERM,SMD,TEST POINT,ROHS</v>
          </cell>
          <cell r="C649" t="str">
            <v>TERM</v>
          </cell>
          <cell r="D649">
            <v>100</v>
          </cell>
          <cell r="E649">
            <v>1</v>
          </cell>
          <cell r="F649" t="str">
            <v>18 Weeks</v>
          </cell>
          <cell r="G649">
            <v>200</v>
          </cell>
          <cell r="H649">
            <v>0.18529599999999999</v>
          </cell>
          <cell r="I649">
            <v>37.059199999999997</v>
          </cell>
          <cell r="J649">
            <v>0.22597073170731707</v>
          </cell>
          <cell r="K649">
            <v>8.1349463414634187</v>
          </cell>
          <cell r="L649">
            <v>45.194146341463416</v>
          </cell>
          <cell r="O649"/>
          <cell r="Q649">
            <v>1</v>
          </cell>
          <cell r="R649" t="str">
            <v>S1751-46</v>
          </cell>
          <cell r="S649" t="str">
            <v>Harwin</v>
          </cell>
          <cell r="T649" t="str">
            <v>Digikey</v>
          </cell>
          <cell r="U649">
            <v>0.18809999999999999</v>
          </cell>
          <cell r="V649">
            <v>200</v>
          </cell>
          <cell r="W649">
            <v>0</v>
          </cell>
          <cell r="X649">
            <v>1</v>
          </cell>
          <cell r="Y649" t="str">
            <v>Y</v>
          </cell>
          <cell r="Z649">
            <v>37.619999999999997</v>
          </cell>
          <cell r="AA649">
            <v>-0.56080000000000041</v>
          </cell>
          <cell r="AB649" t="str">
            <v/>
          </cell>
          <cell r="AD649">
            <v>1062721</v>
          </cell>
          <cell r="AE649" t="str">
            <v>POV0067185</v>
          </cell>
          <cell r="AF649" t="str">
            <v>DM</v>
          </cell>
        </row>
        <row r="650">
          <cell r="A650" t="str">
            <v>615-235090-001</v>
          </cell>
          <cell r="B650" t="str">
            <v>RES,SMD,0.1 OHM,±1%,1/4W,0603</v>
          </cell>
          <cell r="C650" t="str">
            <v>RES</v>
          </cell>
          <cell r="D650">
            <v>15</v>
          </cell>
          <cell r="E650">
            <v>1</v>
          </cell>
          <cell r="F650" t="str">
            <v>16 Weeks</v>
          </cell>
          <cell r="G650">
            <v>5000</v>
          </cell>
          <cell r="H650">
            <v>0.140933</v>
          </cell>
          <cell r="I650">
            <v>704.66499999999996</v>
          </cell>
          <cell r="J650">
            <v>0.17186951219512198</v>
          </cell>
          <cell r="K650">
            <v>154.68256097560982</v>
          </cell>
          <cell r="L650">
            <v>859.34756097560989</v>
          </cell>
          <cell r="O650"/>
          <cell r="Q650">
            <v>1</v>
          </cell>
          <cell r="R650" t="str">
            <v>UCR03EVPFLR100</v>
          </cell>
          <cell r="S650" t="str">
            <v>ROHM SEMICONDUCTOR</v>
          </cell>
          <cell r="T650" t="str">
            <v>Chip 1 Stop</v>
          </cell>
          <cell r="U650">
            <v>0.123</v>
          </cell>
          <cell r="V650">
            <v>5000</v>
          </cell>
          <cell r="W650">
            <v>0</v>
          </cell>
          <cell r="X650">
            <v>2</v>
          </cell>
          <cell r="Y650" t="str">
            <v>Y</v>
          </cell>
          <cell r="Z650">
            <v>615</v>
          </cell>
          <cell r="AA650">
            <v>89.664999999999964</v>
          </cell>
          <cell r="AB650">
            <v>0.28434078604727075</v>
          </cell>
          <cell r="AD650">
            <v>1062721</v>
          </cell>
          <cell r="AE650" t="str">
            <v>POV0067212</v>
          </cell>
          <cell r="AF650" t="str">
            <v>JH</v>
          </cell>
        </row>
        <row r="651">
          <cell r="A651" t="str">
            <v>615-A87446-005</v>
          </cell>
          <cell r="B651" t="str">
            <v>RES,SMD,0.005 OHM,±5% TOL,1W,1206</v>
          </cell>
          <cell r="C651" t="str">
            <v>RES</v>
          </cell>
          <cell r="D651">
            <v>25</v>
          </cell>
          <cell r="E651">
            <v>1</v>
          </cell>
          <cell r="F651" t="str">
            <v>16 Weeks</v>
          </cell>
          <cell r="G651">
            <v>5000</v>
          </cell>
          <cell r="H651">
            <v>0.13053999999999999</v>
          </cell>
          <cell r="I651">
            <v>652.69999999999993</v>
          </cell>
          <cell r="J651">
            <v>0.15919512195121951</v>
          </cell>
          <cell r="K651">
            <v>143.27560975609754</v>
          </cell>
          <cell r="L651">
            <v>795.97560975609758</v>
          </cell>
          <cell r="O651"/>
          <cell r="Q651">
            <v>1</v>
          </cell>
          <cell r="R651" t="str">
            <v>PMR18EZPJU5L0</v>
          </cell>
          <cell r="S651" t="str">
            <v>ROHM SEMICONDUCTOR</v>
          </cell>
          <cell r="T651" t="str">
            <v>Chip 1 Stop</v>
          </cell>
          <cell r="U651">
            <v>9.2899999999999996E-2</v>
          </cell>
          <cell r="V651">
            <v>5000</v>
          </cell>
          <cell r="W651">
            <v>0</v>
          </cell>
          <cell r="X651">
            <v>2</v>
          </cell>
          <cell r="Y651" t="str">
            <v>Y</v>
          </cell>
          <cell r="Z651">
            <v>464.5</v>
          </cell>
          <cell r="AA651">
            <v>188.19999999999993</v>
          </cell>
          <cell r="AB651">
            <v>0.41643940554619274</v>
          </cell>
          <cell r="AD651">
            <v>1062721</v>
          </cell>
          <cell r="AE651" t="str">
            <v>POV0067212</v>
          </cell>
          <cell r="AF651" t="str">
            <v>JH</v>
          </cell>
        </row>
        <row r="652">
          <cell r="A652" t="str">
            <v>639-A20790-001</v>
          </cell>
          <cell r="B652" t="str">
            <v>IDCTR,SMD,WW,H CUR,1.3UH,±20%,25A,59MHZ</v>
          </cell>
          <cell r="C652" t="str">
            <v>IDCTR</v>
          </cell>
          <cell r="D652">
            <v>15</v>
          </cell>
          <cell r="E652">
            <v>1</v>
          </cell>
          <cell r="F652" t="str">
            <v>3 Weeks</v>
          </cell>
          <cell r="G652">
            <v>400</v>
          </cell>
          <cell r="H652">
            <v>2.4510000000000001</v>
          </cell>
          <cell r="I652">
            <v>980.4</v>
          </cell>
          <cell r="J652">
            <v>2.9890243902439027</v>
          </cell>
          <cell r="K652">
            <v>215.20975609756113</v>
          </cell>
          <cell r="L652">
            <v>1195.6097560975611</v>
          </cell>
          <cell r="O652"/>
          <cell r="Q652">
            <v>1</v>
          </cell>
          <cell r="R652">
            <v>7443551130</v>
          </cell>
          <cell r="S652" t="str">
            <v>WURTH ELEKTRONIK</v>
          </cell>
          <cell r="T652" t="str">
            <v>Chip 1 Stop</v>
          </cell>
          <cell r="U652">
            <v>1.5</v>
          </cell>
          <cell r="V652">
            <v>400</v>
          </cell>
          <cell r="W652">
            <v>0</v>
          </cell>
          <cell r="Y652" t="str">
            <v>Y</v>
          </cell>
          <cell r="Z652">
            <v>600</v>
          </cell>
          <cell r="AA652">
            <v>380.4</v>
          </cell>
          <cell r="AB652">
            <v>0.49816401468788252</v>
          </cell>
          <cell r="AD652">
            <v>1062721</v>
          </cell>
          <cell r="AE652" t="str">
            <v>POV0067212</v>
          </cell>
          <cell r="AF652" t="str">
            <v>JH</v>
          </cell>
        </row>
        <row r="653">
          <cell r="A653" t="str">
            <v>641-254722-001</v>
          </cell>
          <cell r="B653" t="str">
            <v>IDCTR,WOUND,RDL,1MH,800MA,1.15 OHM,THT</v>
          </cell>
          <cell r="C653" t="str">
            <v>IDCTR</v>
          </cell>
          <cell r="D653">
            <v>25</v>
          </cell>
          <cell r="E653" t="str">
            <v>N/A</v>
          </cell>
          <cell r="F653" t="str">
            <v>3 Weeks</v>
          </cell>
          <cell r="G653">
            <v>100</v>
          </cell>
          <cell r="H653">
            <v>1.56864</v>
          </cell>
          <cell r="I653">
            <v>156.864</v>
          </cell>
          <cell r="J653">
            <v>1.9129756097560977</v>
          </cell>
          <cell r="K653">
            <v>34.433560975609765</v>
          </cell>
          <cell r="L653">
            <v>191.29756097560977</v>
          </cell>
          <cell r="O653"/>
          <cell r="Q653">
            <v>1</v>
          </cell>
          <cell r="R653">
            <v>7447480102</v>
          </cell>
          <cell r="S653" t="str">
            <v>WURTH ELEKTRONIK</v>
          </cell>
          <cell r="T653" t="str">
            <v>Chip 1 Stop</v>
          </cell>
          <cell r="U653">
            <v>1.1299999999999999</v>
          </cell>
          <cell r="V653">
            <v>100</v>
          </cell>
          <cell r="W653">
            <v>0</v>
          </cell>
          <cell r="Y653" t="str">
            <v>Y</v>
          </cell>
          <cell r="Z653">
            <v>112.99999999999999</v>
          </cell>
          <cell r="AA653">
            <v>43.864000000000019</v>
          </cell>
          <cell r="AB653">
            <v>0.40929722562219517</v>
          </cell>
          <cell r="AD653">
            <v>1062721</v>
          </cell>
          <cell r="AE653" t="str">
            <v>POV0067212</v>
          </cell>
          <cell r="AF653" t="str">
            <v>JH</v>
          </cell>
        </row>
        <row r="654">
          <cell r="A654" t="str">
            <v>648-A42433-330</v>
          </cell>
          <cell r="B654" t="str">
            <v>CAP,SMD,CER,33PF,±1%,100V,C0G,0603</v>
          </cell>
          <cell r="C654" t="str">
            <v>CAP</v>
          </cell>
          <cell r="D654">
            <v>15</v>
          </cell>
          <cell r="E654">
            <v>1</v>
          </cell>
          <cell r="F654" t="str">
            <v>31 Weeks</v>
          </cell>
          <cell r="G654">
            <v>4000</v>
          </cell>
          <cell r="H654">
            <v>0.29289500000000002</v>
          </cell>
          <cell r="I654">
            <v>1171.5800000000002</v>
          </cell>
          <cell r="J654">
            <v>0.35718902439024397</v>
          </cell>
          <cell r="K654">
            <v>257.17609756097568</v>
          </cell>
          <cell r="L654">
            <v>1428.7560975609758</v>
          </cell>
          <cell r="O654"/>
          <cell r="Q654">
            <v>2</v>
          </cell>
          <cell r="R654" t="str">
            <v>GMC10CG330F100NT</v>
          </cell>
          <cell r="S654" t="str">
            <v>Unmatched</v>
          </cell>
          <cell r="T654" t="str">
            <v>Digikey</v>
          </cell>
          <cell r="U654">
            <v>2.8000000000000001E-2</v>
          </cell>
          <cell r="V654">
            <v>4000</v>
          </cell>
          <cell r="W654">
            <v>0</v>
          </cell>
          <cell r="X654">
            <v>2</v>
          </cell>
          <cell r="Y654" t="str">
            <v>Y</v>
          </cell>
          <cell r="Z654">
            <v>112</v>
          </cell>
          <cell r="AA654">
            <v>1059.5800000000002</v>
          </cell>
          <cell r="AB654">
            <v>0.92161013332422881</v>
          </cell>
          <cell r="AD654">
            <v>1062721</v>
          </cell>
          <cell r="AE654" t="str">
            <v>POV0067185</v>
          </cell>
          <cell r="AF654" t="str">
            <v>DM</v>
          </cell>
        </row>
        <row r="655">
          <cell r="A655" t="str">
            <v>615-A65794-001</v>
          </cell>
          <cell r="B655" t="str">
            <v>RES,SMD,0.004 OHM,±1%,5W,2512,50PPM</v>
          </cell>
          <cell r="C655" t="str">
            <v>RES</v>
          </cell>
          <cell r="D655">
            <v>15</v>
          </cell>
          <cell r="E655">
            <v>1</v>
          </cell>
          <cell r="F655" t="str">
            <v>14 Weeks</v>
          </cell>
          <cell r="G655">
            <v>2000</v>
          </cell>
          <cell r="H655">
            <v>0.412638</v>
          </cell>
          <cell r="I655">
            <v>825.27599999999995</v>
          </cell>
          <cell r="J655">
            <v>0.50321707317073172</v>
          </cell>
          <cell r="K655">
            <v>181.15814634146352</v>
          </cell>
          <cell r="L655">
            <v>1006.4341463414635</v>
          </cell>
          <cell r="O655"/>
          <cell r="Q655">
            <v>1</v>
          </cell>
          <cell r="R655" t="str">
            <v>TLR3APDTE4L00F50</v>
          </cell>
          <cell r="S655" t="str">
            <v>KOA Speer Electronics</v>
          </cell>
          <cell r="T655" t="str">
            <v>Digikey</v>
          </cell>
          <cell r="U655">
            <v>0.41885</v>
          </cell>
          <cell r="V655">
            <v>2000</v>
          </cell>
          <cell r="W655">
            <v>0</v>
          </cell>
          <cell r="X655">
            <v>1</v>
          </cell>
          <cell r="Y655" t="str">
            <v>Y</v>
          </cell>
          <cell r="Z655">
            <v>837.7</v>
          </cell>
          <cell r="AA655">
            <v>-12.424000000000092</v>
          </cell>
          <cell r="AB655" t="str">
            <v/>
          </cell>
          <cell r="AD655">
            <v>1062721</v>
          </cell>
          <cell r="AE655" t="str">
            <v>POV0067185</v>
          </cell>
          <cell r="AF655" t="str">
            <v>DM</v>
          </cell>
        </row>
        <row r="656">
          <cell r="A656" t="str">
            <v>615-B28247-001</v>
          </cell>
          <cell r="B656" t="str">
            <v>RES,SMD,THK FILM,3.3KOHM,.1%,.063W,0402</v>
          </cell>
          <cell r="C656" t="str">
            <v>RES</v>
          </cell>
          <cell r="D656">
            <v>15</v>
          </cell>
          <cell r="E656">
            <v>1</v>
          </cell>
          <cell r="F656" t="str">
            <v>28 Weeks</v>
          </cell>
          <cell r="G656">
            <v>10000</v>
          </cell>
          <cell r="H656">
            <v>1.8383E-2</v>
          </cell>
          <cell r="I656">
            <v>183.83</v>
          </cell>
          <cell r="J656">
            <v>2.2418292682926829E-2</v>
          </cell>
          <cell r="K656">
            <v>40.352926829268313</v>
          </cell>
          <cell r="L656">
            <v>224.1829268292683</v>
          </cell>
          <cell r="O656"/>
          <cell r="Q656">
            <v>1</v>
          </cell>
          <cell r="R656" t="str">
            <v>RGC1/16SC3301BTH</v>
          </cell>
          <cell r="S656" t="str">
            <v>Kamaya</v>
          </cell>
          <cell r="T656" t="str">
            <v>Mouser</v>
          </cell>
          <cell r="U656">
            <v>1.7000000000000001E-2</v>
          </cell>
          <cell r="V656">
            <v>10000</v>
          </cell>
          <cell r="W656">
            <v>0</v>
          </cell>
          <cell r="X656">
            <v>12</v>
          </cell>
          <cell r="Y656" t="str">
            <v>Y</v>
          </cell>
          <cell r="Z656">
            <v>170</v>
          </cell>
          <cell r="AA656">
            <v>13.830000000000013</v>
          </cell>
          <cell r="AB656">
            <v>0.24169069248762443</v>
          </cell>
          <cell r="AD656">
            <v>1062721</v>
          </cell>
          <cell r="AE656" t="str">
            <v xml:space="preserve">POV0067186 </v>
          </cell>
          <cell r="AF656" t="str">
            <v>JH</v>
          </cell>
        </row>
        <row r="657">
          <cell r="A657" t="str">
            <v>660-346747-001</v>
          </cell>
          <cell r="B657" t="str">
            <v>PS,CMOS-LDO,3-24VIN,1A OUT,TO-252-5-P2</v>
          </cell>
          <cell r="C657" t="str">
            <v>PS</v>
          </cell>
          <cell r="D657">
            <v>15</v>
          </cell>
          <cell r="E657">
            <v>1</v>
          </cell>
          <cell r="F657" t="str">
            <v>15 Weeks</v>
          </cell>
          <cell r="G657">
            <v>3000</v>
          </cell>
          <cell r="H657">
            <v>0.66667200000000004</v>
          </cell>
          <cell r="I657">
            <v>2000.0160000000001</v>
          </cell>
          <cell r="J657">
            <v>0.81301463414634156</v>
          </cell>
          <cell r="K657">
            <v>439.02790243902473</v>
          </cell>
          <cell r="L657">
            <v>2439.0439024390248</v>
          </cell>
          <cell r="O657"/>
          <cell r="Q657">
            <v>1</v>
          </cell>
          <cell r="R657" t="str">
            <v>R1501J100B-T1-FE</v>
          </cell>
          <cell r="S657" t="str">
            <v>NISSHINBO MICRO DEVICES INC.</v>
          </cell>
          <cell r="T657" t="str">
            <v>Mouser</v>
          </cell>
          <cell r="U657">
            <v>0.68100000000000005</v>
          </cell>
          <cell r="V657">
            <v>3000</v>
          </cell>
          <cell r="W657">
            <v>0</v>
          </cell>
          <cell r="X657">
            <v>6</v>
          </cell>
          <cell r="Y657" t="str">
            <v>Y</v>
          </cell>
          <cell r="Z657">
            <v>2043.0000000000002</v>
          </cell>
          <cell r="AA657">
            <v>-42.984000000000151</v>
          </cell>
          <cell r="AB657" t="str">
            <v/>
          </cell>
          <cell r="AD657">
            <v>1062721</v>
          </cell>
          <cell r="AE657" t="str">
            <v xml:space="preserve">POV0067186 </v>
          </cell>
          <cell r="AF657" t="str">
            <v>JH</v>
          </cell>
        </row>
        <row r="658">
          <cell r="A658" t="str">
            <v>648-250747-470</v>
          </cell>
          <cell r="B658" t="str">
            <v>CAP,SMD,0603,CER,C0G,1%,50V,47PF</v>
          </cell>
          <cell r="C658" t="str">
            <v>CAP</v>
          </cell>
          <cell r="D658">
            <v>15</v>
          </cell>
          <cell r="E658">
            <v>1</v>
          </cell>
          <cell r="F658" t="str">
            <v>17 Weeks</v>
          </cell>
          <cell r="G658">
            <v>4000</v>
          </cell>
          <cell r="H658">
            <v>0.24376374999999997</v>
          </cell>
          <cell r="I658">
            <v>975.05499999999995</v>
          </cell>
          <cell r="J658">
            <v>0.29727286585365853</v>
          </cell>
          <cell r="K658">
            <v>214.03646341463411</v>
          </cell>
          <cell r="L658">
            <v>1189.0914634146341</v>
          </cell>
          <cell r="O658"/>
          <cell r="Q658">
            <v>1</v>
          </cell>
          <cell r="R658" t="str">
            <v>C0603C470F5GAC</v>
          </cell>
          <cell r="S658" t="str">
            <v>Kemet</v>
          </cell>
          <cell r="T658" t="str">
            <v>Mouser</v>
          </cell>
          <cell r="U658">
            <v>0.05</v>
          </cell>
          <cell r="V658">
            <v>4000</v>
          </cell>
          <cell r="W658">
            <v>0</v>
          </cell>
          <cell r="X658">
            <v>8</v>
          </cell>
          <cell r="Y658" t="str">
            <v>Y</v>
          </cell>
          <cell r="Z658">
            <v>200</v>
          </cell>
          <cell r="AA658">
            <v>775.05499999999995</v>
          </cell>
          <cell r="AB658">
            <v>0.83180435975406519</v>
          </cell>
          <cell r="AD658">
            <v>1062721</v>
          </cell>
          <cell r="AE658" t="str">
            <v xml:space="preserve">POV0067186 </v>
          </cell>
          <cell r="AF658" t="str">
            <v>JH</v>
          </cell>
        </row>
        <row r="659">
          <cell r="A659" t="str">
            <v>615-A00422-681</v>
          </cell>
          <cell r="B659" t="str">
            <v>RES SMD 681 OHM 0.1% 1/16W 0402</v>
          </cell>
          <cell r="C659" t="str">
            <v>RES</v>
          </cell>
          <cell r="D659">
            <v>15</v>
          </cell>
          <cell r="E659">
            <v>1</v>
          </cell>
          <cell r="F659" t="str">
            <v>23 Weeks</v>
          </cell>
          <cell r="G659">
            <v>10000</v>
          </cell>
          <cell r="H659">
            <v>4.1116E-2</v>
          </cell>
          <cell r="I659">
            <v>411.16</v>
          </cell>
          <cell r="J659">
            <v>5.0141463414634151E-2</v>
          </cell>
          <cell r="K659">
            <v>90.254634146341516</v>
          </cell>
          <cell r="L659">
            <v>501.41463414634148</v>
          </cell>
          <cell r="O659"/>
          <cell r="Q659">
            <v>2</v>
          </cell>
          <cell r="R659" t="str">
            <v>RT0402BRD07681RL</v>
          </cell>
          <cell r="S659" t="str">
            <v>Yageo</v>
          </cell>
          <cell r="T659" t="str">
            <v>Digikey</v>
          </cell>
          <cell r="U659">
            <v>3.7690000000000001E-2</v>
          </cell>
          <cell r="V659">
            <v>10000</v>
          </cell>
          <cell r="W659">
            <v>0</v>
          </cell>
          <cell r="X659">
            <v>16</v>
          </cell>
          <cell r="Y659" t="str">
            <v>Y</v>
          </cell>
          <cell r="Z659">
            <v>376.90000000000003</v>
          </cell>
          <cell r="AA659">
            <v>34.259999999999991</v>
          </cell>
          <cell r="AB659">
            <v>0.24832668547524073</v>
          </cell>
          <cell r="AD659">
            <v>1062721</v>
          </cell>
          <cell r="AF659" t="str">
            <v>JH</v>
          </cell>
        </row>
        <row r="660">
          <cell r="A660" t="str">
            <v>635-225114-001</v>
          </cell>
          <cell r="B660" t="str">
            <v>OSC,SMD,LO NOISE,49.152 MHZ,CMOS OUT</v>
          </cell>
          <cell r="C660" t="str">
            <v>OSC</v>
          </cell>
          <cell r="D660">
            <v>25</v>
          </cell>
          <cell r="E660">
            <v>1</v>
          </cell>
          <cell r="F660" t="str">
            <v>12 Weeks</v>
          </cell>
          <cell r="G660">
            <v>50</v>
          </cell>
          <cell r="H660">
            <v>36.416713000000001</v>
          </cell>
          <cell r="I660">
            <v>1820.83565</v>
          </cell>
          <cell r="J660">
            <v>44.410625609756103</v>
          </cell>
          <cell r="K660">
            <v>399.69563048780492</v>
          </cell>
          <cell r="L660">
            <v>2220.5312804878054</v>
          </cell>
          <cell r="O660"/>
          <cell r="Q660">
            <v>1</v>
          </cell>
          <cell r="R660" t="str">
            <v>CCHD-957X-25-49.152</v>
          </cell>
          <cell r="S660" t="str">
            <v>CRYSTEK CORPORATION</v>
          </cell>
          <cell r="T660" t="str">
            <v>Digikey</v>
          </cell>
          <cell r="U660">
            <v>39.964399999999998</v>
          </cell>
          <cell r="V660">
            <v>50</v>
          </cell>
          <cell r="W660">
            <v>0</v>
          </cell>
          <cell r="X660">
            <v>1</v>
          </cell>
          <cell r="Y660" t="str">
            <v>Y</v>
          </cell>
          <cell r="Z660">
            <v>1998.2199999999998</v>
          </cell>
          <cell r="AA660">
            <v>-177.38434999999981</v>
          </cell>
          <cell r="AB660" t="str">
            <v/>
          </cell>
          <cell r="AD660">
            <v>1062721</v>
          </cell>
          <cell r="AE660" t="str">
            <v>POV0067185</v>
          </cell>
          <cell r="AF660" t="str">
            <v>DM</v>
          </cell>
        </row>
        <row r="661">
          <cell r="A661" t="str">
            <v>615-121726-214</v>
          </cell>
          <cell r="B661" t="str">
            <v>RES,SMD,487K OHM,1/10W,1%,0402</v>
          </cell>
          <cell r="C661" t="str">
            <v>RES</v>
          </cell>
          <cell r="D661">
            <v>15</v>
          </cell>
          <cell r="E661">
            <v>1</v>
          </cell>
          <cell r="F661" t="str">
            <v>3 Weeks</v>
          </cell>
          <cell r="G661">
            <v>10000</v>
          </cell>
          <cell r="H661">
            <v>4.7299999999999998E-3</v>
          </cell>
          <cell r="I661">
            <v>47.3</v>
          </cell>
          <cell r="J661">
            <v>5.7682926829268292E-3</v>
          </cell>
          <cell r="K661">
            <v>10.382926829268293</v>
          </cell>
          <cell r="L661">
            <v>57.68292682926829</v>
          </cell>
          <cell r="O661"/>
          <cell r="Q661">
            <v>3</v>
          </cell>
          <cell r="R661" t="str">
            <v>RK73H1ETTP4873F</v>
          </cell>
          <cell r="S661" t="str">
            <v>KOA Speer</v>
          </cell>
          <cell r="T661" t="str">
            <v>Mouser</v>
          </cell>
          <cell r="U661">
            <v>3.0000000000000001E-3</v>
          </cell>
          <cell r="V661">
            <v>10000</v>
          </cell>
          <cell r="W661">
            <v>0</v>
          </cell>
          <cell r="X661">
            <v>1</v>
          </cell>
          <cell r="Y661" t="str">
            <v>Y</v>
          </cell>
          <cell r="Z661">
            <v>30</v>
          </cell>
          <cell r="AA661">
            <v>17.299999999999997</v>
          </cell>
          <cell r="AB661">
            <v>0.47991543340380549</v>
          </cell>
          <cell r="AD661">
            <v>1062721</v>
          </cell>
          <cell r="AE661" t="str">
            <v xml:space="preserve">POV0067186 </v>
          </cell>
          <cell r="AF661" t="str">
            <v>JH</v>
          </cell>
        </row>
        <row r="662">
          <cell r="A662" t="str">
            <v>639-B11503-001</v>
          </cell>
          <cell r="B662" t="str">
            <v>FERRITE BEAD,47OHM,100MHZ,25% TOL,.45A</v>
          </cell>
          <cell r="C662" t="str">
            <v>FERRITE</v>
          </cell>
          <cell r="D662">
            <v>35</v>
          </cell>
          <cell r="E662">
            <v>1</v>
          </cell>
          <cell r="F662" t="str">
            <v>9 Weeks</v>
          </cell>
          <cell r="G662">
            <v>10000</v>
          </cell>
          <cell r="H662">
            <v>7.3529999999999998E-2</v>
          </cell>
          <cell r="I662">
            <v>735.3</v>
          </cell>
          <cell r="J662">
            <v>8.967073170731707E-2</v>
          </cell>
          <cell r="K662">
            <v>161.40731707317082</v>
          </cell>
          <cell r="L662">
            <v>896.70731707317066</v>
          </cell>
          <cell r="O662"/>
          <cell r="Q662">
            <v>1</v>
          </cell>
          <cell r="R662" t="str">
            <v>MPZ1005F470ETD25</v>
          </cell>
          <cell r="S662" t="str">
            <v>TDK</v>
          </cell>
          <cell r="T662" t="str">
            <v>Mouser</v>
          </cell>
          <cell r="U662">
            <v>7.2999999999999995E-2</v>
          </cell>
          <cell r="V662">
            <v>10000</v>
          </cell>
          <cell r="W662">
            <v>0</v>
          </cell>
          <cell r="X662">
            <v>1</v>
          </cell>
          <cell r="Y662" t="str">
            <v>Y</v>
          </cell>
          <cell r="Z662">
            <v>730</v>
          </cell>
          <cell r="AA662">
            <v>5.2999999999999545</v>
          </cell>
          <cell r="AB662">
            <v>0.1859105127158982</v>
          </cell>
          <cell r="AD662">
            <v>1062721</v>
          </cell>
          <cell r="AE662" t="str">
            <v xml:space="preserve">POV0067186 </v>
          </cell>
          <cell r="AF662" t="str">
            <v>JH</v>
          </cell>
        </row>
        <row r="663">
          <cell r="A663" t="str">
            <v>615-064170-165</v>
          </cell>
          <cell r="B663" t="str">
            <v>RES,SMD,0805,RG,MF,0.1%,1/10W,1.65K</v>
          </cell>
          <cell r="C663" t="str">
            <v>RES</v>
          </cell>
          <cell r="D663">
            <v>25</v>
          </cell>
          <cell r="E663">
            <v>1</v>
          </cell>
          <cell r="F663" t="str">
            <v>25 Weeks</v>
          </cell>
          <cell r="G663">
            <v>5000</v>
          </cell>
          <cell r="H663">
            <v>5.0245999999999999E-2</v>
          </cell>
          <cell r="I663">
            <v>251.23</v>
          </cell>
          <cell r="J663">
            <v>6.1275609756097561E-2</v>
          </cell>
          <cell r="K663">
            <v>55.148048780487812</v>
          </cell>
          <cell r="L663">
            <v>306.3780487804878</v>
          </cell>
          <cell r="O663"/>
          <cell r="Q663">
            <v>2</v>
          </cell>
          <cell r="R663" t="str">
            <v>RT0805BRD071K65L</v>
          </cell>
          <cell r="S663" t="str">
            <v>Yageo</v>
          </cell>
          <cell r="T663" t="str">
            <v>Mouser</v>
          </cell>
          <cell r="U663">
            <v>4.3999999999999997E-2</v>
          </cell>
          <cell r="V663">
            <v>5000</v>
          </cell>
          <cell r="W663">
            <v>0</v>
          </cell>
          <cell r="X663">
            <v>1</v>
          </cell>
          <cell r="Y663" t="str">
            <v>Y</v>
          </cell>
          <cell r="Z663">
            <v>220</v>
          </cell>
          <cell r="AA663">
            <v>31.22999999999999</v>
          </cell>
          <cell r="AB663">
            <v>0.28193289018031287</v>
          </cell>
          <cell r="AD663">
            <v>1062721</v>
          </cell>
          <cell r="AE663" t="str">
            <v xml:space="preserve">POV0067186 </v>
          </cell>
          <cell r="AF663" t="str">
            <v>JH</v>
          </cell>
        </row>
        <row r="664">
          <cell r="A664" t="str">
            <v>615-064170-274</v>
          </cell>
          <cell r="B664" t="str">
            <v>RES,SMD,0805,RG,MF,0.1%,1/10W,2.74K ROHS</v>
          </cell>
          <cell r="C664" t="str">
            <v>RES</v>
          </cell>
          <cell r="D664">
            <v>25</v>
          </cell>
          <cell r="E664">
            <v>1</v>
          </cell>
          <cell r="F664" t="str">
            <v>3 Weeks</v>
          </cell>
          <cell r="G664">
            <v>5000</v>
          </cell>
          <cell r="H664">
            <v>5.1263000000000003E-2</v>
          </cell>
          <cell r="I664">
            <v>256.315</v>
          </cell>
          <cell r="J664">
            <v>6.2515853658536596E-2</v>
          </cell>
          <cell r="K664">
            <v>56.264268292682971</v>
          </cell>
          <cell r="L664">
            <v>312.57926829268297</v>
          </cell>
          <cell r="O664"/>
          <cell r="Q664">
            <v>2</v>
          </cell>
          <cell r="R664" t="str">
            <v>RT0805BRD072K74L</v>
          </cell>
          <cell r="S664" t="str">
            <v>Yageo</v>
          </cell>
          <cell r="T664" t="str">
            <v>Mouser</v>
          </cell>
          <cell r="U664">
            <v>4.1000000000000002E-2</v>
          </cell>
          <cell r="V664">
            <v>5000</v>
          </cell>
          <cell r="W664">
            <v>0</v>
          </cell>
          <cell r="X664">
            <v>1</v>
          </cell>
          <cell r="Y664" t="str">
            <v>Y</v>
          </cell>
          <cell r="Z664">
            <v>205</v>
          </cell>
          <cell r="AA664">
            <v>51.314999999999998</v>
          </cell>
          <cell r="AB664">
            <v>0.34416635780192351</v>
          </cell>
          <cell r="AD664">
            <v>1062721</v>
          </cell>
          <cell r="AE664" t="str">
            <v xml:space="preserve">POV0067186 </v>
          </cell>
          <cell r="AF664" t="str">
            <v>JH</v>
          </cell>
        </row>
        <row r="665">
          <cell r="A665" t="str">
            <v>648-303723-042</v>
          </cell>
          <cell r="B665" t="str">
            <v>CAP,SMD,CER,470PF,50V,NP0,0402,ROHS</v>
          </cell>
          <cell r="C665" t="str">
            <v>CAP</v>
          </cell>
          <cell r="D665">
            <v>25</v>
          </cell>
          <cell r="E665">
            <v>1</v>
          </cell>
          <cell r="F665" t="str">
            <v>21 Weeks</v>
          </cell>
          <cell r="G665">
            <v>10000</v>
          </cell>
          <cell r="H665">
            <v>6.2501000000000001E-2</v>
          </cell>
          <cell r="I665">
            <v>625.01</v>
          </cell>
          <cell r="J665">
            <v>7.622073170731708E-2</v>
          </cell>
          <cell r="K665">
            <v>137.19731707317078</v>
          </cell>
          <cell r="L665">
            <v>762.20731707317077</v>
          </cell>
          <cell r="O665"/>
          <cell r="Q665">
            <v>1</v>
          </cell>
          <cell r="R665" t="str">
            <v>C0402C471J5GAC7867</v>
          </cell>
          <cell r="S665" t="str">
            <v>Kemet</v>
          </cell>
          <cell r="T665" t="str">
            <v>Mouser</v>
          </cell>
          <cell r="U665">
            <v>6.3E-2</v>
          </cell>
          <cell r="V665">
            <v>10000</v>
          </cell>
          <cell r="W665">
            <v>0</v>
          </cell>
          <cell r="X665">
            <v>1</v>
          </cell>
          <cell r="Y665" t="str">
            <v>Y</v>
          </cell>
          <cell r="Z665">
            <v>630</v>
          </cell>
          <cell r="AA665">
            <v>-4.9900000000000091</v>
          </cell>
          <cell r="AB665" t="str">
            <v/>
          </cell>
          <cell r="AD665">
            <v>1062721</v>
          </cell>
          <cell r="AE665" t="str">
            <v xml:space="preserve">POV0067186 </v>
          </cell>
          <cell r="AF665" t="str">
            <v>JH</v>
          </cell>
        </row>
        <row r="666">
          <cell r="A666" t="str">
            <v>615-121726-121</v>
          </cell>
          <cell r="B666" t="str">
            <v>RES,SMD,44.2K,1/10W,1%,0402</v>
          </cell>
          <cell r="C666" t="str">
            <v>RES</v>
          </cell>
          <cell r="D666">
            <v>15</v>
          </cell>
          <cell r="E666">
            <v>1</v>
          </cell>
          <cell r="F666" t="str">
            <v>9 Weeks</v>
          </cell>
          <cell r="G666">
            <v>10000</v>
          </cell>
          <cell r="H666">
            <v>6.0000000000000001E-3</v>
          </cell>
          <cell r="I666">
            <v>60</v>
          </cell>
          <cell r="J666">
            <v>7.3170731707317077E-3</v>
          </cell>
          <cell r="K666">
            <v>13.170731707317074</v>
          </cell>
          <cell r="L666">
            <v>73.170731707317074</v>
          </cell>
          <cell r="M666" t="str">
            <v>CHINA</v>
          </cell>
          <cell r="N666">
            <v>8533210050</v>
          </cell>
          <cell r="O666">
            <v>0.35</v>
          </cell>
          <cell r="P666">
            <v>21</v>
          </cell>
          <cell r="Q666">
            <v>3</v>
          </cell>
          <cell r="R666" t="str">
            <v>RK73H1ETTP4422F</v>
          </cell>
          <cell r="S666" t="str">
            <v>KOA Speer Electronics</v>
          </cell>
          <cell r="T666" t="str">
            <v>Mouser</v>
          </cell>
          <cell r="U666">
            <v>3.0000000000000001E-3</v>
          </cell>
          <cell r="V666">
            <v>10000</v>
          </cell>
          <cell r="W666">
            <v>0</v>
          </cell>
          <cell r="X666">
            <v>1</v>
          </cell>
          <cell r="Y666" t="str">
            <v>Y</v>
          </cell>
          <cell r="Z666">
            <v>30</v>
          </cell>
          <cell r="AA666">
            <v>30</v>
          </cell>
          <cell r="AB666">
            <v>0.59000000000000008</v>
          </cell>
          <cell r="AD666">
            <v>1062721</v>
          </cell>
          <cell r="AE666" t="str">
            <v xml:space="preserve">POV0067186 </v>
          </cell>
          <cell r="AF666" t="str">
            <v>JH</v>
          </cell>
        </row>
        <row r="667">
          <cell r="A667" t="str">
            <v>615-121726-086</v>
          </cell>
          <cell r="B667" t="str">
            <v>RES,SMD,51K,1/10W,1%,0402</v>
          </cell>
          <cell r="C667" t="str">
            <v>RES</v>
          </cell>
          <cell r="D667">
            <v>25</v>
          </cell>
          <cell r="E667">
            <v>1</v>
          </cell>
          <cell r="F667" t="str">
            <v>3 Weeks</v>
          </cell>
          <cell r="G667">
            <v>10000</v>
          </cell>
          <cell r="H667">
            <v>3.6770000000000001E-3</v>
          </cell>
          <cell r="I667">
            <v>36.770000000000003</v>
          </cell>
          <cell r="J667">
            <v>4.4841463414634153E-3</v>
          </cell>
          <cell r="K667">
            <v>8.0714634146341524</v>
          </cell>
          <cell r="L667">
            <v>44.841463414634156</v>
          </cell>
          <cell r="O667"/>
          <cell r="Q667">
            <v>3</v>
          </cell>
          <cell r="R667" t="str">
            <v>RK73H1ETTP5102F</v>
          </cell>
          <cell r="S667" t="str">
            <v>KOA Speer Electronics</v>
          </cell>
          <cell r="T667" t="str">
            <v>Mouser</v>
          </cell>
          <cell r="U667">
            <v>3.0000000000000001E-3</v>
          </cell>
          <cell r="V667">
            <v>10000</v>
          </cell>
          <cell r="W667">
            <v>0</v>
          </cell>
          <cell r="X667">
            <v>1</v>
          </cell>
          <cell r="Y667" t="str">
            <v>Y</v>
          </cell>
          <cell r="Z667">
            <v>30</v>
          </cell>
          <cell r="AA667">
            <v>6.7700000000000031</v>
          </cell>
          <cell r="AB667">
            <v>0.33097633940712556</v>
          </cell>
          <cell r="AD667">
            <v>1062721</v>
          </cell>
          <cell r="AE667" t="str">
            <v xml:space="preserve">POV0067186 </v>
          </cell>
          <cell r="AF667" t="str">
            <v>JH</v>
          </cell>
        </row>
        <row r="668">
          <cell r="A668" t="str">
            <v>615-055211-100</v>
          </cell>
          <cell r="B668" t="str">
            <v>RES,SMD,0805,TF,100 OHM,1%,1/8W,ROHS</v>
          </cell>
          <cell r="C668" t="str">
            <v>RES</v>
          </cell>
          <cell r="D668">
            <v>25</v>
          </cell>
          <cell r="E668">
            <v>1</v>
          </cell>
          <cell r="F668" t="str">
            <v>55 Weeks</v>
          </cell>
          <cell r="G668">
            <v>10000</v>
          </cell>
          <cell r="H668">
            <v>9.8040000000000002E-3</v>
          </cell>
          <cell r="I668">
            <v>98.04</v>
          </cell>
          <cell r="J668">
            <v>1.195609756097561E-2</v>
          </cell>
          <cell r="K668">
            <v>21.520975609756107</v>
          </cell>
          <cell r="L668">
            <v>119.5609756097561</v>
          </cell>
          <cell r="O668"/>
          <cell r="Q668">
            <v>3</v>
          </cell>
          <cell r="R668" t="str">
            <v>RT0805FRE07100RL</v>
          </cell>
          <cell r="S668" t="str">
            <v>Yageo</v>
          </cell>
          <cell r="T668" t="str">
            <v>Mouser</v>
          </cell>
          <cell r="U668">
            <v>0.01</v>
          </cell>
          <cell r="V668">
            <v>10000</v>
          </cell>
          <cell r="W668">
            <v>0</v>
          </cell>
          <cell r="X668">
            <v>1</v>
          </cell>
          <cell r="Y668" t="str">
            <v>Y</v>
          </cell>
          <cell r="Z668">
            <v>100</v>
          </cell>
          <cell r="AA668">
            <v>-1.9599999999999937</v>
          </cell>
          <cell r="AB668" t="str">
            <v/>
          </cell>
          <cell r="AD668">
            <v>1062721</v>
          </cell>
          <cell r="AE668" t="str">
            <v xml:space="preserve">POV0067186 </v>
          </cell>
          <cell r="AF668" t="str">
            <v>JH</v>
          </cell>
        </row>
        <row r="669">
          <cell r="A669" t="str">
            <v>615-123458-137</v>
          </cell>
          <cell r="B669" t="str">
            <v>RES,0402,THKF,1/16W,1% 1.37 ROHS</v>
          </cell>
          <cell r="C669" t="str">
            <v>RES</v>
          </cell>
          <cell r="D669">
            <v>25</v>
          </cell>
          <cell r="E669">
            <v>1</v>
          </cell>
          <cell r="F669" t="str">
            <v>16 Weeks</v>
          </cell>
          <cell r="G669">
            <v>10000</v>
          </cell>
          <cell r="H669">
            <v>4.9020000000000001E-3</v>
          </cell>
          <cell r="I669">
            <v>49.02</v>
          </cell>
          <cell r="J669">
            <v>5.9780487804878052E-3</v>
          </cell>
          <cell r="K669">
            <v>10.760487804878053</v>
          </cell>
          <cell r="L669">
            <v>59.780487804878049</v>
          </cell>
          <cell r="O669"/>
          <cell r="Q669">
            <v>2</v>
          </cell>
          <cell r="R669" t="str">
            <v>RC0402FR-071R37L</v>
          </cell>
          <cell r="S669" t="str">
            <v>YAGEO</v>
          </cell>
          <cell r="T669" t="str">
            <v>Mouser</v>
          </cell>
          <cell r="U669">
            <v>3.0000000000000001E-3</v>
          </cell>
          <cell r="V669">
            <v>10000</v>
          </cell>
          <cell r="W669">
            <v>0</v>
          </cell>
          <cell r="Y669" t="str">
            <v>Y</v>
          </cell>
          <cell r="Z669">
            <v>30</v>
          </cell>
          <cell r="AA669">
            <v>19.020000000000003</v>
          </cell>
          <cell r="AB669">
            <v>0.49816401468788252</v>
          </cell>
          <cell r="AD669">
            <v>1062721</v>
          </cell>
          <cell r="AE669" t="str">
            <v xml:space="preserve">POV0067186 </v>
          </cell>
          <cell r="AF669" t="str">
            <v>JH</v>
          </cell>
        </row>
        <row r="670">
          <cell r="A670" t="str">
            <v>615-A87446-009</v>
          </cell>
          <cell r="B670" t="str">
            <v>RES,SMD,0.009 OHM,±5% TOL,1W,1206</v>
          </cell>
          <cell r="C670" t="str">
            <v>RES</v>
          </cell>
          <cell r="D670">
            <v>25</v>
          </cell>
          <cell r="E670">
            <v>1</v>
          </cell>
          <cell r="F670" t="str">
            <v>16 Weeks</v>
          </cell>
          <cell r="G670">
            <v>5000</v>
          </cell>
          <cell r="H670">
            <v>0.13603100000000001</v>
          </cell>
          <cell r="I670">
            <v>680.15500000000009</v>
          </cell>
          <cell r="J670">
            <v>0.16589146341463418</v>
          </cell>
          <cell r="K670">
            <v>149.3023170731708</v>
          </cell>
          <cell r="L670">
            <v>829.45731707317088</v>
          </cell>
          <cell r="O670"/>
          <cell r="Q670">
            <v>1</v>
          </cell>
          <cell r="R670" t="str">
            <v>PMR18EZPJU9L0</v>
          </cell>
          <cell r="S670" t="str">
            <v>ROHM SEMICONDUCTOR</v>
          </cell>
          <cell r="T670" t="str">
            <v>Mouser</v>
          </cell>
          <cell r="U670">
            <v>0.13600000000000001</v>
          </cell>
          <cell r="V670">
            <v>5000</v>
          </cell>
          <cell r="W670">
            <v>0</v>
          </cell>
          <cell r="X670">
            <v>1</v>
          </cell>
          <cell r="Y670" t="str">
            <v>Y</v>
          </cell>
          <cell r="Z670">
            <v>680</v>
          </cell>
          <cell r="AA670">
            <v>0.1550000000000864</v>
          </cell>
          <cell r="AB670">
            <v>0.18018686916952764</v>
          </cell>
          <cell r="AD670">
            <v>1062721</v>
          </cell>
          <cell r="AE670" t="str">
            <v xml:space="preserve">POV0067186 </v>
          </cell>
          <cell r="AF670" t="str">
            <v>JH</v>
          </cell>
        </row>
        <row r="671">
          <cell r="A671" t="str">
            <v>615-A34866-016</v>
          </cell>
          <cell r="B671" t="str">
            <v>RES,SMD,10KOHM,±1% TOL,0.1W,0603</v>
          </cell>
          <cell r="C671" t="str">
            <v>RES</v>
          </cell>
          <cell r="D671">
            <v>25</v>
          </cell>
          <cell r="E671">
            <v>1</v>
          </cell>
          <cell r="F671" t="str">
            <v>27 Weeks</v>
          </cell>
          <cell r="G671">
            <v>5000</v>
          </cell>
          <cell r="H671">
            <v>3.6770000000000001E-3</v>
          </cell>
          <cell r="I671">
            <v>18.385000000000002</v>
          </cell>
          <cell r="J671">
            <v>4.4841463414634153E-3</v>
          </cell>
          <cell r="K671">
            <v>4.0357317073170762</v>
          </cell>
          <cell r="L671">
            <v>22.420731707317078</v>
          </cell>
          <cell r="O671"/>
          <cell r="Q671">
            <v>2</v>
          </cell>
          <cell r="R671" t="str">
            <v>AC0603FR-0710KL</v>
          </cell>
          <cell r="S671" t="str">
            <v>YAGEO</v>
          </cell>
          <cell r="T671" t="str">
            <v>Mouser</v>
          </cell>
          <cell r="U671">
            <v>3.0000000000000001E-3</v>
          </cell>
          <cell r="V671">
            <v>5000</v>
          </cell>
          <cell r="W671">
            <v>0</v>
          </cell>
          <cell r="X671">
            <v>1</v>
          </cell>
          <cell r="Y671" t="str">
            <v>Y</v>
          </cell>
          <cell r="Z671">
            <v>15</v>
          </cell>
          <cell r="AA671">
            <v>3.3850000000000016</v>
          </cell>
          <cell r="AB671">
            <v>0.33097633940712556</v>
          </cell>
          <cell r="AD671">
            <v>1062721</v>
          </cell>
          <cell r="AE671" t="str">
            <v xml:space="preserve">POV0067186 </v>
          </cell>
          <cell r="AF671" t="str">
            <v>JH</v>
          </cell>
        </row>
        <row r="672">
          <cell r="A672" t="str">
            <v>615-068559-200</v>
          </cell>
          <cell r="B672" t="str">
            <v>RES,0603,THKF,1%,1/10W,100PPM,2K ROHS</v>
          </cell>
          <cell r="C672" t="str">
            <v>RES</v>
          </cell>
          <cell r="D672">
            <v>15</v>
          </cell>
          <cell r="E672">
            <v>1</v>
          </cell>
          <cell r="F672" t="str">
            <v>16 Weeks</v>
          </cell>
          <cell r="G672">
            <v>5000</v>
          </cell>
          <cell r="H672">
            <v>4.9020000000000001E-3</v>
          </cell>
          <cell r="I672">
            <v>24.51</v>
          </cell>
          <cell r="J672">
            <v>5.9780487804878052E-3</v>
          </cell>
          <cell r="K672">
            <v>5.3802439024390267</v>
          </cell>
          <cell r="L672">
            <v>29.890243902439025</v>
          </cell>
          <cell r="M672" t="str">
            <v>CHINA</v>
          </cell>
          <cell r="N672">
            <v>8533210070</v>
          </cell>
          <cell r="O672">
            <v>0.35</v>
          </cell>
          <cell r="P672">
            <v>8.5785</v>
          </cell>
          <cell r="Q672">
            <v>4</v>
          </cell>
          <cell r="R672" t="str">
            <v>AC0603FR-072KL</v>
          </cell>
          <cell r="S672" t="str">
            <v>YAGEO</v>
          </cell>
          <cell r="T672" t="str">
            <v>Mouser</v>
          </cell>
          <cell r="U672">
            <v>4.0000000000000001E-3</v>
          </cell>
          <cell r="V672">
            <v>5000</v>
          </cell>
          <cell r="W672">
            <v>0</v>
          </cell>
          <cell r="X672">
            <v>1</v>
          </cell>
          <cell r="Y672" t="str">
            <v>Y</v>
          </cell>
          <cell r="Z672">
            <v>20</v>
          </cell>
          <cell r="AA672">
            <v>4.5100000000000016</v>
          </cell>
          <cell r="AB672">
            <v>0.33088535291717669</v>
          </cell>
          <cell r="AD672">
            <v>1062721</v>
          </cell>
          <cell r="AE672" t="str">
            <v xml:space="preserve">POV0067186 </v>
          </cell>
          <cell r="AF672" t="str">
            <v>JH</v>
          </cell>
        </row>
        <row r="673">
          <cell r="A673" t="str">
            <v>615-068560-499</v>
          </cell>
          <cell r="B673" t="str">
            <v>RES,0603,THKF,1%,1/10W,100PPM,49.9K ROHS</v>
          </cell>
          <cell r="C673" t="str">
            <v>RES</v>
          </cell>
          <cell r="D673">
            <v>25</v>
          </cell>
          <cell r="E673">
            <v>1</v>
          </cell>
          <cell r="F673" t="str">
            <v>28 Weeks</v>
          </cell>
          <cell r="G673">
            <v>5000</v>
          </cell>
          <cell r="H673">
            <v>4.9020000000000001E-3</v>
          </cell>
          <cell r="I673">
            <v>24.51</v>
          </cell>
          <cell r="J673">
            <v>5.9780487804878052E-3</v>
          </cell>
          <cell r="K673">
            <v>5.3802439024390267</v>
          </cell>
          <cell r="L673">
            <v>29.890243902439025</v>
          </cell>
          <cell r="O673"/>
          <cell r="Q673">
            <v>5</v>
          </cell>
          <cell r="R673" t="str">
            <v>AC0603FR-0749K9L</v>
          </cell>
          <cell r="S673" t="str">
            <v>YAGEO</v>
          </cell>
          <cell r="T673" t="str">
            <v>Mouser</v>
          </cell>
          <cell r="U673">
            <v>4.0000000000000001E-3</v>
          </cell>
          <cell r="V673">
            <v>5000</v>
          </cell>
          <cell r="W673">
            <v>0</v>
          </cell>
          <cell r="X673">
            <v>1</v>
          </cell>
          <cell r="Y673" t="str">
            <v>Y</v>
          </cell>
          <cell r="Z673">
            <v>20</v>
          </cell>
          <cell r="AA673">
            <v>4.5100000000000016</v>
          </cell>
          <cell r="AB673">
            <v>0.33088535291717669</v>
          </cell>
          <cell r="AD673">
            <v>1062721</v>
          </cell>
          <cell r="AE673" t="str">
            <v xml:space="preserve">POV0067186 </v>
          </cell>
          <cell r="AF673" t="str">
            <v>JH</v>
          </cell>
        </row>
        <row r="674">
          <cell r="A674" t="str">
            <v>615-041926-103</v>
          </cell>
          <cell r="B674" t="str">
            <v>RES,SMD,0805,TF,1%,1/8W,10K,ROHS</v>
          </cell>
          <cell r="C674" t="str">
            <v>RES</v>
          </cell>
          <cell r="D674">
            <v>25</v>
          </cell>
          <cell r="E674">
            <v>1</v>
          </cell>
          <cell r="F674" t="str">
            <v>31 Weeks</v>
          </cell>
          <cell r="G674">
            <v>5000</v>
          </cell>
          <cell r="H674">
            <v>9.8399999999999998E-3</v>
          </cell>
          <cell r="I674">
            <v>49.199999999999996</v>
          </cell>
          <cell r="J674">
            <v>1.2E-2</v>
          </cell>
          <cell r="K674">
            <v>10.800000000000004</v>
          </cell>
          <cell r="L674">
            <v>60</v>
          </cell>
          <cell r="O674"/>
          <cell r="Q674">
            <v>6</v>
          </cell>
          <cell r="R674" t="str">
            <v>AC0805FR-0710KL</v>
          </cell>
          <cell r="S674" t="str">
            <v>YAGEO</v>
          </cell>
          <cell r="T674" t="str">
            <v>Mouser</v>
          </cell>
          <cell r="U674">
            <v>5.0000000000000001E-3</v>
          </cell>
          <cell r="V674">
            <v>5000</v>
          </cell>
          <cell r="W674">
            <v>0</v>
          </cell>
          <cell r="X674">
            <v>1</v>
          </cell>
          <cell r="Y674" t="str">
            <v>Y</v>
          </cell>
          <cell r="Z674">
            <v>25</v>
          </cell>
          <cell r="AA674">
            <v>24.199999999999996</v>
          </cell>
          <cell r="AB674">
            <v>0.58333333333333326</v>
          </cell>
          <cell r="AD674">
            <v>1062721</v>
          </cell>
          <cell r="AE674" t="str">
            <v xml:space="preserve">POV0067186 </v>
          </cell>
          <cell r="AF674" t="str">
            <v>JH</v>
          </cell>
        </row>
        <row r="675">
          <cell r="A675" t="str">
            <v>615-052828-150</v>
          </cell>
          <cell r="B675" t="str">
            <v>RES,SMD,0805,MF,1/8W,0.1%,150K ROHS</v>
          </cell>
          <cell r="C675" t="str">
            <v>RES</v>
          </cell>
          <cell r="D675">
            <v>15</v>
          </cell>
          <cell r="E675">
            <v>1</v>
          </cell>
          <cell r="F675" t="str">
            <v>21 Weeks</v>
          </cell>
          <cell r="G675">
            <v>5000</v>
          </cell>
          <cell r="H675">
            <v>4.1214000000000001E-2</v>
          </cell>
          <cell r="I675">
            <v>206.07</v>
          </cell>
          <cell r="J675">
            <v>5.0260975609756099E-2</v>
          </cell>
          <cell r="K675">
            <v>45.234878048780502</v>
          </cell>
          <cell r="L675">
            <v>251.30487804878049</v>
          </cell>
          <cell r="O675"/>
          <cell r="Q675">
            <v>2</v>
          </cell>
          <cell r="R675" t="str">
            <v>ERA6AEB154</v>
          </cell>
          <cell r="S675" t="str">
            <v>Panasonic</v>
          </cell>
          <cell r="T675" t="str">
            <v>Mouser</v>
          </cell>
          <cell r="U675">
            <v>3.5999999999999997E-2</v>
          </cell>
          <cell r="V675">
            <v>5000</v>
          </cell>
          <cell r="W675">
            <v>0</v>
          </cell>
          <cell r="X675">
            <v>1</v>
          </cell>
          <cell r="Y675" t="str">
            <v>Y</v>
          </cell>
          <cell r="Z675">
            <v>180</v>
          </cell>
          <cell r="AA675">
            <v>26.069999999999993</v>
          </cell>
          <cell r="AB675">
            <v>0.2837385354491192</v>
          </cell>
          <cell r="AD675">
            <v>1062721</v>
          </cell>
          <cell r="AE675" t="str">
            <v xml:space="preserve">POV0067186 </v>
          </cell>
          <cell r="AF675" t="str">
            <v>JH</v>
          </cell>
        </row>
        <row r="676">
          <cell r="A676" t="str">
            <v>615-162861-079</v>
          </cell>
          <cell r="B676" t="str">
            <v>RES,0805,TF,1/8W,0.1%,25PPM,237 ROHS</v>
          </cell>
          <cell r="C676" t="str">
            <v>RES</v>
          </cell>
          <cell r="D676">
            <v>25</v>
          </cell>
          <cell r="E676">
            <v>1</v>
          </cell>
          <cell r="F676" t="str">
            <v>21 Weeks</v>
          </cell>
          <cell r="G676">
            <v>5000</v>
          </cell>
          <cell r="H676">
            <v>5.1263000000000003E-2</v>
          </cell>
          <cell r="I676">
            <v>256.315</v>
          </cell>
          <cell r="J676">
            <v>6.2515853658536596E-2</v>
          </cell>
          <cell r="K676">
            <v>56.264268292682971</v>
          </cell>
          <cell r="L676">
            <v>312.57926829268297</v>
          </cell>
          <cell r="O676"/>
          <cell r="Q676">
            <v>2</v>
          </cell>
          <cell r="R676" t="str">
            <v>ERA-6AEB2370V</v>
          </cell>
          <cell r="S676" t="str">
            <v>Panasonic</v>
          </cell>
          <cell r="T676" t="str">
            <v>Mouser</v>
          </cell>
          <cell r="U676">
            <v>3.5000000000000003E-2</v>
          </cell>
          <cell r="V676">
            <v>5000</v>
          </cell>
          <cell r="W676">
            <v>0</v>
          </cell>
          <cell r="X676">
            <v>1</v>
          </cell>
          <cell r="Y676" t="str">
            <v>Y</v>
          </cell>
          <cell r="Z676">
            <v>175.00000000000003</v>
          </cell>
          <cell r="AA676">
            <v>81.314999999999969</v>
          </cell>
          <cell r="AB676">
            <v>0.44014201275773945</v>
          </cell>
          <cell r="AD676">
            <v>1062721</v>
          </cell>
          <cell r="AE676" t="str">
            <v xml:space="preserve">POV0067186 </v>
          </cell>
          <cell r="AF676" t="str">
            <v>JH</v>
          </cell>
        </row>
        <row r="677">
          <cell r="A677" t="str">
            <v>615-A14987-002</v>
          </cell>
          <cell r="B677" t="str">
            <v>RES,SMD,1M OHM,±1%,1/4W,100PPM,0603</v>
          </cell>
          <cell r="C677" t="str">
            <v>RES</v>
          </cell>
          <cell r="D677">
            <v>25</v>
          </cell>
          <cell r="E677">
            <v>1</v>
          </cell>
          <cell r="F677" t="str">
            <v>16 Weeks</v>
          </cell>
          <cell r="G677">
            <v>5000</v>
          </cell>
          <cell r="H677">
            <v>1.7156999999999999E-2</v>
          </cell>
          <cell r="I677">
            <v>85.784999999999997</v>
          </cell>
          <cell r="J677">
            <v>2.0923170731707318E-2</v>
          </cell>
          <cell r="K677">
            <v>18.830853658536597</v>
          </cell>
          <cell r="L677">
            <v>104.61585365853659</v>
          </cell>
          <cell r="O677"/>
          <cell r="Q677">
            <v>1</v>
          </cell>
          <cell r="R677" t="str">
            <v>ESR03EZPF1004</v>
          </cell>
          <cell r="S677" t="str">
            <v>ROHM SEMICONDUCTOR</v>
          </cell>
          <cell r="T677" t="str">
            <v>Mouser</v>
          </cell>
          <cell r="U677">
            <v>1.6E-2</v>
          </cell>
          <cell r="V677">
            <v>5000</v>
          </cell>
          <cell r="W677">
            <v>0</v>
          </cell>
          <cell r="X677">
            <v>1</v>
          </cell>
          <cell r="Y677" t="str">
            <v>Y</v>
          </cell>
          <cell r="Z677">
            <v>80</v>
          </cell>
          <cell r="AA677">
            <v>5.7849999999999966</v>
          </cell>
          <cell r="AB677">
            <v>0.23529754619105914</v>
          </cell>
          <cell r="AD677">
            <v>1062721</v>
          </cell>
          <cell r="AE677" t="str">
            <v xml:space="preserve">POV0067186 </v>
          </cell>
          <cell r="AF677" t="str">
            <v>JH</v>
          </cell>
        </row>
        <row r="678">
          <cell r="A678" t="str">
            <v>648-250747-221</v>
          </cell>
          <cell r="B678" t="str">
            <v>CAP,SMD,0603,CER,C0G,1%,50V,220PF</v>
          </cell>
          <cell r="C678" t="str">
            <v>CAP</v>
          </cell>
          <cell r="D678">
            <v>25</v>
          </cell>
          <cell r="E678">
            <v>1</v>
          </cell>
          <cell r="F678" t="str">
            <v>17 Weeks</v>
          </cell>
          <cell r="G678">
            <v>4000</v>
          </cell>
          <cell r="H678">
            <v>5.6372999999999999E-2</v>
          </cell>
          <cell r="I678">
            <v>225.49199999999999</v>
          </cell>
          <cell r="J678">
            <v>6.8747560975609759E-2</v>
          </cell>
          <cell r="K678">
            <v>49.498243902439043</v>
          </cell>
          <cell r="L678">
            <v>274.99024390243903</v>
          </cell>
          <cell r="O678"/>
          <cell r="Q678">
            <v>1</v>
          </cell>
          <cell r="R678" t="str">
            <v>C0603C221F5GAC</v>
          </cell>
          <cell r="S678" t="str">
            <v>Kemet</v>
          </cell>
          <cell r="T678" t="str">
            <v>Mouser</v>
          </cell>
          <cell r="U678">
            <v>5.7000000000000002E-2</v>
          </cell>
          <cell r="V678">
            <v>4000</v>
          </cell>
          <cell r="W678">
            <v>0</v>
          </cell>
          <cell r="X678">
            <v>1</v>
          </cell>
          <cell r="Y678" t="str">
            <v>Y</v>
          </cell>
          <cell r="Z678">
            <v>228</v>
          </cell>
          <cell r="AA678">
            <v>-2.5080000000000098</v>
          </cell>
          <cell r="AB678" t="str">
            <v/>
          </cell>
          <cell r="AD678">
            <v>1062721</v>
          </cell>
          <cell r="AE678" t="str">
            <v xml:space="preserve">POV0067186 </v>
          </cell>
          <cell r="AF678" t="str">
            <v>JH</v>
          </cell>
        </row>
        <row r="679">
          <cell r="A679" t="str">
            <v>648-099901-103</v>
          </cell>
          <cell r="B679" t="str">
            <v>CAP,0805,COG,5%,50V,10000PF</v>
          </cell>
          <cell r="C679" t="str">
            <v>CAP</v>
          </cell>
          <cell r="D679">
            <v>25</v>
          </cell>
          <cell r="E679">
            <v>1</v>
          </cell>
          <cell r="F679" t="str">
            <v>15 Weeks</v>
          </cell>
          <cell r="G679">
            <v>4000</v>
          </cell>
          <cell r="H679">
            <v>0.04</v>
          </cell>
          <cell r="I679">
            <v>160</v>
          </cell>
          <cell r="J679">
            <v>4.878048780487805E-2</v>
          </cell>
          <cell r="K679">
            <v>35.121951219512198</v>
          </cell>
          <cell r="L679">
            <v>195.1219512195122</v>
          </cell>
          <cell r="O679"/>
          <cell r="Q679">
            <v>1</v>
          </cell>
          <cell r="R679" t="str">
            <v>C0805C103J5GAC</v>
          </cell>
          <cell r="S679" t="str">
            <v>Kemet</v>
          </cell>
          <cell r="T679" t="str">
            <v>Mouser</v>
          </cell>
          <cell r="U679">
            <v>0.04</v>
          </cell>
          <cell r="V679">
            <v>4000</v>
          </cell>
          <cell r="W679">
            <v>0</v>
          </cell>
          <cell r="X679">
            <v>1</v>
          </cell>
          <cell r="Y679" t="str">
            <v>Y</v>
          </cell>
          <cell r="Z679">
            <v>160</v>
          </cell>
          <cell r="AA679">
            <v>0</v>
          </cell>
          <cell r="AB679" t="str">
            <v/>
          </cell>
          <cell r="AD679">
            <v>1062721</v>
          </cell>
          <cell r="AE679" t="str">
            <v xml:space="preserve">POV0067186 </v>
          </cell>
          <cell r="AF679" t="str">
            <v>JH</v>
          </cell>
        </row>
        <row r="680">
          <cell r="A680" t="str">
            <v>664-250155-001</v>
          </cell>
          <cell r="B680" t="str">
            <v>LED,SMD,2.85V,5MA,470NM,BLU,0603</v>
          </cell>
          <cell r="C680" t="str">
            <v>LED</v>
          </cell>
          <cell r="D680">
            <v>15</v>
          </cell>
          <cell r="E680">
            <v>2</v>
          </cell>
          <cell r="F680" t="str">
            <v>4 Weeks</v>
          </cell>
          <cell r="G680">
            <v>4000</v>
          </cell>
          <cell r="H680">
            <v>6.0049999999999999E-2</v>
          </cell>
          <cell r="I680">
            <v>240.2</v>
          </cell>
          <cell r="J680">
            <v>7.323170731707318E-2</v>
          </cell>
          <cell r="K680">
            <v>52.726829268292704</v>
          </cell>
          <cell r="L680">
            <v>292.92682926829275</v>
          </cell>
          <cell r="O680"/>
          <cell r="Q680">
            <v>1</v>
          </cell>
          <cell r="R680" t="str">
            <v>LBQ39G-L2OO-35-1</v>
          </cell>
          <cell r="S680" t="str">
            <v>OSRAM</v>
          </cell>
          <cell r="T680" t="str">
            <v>Mouser</v>
          </cell>
          <cell r="U680">
            <v>6.0999999999999999E-2</v>
          </cell>
          <cell r="V680">
            <v>4000</v>
          </cell>
          <cell r="W680">
            <v>0</v>
          </cell>
          <cell r="X680">
            <v>1</v>
          </cell>
          <cell r="Y680" t="str">
            <v>Y</v>
          </cell>
          <cell r="Z680">
            <v>244</v>
          </cell>
          <cell r="AA680">
            <v>-3.8000000000000114</v>
          </cell>
          <cell r="AB680" t="str">
            <v/>
          </cell>
          <cell r="AD680">
            <v>1062721</v>
          </cell>
          <cell r="AE680" t="str">
            <v xml:space="preserve">POV0067186 </v>
          </cell>
          <cell r="AF680" t="str">
            <v>JH</v>
          </cell>
        </row>
        <row r="681">
          <cell r="A681" t="str">
            <v>664-313477-001</v>
          </cell>
          <cell r="B681" t="str">
            <v>LED,SMD,CHIPLED 0603,2.85V,5MA,TRUE GRN</v>
          </cell>
          <cell r="C681" t="str">
            <v>LED</v>
          </cell>
          <cell r="D681">
            <v>25</v>
          </cell>
          <cell r="E681">
            <v>2</v>
          </cell>
          <cell r="F681" t="str">
            <v>3 Weeks</v>
          </cell>
          <cell r="G681">
            <v>4000</v>
          </cell>
          <cell r="H681">
            <v>7.1079000000000003E-2</v>
          </cell>
          <cell r="I681">
            <v>284.31600000000003</v>
          </cell>
          <cell r="J681">
            <v>8.6681707317073184E-2</v>
          </cell>
          <cell r="K681">
            <v>62.41082926829273</v>
          </cell>
          <cell r="L681">
            <v>346.72682926829276</v>
          </cell>
          <cell r="O681"/>
          <cell r="Q681">
            <v>1</v>
          </cell>
          <cell r="R681" t="str">
            <v>LTQ39G-Q1OO-25-1</v>
          </cell>
          <cell r="S681" t="str">
            <v>OSRAM</v>
          </cell>
          <cell r="T681" t="str">
            <v>Mouser</v>
          </cell>
          <cell r="U681">
            <v>7.1999999999999995E-2</v>
          </cell>
          <cell r="V681">
            <v>4000</v>
          </cell>
          <cell r="W681">
            <v>0</v>
          </cell>
          <cell r="X681">
            <v>1</v>
          </cell>
          <cell r="Y681" t="str">
            <v>Y</v>
          </cell>
          <cell r="Z681">
            <v>288</v>
          </cell>
          <cell r="AA681">
            <v>-3.6839999999999691</v>
          </cell>
          <cell r="AB681" t="str">
            <v/>
          </cell>
          <cell r="AD681">
            <v>1062721</v>
          </cell>
          <cell r="AE681" t="str">
            <v xml:space="preserve">POV0067186 </v>
          </cell>
          <cell r="AF681" t="str">
            <v>JH</v>
          </cell>
        </row>
        <row r="682">
          <cell r="A682" t="str">
            <v>615-A93810-001</v>
          </cell>
          <cell r="B682" t="str">
            <v>RES,SMD,CUR SNS,.004OHM,+/-1%,25PPM,2512</v>
          </cell>
          <cell r="C682" t="str">
            <v>RES</v>
          </cell>
          <cell r="D682">
            <v>25</v>
          </cell>
          <cell r="E682">
            <v>1</v>
          </cell>
          <cell r="F682" t="str">
            <v>17 Weeks</v>
          </cell>
          <cell r="G682">
            <v>4000</v>
          </cell>
          <cell r="H682">
            <v>0.19240399999999999</v>
          </cell>
          <cell r="I682">
            <v>769.61599999999999</v>
          </cell>
          <cell r="J682">
            <v>0.23463902439024389</v>
          </cell>
          <cell r="K682">
            <v>168.94009756097569</v>
          </cell>
          <cell r="L682">
            <v>938.55609756097556</v>
          </cell>
          <cell r="O682"/>
          <cell r="Q682">
            <v>1</v>
          </cell>
          <cell r="R682" t="str">
            <v>TLRP3A30CR004FTE</v>
          </cell>
          <cell r="S682" t="str">
            <v>TE Connectivity / Holsworthy</v>
          </cell>
          <cell r="T682" t="str">
            <v>Mouser</v>
          </cell>
          <cell r="U682">
            <v>0.19600000000000001</v>
          </cell>
          <cell r="V682">
            <v>4000</v>
          </cell>
          <cell r="W682">
            <v>0</v>
          </cell>
          <cell r="X682">
            <v>1</v>
          </cell>
          <cell r="Y682" t="str">
            <v>Y</v>
          </cell>
          <cell r="Z682">
            <v>784</v>
          </cell>
          <cell r="AA682">
            <v>-14.384000000000015</v>
          </cell>
          <cell r="AB682" t="str">
            <v/>
          </cell>
          <cell r="AD682">
            <v>1062721</v>
          </cell>
          <cell r="AE682" t="str">
            <v xml:space="preserve">POV0067186 </v>
          </cell>
          <cell r="AF682" t="str">
            <v>JH</v>
          </cell>
        </row>
        <row r="683">
          <cell r="A683" t="str">
            <v>615-A61037-357</v>
          </cell>
          <cell r="B683" t="str">
            <v>RES,SMD,357OHM,0.4W,200V,0.1%,1206,ROHS</v>
          </cell>
          <cell r="C683" t="str">
            <v>RES</v>
          </cell>
          <cell r="D683">
            <v>15</v>
          </cell>
          <cell r="E683">
            <v>1</v>
          </cell>
          <cell r="F683" t="str">
            <v>20 Weeks</v>
          </cell>
          <cell r="G683">
            <v>5000</v>
          </cell>
          <cell r="H683">
            <v>0.29045599999999999</v>
          </cell>
          <cell r="I683">
            <v>1452.28</v>
          </cell>
          <cell r="J683">
            <v>0.35421463414634147</v>
          </cell>
          <cell r="K683">
            <v>318.79317073170751</v>
          </cell>
          <cell r="L683">
            <v>1771.0731707317073</v>
          </cell>
          <cell r="M683" t="str">
            <v>TAIWAN</v>
          </cell>
          <cell r="N683">
            <v>8533210030</v>
          </cell>
          <cell r="O683">
            <v>0.35</v>
          </cell>
          <cell r="P683">
            <v>508.29799999999994</v>
          </cell>
          <cell r="Q683">
            <v>1</v>
          </cell>
          <cell r="R683" t="str">
            <v>RQ73C2B357RBTD</v>
          </cell>
          <cell r="S683" t="str">
            <v>TE Connectivity / Holsworthy Brand</v>
          </cell>
          <cell r="T683" t="str">
            <v>Digikey</v>
          </cell>
          <cell r="U683">
            <v>0.29586000000000001</v>
          </cell>
          <cell r="V683">
            <v>3000</v>
          </cell>
          <cell r="W683">
            <v>2000</v>
          </cell>
          <cell r="X683">
            <v>1</v>
          </cell>
          <cell r="Y683" t="str">
            <v>Y</v>
          </cell>
          <cell r="Z683">
            <v>887.58</v>
          </cell>
          <cell r="AA683">
            <v>-16.212000000000103</v>
          </cell>
          <cell r="AB683" t="str">
            <v/>
          </cell>
          <cell r="AD683">
            <v>1062721</v>
          </cell>
          <cell r="AE683" t="str">
            <v>POV0067185</v>
          </cell>
          <cell r="AF683" t="str">
            <v>DM</v>
          </cell>
        </row>
        <row r="684">
          <cell r="A684" t="str">
            <v>630-337827-001</v>
          </cell>
          <cell r="B684" t="str">
            <v>IC,SMD,PHOTOCOUPLER,1 CKT,3.3V/5V,HS,SO6</v>
          </cell>
          <cell r="C684" t="str">
            <v>IC</v>
          </cell>
          <cell r="D684">
            <v>25</v>
          </cell>
          <cell r="E684">
            <v>1</v>
          </cell>
          <cell r="F684" t="str">
            <v>39 Weeks</v>
          </cell>
          <cell r="G684">
            <v>3000</v>
          </cell>
          <cell r="H684">
            <v>0.92647800000000002</v>
          </cell>
          <cell r="I684">
            <v>2779.4340000000002</v>
          </cell>
          <cell r="J684">
            <v>1.1298512195121952</v>
          </cell>
          <cell r="K684">
            <v>610.11965853658558</v>
          </cell>
          <cell r="L684">
            <v>3389.5536585365858</v>
          </cell>
          <cell r="O684"/>
          <cell r="Q684">
            <v>1</v>
          </cell>
          <cell r="R684" t="str">
            <v>TLP2367(TPR,E</v>
          </cell>
          <cell r="S684" t="str">
            <v>TOSHIBA</v>
          </cell>
          <cell r="T684" t="str">
            <v>Digikey</v>
          </cell>
          <cell r="U684">
            <v>0.94535999999999998</v>
          </cell>
          <cell r="V684">
            <v>3000</v>
          </cell>
          <cell r="W684">
            <v>0</v>
          </cell>
          <cell r="X684">
            <v>1</v>
          </cell>
          <cell r="Y684" t="str">
            <v>Y</v>
          </cell>
          <cell r="Z684">
            <v>2836.08</v>
          </cell>
          <cell r="AA684">
            <v>-56.645999999999731</v>
          </cell>
          <cell r="AB684" t="str">
            <v/>
          </cell>
          <cell r="AD684">
            <v>1062721</v>
          </cell>
          <cell r="AE684" t="str">
            <v>POV0067185</v>
          </cell>
          <cell r="AF684" t="str">
            <v>DM</v>
          </cell>
        </row>
        <row r="685">
          <cell r="A685" t="str">
            <v>626-A56166-001</v>
          </cell>
          <cell r="B685" t="str">
            <v>XSTR,SMD,PNP,80V,500MA,50MHZ,200MW</v>
          </cell>
          <cell r="C685" t="str">
            <v>XSTR</v>
          </cell>
          <cell r="D685">
            <v>15</v>
          </cell>
          <cell r="E685">
            <v>1</v>
          </cell>
          <cell r="F685" t="str">
            <v>19 Weeks</v>
          </cell>
          <cell r="G685">
            <v>3000</v>
          </cell>
          <cell r="H685">
            <v>6.3553999999999999E-2</v>
          </cell>
          <cell r="I685">
            <v>190.66200000000001</v>
          </cell>
          <cell r="J685">
            <v>7.7504878048780493E-2</v>
          </cell>
          <cell r="K685">
            <v>41.852634146341472</v>
          </cell>
          <cell r="L685">
            <v>232.51463414634148</v>
          </cell>
          <cell r="O685"/>
          <cell r="Q685">
            <v>1</v>
          </cell>
          <cell r="R685" t="str">
            <v>MMSTA56Q-7-F</v>
          </cell>
          <cell r="S685" t="str">
            <v>DIODES INCORPORATED</v>
          </cell>
          <cell r="T685" t="str">
            <v>Mouser</v>
          </cell>
          <cell r="U685">
            <v>4.2000000000000003E-2</v>
          </cell>
          <cell r="V685">
            <v>3000</v>
          </cell>
          <cell r="W685">
            <v>0</v>
          </cell>
          <cell r="X685">
            <v>1</v>
          </cell>
          <cell r="Y685" t="str">
            <v>Y</v>
          </cell>
          <cell r="Z685">
            <v>126.00000000000001</v>
          </cell>
          <cell r="AA685">
            <v>64.661999999999992</v>
          </cell>
          <cell r="AB685">
            <v>0.45809862479151586</v>
          </cell>
          <cell r="AD685">
            <v>1062721</v>
          </cell>
          <cell r="AE685" t="str">
            <v xml:space="preserve">POV0067186 </v>
          </cell>
          <cell r="AF685" t="str">
            <v>JH</v>
          </cell>
        </row>
        <row r="686">
          <cell r="A686" t="str">
            <v>648-098106-104</v>
          </cell>
          <cell r="B686" t="str">
            <v>CAP,3216,0.1UF,10%,50V,TANT,ROHS</v>
          </cell>
          <cell r="C686" t="str">
            <v>CAP</v>
          </cell>
          <cell r="D686">
            <v>15</v>
          </cell>
          <cell r="E686">
            <v>1</v>
          </cell>
          <cell r="F686" t="str">
            <v>15 Weeks</v>
          </cell>
          <cell r="G686">
            <v>2000</v>
          </cell>
          <cell r="H686">
            <v>0.16176599999999999</v>
          </cell>
          <cell r="I686">
            <v>323.53199999999998</v>
          </cell>
          <cell r="J686">
            <v>0.19727560975609756</v>
          </cell>
          <cell r="K686">
            <v>71.01921951219515</v>
          </cell>
          <cell r="L686">
            <v>394.55121951219513</v>
          </cell>
          <cell r="O686"/>
          <cell r="Q686">
            <v>3</v>
          </cell>
          <cell r="R686" t="str">
            <v>T491A104K050AT</v>
          </cell>
          <cell r="S686" t="str">
            <v>Kemet</v>
          </cell>
          <cell r="T686" t="str">
            <v>Mouser</v>
          </cell>
          <cell r="U686">
            <v>0.125</v>
          </cell>
          <cell r="V686">
            <v>2000</v>
          </cell>
          <cell r="W686">
            <v>0</v>
          </cell>
          <cell r="X686">
            <v>1</v>
          </cell>
          <cell r="Y686" t="str">
            <v>Y</v>
          </cell>
          <cell r="Z686">
            <v>250</v>
          </cell>
          <cell r="AA686">
            <v>73.531999999999982</v>
          </cell>
          <cell r="AB686">
            <v>0.36636870541399302</v>
          </cell>
          <cell r="AD686">
            <v>1062721</v>
          </cell>
          <cell r="AE686" t="str">
            <v xml:space="preserve">POV0067186 </v>
          </cell>
          <cell r="AF686" t="str">
            <v>JH</v>
          </cell>
        </row>
        <row r="687">
          <cell r="A687" t="str">
            <v>648-B17749-001</v>
          </cell>
          <cell r="B687" t="str">
            <v>CAP,SMD,CER,10UF,+/-10%,50VDC,X7R,1206</v>
          </cell>
          <cell r="C687" t="str">
            <v>CAP</v>
          </cell>
          <cell r="D687">
            <v>25</v>
          </cell>
          <cell r="E687">
            <v>1</v>
          </cell>
          <cell r="F687" t="str">
            <v>27 Weeks</v>
          </cell>
          <cell r="G687">
            <v>2000</v>
          </cell>
          <cell r="H687">
            <v>8.4559999999999996E-2</v>
          </cell>
          <cell r="I687">
            <v>169.12</v>
          </cell>
          <cell r="J687">
            <v>0.1031219512195122</v>
          </cell>
          <cell r="K687">
            <v>37.123902439024391</v>
          </cell>
          <cell r="L687">
            <v>206.2439024390244</v>
          </cell>
          <cell r="O687"/>
          <cell r="Q687">
            <v>1</v>
          </cell>
          <cell r="R687" t="str">
            <v>CL31B106KBHNNNE</v>
          </cell>
          <cell r="S687" t="str">
            <v>SAMSUNG EM</v>
          </cell>
          <cell r="T687" t="str">
            <v>Mouser</v>
          </cell>
          <cell r="U687">
            <v>7.4999999999999997E-2</v>
          </cell>
          <cell r="V687">
            <v>2000</v>
          </cell>
          <cell r="W687">
            <v>0</v>
          </cell>
          <cell r="X687">
            <v>1</v>
          </cell>
          <cell r="Y687" t="str">
            <v>Y</v>
          </cell>
          <cell r="Z687">
            <v>150</v>
          </cell>
          <cell r="AA687">
            <v>19.120000000000005</v>
          </cell>
          <cell r="AB687">
            <v>0.27270577105014193</v>
          </cell>
          <cell r="AD687">
            <v>1062721</v>
          </cell>
          <cell r="AE687" t="str">
            <v xml:space="preserve">POV0067186 </v>
          </cell>
          <cell r="AF687" t="str">
            <v>JH</v>
          </cell>
        </row>
        <row r="688">
          <cell r="A688" t="str">
            <v>639-A57204-001</v>
          </cell>
          <cell r="B688" t="str">
            <v>IDCTR,SMD,200UH,50VDC,0.120 OHM,0.5A</v>
          </cell>
          <cell r="C688" t="str">
            <v>IDCTR</v>
          </cell>
          <cell r="D688">
            <v>15</v>
          </cell>
          <cell r="E688">
            <v>1</v>
          </cell>
          <cell r="F688" t="str">
            <v>36 Weeks</v>
          </cell>
          <cell r="G688">
            <v>1000</v>
          </cell>
          <cell r="H688">
            <v>1.7157</v>
          </cell>
          <cell r="I688">
            <v>1715.7</v>
          </cell>
          <cell r="J688">
            <v>2.0923170731707317</v>
          </cell>
          <cell r="K688">
            <v>376.61707317073183</v>
          </cell>
          <cell r="L688">
            <v>2092.3170731707319</v>
          </cell>
          <cell r="O688"/>
          <cell r="Q688">
            <v>1</v>
          </cell>
          <cell r="R688" t="str">
            <v>M-542CT</v>
          </cell>
          <cell r="S688" t="str">
            <v>KEMET</v>
          </cell>
          <cell r="T688" t="str">
            <v>Digikey</v>
          </cell>
          <cell r="U688">
            <v>1.8786</v>
          </cell>
          <cell r="V688">
            <v>1000</v>
          </cell>
          <cell r="W688">
            <v>0</v>
          </cell>
          <cell r="X688">
            <v>1</v>
          </cell>
          <cell r="Y688" t="str">
            <v>Y</v>
          </cell>
          <cell r="Z688">
            <v>1878.6000000000001</v>
          </cell>
          <cell r="AA688">
            <v>-162.90000000000009</v>
          </cell>
          <cell r="AB688" t="str">
            <v/>
          </cell>
          <cell r="AD688">
            <v>1062721</v>
          </cell>
          <cell r="AE688" t="str">
            <v>POV0067185</v>
          </cell>
          <cell r="AF688" t="str">
            <v>DM</v>
          </cell>
        </row>
        <row r="689">
          <cell r="A689" t="str">
            <v>648-A86847-106</v>
          </cell>
          <cell r="B689" t="str">
            <v>CAP,SMD,MLCC,10UF,10%,50VDC,X7R,1210</v>
          </cell>
          <cell r="C689" t="str">
            <v>CAP</v>
          </cell>
          <cell r="D689">
            <v>25</v>
          </cell>
          <cell r="E689">
            <v>1</v>
          </cell>
          <cell r="F689" t="str">
            <v>41 Weeks</v>
          </cell>
          <cell r="G689">
            <v>1000</v>
          </cell>
          <cell r="H689">
            <v>0.30760100000000001</v>
          </cell>
          <cell r="I689">
            <v>307.601</v>
          </cell>
          <cell r="J689">
            <v>0.37512317073170737</v>
          </cell>
          <cell r="K689">
            <v>67.52217073170732</v>
          </cell>
          <cell r="L689">
            <v>375.12317073170738</v>
          </cell>
          <cell r="O689"/>
          <cell r="Q689">
            <v>1</v>
          </cell>
          <cell r="R689" t="str">
            <v>C3225X7R1H106K250AC</v>
          </cell>
          <cell r="S689" t="str">
            <v>TDK</v>
          </cell>
          <cell r="T689" t="str">
            <v>Mouser</v>
          </cell>
          <cell r="U689">
            <v>0.30399999999999999</v>
          </cell>
          <cell r="V689">
            <v>1000</v>
          </cell>
          <cell r="W689">
            <v>0</v>
          </cell>
          <cell r="X689">
            <v>1</v>
          </cell>
          <cell r="Y689" t="str">
            <v>Y</v>
          </cell>
          <cell r="Z689">
            <v>304</v>
          </cell>
          <cell r="AA689">
            <v>3.6009999999999991</v>
          </cell>
          <cell r="AB689">
            <v>0.1895995136556774</v>
          </cell>
          <cell r="AD689">
            <v>1062721</v>
          </cell>
          <cell r="AE689" t="str">
            <v xml:space="preserve">POV0067186 </v>
          </cell>
          <cell r="AF689" t="str">
            <v>JH</v>
          </cell>
        </row>
        <row r="690">
          <cell r="A690" t="str">
            <v>648-B24495-226</v>
          </cell>
          <cell r="B690" t="str">
            <v>CAP,SMD,MLCC,22UF,+/-10%,50VDC,X7R</v>
          </cell>
          <cell r="C690" t="str">
            <v>CAP</v>
          </cell>
          <cell r="D690">
            <v>25</v>
          </cell>
          <cell r="E690">
            <v>1</v>
          </cell>
          <cell r="F690" t="str">
            <v>19 Weeks</v>
          </cell>
          <cell r="G690">
            <v>1000</v>
          </cell>
          <cell r="H690">
            <v>1.2377549999999999</v>
          </cell>
          <cell r="I690">
            <v>1237.7549999999999</v>
          </cell>
          <cell r="J690">
            <v>1.5094573170731707</v>
          </cell>
          <cell r="K690">
            <v>271.70231707317089</v>
          </cell>
          <cell r="L690">
            <v>1509.4573170731705</v>
          </cell>
          <cell r="O690"/>
          <cell r="Q690">
            <v>1</v>
          </cell>
          <cell r="R690" t="str">
            <v>KCM55QR71H226KH13K</v>
          </cell>
          <cell r="S690" t="str">
            <v>Murata Electronics</v>
          </cell>
          <cell r="T690" t="str">
            <v>Mouser</v>
          </cell>
          <cell r="U690">
            <v>1.35</v>
          </cell>
          <cell r="V690">
            <v>1000</v>
          </cell>
          <cell r="W690">
            <v>0</v>
          </cell>
          <cell r="X690">
            <v>1</v>
          </cell>
          <cell r="Y690" t="str">
            <v>Y</v>
          </cell>
          <cell r="Z690">
            <v>1350</v>
          </cell>
          <cell r="AA690">
            <v>-112.24500000000012</v>
          </cell>
          <cell r="AB690" t="str">
            <v/>
          </cell>
          <cell r="AD690">
            <v>1062721</v>
          </cell>
          <cell r="AE690" t="str">
            <v xml:space="preserve">POV0067186 </v>
          </cell>
          <cell r="AF690" t="str">
            <v>JH</v>
          </cell>
        </row>
        <row r="691">
          <cell r="A691" t="str">
            <v>635-122552-102</v>
          </cell>
          <cell r="B691" t="str">
            <v>OSC,SMD,XTAL,30MHZ,3.3V,LVCMOS,6-SMD</v>
          </cell>
          <cell r="C691" t="str">
            <v>OSC</v>
          </cell>
          <cell r="D691">
            <v>15</v>
          </cell>
          <cell r="E691">
            <v>1</v>
          </cell>
          <cell r="F691" t="str">
            <v>27 Weeks</v>
          </cell>
          <cell r="G691">
            <v>1000</v>
          </cell>
          <cell r="H691">
            <v>0.80270300000000006</v>
          </cell>
          <cell r="I691">
            <v>802.70300000000009</v>
          </cell>
          <cell r="J691">
            <v>0.97890609756097569</v>
          </cell>
          <cell r="K691">
            <v>176.20309756097572</v>
          </cell>
          <cell r="L691">
            <v>978.9060975609757</v>
          </cell>
          <cell r="O691"/>
          <cell r="Q691">
            <v>1</v>
          </cell>
          <cell r="R691" t="str">
            <v>XLH736030.000000I</v>
          </cell>
          <cell r="S691" t="str">
            <v>RENESAS</v>
          </cell>
          <cell r="T691" t="str">
            <v>Mouser</v>
          </cell>
          <cell r="U691">
            <v>0.81899999999999995</v>
          </cell>
          <cell r="V691">
            <v>1000</v>
          </cell>
          <cell r="W691">
            <v>0</v>
          </cell>
          <cell r="X691">
            <v>1</v>
          </cell>
          <cell r="Y691" t="str">
            <v>Y</v>
          </cell>
          <cell r="Z691">
            <v>819</v>
          </cell>
          <cell r="AA691">
            <v>-16.296999999999912</v>
          </cell>
          <cell r="AB691" t="str">
            <v/>
          </cell>
          <cell r="AD691">
            <v>1062721</v>
          </cell>
          <cell r="AE691" t="str">
            <v xml:space="preserve">POV0067186 </v>
          </cell>
          <cell r="AF691" t="str">
            <v>JH</v>
          </cell>
        </row>
        <row r="692">
          <cell r="A692" t="str">
            <v>648-A68176-100</v>
          </cell>
          <cell r="B692" t="str">
            <v>CAP,SMD,AL,ELCTLT,100UF,20%,50V,VIB PRF</v>
          </cell>
          <cell r="C692" t="str">
            <v>CAP</v>
          </cell>
          <cell r="D692">
            <v>15</v>
          </cell>
          <cell r="E692">
            <v>1</v>
          </cell>
          <cell r="F692" t="str">
            <v>42 Weeks</v>
          </cell>
          <cell r="G692">
            <v>500</v>
          </cell>
          <cell r="H692">
            <v>1.13849</v>
          </cell>
          <cell r="I692">
            <v>569.245</v>
          </cell>
          <cell r="J692">
            <v>1.3884024390243903</v>
          </cell>
          <cell r="K692">
            <v>124.95621951219516</v>
          </cell>
          <cell r="L692">
            <v>694.20121951219517</v>
          </cell>
          <cell r="O692"/>
          <cell r="Q692">
            <v>1</v>
          </cell>
          <cell r="R692" t="str">
            <v>EEHZT1H101V</v>
          </cell>
          <cell r="S692" t="str">
            <v>Panasonic</v>
          </cell>
          <cell r="T692" t="str">
            <v>Mouser</v>
          </cell>
          <cell r="U692">
            <v>1.1599999999999999</v>
          </cell>
          <cell r="V692">
            <v>500</v>
          </cell>
          <cell r="W692">
            <v>0</v>
          </cell>
          <cell r="X692">
            <v>1</v>
          </cell>
          <cell r="Y692" t="str">
            <v>Y</v>
          </cell>
          <cell r="Z692">
            <v>580</v>
          </cell>
          <cell r="AA692">
            <v>-10.754999999999995</v>
          </cell>
          <cell r="AB692" t="str">
            <v/>
          </cell>
          <cell r="AD692">
            <v>1062721</v>
          </cell>
          <cell r="AE692" t="str">
            <v xml:space="preserve">POV0067186 </v>
          </cell>
          <cell r="AF692" t="str">
            <v>JH</v>
          </cell>
        </row>
        <row r="693">
          <cell r="A693" t="str">
            <v>687-A67230-001</v>
          </cell>
          <cell r="B693" t="str">
            <v>FLTR CAP,FOR SHT2X/3X/4X/SHTC1/C3 SNSR</v>
          </cell>
          <cell r="C693" t="str">
            <v>FLTR CAP</v>
          </cell>
          <cell r="D693">
            <v>25</v>
          </cell>
          <cell r="E693" t="str">
            <v>N/A</v>
          </cell>
          <cell r="F693" t="str">
            <v>10 Weeks</v>
          </cell>
          <cell r="G693">
            <v>500</v>
          </cell>
          <cell r="H693">
            <v>0.98040000000000005</v>
          </cell>
          <cell r="I693">
            <v>490.20000000000005</v>
          </cell>
          <cell r="J693">
            <v>1.1956097560975611</v>
          </cell>
          <cell r="K693">
            <v>107.60487804878051</v>
          </cell>
          <cell r="L693">
            <v>597.80487804878055</v>
          </cell>
          <cell r="N693" t="str">
            <v/>
          </cell>
          <cell r="O693"/>
          <cell r="Q693">
            <v>1</v>
          </cell>
          <cell r="R693" t="str">
            <v>SF2</v>
          </cell>
          <cell r="S693" t="str">
            <v>SENSIRION</v>
          </cell>
          <cell r="T693" t="str">
            <v>Mouser</v>
          </cell>
          <cell r="U693">
            <v>1</v>
          </cell>
          <cell r="V693">
            <v>500</v>
          </cell>
          <cell r="W693">
            <v>0</v>
          </cell>
          <cell r="X693">
            <v>1</v>
          </cell>
          <cell r="Y693" t="str">
            <v>N</v>
          </cell>
          <cell r="Z693">
            <v>500</v>
          </cell>
          <cell r="AA693">
            <v>-9.7999999999999545</v>
          </cell>
          <cell r="AB693" t="str">
            <v/>
          </cell>
          <cell r="AD693">
            <v>1062721</v>
          </cell>
          <cell r="AE693" t="str">
            <v xml:space="preserve">POV0067186 </v>
          </cell>
          <cell r="AF693" t="str">
            <v>JH</v>
          </cell>
        </row>
        <row r="694">
          <cell r="A694" t="str">
            <v>668-259275-004</v>
          </cell>
          <cell r="B694" t="str">
            <v>CONN,DSUB,DUAL PORT,9P/9P,F/M,ROHS</v>
          </cell>
          <cell r="C694" t="str">
            <v>CONN</v>
          </cell>
          <cell r="D694">
            <v>15</v>
          </cell>
          <cell r="E694">
            <v>1</v>
          </cell>
          <cell r="F694" t="str">
            <v>27 Weeks</v>
          </cell>
          <cell r="G694">
            <v>270</v>
          </cell>
          <cell r="H694">
            <v>6.2275010000000002</v>
          </cell>
          <cell r="I694">
            <v>1681.42527</v>
          </cell>
          <cell r="J694">
            <v>7.5945134146341466</v>
          </cell>
          <cell r="K694">
            <v>369.0933519512198</v>
          </cell>
          <cell r="L694">
            <v>2050.5186219512198</v>
          </cell>
          <cell r="O694"/>
          <cell r="Q694">
            <v>1</v>
          </cell>
          <cell r="R694" t="str">
            <v>K42X-E9S/P-A4N</v>
          </cell>
          <cell r="S694" t="str">
            <v>KYCON, INC</v>
          </cell>
          <cell r="T694" t="str">
            <v>Digikey</v>
          </cell>
          <cell r="U694">
            <v>6.3212299999999999</v>
          </cell>
          <cell r="V694">
            <v>270</v>
          </cell>
          <cell r="W694">
            <v>0</v>
          </cell>
          <cell r="X694">
            <v>1</v>
          </cell>
          <cell r="Y694" t="str">
            <v>Y</v>
          </cell>
          <cell r="Z694">
            <v>1706.7320999999999</v>
          </cell>
          <cell r="AA694">
            <v>-25.306829999999991</v>
          </cell>
          <cell r="AB694" t="str">
            <v/>
          </cell>
          <cell r="AD694">
            <v>1062721</v>
          </cell>
          <cell r="AE694" t="str">
            <v>POV0067185</v>
          </cell>
          <cell r="AF694" t="str">
            <v>DM</v>
          </cell>
        </row>
        <row r="695">
          <cell r="A695" t="str">
            <v>630-A93018-001</v>
          </cell>
          <cell r="B695" t="str">
            <v>IC,SMD,DUAL JK FLIP-FLOP,4.5-5.5V,SOIC16</v>
          </cell>
          <cell r="C695" t="str">
            <v>IC</v>
          </cell>
          <cell r="D695">
            <v>15</v>
          </cell>
          <cell r="E695">
            <v>1</v>
          </cell>
          <cell r="F695" t="str">
            <v>15 Weeks</v>
          </cell>
          <cell r="G695">
            <v>200</v>
          </cell>
          <cell r="H695">
            <v>0.57598499999999997</v>
          </cell>
          <cell r="I695">
            <v>115.19699999999999</v>
          </cell>
          <cell r="J695">
            <v>0.70242073170731711</v>
          </cell>
          <cell r="K695">
            <v>25.287146341463412</v>
          </cell>
          <cell r="L695">
            <v>140.48414634146343</v>
          </cell>
          <cell r="O695"/>
          <cell r="Q695">
            <v>1</v>
          </cell>
          <cell r="R695" t="str">
            <v>CD74ACT109M96</v>
          </cell>
          <cell r="S695" t="str">
            <v>Texas Instruments</v>
          </cell>
          <cell r="T695" t="str">
            <v>Mouser</v>
          </cell>
          <cell r="U695">
            <v>0.58699999999999997</v>
          </cell>
          <cell r="V695">
            <v>200</v>
          </cell>
          <cell r="W695">
            <v>0</v>
          </cell>
          <cell r="X695">
            <v>1</v>
          </cell>
          <cell r="Y695" t="str">
            <v>Y</v>
          </cell>
          <cell r="Z695">
            <v>117.39999999999999</v>
          </cell>
          <cell r="AA695">
            <v>-2.203000000000003</v>
          </cell>
          <cell r="AB695" t="str">
            <v/>
          </cell>
          <cell r="AD695">
            <v>1062721</v>
          </cell>
          <cell r="AE695" t="str">
            <v xml:space="preserve">POV0067186 </v>
          </cell>
          <cell r="AF695" t="str">
            <v>JH</v>
          </cell>
        </row>
        <row r="696">
          <cell r="A696" t="str">
            <v>630-A78557-001</v>
          </cell>
          <cell r="B696" t="str">
            <v>IC,SMD,INV,6CHAN,4.5-5.5V,SSOP-14</v>
          </cell>
          <cell r="C696" t="str">
            <v>IC</v>
          </cell>
          <cell r="D696">
            <v>25</v>
          </cell>
          <cell r="E696">
            <v>1</v>
          </cell>
          <cell r="F696" t="str">
            <v>15 Weeks</v>
          </cell>
          <cell r="G696">
            <v>200</v>
          </cell>
          <cell r="H696">
            <v>0.26838499999999998</v>
          </cell>
          <cell r="I696">
            <v>53.677</v>
          </cell>
          <cell r="J696">
            <v>0.32729878048780486</v>
          </cell>
          <cell r="K696">
            <v>11.782756097560984</v>
          </cell>
          <cell r="L696">
            <v>65.45975609756097</v>
          </cell>
          <cell r="O696"/>
          <cell r="Q696">
            <v>1</v>
          </cell>
          <cell r="R696" t="str">
            <v>SN74AHCT04DBR</v>
          </cell>
          <cell r="S696" t="str">
            <v>Texas Instruments</v>
          </cell>
          <cell r="T696" t="str">
            <v>Mouser</v>
          </cell>
          <cell r="U696">
            <v>0.27400000000000002</v>
          </cell>
          <cell r="V696">
            <v>200</v>
          </cell>
          <cell r="W696">
            <v>0</v>
          </cell>
          <cell r="X696">
            <v>1</v>
          </cell>
          <cell r="Y696" t="str">
            <v>Y</v>
          </cell>
          <cell r="Z696">
            <v>54.800000000000004</v>
          </cell>
          <cell r="AA696">
            <v>-1.1230000000000047</v>
          </cell>
          <cell r="AB696" t="str">
            <v/>
          </cell>
          <cell r="AD696">
            <v>1062721</v>
          </cell>
          <cell r="AE696" t="str">
            <v xml:space="preserve">POV0067186 </v>
          </cell>
          <cell r="AF696" t="str">
            <v>JH</v>
          </cell>
        </row>
        <row r="697">
          <cell r="A697" t="str">
            <v>631-289054-002</v>
          </cell>
          <cell r="B697" t="str">
            <v>IC,PHOTOCOUPLER,0.01A,DIP-4</v>
          </cell>
          <cell r="C697" t="str">
            <v>IC</v>
          </cell>
          <cell r="D697">
            <v>25</v>
          </cell>
          <cell r="E697">
            <v>1</v>
          </cell>
          <cell r="F697" t="str">
            <v>57 Weeks</v>
          </cell>
          <cell r="G697">
            <v>200</v>
          </cell>
          <cell r="H697">
            <v>0.16017300000000001</v>
          </cell>
          <cell r="I697">
            <v>32.034600000000005</v>
          </cell>
          <cell r="J697">
            <v>0.19533292682926831</v>
          </cell>
          <cell r="K697">
            <v>7.0319853658536644</v>
          </cell>
          <cell r="L697">
            <v>39.066585365853662</v>
          </cell>
          <cell r="O697"/>
          <cell r="Q697">
            <v>1</v>
          </cell>
          <cell r="R697" t="str">
            <v>VO618A-4</v>
          </cell>
          <cell r="S697" t="str">
            <v>VISHAY</v>
          </cell>
          <cell r="T697" t="str">
            <v>Mouser</v>
          </cell>
          <cell r="U697">
            <v>0.16300000000000001</v>
          </cell>
          <cell r="V697">
            <v>200</v>
          </cell>
          <cell r="W697">
            <v>0</v>
          </cell>
          <cell r="Y697" t="str">
            <v>Y</v>
          </cell>
          <cell r="Z697">
            <v>32.6</v>
          </cell>
          <cell r="AA697">
            <v>-0.56539999999999679</v>
          </cell>
          <cell r="AB697" t="str">
            <v/>
          </cell>
          <cell r="AD697">
            <v>1062721</v>
          </cell>
          <cell r="AE697" t="str">
            <v xml:space="preserve">POV0067186 </v>
          </cell>
          <cell r="AF697" t="str">
            <v>JH</v>
          </cell>
        </row>
        <row r="698">
          <cell r="A698" t="str">
            <v>668-A26900-078</v>
          </cell>
          <cell r="B698" t="str">
            <v>CONN,PLUG,D-SUB,HD,78POSN,STR,3A,SLDR</v>
          </cell>
          <cell r="C698" t="str">
            <v>CONN</v>
          </cell>
          <cell r="D698">
            <v>25</v>
          </cell>
          <cell r="E698">
            <v>1</v>
          </cell>
          <cell r="F698" t="str">
            <v>19 Weeks</v>
          </cell>
          <cell r="G698">
            <v>250</v>
          </cell>
          <cell r="H698">
            <v>8.4682049999999993</v>
          </cell>
          <cell r="I698">
            <v>2117.05125</v>
          </cell>
          <cell r="J698">
            <v>10.327079268292684</v>
          </cell>
          <cell r="K698">
            <v>464.71856707317102</v>
          </cell>
          <cell r="L698">
            <v>2581.769817073171</v>
          </cell>
          <cell r="O698"/>
          <cell r="Q698">
            <v>1</v>
          </cell>
          <cell r="R698" t="str">
            <v>180-078-113R001</v>
          </cell>
          <cell r="S698" t="str">
            <v>NORCOMP</v>
          </cell>
          <cell r="T698" t="str">
            <v>Mouser</v>
          </cell>
          <cell r="U698">
            <v>8.64</v>
          </cell>
          <cell r="V698">
            <v>250</v>
          </cell>
          <cell r="W698">
            <v>0</v>
          </cell>
          <cell r="X698" t="str">
            <v>187 STOCK; BALANCE TO LEAD TIME</v>
          </cell>
          <cell r="Y698" t="str">
            <v>Y</v>
          </cell>
          <cell r="Z698">
            <v>2160</v>
          </cell>
          <cell r="AA698">
            <v>-42.948750000000018</v>
          </cell>
          <cell r="AB698" t="str">
            <v/>
          </cell>
          <cell r="AD698">
            <v>1062721</v>
          </cell>
          <cell r="AE698" t="str">
            <v xml:space="preserve">POV0067186 </v>
          </cell>
          <cell r="AF698" t="str">
            <v>JH</v>
          </cell>
        </row>
        <row r="699">
          <cell r="A699" t="str">
            <v>644-347685-024</v>
          </cell>
          <cell r="B699" t="str">
            <v>RLY,SSR,1 NO,24VDC INPUT,24VDC,6A,SIP-4</v>
          </cell>
          <cell r="C699" t="str">
            <v>RLY</v>
          </cell>
          <cell r="D699">
            <v>15</v>
          </cell>
          <cell r="E699" t="str">
            <v>N/A</v>
          </cell>
          <cell r="F699" t="str">
            <v>13 Weeks</v>
          </cell>
          <cell r="G699">
            <v>100</v>
          </cell>
          <cell r="H699">
            <v>16.477705</v>
          </cell>
          <cell r="I699">
            <v>1647.7705000000001</v>
          </cell>
          <cell r="J699">
            <v>20.094762195121952</v>
          </cell>
          <cell r="K699">
            <v>361.70571951219517</v>
          </cell>
          <cell r="L699">
            <v>2009.4762195121953</v>
          </cell>
          <cell r="O699"/>
          <cell r="Q699">
            <v>1</v>
          </cell>
          <cell r="R699" t="str">
            <v>34.81.7.024.9024</v>
          </cell>
          <cell r="S699" t="str">
            <v>FINDER</v>
          </cell>
          <cell r="T699" t="str">
            <v>Digikey</v>
          </cell>
          <cell r="U699">
            <v>16.7256</v>
          </cell>
          <cell r="V699">
            <v>100</v>
          </cell>
          <cell r="W699">
            <v>0</v>
          </cell>
          <cell r="X699">
            <v>1</v>
          </cell>
          <cell r="Y699" t="str">
            <v>Y</v>
          </cell>
          <cell r="Z699">
            <v>1672.56</v>
          </cell>
          <cell r="AA699">
            <v>-24.789499999999862</v>
          </cell>
          <cell r="AB699" t="str">
            <v/>
          </cell>
          <cell r="AD699">
            <v>1062721</v>
          </cell>
          <cell r="AE699" t="str">
            <v>POV0067185</v>
          </cell>
          <cell r="AF699" t="str">
            <v>DM</v>
          </cell>
        </row>
        <row r="700">
          <cell r="A700" t="str">
            <v>723-B11534-003</v>
          </cell>
          <cell r="B700" t="str">
            <v>SPCR,FORCE FIT,#6 SCR SIZE,.250IN LG,SST</v>
          </cell>
          <cell r="C700" t="str">
            <v>SPCR</v>
          </cell>
          <cell r="D700">
            <v>15</v>
          </cell>
          <cell r="E700" t="str">
            <v>N/A</v>
          </cell>
          <cell r="F700" t="str">
            <v>3 Weeks</v>
          </cell>
          <cell r="G700">
            <v>100</v>
          </cell>
          <cell r="H700">
            <v>0.73652600000000001</v>
          </cell>
          <cell r="I700">
            <v>73.652600000000007</v>
          </cell>
          <cell r="J700">
            <v>0.89820243902439034</v>
          </cell>
          <cell r="K700">
            <v>16.167643902439025</v>
          </cell>
          <cell r="L700">
            <v>89.820243902439032</v>
          </cell>
          <cell r="O700"/>
          <cell r="Q700">
            <v>1</v>
          </cell>
          <cell r="R700">
            <v>4857</v>
          </cell>
          <cell r="S700" t="str">
            <v>KEYSTONE ELECTRONICS</v>
          </cell>
          <cell r="T700" t="str">
            <v>Mouser</v>
          </cell>
          <cell r="U700">
            <v>0.752</v>
          </cell>
          <cell r="V700">
            <v>100</v>
          </cell>
          <cell r="W700">
            <v>0</v>
          </cell>
          <cell r="X700">
            <v>1</v>
          </cell>
          <cell r="Y700" t="str">
            <v>Y</v>
          </cell>
          <cell r="Z700">
            <v>75.2</v>
          </cell>
          <cell r="AA700">
            <v>-1.5473999999999961</v>
          </cell>
          <cell r="AB700" t="str">
            <v/>
          </cell>
          <cell r="AD700">
            <v>1062721</v>
          </cell>
          <cell r="AE700" t="str">
            <v xml:space="preserve">POV0067186 </v>
          </cell>
          <cell r="AF700" t="str">
            <v>JH</v>
          </cell>
        </row>
        <row r="701">
          <cell r="A701" t="str">
            <v>671-A96800-001</v>
          </cell>
          <cell r="B701" t="str">
            <v>TERM,PCB,6-32THD,15A,THM,HORIZ MT</v>
          </cell>
          <cell r="C701" t="str">
            <v>TERM</v>
          </cell>
          <cell r="D701">
            <v>25</v>
          </cell>
          <cell r="E701">
            <v>1</v>
          </cell>
          <cell r="F701" t="str">
            <v>3 Weeks</v>
          </cell>
          <cell r="G701">
            <v>100</v>
          </cell>
          <cell r="H701">
            <v>0.39657199999999998</v>
          </cell>
          <cell r="I701">
            <v>39.657199999999996</v>
          </cell>
          <cell r="J701">
            <v>0.48362439024390247</v>
          </cell>
          <cell r="K701">
            <v>8.7052390243902451</v>
          </cell>
          <cell r="L701">
            <v>48.362439024390248</v>
          </cell>
          <cell r="N701"/>
          <cell r="O701"/>
          <cell r="Q701">
            <v>1</v>
          </cell>
          <cell r="R701">
            <v>7779</v>
          </cell>
          <cell r="S701" t="str">
            <v>KEYSTONE ELECTRONICS</v>
          </cell>
          <cell r="T701" t="str">
            <v>Mouser</v>
          </cell>
          <cell r="U701">
            <v>0.38800000000000001</v>
          </cell>
          <cell r="V701">
            <v>100</v>
          </cell>
          <cell r="W701">
            <v>0</v>
          </cell>
          <cell r="X701">
            <v>1</v>
          </cell>
          <cell r="Y701" t="str">
            <v>Y</v>
          </cell>
          <cell r="Z701">
            <v>38.800000000000004</v>
          </cell>
          <cell r="AA701">
            <v>0.85719999999999175</v>
          </cell>
          <cell r="AB701">
            <v>0.19772449895605337</v>
          </cell>
          <cell r="AD701">
            <v>1062721</v>
          </cell>
          <cell r="AE701" t="str">
            <v xml:space="preserve">POV0067186 </v>
          </cell>
          <cell r="AF701" t="str">
            <v>JH</v>
          </cell>
        </row>
        <row r="702">
          <cell r="A702" t="str">
            <v>679-346463-001</v>
          </cell>
          <cell r="B702" t="str">
            <v>SNSR,TEMP/HMD,2.15-5.5V INPUT,I2C,DFN-8</v>
          </cell>
          <cell r="C702" t="str">
            <v>SNSR</v>
          </cell>
          <cell r="D702">
            <v>25</v>
          </cell>
          <cell r="E702">
            <v>1</v>
          </cell>
          <cell r="F702" t="str">
            <v>3 Weeks</v>
          </cell>
          <cell r="G702">
            <v>100</v>
          </cell>
          <cell r="H702">
            <v>5.9559300000000004</v>
          </cell>
          <cell r="I702">
            <v>595.59300000000007</v>
          </cell>
          <cell r="J702">
            <v>7.2633292682926838</v>
          </cell>
          <cell r="K702">
            <v>130.73992682926837</v>
          </cell>
          <cell r="L702">
            <v>726.33292682926833</v>
          </cell>
          <cell r="O702"/>
          <cell r="Q702">
            <v>1</v>
          </cell>
          <cell r="R702" t="str">
            <v>SHT35-DIS-B2.5KS</v>
          </cell>
          <cell r="S702" t="str">
            <v>SENSIRION</v>
          </cell>
          <cell r="T702" t="str">
            <v>Mouser</v>
          </cell>
          <cell r="U702">
            <v>6.07</v>
          </cell>
          <cell r="V702">
            <v>100</v>
          </cell>
          <cell r="W702">
            <v>0</v>
          </cell>
          <cell r="X702">
            <v>1</v>
          </cell>
          <cell r="Y702" t="str">
            <v>Y</v>
          </cell>
          <cell r="Z702">
            <v>607</v>
          </cell>
          <cell r="AA702">
            <v>-11.406999999999925</v>
          </cell>
          <cell r="AB702" t="str">
            <v/>
          </cell>
          <cell r="AD702">
            <v>1062721</v>
          </cell>
          <cell r="AE702" t="str">
            <v xml:space="preserve">POV0067186 </v>
          </cell>
          <cell r="AF702" t="str">
            <v>JH</v>
          </cell>
        </row>
        <row r="703">
          <cell r="A703" t="str">
            <v>660-B20622-001</v>
          </cell>
          <cell r="B703" t="str">
            <v>PS,DC/DC,24/15V,ROHS</v>
          </cell>
          <cell r="C703" t="str">
            <v>PS</v>
          </cell>
          <cell r="D703">
            <v>15</v>
          </cell>
          <cell r="E703" t="str">
            <v>N/A</v>
          </cell>
          <cell r="F703" t="str">
            <v>55 Weeks</v>
          </cell>
          <cell r="G703">
            <v>60</v>
          </cell>
          <cell r="H703">
            <v>74.275199999999998</v>
          </cell>
          <cell r="I703">
            <v>4456.5119999999997</v>
          </cell>
          <cell r="J703">
            <v>90.57951219512195</v>
          </cell>
          <cell r="K703">
            <v>978.25873170731757</v>
          </cell>
          <cell r="L703">
            <v>5434.7707317073173</v>
          </cell>
          <cell r="O703"/>
          <cell r="Q703">
            <v>1</v>
          </cell>
          <cell r="R703" t="str">
            <v>BWR-15/330-D48A-C</v>
          </cell>
          <cell r="S703" t="str">
            <v>MURATA</v>
          </cell>
          <cell r="T703" t="str">
            <v>Digikey</v>
          </cell>
          <cell r="U703">
            <v>74.275199999999998</v>
          </cell>
          <cell r="V703">
            <v>60</v>
          </cell>
          <cell r="W703">
            <v>0</v>
          </cell>
          <cell r="Y703" t="str">
            <v>Y</v>
          </cell>
          <cell r="Z703">
            <v>4456.5119999999997</v>
          </cell>
          <cell r="AA703">
            <v>0</v>
          </cell>
          <cell r="AB703" t="str">
            <v/>
          </cell>
          <cell r="AD703">
            <v>1062721</v>
          </cell>
          <cell r="AE703" t="str">
            <v>POV0067185</v>
          </cell>
          <cell r="AF703" t="str">
            <v>DM</v>
          </cell>
        </row>
        <row r="704">
          <cell r="A704" t="str">
            <v>668-B14839-001</v>
          </cell>
          <cell r="B704" t="str">
            <v>CONN,SKT,STP,40POSN,2ROW,2.54MM PITCH,TH</v>
          </cell>
          <cell r="C704" t="str">
            <v>CONN</v>
          </cell>
          <cell r="D704">
            <v>25</v>
          </cell>
          <cell r="E704">
            <v>1</v>
          </cell>
          <cell r="F704" t="str">
            <v>7 Weeks</v>
          </cell>
          <cell r="G704">
            <v>50</v>
          </cell>
          <cell r="H704">
            <v>9.5289999999999999</v>
          </cell>
          <cell r="I704">
            <v>476.45</v>
          </cell>
          <cell r="J704">
            <v>11.620731707317074</v>
          </cell>
          <cell r="K704">
            <v>104.58658536585364</v>
          </cell>
          <cell r="L704">
            <v>581.03658536585363</v>
          </cell>
          <cell r="O704"/>
          <cell r="Q704">
            <v>1</v>
          </cell>
          <cell r="R704" t="str">
            <v>ESW-120-23-G-D</v>
          </cell>
          <cell r="S704" t="str">
            <v>SAMTEC</v>
          </cell>
          <cell r="T704" t="str">
            <v>Mouser</v>
          </cell>
          <cell r="U704">
            <v>6.75</v>
          </cell>
          <cell r="V704">
            <v>55</v>
          </cell>
          <cell r="W704">
            <v>-5</v>
          </cell>
          <cell r="X704">
            <v>1</v>
          </cell>
          <cell r="Y704" t="str">
            <v>Y</v>
          </cell>
          <cell r="Z704">
            <v>371.25</v>
          </cell>
          <cell r="AA704">
            <v>105.19999999999999</v>
          </cell>
          <cell r="AB704">
            <v>0.36105572463007662</v>
          </cell>
          <cell r="AD704">
            <v>1062721</v>
          </cell>
          <cell r="AE704" t="str">
            <v xml:space="preserve">POV0067186 </v>
          </cell>
          <cell r="AF704" t="str">
            <v>JH</v>
          </cell>
        </row>
        <row r="705">
          <cell r="A705" t="str">
            <v>649-B19790-001</v>
          </cell>
          <cell r="B705" t="str">
            <v>CAP,CER,DISC,1000PF,15KVDC,10% TOL,RDL</v>
          </cell>
          <cell r="C705" t="str">
            <v>CAP</v>
          </cell>
          <cell r="D705">
            <v>25</v>
          </cell>
          <cell r="E705">
            <v>1</v>
          </cell>
          <cell r="F705" t="str">
            <v>18 Weeks</v>
          </cell>
          <cell r="G705">
            <v>250</v>
          </cell>
          <cell r="H705">
            <v>1.778397</v>
          </cell>
          <cell r="I705">
            <v>444.59924999999998</v>
          </cell>
          <cell r="J705">
            <v>2.168776829268293</v>
          </cell>
          <cell r="K705">
            <v>97.594957317073181</v>
          </cell>
          <cell r="L705">
            <v>542.19420731707328</v>
          </cell>
          <cell r="M705" t="str">
            <v>CHINA</v>
          </cell>
          <cell r="N705">
            <v>8532230060</v>
          </cell>
          <cell r="O705">
            <v>0.35</v>
          </cell>
          <cell r="P705">
            <v>155.60973749999999</v>
          </cell>
          <cell r="Q705">
            <v>1</v>
          </cell>
          <cell r="R705" t="str">
            <v>HVCC153Y6P102KEAX</v>
          </cell>
          <cell r="S705" t="str">
            <v>Vishay</v>
          </cell>
          <cell r="T705" t="str">
            <v>Digikey</v>
          </cell>
          <cell r="U705">
            <v>1.6750400000000001</v>
          </cell>
          <cell r="V705">
            <v>250</v>
          </cell>
          <cell r="W705">
            <v>0</v>
          </cell>
          <cell r="X705">
            <v>1</v>
          </cell>
          <cell r="Y705" t="str">
            <v>Y</v>
          </cell>
          <cell r="Z705">
            <v>418.76000000000005</v>
          </cell>
          <cell r="AA705">
            <v>25.839249999999936</v>
          </cell>
          <cell r="AB705">
            <v>0.2276568167850036</v>
          </cell>
          <cell r="AD705">
            <v>1062721</v>
          </cell>
          <cell r="AE705" t="str">
            <v>POV0067185</v>
          </cell>
          <cell r="AF705" t="str">
            <v>DM</v>
          </cell>
        </row>
        <row r="706">
          <cell r="A706" t="str">
            <v>630-B14831-001</v>
          </cell>
          <cell r="B706" t="str">
            <v>IC,SMD,DIFFAMPL,2.5-5.5V,1.14MA,VSSOP-8</v>
          </cell>
          <cell r="C706" t="str">
            <v>IC</v>
          </cell>
          <cell r="D706">
            <v>25</v>
          </cell>
          <cell r="E706">
            <v>2</v>
          </cell>
          <cell r="F706" t="str">
            <v>3 Weeks</v>
          </cell>
          <cell r="G706">
            <v>250</v>
          </cell>
          <cell r="H706">
            <v>3.2250749999999999</v>
          </cell>
          <cell r="I706">
            <v>806.26874999999995</v>
          </cell>
          <cell r="J706">
            <v>3.9330182926829269</v>
          </cell>
          <cell r="K706">
            <v>176.98582317073181</v>
          </cell>
          <cell r="L706">
            <v>983.25457317073176</v>
          </cell>
          <cell r="O706"/>
          <cell r="Q706">
            <v>1</v>
          </cell>
          <cell r="R706" t="str">
            <v>THS4521IDGKR</v>
          </cell>
          <cell r="S706" t="str">
            <v>Texas Instruments</v>
          </cell>
          <cell r="T706" t="str">
            <v>Digikey</v>
          </cell>
          <cell r="U706">
            <v>2.7709999999999999</v>
          </cell>
          <cell r="V706">
            <v>250</v>
          </cell>
          <cell r="W706">
            <v>0</v>
          </cell>
          <cell r="X706">
            <v>1</v>
          </cell>
          <cell r="Y706" t="str">
            <v>Y</v>
          </cell>
          <cell r="Z706">
            <v>692.75</v>
          </cell>
          <cell r="AA706">
            <v>113.51874999999995</v>
          </cell>
          <cell r="AB706">
            <v>0.2954520437509206</v>
          </cell>
          <cell r="AD706">
            <v>1062721</v>
          </cell>
          <cell r="AE706" t="str">
            <v>POV0067185</v>
          </cell>
          <cell r="AF706" t="str">
            <v>DM</v>
          </cell>
        </row>
        <row r="707">
          <cell r="A707" t="str">
            <v>39-357073-00</v>
          </cell>
          <cell r="B707" t="str">
            <v>CONN,MATE-N-LOK,3 POS,FEMALE</v>
          </cell>
          <cell r="C707" t="str">
            <v>CONN</v>
          </cell>
          <cell r="D707">
            <v>15</v>
          </cell>
          <cell r="E707">
            <v>1</v>
          </cell>
          <cell r="F707" t="str">
            <v>12 Weeks</v>
          </cell>
          <cell r="G707">
            <v>500</v>
          </cell>
          <cell r="H707">
            <v>0.45046900000000001</v>
          </cell>
          <cell r="I707">
            <v>225.2345</v>
          </cell>
          <cell r="J707">
            <v>0.54935243902439024</v>
          </cell>
          <cell r="K707">
            <v>49.441719512195135</v>
          </cell>
          <cell r="L707">
            <v>274.67621951219513</v>
          </cell>
          <cell r="M707" t="str">
            <v>CHINA</v>
          </cell>
          <cell r="N707">
            <v>8536694040</v>
          </cell>
          <cell r="O707">
            <v>0.35</v>
          </cell>
          <cell r="P707">
            <v>34.9</v>
          </cell>
          <cell r="Q707">
            <v>1</v>
          </cell>
          <cell r="R707" t="str">
            <v>350825-1</v>
          </cell>
          <cell r="S707" t="str">
            <v>TE CONNECTIVITY</v>
          </cell>
          <cell r="T707" t="str">
            <v>Arrow</v>
          </cell>
          <cell r="U707">
            <v>0.35720000000000002</v>
          </cell>
          <cell r="V707">
            <v>500</v>
          </cell>
          <cell r="W707">
            <v>0</v>
          </cell>
          <cell r="Y707" t="str">
            <v>Y</v>
          </cell>
          <cell r="Z707">
            <v>178.60000000000002</v>
          </cell>
          <cell r="AA707">
            <v>46.634499999999974</v>
          </cell>
          <cell r="AB707">
            <v>0.34977989606388005</v>
          </cell>
          <cell r="AD707">
            <v>1062721</v>
          </cell>
          <cell r="AE707" t="str">
            <v>POV0067197</v>
          </cell>
          <cell r="AF707" t="str">
            <v>ES</v>
          </cell>
        </row>
        <row r="708">
          <cell r="A708" t="str">
            <v>648-304520-001</v>
          </cell>
          <cell r="B708" t="str">
            <v>CAP,SMD,CER,3.3PF,250V,C0G/NP0,0603</v>
          </cell>
          <cell r="C708" t="str">
            <v>CAP</v>
          </cell>
          <cell r="D708">
            <v>15</v>
          </cell>
          <cell r="E708">
            <v>1</v>
          </cell>
          <cell r="F708" t="str">
            <v>11 Weeks</v>
          </cell>
          <cell r="G708">
            <v>4000</v>
          </cell>
          <cell r="H708">
            <v>6.1275000000000003E-2</v>
          </cell>
          <cell r="I708">
            <v>245.10000000000002</v>
          </cell>
          <cell r="J708">
            <v>7.4725609756097572E-2</v>
          </cell>
          <cell r="K708">
            <v>53.802439024390253</v>
          </cell>
          <cell r="L708">
            <v>298.90243902439028</v>
          </cell>
          <cell r="O708"/>
          <cell r="Q708">
            <v>1</v>
          </cell>
          <cell r="R708" t="str">
            <v>251R14S3R3BV4T</v>
          </cell>
          <cell r="S708" t="str">
            <v>Johanson Technology</v>
          </cell>
          <cell r="T708" t="str">
            <v>Arrow</v>
          </cell>
          <cell r="U708">
            <v>5.96E-2</v>
          </cell>
          <cell r="V708">
            <v>4000</v>
          </cell>
          <cell r="W708">
            <v>0</v>
          </cell>
          <cell r="Y708" t="str">
            <v>Y</v>
          </cell>
          <cell r="Z708">
            <v>238.4</v>
          </cell>
          <cell r="AA708">
            <v>6.7000000000000171</v>
          </cell>
          <cell r="AB708">
            <v>0.20241534067727462</v>
          </cell>
          <cell r="AD708">
            <v>1062721</v>
          </cell>
          <cell r="AE708" t="str">
            <v>POV0067197</v>
          </cell>
          <cell r="AF708" t="str">
            <v>ES</v>
          </cell>
        </row>
        <row r="709">
          <cell r="A709" t="str">
            <v>615-306231-191</v>
          </cell>
          <cell r="B709" t="str">
            <v>RES,SMD,1206,1%,1/4W,1.91K,ROHS</v>
          </cell>
          <cell r="C709" t="str">
            <v>RES</v>
          </cell>
          <cell r="D709">
            <v>25</v>
          </cell>
          <cell r="E709">
            <v>1</v>
          </cell>
          <cell r="F709" t="str">
            <v>29 Weeks</v>
          </cell>
          <cell r="G709">
            <v>5000</v>
          </cell>
          <cell r="H709">
            <v>8.5789999999999998E-3</v>
          </cell>
          <cell r="I709">
            <v>42.894999999999996</v>
          </cell>
          <cell r="J709">
            <v>1.04621951219512E-2</v>
          </cell>
          <cell r="K709">
            <v>9.4159756097561029</v>
          </cell>
          <cell r="L709">
            <v>52.310975609755999</v>
          </cell>
          <cell r="O709"/>
          <cell r="P709">
            <v>4</v>
          </cell>
          <cell r="Q709">
            <v>3</v>
          </cell>
          <cell r="R709" t="str">
            <v>RC1206FR-071K91L</v>
          </cell>
          <cell r="S709" t="str">
            <v>YAGEO</v>
          </cell>
          <cell r="T709" t="str">
            <v>Arrow</v>
          </cell>
          <cell r="U709">
            <v>7.7000000000000002E-3</v>
          </cell>
          <cell r="V709">
            <v>5000</v>
          </cell>
          <cell r="W709">
            <v>0</v>
          </cell>
          <cell r="Y709" t="str">
            <v>Y</v>
          </cell>
          <cell r="Z709">
            <v>38.5</v>
          </cell>
          <cell r="AA709">
            <v>4.394999999999996</v>
          </cell>
          <cell r="AB709">
            <v>0.26401678517309568</v>
          </cell>
          <cell r="AD709">
            <v>1062721</v>
          </cell>
          <cell r="AE709" t="str">
            <v>POV0067197</v>
          </cell>
          <cell r="AF709" t="str">
            <v>ES</v>
          </cell>
        </row>
        <row r="710">
          <cell r="A710" t="str">
            <v>615-116028-845</v>
          </cell>
          <cell r="B710" t="str">
            <v>RES,SMD,1206,8.45K,1%,1/4W,ROHS</v>
          </cell>
          <cell r="C710" t="str">
            <v>RES</v>
          </cell>
          <cell r="D710">
            <v>15</v>
          </cell>
          <cell r="E710">
            <v>1</v>
          </cell>
          <cell r="F710" t="str">
            <v>15 Weeks</v>
          </cell>
          <cell r="G710">
            <v>5000</v>
          </cell>
          <cell r="H710">
            <v>7.3530000000000002E-3</v>
          </cell>
          <cell r="I710">
            <v>36.765000000000001</v>
          </cell>
          <cell r="J710">
            <v>8.9670731707317073E-3</v>
          </cell>
          <cell r="K710">
            <v>8.0703658536585365</v>
          </cell>
          <cell r="L710">
            <v>44.835365853658537</v>
          </cell>
          <cell r="O710"/>
          <cell r="P710">
            <v>4</v>
          </cell>
          <cell r="Q710">
            <v>2</v>
          </cell>
          <cell r="R710" t="str">
            <v>CRCW12068K45FKEA</v>
          </cell>
          <cell r="S710" t="str">
            <v>Vishay</v>
          </cell>
          <cell r="T710" t="str">
            <v>Arrow</v>
          </cell>
          <cell r="U710">
            <v>1.2999999999999999E-3</v>
          </cell>
          <cell r="V710">
            <v>5000</v>
          </cell>
          <cell r="W710">
            <v>0</v>
          </cell>
          <cell r="Y710" t="str">
            <v>Y</v>
          </cell>
          <cell r="Z710">
            <v>6.5</v>
          </cell>
          <cell r="AA710">
            <v>30.265000000000001</v>
          </cell>
          <cell r="AB710">
            <v>0.85502515979872162</v>
          </cell>
          <cell r="AD710">
            <v>1062721</v>
          </cell>
          <cell r="AE710" t="str">
            <v>POV0067197</v>
          </cell>
          <cell r="AF710" t="str">
            <v>ES</v>
          </cell>
        </row>
        <row r="711">
          <cell r="A711" t="str">
            <v>615-116028-324</v>
          </cell>
          <cell r="B711" t="str">
            <v>RES,1206,1% 1/4W,3.24K ROHS</v>
          </cell>
          <cell r="C711" t="str">
            <v>RES</v>
          </cell>
          <cell r="D711">
            <v>15</v>
          </cell>
          <cell r="E711">
            <v>1</v>
          </cell>
          <cell r="F711" t="str">
            <v>15 Weeks</v>
          </cell>
          <cell r="G711">
            <v>5000</v>
          </cell>
          <cell r="H711">
            <v>8.5789999999999998E-3</v>
          </cell>
          <cell r="I711">
            <v>42.894999999999996</v>
          </cell>
          <cell r="J711">
            <v>1.046219512195122E-2</v>
          </cell>
          <cell r="K711">
            <v>9.4159756097561029</v>
          </cell>
          <cell r="L711">
            <v>52.310975609756099</v>
          </cell>
          <cell r="O711"/>
          <cell r="Q711">
            <v>3</v>
          </cell>
          <cell r="R711" t="str">
            <v>RC1206FR-073K24L</v>
          </cell>
          <cell r="S711" t="str">
            <v>YAGEO</v>
          </cell>
          <cell r="T711" t="str">
            <v>Arrow</v>
          </cell>
          <cell r="U711">
            <v>8.9999999999999998E-4</v>
          </cell>
          <cell r="V711">
            <v>5000</v>
          </cell>
          <cell r="W711">
            <v>0</v>
          </cell>
          <cell r="Y711" t="str">
            <v>Y</v>
          </cell>
          <cell r="Z711">
            <v>4.5</v>
          </cell>
          <cell r="AA711">
            <v>38.394999999999996</v>
          </cell>
          <cell r="AB711">
            <v>0.913975987877375</v>
          </cell>
          <cell r="AD711">
            <v>1062721</v>
          </cell>
          <cell r="AE711" t="str">
            <v>POV0067197</v>
          </cell>
          <cell r="AF711" t="str">
            <v>ES</v>
          </cell>
        </row>
        <row r="712">
          <cell r="A712" t="str">
            <v>639-A66354-001</v>
          </cell>
          <cell r="B712" t="str">
            <v>IDCTR,SMD,WW,3.7UH,±20%,17A,SHLD,1365</v>
          </cell>
          <cell r="C712" t="str">
            <v>IDCTR</v>
          </cell>
          <cell r="D712">
            <v>15</v>
          </cell>
          <cell r="E712">
            <v>1</v>
          </cell>
          <cell r="F712" t="str">
            <v>3 Weeks</v>
          </cell>
          <cell r="G712">
            <v>400</v>
          </cell>
          <cell r="H712">
            <v>2.4510000000000001</v>
          </cell>
          <cell r="I712">
            <v>980.4</v>
          </cell>
          <cell r="J712">
            <v>2.9890243902439027</v>
          </cell>
          <cell r="K712">
            <v>215.20975609756113</v>
          </cell>
          <cell r="L712">
            <v>1195.6097560975611</v>
          </cell>
          <cell r="O712"/>
          <cell r="Q712">
            <v>1</v>
          </cell>
          <cell r="R712">
            <v>7443551370</v>
          </cell>
          <cell r="S712" t="str">
            <v>WURTH ELEKTRONIK</v>
          </cell>
          <cell r="T712" t="str">
            <v>Digikey</v>
          </cell>
          <cell r="U712">
            <v>2.5</v>
          </cell>
          <cell r="V712">
            <v>400</v>
          </cell>
          <cell r="W712">
            <v>0</v>
          </cell>
          <cell r="X712">
            <v>1</v>
          </cell>
          <cell r="Y712" t="str">
            <v>Y</v>
          </cell>
          <cell r="Z712">
            <v>1000</v>
          </cell>
          <cell r="AA712">
            <v>-19.600000000000023</v>
          </cell>
          <cell r="AB712" t="str">
            <v/>
          </cell>
          <cell r="AD712">
            <v>1062721</v>
          </cell>
          <cell r="AE712" t="str">
            <v>POV0067241</v>
          </cell>
          <cell r="AF712" t="str">
            <v>JH</v>
          </cell>
        </row>
        <row r="713">
          <cell r="A713" t="str">
            <v>668-117019-062</v>
          </cell>
          <cell r="B713" t="str">
            <v>CONN,RCPT,DSUB,HD,ST,FEM,62P,ROHS</v>
          </cell>
          <cell r="C713" t="str">
            <v>CONN</v>
          </cell>
          <cell r="D713">
            <v>25</v>
          </cell>
          <cell r="E713">
            <v>1</v>
          </cell>
          <cell r="F713" t="str">
            <v>18 Weeks</v>
          </cell>
          <cell r="G713">
            <v>100</v>
          </cell>
          <cell r="H713">
            <v>9.6691950000000002</v>
          </cell>
          <cell r="I713">
            <v>966.91949999999997</v>
          </cell>
          <cell r="J713">
            <v>11.791701219512197</v>
          </cell>
          <cell r="K713">
            <v>212.2506219512195</v>
          </cell>
          <cell r="L713">
            <v>1179.1701219512197</v>
          </cell>
          <cell r="O713"/>
          <cell r="Q713">
            <v>1</v>
          </cell>
          <cell r="R713">
            <v>9564517512</v>
          </cell>
          <cell r="S713" t="str">
            <v>HARTING TECHNOLOGY GROUP</v>
          </cell>
          <cell r="T713" t="str">
            <v>Digikey</v>
          </cell>
          <cell r="U713">
            <v>10.92</v>
          </cell>
          <cell r="V713">
            <v>100</v>
          </cell>
          <cell r="W713">
            <v>0</v>
          </cell>
          <cell r="X713">
            <v>1</v>
          </cell>
          <cell r="Y713" t="str">
            <v>Y</v>
          </cell>
          <cell r="Z713">
            <v>1092</v>
          </cell>
          <cell r="AA713">
            <v>-125.08050000000003</v>
          </cell>
          <cell r="AB713" t="str">
            <v/>
          </cell>
          <cell r="AD713">
            <v>1062721</v>
          </cell>
          <cell r="AE713" t="str">
            <v>POV0067241</v>
          </cell>
          <cell r="AF713" t="str">
            <v>JH</v>
          </cell>
        </row>
        <row r="714">
          <cell r="A714" t="str">
            <v>34-143740-08</v>
          </cell>
          <cell r="B714" t="str">
            <v>CB,8A,PC MOUNT</v>
          </cell>
          <cell r="C714" t="str">
            <v>CB</v>
          </cell>
          <cell r="D714">
            <v>25</v>
          </cell>
          <cell r="E714" t="str">
            <v>N/A</v>
          </cell>
          <cell r="F714" t="str">
            <v>9 Weeks</v>
          </cell>
          <cell r="G714">
            <v>50</v>
          </cell>
          <cell r="H714">
            <v>6.968928</v>
          </cell>
          <cell r="I714">
            <v>348.44639999999998</v>
          </cell>
          <cell r="J714">
            <v>8.4986926829268299</v>
          </cell>
          <cell r="K714">
            <v>76.488234146341483</v>
          </cell>
          <cell r="L714">
            <v>424.93463414634152</v>
          </cell>
          <cell r="O714"/>
          <cell r="Q714">
            <v>1</v>
          </cell>
          <cell r="R714" t="str">
            <v>1410-L110-L1F1-S01-8A</v>
          </cell>
          <cell r="S714" t="str">
            <v>E-T-A</v>
          </cell>
          <cell r="T714" t="str">
            <v>Digikey</v>
          </cell>
          <cell r="U714">
            <v>7.07</v>
          </cell>
          <cell r="V714">
            <v>50</v>
          </cell>
          <cell r="W714">
            <v>0</v>
          </cell>
          <cell r="X714">
            <v>1</v>
          </cell>
          <cell r="Y714" t="str">
            <v>Y</v>
          </cell>
          <cell r="Z714">
            <v>353.5</v>
          </cell>
          <cell r="AA714">
            <v>-5.0536000000000172</v>
          </cell>
          <cell r="AB714" t="str">
            <v/>
          </cell>
          <cell r="AD714">
            <v>1062721</v>
          </cell>
          <cell r="AE714" t="str">
            <v>POV0067241</v>
          </cell>
          <cell r="AF714" t="str">
            <v>JH</v>
          </cell>
        </row>
        <row r="715">
          <cell r="A715" t="str">
            <v>609-A92271-001</v>
          </cell>
          <cell r="B715" t="str">
            <v>DIO,SMD,SUPER BARR RECT,5A,45V,POWERDI5</v>
          </cell>
          <cell r="C715" t="str">
            <v>DIO</v>
          </cell>
          <cell r="D715">
            <v>25</v>
          </cell>
          <cell r="E715">
            <v>1</v>
          </cell>
          <cell r="F715" t="str">
            <v>15 Weeks</v>
          </cell>
          <cell r="G715">
            <v>5000</v>
          </cell>
          <cell r="H715">
            <v>0.16717000000000001</v>
          </cell>
          <cell r="I715">
            <v>835.85</v>
          </cell>
          <cell r="J715">
            <v>0.2038658536585366</v>
          </cell>
          <cell r="K715">
            <v>183.47926829268295</v>
          </cell>
          <cell r="L715">
            <v>1019.329268292683</v>
          </cell>
          <cell r="M715" t="str">
            <v>CHINA</v>
          </cell>
          <cell r="N715">
            <v>8541100080</v>
          </cell>
          <cell r="O715">
            <v>0.35</v>
          </cell>
          <cell r="P715">
            <v>292.54750000000001</v>
          </cell>
          <cell r="Q715">
            <v>2</v>
          </cell>
          <cell r="R715" t="str">
            <v>SBR5E45P5-7</v>
          </cell>
          <cell r="S715" t="str">
            <v>DIODES INCORPORATED</v>
          </cell>
          <cell r="T715" t="str">
            <v>Avnet</v>
          </cell>
          <cell r="U715">
            <v>0.13714999999999999</v>
          </cell>
          <cell r="V715">
            <v>4500</v>
          </cell>
          <cell r="W715">
            <v>500</v>
          </cell>
          <cell r="X715">
            <v>1</v>
          </cell>
          <cell r="Y715" t="str">
            <v>Y</v>
          </cell>
          <cell r="Z715">
            <v>617.17499999999995</v>
          </cell>
          <cell r="AA715">
            <v>135.09000000000015</v>
          </cell>
          <cell r="AB715">
            <v>0.32725369384458947</v>
          </cell>
          <cell r="AD715">
            <v>1062721</v>
          </cell>
          <cell r="AE715" t="str">
            <v>POV0067238</v>
          </cell>
          <cell r="AF715" t="str">
            <v>JH</v>
          </cell>
        </row>
        <row r="716">
          <cell r="A716" t="str">
            <v>630-122889-001</v>
          </cell>
          <cell r="B716" t="str">
            <v>IC,SMD,OP AMP INSTR 1MHZ 8MSOP</v>
          </cell>
          <cell r="C716" t="str">
            <v>IC</v>
          </cell>
          <cell r="D716">
            <v>25</v>
          </cell>
          <cell r="E716">
            <v>2</v>
          </cell>
          <cell r="F716" t="str">
            <v>3 Weeks</v>
          </cell>
          <cell r="G716">
            <v>2500</v>
          </cell>
          <cell r="H716">
            <v>1.3848149999999999</v>
          </cell>
          <cell r="I716">
            <v>3462.0374999999999</v>
          </cell>
          <cell r="J716">
            <v>1.6887987804878049</v>
          </cell>
          <cell r="K716">
            <v>759.95945121951218</v>
          </cell>
          <cell r="L716">
            <v>4221.9969512195121</v>
          </cell>
          <cell r="O716"/>
          <cell r="Q716">
            <v>1</v>
          </cell>
          <cell r="R716" t="str">
            <v>INA826AIDGKR</v>
          </cell>
          <cell r="S716" t="str">
            <v>Texas Instruments</v>
          </cell>
          <cell r="T716" t="str">
            <v>TI Store</v>
          </cell>
          <cell r="U716">
            <v>1.0569999999999999</v>
          </cell>
          <cell r="V716">
            <v>2500</v>
          </cell>
          <cell r="W716">
            <v>0</v>
          </cell>
          <cell r="X716">
            <v>2</v>
          </cell>
          <cell r="Y716" t="str">
            <v>Y</v>
          </cell>
          <cell r="Z716">
            <v>2642.5</v>
          </cell>
          <cell r="AA716">
            <v>819.53749999999991</v>
          </cell>
          <cell r="AB716">
            <v>0.37411134339243868</v>
          </cell>
          <cell r="AD716">
            <v>1062721</v>
          </cell>
          <cell r="AE716" t="str">
            <v xml:space="preserve">POV0067239 </v>
          </cell>
          <cell r="AF716" t="str">
            <v>JH</v>
          </cell>
        </row>
        <row r="717">
          <cell r="A717" t="str">
            <v>615-A00424-191</v>
          </cell>
          <cell r="B717" t="str">
            <v>RES,SMD,19.1KOHM,0.1%,1/16W,0402</v>
          </cell>
          <cell r="C717" t="str">
            <v>RES</v>
          </cell>
          <cell r="D717">
            <v>15</v>
          </cell>
          <cell r="E717">
            <v>1</v>
          </cell>
          <cell r="F717" t="str">
            <v>27 Weeks</v>
          </cell>
          <cell r="G717">
            <v>10000</v>
          </cell>
          <cell r="H717">
            <v>4.1116E-2</v>
          </cell>
          <cell r="I717">
            <v>411.16</v>
          </cell>
          <cell r="J717">
            <v>5.0141463414634151E-2</v>
          </cell>
          <cell r="K717">
            <v>90.254634146341516</v>
          </cell>
          <cell r="L717">
            <v>501.41463414634148</v>
          </cell>
          <cell r="O717"/>
          <cell r="Q717">
            <v>2</v>
          </cell>
          <cell r="R717" t="str">
            <v>RT0402BRD0719K1L</v>
          </cell>
          <cell r="S717" t="str">
            <v>Yageo</v>
          </cell>
          <cell r="T717" t="str">
            <v>Avnet</v>
          </cell>
          <cell r="U717">
            <v>2.2440000000000002E-2</v>
          </cell>
          <cell r="V717">
            <v>10000</v>
          </cell>
          <cell r="W717">
            <v>0</v>
          </cell>
          <cell r="X717">
            <v>1</v>
          </cell>
          <cell r="Y717" t="str">
            <v>Y</v>
          </cell>
          <cell r="Z717">
            <v>224.4</v>
          </cell>
          <cell r="AA717">
            <v>186.76000000000002</v>
          </cell>
          <cell r="AB717">
            <v>0.55246619320945611</v>
          </cell>
          <cell r="AD717">
            <v>1062721</v>
          </cell>
          <cell r="AE717" t="str">
            <v>POV0067238</v>
          </cell>
          <cell r="AF717" t="str">
            <v>JH</v>
          </cell>
        </row>
        <row r="718">
          <cell r="A718" t="str">
            <v>630-346019-001</v>
          </cell>
          <cell r="B718" t="str">
            <v>IC,SMD,BUCK CONV,4.5-17VIN,8A,18-VQFN</v>
          </cell>
          <cell r="C718" t="str">
            <v>IC</v>
          </cell>
          <cell r="D718">
            <v>25</v>
          </cell>
          <cell r="E718">
            <v>2</v>
          </cell>
          <cell r="F718" t="str">
            <v>9 Weeks</v>
          </cell>
          <cell r="G718">
            <v>3000</v>
          </cell>
          <cell r="H718">
            <v>1.2500100000000001</v>
          </cell>
          <cell r="I718">
            <v>3750.03</v>
          </cell>
          <cell r="J718">
            <v>1.5244024390243904</v>
          </cell>
          <cell r="K718">
            <v>823.1773170731708</v>
          </cell>
          <cell r="L718">
            <v>4573.207317073171</v>
          </cell>
          <cell r="O718"/>
          <cell r="Q718">
            <v>2</v>
          </cell>
          <cell r="R718" t="str">
            <v>TPS568215RNNR</v>
          </cell>
          <cell r="S718" t="str">
            <v>Texas Instruments</v>
          </cell>
          <cell r="T718" t="str">
            <v>TI Store</v>
          </cell>
          <cell r="U718">
            <v>0.95</v>
          </cell>
          <cell r="V718">
            <v>3000</v>
          </cell>
          <cell r="W718">
            <v>0</v>
          </cell>
          <cell r="X718">
            <v>2</v>
          </cell>
          <cell r="Y718" t="str">
            <v>Y</v>
          </cell>
          <cell r="Z718">
            <v>2850</v>
          </cell>
          <cell r="AA718">
            <v>900.0300000000002</v>
          </cell>
          <cell r="AB718">
            <v>0.37680498556011555</v>
          </cell>
          <cell r="AD718">
            <v>1062721</v>
          </cell>
          <cell r="AE718" t="str">
            <v xml:space="preserve">POV0067239 </v>
          </cell>
          <cell r="AF718" t="str">
            <v>JH</v>
          </cell>
        </row>
        <row r="719">
          <cell r="A719" t="str">
            <v>630-148462-001</v>
          </cell>
          <cell r="B719" t="str">
            <v>IC,SMD,F/V CONVERTOR</v>
          </cell>
          <cell r="C719" t="str">
            <v>IC</v>
          </cell>
          <cell r="D719">
            <v>25</v>
          </cell>
          <cell r="E719">
            <v>1</v>
          </cell>
          <cell r="F719" t="str">
            <v>9 Weeks</v>
          </cell>
          <cell r="G719">
            <v>2500</v>
          </cell>
          <cell r="H719">
            <v>0.91912499999999997</v>
          </cell>
          <cell r="I719">
            <v>2297.8125</v>
          </cell>
          <cell r="J719">
            <v>1.1208841463414634</v>
          </cell>
          <cell r="K719">
            <v>504.39786585365891</v>
          </cell>
          <cell r="L719">
            <v>2802.2103658536585</v>
          </cell>
          <cell r="O719"/>
          <cell r="Q719">
            <v>1</v>
          </cell>
          <cell r="R719" t="str">
            <v>LM2907MX-8/NOPB</v>
          </cell>
          <cell r="S719" t="str">
            <v>TEXAS INSTRUMENTS</v>
          </cell>
          <cell r="T719" t="str">
            <v>TI Store</v>
          </cell>
          <cell r="U719">
            <v>0.72099999999999997</v>
          </cell>
          <cell r="V719">
            <v>2500</v>
          </cell>
          <cell r="W719">
            <v>0</v>
          </cell>
          <cell r="X719">
            <v>2</v>
          </cell>
          <cell r="Y719" t="str">
            <v>Y</v>
          </cell>
          <cell r="Z719">
            <v>1802.5</v>
          </cell>
          <cell r="AA719">
            <v>495.3125</v>
          </cell>
          <cell r="AB719">
            <v>0.35675778593771246</v>
          </cell>
          <cell r="AD719">
            <v>1062721</v>
          </cell>
          <cell r="AE719" t="str">
            <v xml:space="preserve">POV0067239 </v>
          </cell>
          <cell r="AF719" t="str">
            <v>JH</v>
          </cell>
        </row>
        <row r="720">
          <cell r="A720" t="str">
            <v>630-116956-001</v>
          </cell>
          <cell r="B720" t="str">
            <v>IC,SMD,2.5V REF SUPPLY</v>
          </cell>
          <cell r="C720" t="str">
            <v>IC</v>
          </cell>
          <cell r="D720">
            <v>15</v>
          </cell>
          <cell r="E720">
            <v>2</v>
          </cell>
          <cell r="F720" t="str">
            <v>3 Weeks</v>
          </cell>
          <cell r="G720">
            <v>2500</v>
          </cell>
          <cell r="H720">
            <v>1.5931500000000001</v>
          </cell>
          <cell r="I720">
            <v>3982.875</v>
          </cell>
          <cell r="J720">
            <v>1.9428658536585368</v>
          </cell>
          <cell r="K720">
            <v>874.289634146342</v>
          </cell>
          <cell r="L720">
            <v>4857.164634146342</v>
          </cell>
          <cell r="O720"/>
          <cell r="Q720">
            <v>1</v>
          </cell>
          <cell r="R720" t="str">
            <v>REF5025AIDR</v>
          </cell>
          <cell r="S720" t="str">
            <v>Texas Instruments</v>
          </cell>
          <cell r="T720" t="str">
            <v>TI Store</v>
          </cell>
          <cell r="U720">
            <v>1.21</v>
          </cell>
          <cell r="V720">
            <v>2500</v>
          </cell>
          <cell r="W720">
            <v>0</v>
          </cell>
          <cell r="X720">
            <v>2</v>
          </cell>
          <cell r="Y720" t="str">
            <v>Y</v>
          </cell>
          <cell r="Z720">
            <v>3025</v>
          </cell>
          <cell r="AA720">
            <v>957.875</v>
          </cell>
          <cell r="AB720">
            <v>0.37720867463829522</v>
          </cell>
          <cell r="AD720">
            <v>1062721</v>
          </cell>
          <cell r="AE720" t="str">
            <v xml:space="preserve">POV0067239 </v>
          </cell>
          <cell r="AF720" t="str">
            <v>JH</v>
          </cell>
        </row>
        <row r="721">
          <cell r="A721" t="str">
            <v>609-088967-001</v>
          </cell>
          <cell r="B721" t="str">
            <v>DIO,SMD,SCHOTTKY,5A,40V,ROHS</v>
          </cell>
          <cell r="C721" t="str">
            <v>DIO</v>
          </cell>
          <cell r="D721">
            <v>15</v>
          </cell>
          <cell r="E721">
            <v>1</v>
          </cell>
          <cell r="F721" t="str">
            <v>19 Weeks</v>
          </cell>
          <cell r="G721">
            <v>2500</v>
          </cell>
          <cell r="H721">
            <v>0.219365</v>
          </cell>
          <cell r="I721">
            <v>548.41250000000002</v>
          </cell>
          <cell r="J721">
            <v>0.26751829268292687</v>
          </cell>
          <cell r="K721">
            <v>120.38323170731712</v>
          </cell>
          <cell r="L721">
            <v>668.79573170731715</v>
          </cell>
          <cell r="O721"/>
          <cell r="Q721">
            <v>1</v>
          </cell>
          <cell r="R721" t="str">
            <v>MBRS540T3G</v>
          </cell>
          <cell r="S721" t="str">
            <v>On Semiconductor</v>
          </cell>
          <cell r="T721" t="str">
            <v>Avnet</v>
          </cell>
          <cell r="U721">
            <v>0.17760000000000001</v>
          </cell>
          <cell r="V721">
            <v>2500</v>
          </cell>
          <cell r="W721">
            <v>0</v>
          </cell>
          <cell r="X721">
            <v>1</v>
          </cell>
          <cell r="Y721" t="str">
            <v>Y</v>
          </cell>
          <cell r="Z721">
            <v>444</v>
          </cell>
          <cell r="AA721">
            <v>104.41250000000002</v>
          </cell>
          <cell r="AB721">
            <v>0.33612016502176745</v>
          </cell>
          <cell r="AD721">
            <v>1062721</v>
          </cell>
          <cell r="AE721" t="str">
            <v>POV0067238</v>
          </cell>
          <cell r="AF721" t="str">
            <v>JH</v>
          </cell>
        </row>
        <row r="722">
          <cell r="A722" t="str">
            <v>630-A39011-001</v>
          </cell>
          <cell r="B722" t="str">
            <v>IC,SMD,E-FUSE,60V,6A,HTSSOP-20</v>
          </cell>
          <cell r="C722" t="str">
            <v>IC</v>
          </cell>
          <cell r="D722">
            <v>15</v>
          </cell>
          <cell r="E722">
            <v>2</v>
          </cell>
          <cell r="F722" t="str">
            <v>74 Weeks</v>
          </cell>
          <cell r="G722">
            <v>2000</v>
          </cell>
          <cell r="H722">
            <v>1.7892300000000001</v>
          </cell>
          <cell r="I722">
            <v>3578.46</v>
          </cell>
          <cell r="J722">
            <v>2.181987804878049</v>
          </cell>
          <cell r="K722">
            <v>785.51560975609755</v>
          </cell>
          <cell r="L722">
            <v>4363.9756097560976</v>
          </cell>
          <cell r="O722"/>
          <cell r="Q722">
            <v>1</v>
          </cell>
          <cell r="R722" t="str">
            <v>TPS16630PWPT</v>
          </cell>
          <cell r="S722" t="str">
            <v>Texas Instruments</v>
          </cell>
          <cell r="T722" t="str">
            <v>TI Store</v>
          </cell>
          <cell r="U722">
            <v>1.6379999999999999</v>
          </cell>
          <cell r="V722">
            <v>2000</v>
          </cell>
          <cell r="W722">
            <v>0</v>
          </cell>
          <cell r="X722">
            <v>2</v>
          </cell>
          <cell r="Y722" t="str">
            <v>Y</v>
          </cell>
          <cell r="Z722">
            <v>3276</v>
          </cell>
          <cell r="AA722">
            <v>302.46000000000004</v>
          </cell>
          <cell r="AB722">
            <v>0.24930836169748993</v>
          </cell>
          <cell r="AD722">
            <v>1062721</v>
          </cell>
          <cell r="AE722" t="str">
            <v xml:space="preserve">POV0067239 </v>
          </cell>
          <cell r="AF722" t="str">
            <v>JH</v>
          </cell>
        </row>
        <row r="723">
          <cell r="A723" t="str">
            <v>630-332743-001</v>
          </cell>
          <cell r="B723" t="str">
            <v>IC,SMD,8 INPUT,NAND,14PIN,4.5-5.5V,SOIC</v>
          </cell>
          <cell r="C723" t="str">
            <v>IC</v>
          </cell>
          <cell r="D723">
            <v>15</v>
          </cell>
          <cell r="E723">
            <v>1</v>
          </cell>
          <cell r="F723" t="str">
            <v>15 Weeks</v>
          </cell>
          <cell r="G723">
            <v>500</v>
          </cell>
          <cell r="H723">
            <v>1.4705999999999999</v>
          </cell>
          <cell r="I723">
            <v>735.3</v>
          </cell>
          <cell r="J723">
            <v>1.7934146341463415</v>
          </cell>
          <cell r="K723">
            <v>161.40731707317082</v>
          </cell>
          <cell r="L723">
            <v>896.70731707317077</v>
          </cell>
          <cell r="O723"/>
          <cell r="Q723">
            <v>1</v>
          </cell>
          <cell r="R723" t="str">
            <v>74ACT11030D</v>
          </cell>
          <cell r="S723" t="str">
            <v>Texas Instruments</v>
          </cell>
          <cell r="T723" t="str">
            <v>TI Store</v>
          </cell>
          <cell r="U723">
            <v>1.431</v>
          </cell>
          <cell r="V723">
            <v>500</v>
          </cell>
          <cell r="W723">
            <v>0</v>
          </cell>
          <cell r="X723">
            <v>2</v>
          </cell>
          <cell r="Y723" t="str">
            <v>Y</v>
          </cell>
          <cell r="Z723">
            <v>715.5</v>
          </cell>
          <cell r="AA723">
            <v>19.799999999999955</v>
          </cell>
          <cell r="AB723">
            <v>0.20208078335373325</v>
          </cell>
          <cell r="AD723">
            <v>1062721</v>
          </cell>
          <cell r="AE723" t="str">
            <v xml:space="preserve">POV0067239 </v>
          </cell>
          <cell r="AF723" t="str">
            <v>JH</v>
          </cell>
        </row>
        <row r="724">
          <cell r="A724" t="str">
            <v>668-327250-001</v>
          </cell>
          <cell r="B724" t="str">
            <v>CONN,RCPT,DSUB,HD,R/A,15P,3A</v>
          </cell>
          <cell r="C724" t="str">
            <v>CONN</v>
          </cell>
          <cell r="D724">
            <v>25</v>
          </cell>
          <cell r="E724">
            <v>1</v>
          </cell>
          <cell r="F724" t="str">
            <v>17 Weeks</v>
          </cell>
          <cell r="G724">
            <v>300</v>
          </cell>
          <cell r="H724">
            <v>1.458345</v>
          </cell>
          <cell r="I724">
            <v>437.50349999999997</v>
          </cell>
          <cell r="J724">
            <v>1.7784695121951222</v>
          </cell>
          <cell r="K724">
            <v>96.037353658536574</v>
          </cell>
          <cell r="L724">
            <v>533.54085365853666</v>
          </cell>
          <cell r="O724"/>
          <cell r="Q724">
            <v>1</v>
          </cell>
          <cell r="R724" t="str">
            <v>ICD15S13E6GV00LF</v>
          </cell>
          <cell r="S724" t="str">
            <v>FCI Connectors</v>
          </cell>
          <cell r="T724" t="str">
            <v>Avnet</v>
          </cell>
          <cell r="U724">
            <v>1.25736</v>
          </cell>
          <cell r="V724">
            <v>300</v>
          </cell>
          <cell r="W724">
            <v>0</v>
          </cell>
          <cell r="X724">
            <v>1</v>
          </cell>
          <cell r="Y724" t="str">
            <v>Y</v>
          </cell>
          <cell r="Z724">
            <v>377.20800000000003</v>
          </cell>
          <cell r="AA724">
            <v>60.295499999999947</v>
          </cell>
          <cell r="AB724">
            <v>0.29301009020499269</v>
          </cell>
          <cell r="AD724">
            <v>1062721</v>
          </cell>
          <cell r="AE724" t="str">
            <v>POV0067238</v>
          </cell>
          <cell r="AF724" t="str">
            <v>JH</v>
          </cell>
        </row>
        <row r="725">
          <cell r="A725" t="str">
            <v>630-089742-001</v>
          </cell>
          <cell r="B725" t="str">
            <v>IC,SMD,INA128U</v>
          </cell>
          <cell r="C725" t="str">
            <v>IC</v>
          </cell>
          <cell r="D725">
            <v>15</v>
          </cell>
          <cell r="E725">
            <v>3</v>
          </cell>
          <cell r="F725" t="str">
            <v>3 Weeks</v>
          </cell>
          <cell r="G725">
            <v>225</v>
          </cell>
          <cell r="H725">
            <v>7.8432000000000004</v>
          </cell>
          <cell r="I725">
            <v>1764.72</v>
          </cell>
          <cell r="J725">
            <v>9.5648780487804892</v>
          </cell>
          <cell r="K725">
            <v>387.37756097561009</v>
          </cell>
          <cell r="L725">
            <v>2152.0975609756101</v>
          </cell>
          <cell r="O725"/>
          <cell r="Q725">
            <v>1</v>
          </cell>
          <cell r="R725" t="str">
            <v>INA128U/2K5</v>
          </cell>
          <cell r="S725" t="str">
            <v>Texas Instruments</v>
          </cell>
          <cell r="T725" t="str">
            <v>TI Store</v>
          </cell>
          <cell r="U725">
            <v>6.7430000000000003</v>
          </cell>
          <cell r="V725">
            <v>250</v>
          </cell>
          <cell r="W725">
            <v>-25</v>
          </cell>
          <cell r="X725">
            <v>2</v>
          </cell>
          <cell r="Y725" t="str">
            <v>Y</v>
          </cell>
          <cell r="Z725">
            <v>1685.75</v>
          </cell>
          <cell r="AA725">
            <v>78.970000000000027</v>
          </cell>
          <cell r="AB725">
            <v>0.21669443311120196</v>
          </cell>
          <cell r="AD725">
            <v>1062721</v>
          </cell>
          <cell r="AE725" t="str">
            <v xml:space="preserve">POV0067239 </v>
          </cell>
          <cell r="AF725" t="str">
            <v>JH</v>
          </cell>
        </row>
        <row r="726">
          <cell r="A726" t="str">
            <v>626-A73824-001</v>
          </cell>
          <cell r="B726" t="str">
            <v>XSTR,SMD,MOSFET,N-CHAN,40V,80A,TDSON-8</v>
          </cell>
          <cell r="C726" t="str">
            <v>XSTR</v>
          </cell>
          <cell r="D726">
            <v>25</v>
          </cell>
          <cell r="E726">
            <v>1</v>
          </cell>
          <cell r="F726" t="str">
            <v>21 Weeks</v>
          </cell>
          <cell r="G726">
            <v>5000</v>
          </cell>
          <cell r="H726">
            <v>0.34314</v>
          </cell>
          <cell r="I726">
            <v>1715.7</v>
          </cell>
          <cell r="J726">
            <v>0.41846341463414638</v>
          </cell>
          <cell r="K726">
            <v>376.61707317073183</v>
          </cell>
          <cell r="L726">
            <v>2092.3170731707319</v>
          </cell>
          <cell r="O726"/>
          <cell r="Q726">
            <v>1</v>
          </cell>
          <cell r="R726" t="str">
            <v>IAUC80N04S6L032ATMA1</v>
          </cell>
          <cell r="S726" t="str">
            <v>Infineon Technologies</v>
          </cell>
          <cell r="T726" t="str">
            <v>Rochester</v>
          </cell>
          <cell r="U726">
            <v>0.38879999999999998</v>
          </cell>
          <cell r="V726">
            <v>5000</v>
          </cell>
          <cell r="W726">
            <v>0</v>
          </cell>
          <cell r="X726">
            <v>1</v>
          </cell>
          <cell r="Y726" t="str">
            <v>Y</v>
          </cell>
          <cell r="Z726">
            <v>1944</v>
          </cell>
          <cell r="AA726">
            <v>-228.29999999999995</v>
          </cell>
          <cell r="AB726" t="str">
            <v/>
          </cell>
          <cell r="AC726" t="str">
            <v>JH</v>
          </cell>
          <cell r="AD726">
            <v>1062721</v>
          </cell>
          <cell r="AE726" t="str">
            <v>POV0067246</v>
          </cell>
          <cell r="AF726" t="str">
            <v>ES</v>
          </cell>
        </row>
        <row r="727">
          <cell r="A727" t="str">
            <v>628-A20933-001</v>
          </cell>
          <cell r="B727" t="str">
            <v>MOSFET,SMD,N-CH,30V,53A,TDSON-8</v>
          </cell>
          <cell r="C727" t="str">
            <v>MOSFET</v>
          </cell>
          <cell r="D727">
            <v>15</v>
          </cell>
          <cell r="E727">
            <v>1</v>
          </cell>
          <cell r="F727" t="str">
            <v>3 Weeks</v>
          </cell>
          <cell r="G727">
            <v>5000</v>
          </cell>
          <cell r="H727">
            <v>0.298483</v>
          </cell>
          <cell r="I727">
            <v>1492.415</v>
          </cell>
          <cell r="J727">
            <v>0.36400365853658539</v>
          </cell>
          <cell r="K727">
            <v>327.60329268292685</v>
          </cell>
          <cell r="L727">
            <v>1820.018292682927</v>
          </cell>
          <cell r="O727"/>
          <cell r="Q727">
            <v>1</v>
          </cell>
          <cell r="R727" t="str">
            <v>BSC080N03LSGATMA1</v>
          </cell>
          <cell r="S727" t="str">
            <v>INFINEON</v>
          </cell>
          <cell r="T727" t="str">
            <v>Rochester</v>
          </cell>
          <cell r="U727">
            <v>0.32400000000000001</v>
          </cell>
          <cell r="V727">
            <v>5000</v>
          </cell>
          <cell r="W727">
            <v>0</v>
          </cell>
          <cell r="X727">
            <v>2</v>
          </cell>
          <cell r="Y727" t="str">
            <v>Y</v>
          </cell>
          <cell r="Z727">
            <v>1620</v>
          </cell>
          <cell r="AA727">
            <v>-127.58500000000004</v>
          </cell>
          <cell r="AB727" t="str">
            <v/>
          </cell>
          <cell r="AC727" t="str">
            <v>JH</v>
          </cell>
          <cell r="AD727">
            <v>1062721</v>
          </cell>
          <cell r="AE727" t="str">
            <v>POV0067246</v>
          </cell>
          <cell r="AF727" t="str">
            <v>ES</v>
          </cell>
        </row>
        <row r="728">
          <cell r="A728" t="str">
            <v>618-B36776-250</v>
          </cell>
          <cell r="B728" t="str">
            <v>RES,THK FILM,25 OHM,5%,200W,SOT227</v>
          </cell>
          <cell r="C728" t="str">
            <v>RES</v>
          </cell>
          <cell r="D728">
            <v>25</v>
          </cell>
          <cell r="E728" t="str">
            <v>N/A</v>
          </cell>
          <cell r="F728" t="str">
            <v>20 Weeks</v>
          </cell>
          <cell r="G728">
            <v>50</v>
          </cell>
          <cell r="H728">
            <v>45.821444999999997</v>
          </cell>
          <cell r="I728">
            <v>2291.0722499999997</v>
          </cell>
          <cell r="J728">
            <v>55.879810975609757</v>
          </cell>
          <cell r="K728">
            <v>502.91829878048793</v>
          </cell>
          <cell r="L728">
            <v>2793.9905487804881</v>
          </cell>
          <cell r="O728"/>
          <cell r="Q728">
            <v>1</v>
          </cell>
          <cell r="R728" t="str">
            <v>TGHLV25R0JE</v>
          </cell>
          <cell r="S728" t="str">
            <v>Ohmite</v>
          </cell>
          <cell r="T728" t="str">
            <v>Master Electronics</v>
          </cell>
          <cell r="U728">
            <v>42.12</v>
          </cell>
          <cell r="V728">
            <v>50</v>
          </cell>
          <cell r="W728">
            <v>0</v>
          </cell>
          <cell r="X728">
            <v>1</v>
          </cell>
          <cell r="Y728" t="str">
            <v>Y</v>
          </cell>
          <cell r="Z728">
            <v>2106</v>
          </cell>
          <cell r="AA728">
            <v>185.07224999999971</v>
          </cell>
          <cell r="AB728">
            <v>0.24623939729530575</v>
          </cell>
          <cell r="AC728" t="str">
            <v>JH</v>
          </cell>
          <cell r="AD728">
            <v>1062721</v>
          </cell>
          <cell r="AE728" t="str">
            <v>POV0067256</v>
          </cell>
          <cell r="AF728" t="str">
            <v>JH</v>
          </cell>
        </row>
        <row r="729">
          <cell r="A729" t="str">
            <v>667-204367-001</v>
          </cell>
          <cell r="B729" t="str">
            <v>CONN,SMD,VITA57.1 FMC MEZZ LPC, 160POS</v>
          </cell>
          <cell r="C729" t="str">
            <v>CONN</v>
          </cell>
          <cell r="D729">
            <v>25</v>
          </cell>
          <cell r="E729">
            <v>1</v>
          </cell>
          <cell r="F729" t="str">
            <v>6 Weeks</v>
          </cell>
          <cell r="G729">
            <v>200</v>
          </cell>
          <cell r="H729">
            <v>10.698615</v>
          </cell>
          <cell r="I729">
            <v>2139.723</v>
          </cell>
          <cell r="J729">
            <v>13.047091463414635</v>
          </cell>
          <cell r="K729">
            <v>469.69529268292717</v>
          </cell>
          <cell r="L729">
            <v>2609.4182926829271</v>
          </cell>
          <cell r="O729"/>
          <cell r="Q729">
            <v>1</v>
          </cell>
          <cell r="R729" t="str">
            <v>ASP-134604-01</v>
          </cell>
          <cell r="S729" t="str">
            <v>SAMTEC</v>
          </cell>
          <cell r="T729" t="str">
            <v>Master Electronics</v>
          </cell>
          <cell r="U729">
            <v>10.52</v>
          </cell>
          <cell r="V729">
            <v>200</v>
          </cell>
          <cell r="W729">
            <v>0</v>
          </cell>
          <cell r="X729">
            <v>1</v>
          </cell>
          <cell r="Y729" t="str">
            <v>Y</v>
          </cell>
          <cell r="Z729">
            <v>2104</v>
          </cell>
          <cell r="AA729">
            <v>35.722999999999956</v>
          </cell>
          <cell r="AB729">
            <v>0.19369002436296667</v>
          </cell>
          <cell r="AC729" t="str">
            <v>JH</v>
          </cell>
          <cell r="AD729">
            <v>1062721</v>
          </cell>
          <cell r="AE729" t="str">
            <v>POV0067256</v>
          </cell>
          <cell r="AF729" t="str">
            <v>JH</v>
          </cell>
        </row>
        <row r="730">
          <cell r="A730" t="str">
            <v>779-130536-001</v>
          </cell>
          <cell r="B730" t="str">
            <v>HTSK,TO-220,1.5IN</v>
          </cell>
          <cell r="C730" t="str">
            <v>HTSK</v>
          </cell>
          <cell r="D730">
            <v>15</v>
          </cell>
          <cell r="E730">
            <v>1</v>
          </cell>
          <cell r="F730" t="str">
            <v>9 Weeks</v>
          </cell>
          <cell r="G730">
            <v>240</v>
          </cell>
          <cell r="H730">
            <v>1.629915</v>
          </cell>
          <cell r="I730">
            <v>391.17959999999999</v>
          </cell>
          <cell r="J730">
            <v>1.9877012195121952</v>
          </cell>
          <cell r="K730">
            <v>85.868692682926849</v>
          </cell>
          <cell r="L730">
            <v>477.04829268292684</v>
          </cell>
          <cell r="M730" t="str">
            <v>CHINA</v>
          </cell>
          <cell r="N730" t="str">
            <v>8541900000</v>
          </cell>
          <cell r="O730">
            <v>0.35</v>
          </cell>
          <cell r="P730">
            <v>136.91285999999999</v>
          </cell>
          <cell r="Q730">
            <v>1</v>
          </cell>
          <cell r="R730" t="str">
            <v>532602B02500G</v>
          </cell>
          <cell r="S730" t="str">
            <v>Boyd Laconia LLC</v>
          </cell>
          <cell r="T730" t="str">
            <v>Master Electronics</v>
          </cell>
          <cell r="U730">
            <v>1.6870000000000001</v>
          </cell>
          <cell r="V730">
            <v>240</v>
          </cell>
          <cell r="W730">
            <v>0</v>
          </cell>
          <cell r="X730">
            <v>1</v>
          </cell>
          <cell r="Y730" t="str">
            <v>Y</v>
          </cell>
          <cell r="Z730">
            <v>404.88</v>
          </cell>
          <cell r="AA730">
            <v>-13.700400000000002</v>
          </cell>
          <cell r="AB730" t="str">
            <v/>
          </cell>
          <cell r="AC730" t="str">
            <v>JH</v>
          </cell>
          <cell r="AD730">
            <v>1062721</v>
          </cell>
          <cell r="AE730" t="str">
            <v>POV0067256</v>
          </cell>
          <cell r="AF730" t="str">
            <v>JH</v>
          </cell>
        </row>
        <row r="731">
          <cell r="A731" t="str">
            <v>648-A89447-120</v>
          </cell>
          <cell r="B731" t="str">
            <v>CAP,SMD,AL,ELCTLT,20%,50V,120UF,10MM DIA</v>
          </cell>
          <cell r="C731" t="str">
            <v>CAP</v>
          </cell>
          <cell r="D731">
            <v>25</v>
          </cell>
          <cell r="E731">
            <v>1</v>
          </cell>
          <cell r="F731" t="str">
            <v>3 Weeks</v>
          </cell>
          <cell r="G731">
            <v>400</v>
          </cell>
          <cell r="H731">
            <v>1.5421450000000001</v>
          </cell>
          <cell r="I731">
            <v>616.85800000000006</v>
          </cell>
          <cell r="J731">
            <v>1.8806646341463418</v>
          </cell>
          <cell r="K731">
            <v>135.40785365853662</v>
          </cell>
          <cell r="L731">
            <v>752.26585365853668</v>
          </cell>
          <cell r="O731"/>
          <cell r="Q731">
            <v>1</v>
          </cell>
          <cell r="R731" t="str">
            <v>50SVPK120M</v>
          </cell>
          <cell r="S731" t="str">
            <v>Panasonic</v>
          </cell>
          <cell r="T731" t="str">
            <v>Master Electronics</v>
          </cell>
          <cell r="U731">
            <v>1.0980000000000001</v>
          </cell>
          <cell r="V731">
            <v>400</v>
          </cell>
          <cell r="W731">
            <v>0</v>
          </cell>
          <cell r="X731">
            <v>1</v>
          </cell>
          <cell r="Y731" t="str">
            <v>Y</v>
          </cell>
          <cell r="Z731">
            <v>439.20000000000005</v>
          </cell>
          <cell r="AA731">
            <v>177.65800000000002</v>
          </cell>
          <cell r="AB731">
            <v>0.41616384970284892</v>
          </cell>
          <cell r="AC731" t="str">
            <v>JH</v>
          </cell>
          <cell r="AD731">
            <v>1062721</v>
          </cell>
          <cell r="AE731" t="str">
            <v>POV0067256</v>
          </cell>
          <cell r="AF731" t="str">
            <v>JH</v>
          </cell>
        </row>
        <row r="732">
          <cell r="A732" t="str">
            <v>649-A29466-001</v>
          </cell>
          <cell r="B732" t="str">
            <v>CAP,CER,DISC,0.01UF,±20%,6KV,Z5U,RDL</v>
          </cell>
          <cell r="C732" t="str">
            <v>CAP</v>
          </cell>
          <cell r="D732">
            <v>25</v>
          </cell>
          <cell r="E732">
            <v>1</v>
          </cell>
          <cell r="F732" t="str">
            <v>3 Weeks</v>
          </cell>
          <cell r="G732">
            <v>50</v>
          </cell>
          <cell r="H732">
            <v>4.4853300000000003</v>
          </cell>
          <cell r="I732">
            <v>224.26650000000001</v>
          </cell>
          <cell r="J732">
            <v>5.4699146341463418</v>
          </cell>
          <cell r="K732">
            <v>49.229231707317069</v>
          </cell>
          <cell r="L732">
            <v>273.49573170731708</v>
          </cell>
          <cell r="O732"/>
          <cell r="Q732">
            <v>1</v>
          </cell>
          <cell r="R732" t="str">
            <v>564R60GAS10</v>
          </cell>
          <cell r="S732" t="str">
            <v>Vishay</v>
          </cell>
          <cell r="T732" t="str">
            <v>Future</v>
          </cell>
          <cell r="U732">
            <v>3.05</v>
          </cell>
          <cell r="V732">
            <v>50</v>
          </cell>
          <cell r="W732">
            <v>0</v>
          </cell>
          <cell r="X732">
            <v>1</v>
          </cell>
          <cell r="Y732" t="str">
            <v>Y</v>
          </cell>
          <cell r="Z732">
            <v>152.5</v>
          </cell>
          <cell r="AA732">
            <v>71.766500000000008</v>
          </cell>
          <cell r="AB732">
            <v>0.44240446076431394</v>
          </cell>
          <cell r="AC732" t="str">
            <v>JH</v>
          </cell>
          <cell r="AD732">
            <v>1062721</v>
          </cell>
          <cell r="AE732" t="str">
            <v>POV0067262</v>
          </cell>
          <cell r="AF732" t="str">
            <v>JH</v>
          </cell>
        </row>
        <row r="733">
          <cell r="A733" t="str">
            <v>649-336799-001</v>
          </cell>
          <cell r="B733" t="str">
            <v>CAP,CER,22UF,25VDC,±10%TOL,X7S,INS CRP</v>
          </cell>
          <cell r="C733" t="str">
            <v>CAP</v>
          </cell>
          <cell r="D733">
            <v>25</v>
          </cell>
          <cell r="E733">
            <v>1</v>
          </cell>
          <cell r="F733" t="str">
            <v>15 Weeks</v>
          </cell>
          <cell r="G733">
            <v>500</v>
          </cell>
          <cell r="H733">
            <v>0.58088700000000004</v>
          </cell>
          <cell r="I733">
            <v>290.44350000000003</v>
          </cell>
          <cell r="J733">
            <v>0.70839878048780502</v>
          </cell>
          <cell r="K733">
            <v>63.755890243902456</v>
          </cell>
          <cell r="L733">
            <v>354.19939024390249</v>
          </cell>
          <cell r="O733"/>
          <cell r="Q733">
            <v>1</v>
          </cell>
          <cell r="R733" t="str">
            <v>RDEC71E226K3K1H03B</v>
          </cell>
          <cell r="S733" t="str">
            <v>Murata</v>
          </cell>
          <cell r="T733" t="str">
            <v>Future</v>
          </cell>
          <cell r="U733">
            <v>0.46</v>
          </cell>
          <cell r="V733">
            <v>500</v>
          </cell>
          <cell r="W733">
            <v>0</v>
          </cell>
          <cell r="X733">
            <v>1</v>
          </cell>
          <cell r="Y733" t="str">
            <v>Y</v>
          </cell>
          <cell r="Z733">
            <v>230</v>
          </cell>
          <cell r="AA733">
            <v>60.443500000000029</v>
          </cell>
          <cell r="AB733">
            <v>0.35064823278882129</v>
          </cell>
          <cell r="AC733" t="str">
            <v>JH</v>
          </cell>
          <cell r="AD733">
            <v>1062721</v>
          </cell>
          <cell r="AE733" t="str">
            <v>POV0067262</v>
          </cell>
          <cell r="AF733" t="str">
            <v>JH</v>
          </cell>
        </row>
        <row r="734">
          <cell r="A734" t="str">
            <v>628-277026-001</v>
          </cell>
          <cell r="B734" t="str">
            <v>MOSFET,SMD,P-CH,20V,6A,2.5W,SOT-23-3</v>
          </cell>
          <cell r="C734" t="str">
            <v>MOSFET</v>
          </cell>
          <cell r="D734">
            <v>25</v>
          </cell>
          <cell r="E734">
            <v>1</v>
          </cell>
          <cell r="F734" t="str">
            <v>3 Weeks</v>
          </cell>
          <cell r="G734">
            <v>3000</v>
          </cell>
          <cell r="H734">
            <v>0.15196200000000001</v>
          </cell>
          <cell r="I734">
            <v>455.88600000000002</v>
          </cell>
          <cell r="J734">
            <v>0.18531951219512197</v>
          </cell>
          <cell r="K734">
            <v>100.07253658536587</v>
          </cell>
          <cell r="L734">
            <v>555.95853658536589</v>
          </cell>
          <cell r="O734"/>
          <cell r="Q734">
            <v>1</v>
          </cell>
          <cell r="R734" t="str">
            <v>SI2399DS-T1-GE3</v>
          </cell>
          <cell r="S734" t="str">
            <v>Vishay / Siliconix</v>
          </cell>
          <cell r="T734" t="str">
            <v>Future</v>
          </cell>
          <cell r="U734">
            <v>0.13200000000000001</v>
          </cell>
          <cell r="V734">
            <v>3000</v>
          </cell>
          <cell r="W734">
            <v>0</v>
          </cell>
          <cell r="X734">
            <v>1</v>
          </cell>
          <cell r="Y734" t="str">
            <v>Y</v>
          </cell>
          <cell r="Z734">
            <v>396</v>
          </cell>
          <cell r="AA734">
            <v>59.886000000000024</v>
          </cell>
          <cell r="AB734">
            <v>0.28771666600860746</v>
          </cell>
          <cell r="AC734" t="str">
            <v>JH</v>
          </cell>
          <cell r="AD734">
            <v>1062721</v>
          </cell>
          <cell r="AE734" t="str">
            <v>POV0067262</v>
          </cell>
          <cell r="AF734" t="str">
            <v>JH</v>
          </cell>
        </row>
        <row r="735">
          <cell r="A735" t="str">
            <v>615-A14987-004</v>
          </cell>
          <cell r="B735" t="str">
            <v>RES,SMD,75K OHM,+/-1%,1/4W,100PPM,0603</v>
          </cell>
          <cell r="C735" t="str">
            <v>RES</v>
          </cell>
          <cell r="D735">
            <v>15</v>
          </cell>
          <cell r="E735">
            <v>1</v>
          </cell>
          <cell r="F735" t="str">
            <v>16 Weeks</v>
          </cell>
          <cell r="G735">
            <v>5000</v>
          </cell>
          <cell r="H735">
            <v>1.5932000000000002E-2</v>
          </cell>
          <cell r="I735">
            <v>79.660000000000011</v>
          </cell>
          <cell r="J735">
            <v>1.942926829268293E-2</v>
          </cell>
          <cell r="K735">
            <v>17.486341463414647</v>
          </cell>
          <cell r="L735">
            <v>97.146341463414643</v>
          </cell>
          <cell r="O735"/>
          <cell r="Q735">
            <v>1</v>
          </cell>
          <cell r="R735" t="str">
            <v>ESR03EZPF7502</v>
          </cell>
          <cell r="S735" t="str">
            <v>ROHM</v>
          </cell>
          <cell r="T735" t="str">
            <v>Future</v>
          </cell>
          <cell r="U735">
            <v>1.18E-2</v>
          </cell>
          <cell r="V735">
            <v>5000</v>
          </cell>
          <cell r="W735">
            <v>0</v>
          </cell>
          <cell r="X735">
            <v>1</v>
          </cell>
          <cell r="Y735" t="str">
            <v>Y</v>
          </cell>
          <cell r="Z735">
            <v>59</v>
          </cell>
          <cell r="AA735">
            <v>20.660000000000011</v>
          </cell>
          <cell r="AB735">
            <v>0.39266884258096912</v>
          </cell>
          <cell r="AC735" t="str">
            <v>JH</v>
          </cell>
          <cell r="AD735">
            <v>1062721</v>
          </cell>
          <cell r="AE735" t="str">
            <v>POV0067262</v>
          </cell>
          <cell r="AF735" t="str">
            <v>JH</v>
          </cell>
        </row>
        <row r="736">
          <cell r="A736" t="str">
            <v>668-061260-009</v>
          </cell>
          <cell r="B736" t="str">
            <v>CONN,HDR,PCB,ST,MINI-U M-N-LOK,9P,ROHS</v>
          </cell>
          <cell r="C736" t="str">
            <v>CONN</v>
          </cell>
          <cell r="D736">
            <v>15</v>
          </cell>
          <cell r="E736">
            <v>1</v>
          </cell>
          <cell r="F736" t="str">
            <v>8 Weeks</v>
          </cell>
          <cell r="G736">
            <v>200</v>
          </cell>
          <cell r="H736">
            <v>1.64</v>
          </cell>
          <cell r="I736">
            <v>328</v>
          </cell>
          <cell r="J736">
            <v>2</v>
          </cell>
          <cell r="K736">
            <v>72</v>
          </cell>
          <cell r="L736">
            <v>400</v>
          </cell>
          <cell r="O736"/>
          <cell r="Q736">
            <v>1</v>
          </cell>
          <cell r="R736" t="str">
            <v>1-770182-1</v>
          </cell>
          <cell r="S736" t="str">
            <v>TE CONNECTIVITY</v>
          </cell>
          <cell r="T736" t="str">
            <v>Arrow</v>
          </cell>
          <cell r="U736">
            <v>2.1040000000000001</v>
          </cell>
          <cell r="V736">
            <v>200</v>
          </cell>
          <cell r="W736">
            <v>0</v>
          </cell>
          <cell r="X736">
            <v>1</v>
          </cell>
          <cell r="Y736" t="str">
            <v>Y</v>
          </cell>
          <cell r="Z736">
            <v>420.8</v>
          </cell>
          <cell r="AA736">
            <v>-92.800000000000011</v>
          </cell>
          <cell r="AB736" t="str">
            <v/>
          </cell>
          <cell r="AC736" t="str">
            <v>JH</v>
          </cell>
          <cell r="AD736">
            <v>1062721</v>
          </cell>
          <cell r="AE736" t="str">
            <v>POV0067261</v>
          </cell>
          <cell r="AF736" t="str">
            <v>JH</v>
          </cell>
        </row>
        <row r="737">
          <cell r="A737" t="str">
            <v>615-162505-001</v>
          </cell>
          <cell r="B737" t="str">
            <v>RES,0805,TF,0.25W,0.05%,500 ROHS</v>
          </cell>
          <cell r="C737" t="str">
            <v>RES</v>
          </cell>
          <cell r="D737">
            <v>15</v>
          </cell>
          <cell r="E737">
            <v>1</v>
          </cell>
          <cell r="F737" t="str">
            <v>110 Weeks</v>
          </cell>
          <cell r="G737">
            <v>500</v>
          </cell>
          <cell r="H737">
            <v>2.0465849999999999</v>
          </cell>
          <cell r="I737">
            <v>1023.2924999999999</v>
          </cell>
          <cell r="J737">
            <v>2.4958353658536585</v>
          </cell>
          <cell r="K737">
            <v>224.62518292682932</v>
          </cell>
          <cell r="L737">
            <v>1247.9176829268292</v>
          </cell>
          <cell r="O737"/>
          <cell r="Q737">
            <v>1</v>
          </cell>
          <cell r="R737" t="str">
            <v>PLT0805Z5000AST5</v>
          </cell>
          <cell r="S737" t="str">
            <v>Vishay / Thin Film</v>
          </cell>
          <cell r="T737" t="str">
            <v>Arrow</v>
          </cell>
          <cell r="U737">
            <v>2.181</v>
          </cell>
          <cell r="V737">
            <v>500</v>
          </cell>
          <cell r="W737">
            <v>0</v>
          </cell>
          <cell r="X737">
            <v>1</v>
          </cell>
          <cell r="Y737" t="str">
            <v>Y</v>
          </cell>
          <cell r="Z737">
            <v>1090.5</v>
          </cell>
          <cell r="AA737">
            <v>-67.207500000000095</v>
          </cell>
          <cell r="AB737" t="str">
            <v/>
          </cell>
          <cell r="AC737" t="str">
            <v>JH</v>
          </cell>
          <cell r="AD737">
            <v>1062721</v>
          </cell>
          <cell r="AE737" t="str">
            <v>POV0067261</v>
          </cell>
          <cell r="AF737" t="str">
            <v>JH</v>
          </cell>
        </row>
        <row r="738">
          <cell r="A738" t="str">
            <v>626-232475-002</v>
          </cell>
          <cell r="B738" t="str">
            <v>XSTR,SMD,FIELD EFT,N-CH,40V,238A</v>
          </cell>
          <cell r="C738" t="str">
            <v>XSTR</v>
          </cell>
          <cell r="D738">
            <v>15</v>
          </cell>
          <cell r="E738">
            <v>1</v>
          </cell>
          <cell r="F738" t="str">
            <v>3 Weeks</v>
          </cell>
          <cell r="G738">
            <v>100</v>
          </cell>
          <cell r="H738">
            <v>1.6421699999999999</v>
          </cell>
          <cell r="I738">
            <v>164.21699999999998</v>
          </cell>
          <cell r="J738">
            <v>2.0026463414634148</v>
          </cell>
          <cell r="K738">
            <v>36.047634146341466</v>
          </cell>
          <cell r="L738">
            <v>200.26463414634148</v>
          </cell>
          <cell r="O738"/>
          <cell r="Q738">
            <v>1</v>
          </cell>
          <cell r="R738" t="str">
            <v>ISC012N04LM6ATMA1</v>
          </cell>
          <cell r="S738" t="str">
            <v>INFINEON</v>
          </cell>
          <cell r="T738" t="str">
            <v>Newark</v>
          </cell>
          <cell r="U738">
            <v>0.86899999999999999</v>
          </cell>
          <cell r="V738">
            <v>100</v>
          </cell>
          <cell r="W738">
            <v>0</v>
          </cell>
          <cell r="X738">
            <v>1</v>
          </cell>
          <cell r="Y738" t="str">
            <v>Y</v>
          </cell>
          <cell r="Z738">
            <v>86.9</v>
          </cell>
          <cell r="AA738">
            <v>77.316999999999979</v>
          </cell>
          <cell r="AB738">
            <v>0.56607415797390037</v>
          </cell>
          <cell r="AD738">
            <v>1062721</v>
          </cell>
          <cell r="AE738" t="str">
            <v>POV0067258</v>
          </cell>
          <cell r="AF738" t="str">
            <v>JH</v>
          </cell>
        </row>
        <row r="739">
          <cell r="A739" t="str">
            <v>631-B33254-001</v>
          </cell>
          <cell r="B739" t="str">
            <v>IC,OPTCPLR,PHOTO XSTR OUT,DIP-6</v>
          </cell>
          <cell r="C739" t="str">
            <v>IC</v>
          </cell>
          <cell r="D739">
            <v>25</v>
          </cell>
          <cell r="E739">
            <v>1</v>
          </cell>
          <cell r="F739" t="str">
            <v>27 Weeks</v>
          </cell>
          <cell r="G739">
            <v>2000</v>
          </cell>
          <cell r="H739">
            <v>0.125001</v>
          </cell>
          <cell r="I739">
            <v>250.00200000000001</v>
          </cell>
          <cell r="J739">
            <v>0.15244024390243904</v>
          </cell>
          <cell r="K739">
            <v>54.878487804878091</v>
          </cell>
          <cell r="L739">
            <v>304.8804878048781</v>
          </cell>
          <cell r="O739"/>
          <cell r="Q739">
            <v>1</v>
          </cell>
          <cell r="R739" t="str">
            <v>CNY17-2</v>
          </cell>
          <cell r="S739" t="str">
            <v>VISHAY</v>
          </cell>
          <cell r="T739" t="str">
            <v>Newark</v>
          </cell>
          <cell r="U739">
            <v>0.16900000000000001</v>
          </cell>
          <cell r="V739">
            <v>2000</v>
          </cell>
          <cell r="W739">
            <v>0</v>
          </cell>
          <cell r="X739">
            <v>1</v>
          </cell>
          <cell r="Y739" t="str">
            <v>Y</v>
          </cell>
          <cell r="Z739">
            <v>338</v>
          </cell>
          <cell r="AA739">
            <v>-87.99799999999999</v>
          </cell>
          <cell r="AB739" t="str">
            <v/>
          </cell>
          <cell r="AD739">
            <v>1062721</v>
          </cell>
          <cell r="AE739" t="str">
            <v>POV0067258</v>
          </cell>
          <cell r="AF739" t="str">
            <v>JH</v>
          </cell>
        </row>
        <row r="740">
          <cell r="A740" t="str">
            <v>609-117182-001</v>
          </cell>
          <cell r="B740" t="str">
            <v>DIO,SMD,ZENER,1W,10V</v>
          </cell>
          <cell r="C740" t="str">
            <v>DIO</v>
          </cell>
          <cell r="D740">
            <v>15</v>
          </cell>
          <cell r="E740">
            <v>1</v>
          </cell>
          <cell r="F740" t="str">
            <v>23 Weeks</v>
          </cell>
          <cell r="G740">
            <v>7500</v>
          </cell>
          <cell r="H740">
            <v>8.4909999999999999E-2</v>
          </cell>
          <cell r="I740">
            <v>636.82500000000005</v>
          </cell>
          <cell r="J740">
            <v>0.10354878048780489</v>
          </cell>
          <cell r="K740">
            <v>139.79085365853666</v>
          </cell>
          <cell r="L740">
            <v>776.61585365853671</v>
          </cell>
          <cell r="M740" t="str">
            <v>CHINA</v>
          </cell>
          <cell r="N740">
            <v>8541100050</v>
          </cell>
          <cell r="O740">
            <v>0.35</v>
          </cell>
          <cell r="P740">
            <v>222.88875000000002</v>
          </cell>
          <cell r="Q740">
            <v>1</v>
          </cell>
          <cell r="R740" t="str">
            <v>SMAJ4740A</v>
          </cell>
          <cell r="S740" t="str">
            <v>MULTICOMP PRO</v>
          </cell>
          <cell r="T740" t="str">
            <v>Newark</v>
          </cell>
          <cell r="U740">
            <v>2.1000000000000001E-2</v>
          </cell>
          <cell r="V740">
            <v>665</v>
          </cell>
          <cell r="W740">
            <v>6835</v>
          </cell>
          <cell r="X740" t="str">
            <v>665 stock; Newark shows as discontinued</v>
          </cell>
          <cell r="Y740" t="str">
            <v>Y</v>
          </cell>
          <cell r="Z740">
            <v>13.965000000000002</v>
          </cell>
          <cell r="AA740">
            <v>42.500149999999998</v>
          </cell>
          <cell r="AB740">
            <v>0.79719703215169002</v>
          </cell>
          <cell r="AD740">
            <v>1062721</v>
          </cell>
          <cell r="AE740" t="str">
            <v>POV0067258</v>
          </cell>
          <cell r="AF740" t="str">
            <v>JH</v>
          </cell>
        </row>
        <row r="741">
          <cell r="A741" t="str">
            <v>615-080142-200</v>
          </cell>
          <cell r="B741" t="str">
            <v>RES,1206,TF,0.1%,+/- 25 PPM,200 ROHS</v>
          </cell>
          <cell r="C741" t="str">
            <v>RES</v>
          </cell>
          <cell r="D741">
            <v>15</v>
          </cell>
          <cell r="E741">
            <v>1</v>
          </cell>
          <cell r="F741" t="str">
            <v>25 Weeks</v>
          </cell>
          <cell r="G741">
            <v>5000</v>
          </cell>
          <cell r="H741">
            <v>0.190247</v>
          </cell>
          <cell r="I741">
            <v>951.23500000000001</v>
          </cell>
          <cell r="J741">
            <v>0.23200853658536585</v>
          </cell>
          <cell r="K741">
            <v>208.80768292682944</v>
          </cell>
          <cell r="L741">
            <v>1160.0426829268292</v>
          </cell>
          <cell r="O741"/>
          <cell r="Q741">
            <v>1</v>
          </cell>
          <cell r="R741" t="str">
            <v>TNPW1206200RBEEA</v>
          </cell>
          <cell r="S741" t="str">
            <v>Vishay</v>
          </cell>
          <cell r="T741" t="str">
            <v>Future</v>
          </cell>
          <cell r="U741">
            <v>0.13100000000000001</v>
          </cell>
          <cell r="V741">
            <v>5000</v>
          </cell>
          <cell r="W741">
            <v>0</v>
          </cell>
          <cell r="Y741" t="str">
            <v>Y</v>
          </cell>
          <cell r="Z741">
            <v>655</v>
          </cell>
          <cell r="AA741">
            <v>296.23500000000001</v>
          </cell>
          <cell r="AB741">
            <v>0.43536560366260701</v>
          </cell>
          <cell r="AC741" t="str">
            <v>JH</v>
          </cell>
          <cell r="AD741">
            <v>1062721</v>
          </cell>
          <cell r="AE741" t="str">
            <v>POV0067262</v>
          </cell>
          <cell r="AF741" t="str">
            <v>JH</v>
          </cell>
        </row>
        <row r="742">
          <cell r="A742" t="str">
            <v>630-049539-002</v>
          </cell>
          <cell r="B742" t="str">
            <v>IC,SMD,QUAD CLK CNVTR</v>
          </cell>
          <cell r="C742" t="str">
            <v>IC</v>
          </cell>
          <cell r="D742">
            <v>15</v>
          </cell>
          <cell r="E742">
            <v>3</v>
          </cell>
          <cell r="F742" t="str">
            <v>3 Weeks</v>
          </cell>
          <cell r="G742">
            <v>94</v>
          </cell>
          <cell r="H742">
            <v>3.7531500000000007</v>
          </cell>
          <cell r="I742">
            <v>352.79610000000008</v>
          </cell>
          <cell r="J742">
            <v>4.5770121951219522</v>
          </cell>
          <cell r="K742">
            <v>77.443046341463457</v>
          </cell>
          <cell r="L742">
            <v>430.23914634146354</v>
          </cell>
          <cell r="O742"/>
          <cell r="Q742">
            <v>1</v>
          </cell>
          <cell r="R742" t="str">
            <v>LS7184NS</v>
          </cell>
          <cell r="S742" t="str">
            <v>LSI COMPUTER SYSTEMS, INC.</v>
          </cell>
          <cell r="T742" t="str">
            <v>Digikey</v>
          </cell>
          <cell r="U742">
            <v>3.13</v>
          </cell>
          <cell r="V742">
            <v>100</v>
          </cell>
          <cell r="W742">
            <v>-6</v>
          </cell>
          <cell r="X742">
            <v>3</v>
          </cell>
          <cell r="Y742" t="str">
            <v>Y</v>
          </cell>
          <cell r="Z742">
            <v>313</v>
          </cell>
          <cell r="AA742">
            <v>39.796100000000081</v>
          </cell>
          <cell r="AB742">
            <v>0.27249762681616962</v>
          </cell>
          <cell r="AC742" t="str">
            <v>JH</v>
          </cell>
          <cell r="AD742">
            <v>1062721</v>
          </cell>
          <cell r="AE742" t="str">
            <v>POV0067257</v>
          </cell>
          <cell r="AF742" t="str">
            <v>JH</v>
          </cell>
        </row>
        <row r="743">
          <cell r="A743" t="str">
            <v>615-B11215-001</v>
          </cell>
          <cell r="B743" t="str">
            <v>RES,SMD,50OHM,.1% TOL,1/16W,0402</v>
          </cell>
          <cell r="C743" t="str">
            <v>RES</v>
          </cell>
          <cell r="D743">
            <v>15</v>
          </cell>
          <cell r="E743">
            <v>1</v>
          </cell>
          <cell r="F743" t="str">
            <v>27 Weeks</v>
          </cell>
          <cell r="G743">
            <v>10000</v>
          </cell>
          <cell r="H743">
            <v>3.7108000000000002E-2</v>
          </cell>
          <cell r="I743">
            <v>371.08000000000004</v>
          </cell>
          <cell r="J743">
            <v>4.5253658536585369E-2</v>
          </cell>
          <cell r="K743">
            <v>81.456585365853698</v>
          </cell>
          <cell r="L743">
            <v>452.53658536585368</v>
          </cell>
          <cell r="O743"/>
          <cell r="Q743">
            <v>1</v>
          </cell>
          <cell r="R743" t="str">
            <v>RT0402BRE0750RL</v>
          </cell>
          <cell r="S743" t="str">
            <v>Yageo</v>
          </cell>
          <cell r="T743" t="str">
            <v>Digikey</v>
          </cell>
          <cell r="U743">
            <v>3.7659999999999999E-2</v>
          </cell>
          <cell r="V743">
            <v>10000</v>
          </cell>
          <cell r="W743">
            <v>0</v>
          </cell>
          <cell r="X743">
            <v>1</v>
          </cell>
          <cell r="Y743" t="str">
            <v>Y</v>
          </cell>
          <cell r="Z743">
            <v>376.59999999999997</v>
          </cell>
          <cell r="AA743">
            <v>-5.519999999999925</v>
          </cell>
          <cell r="AB743" t="str">
            <v/>
          </cell>
          <cell r="AC743" t="str">
            <v>JH</v>
          </cell>
          <cell r="AD743">
            <v>1062721</v>
          </cell>
          <cell r="AE743" t="str">
            <v>POV0067257</v>
          </cell>
          <cell r="AF743" t="str">
            <v>JH</v>
          </cell>
        </row>
        <row r="744">
          <cell r="A744" t="str">
            <v>615-220118-005</v>
          </cell>
          <cell r="B744" t="str">
            <v>RES,SMD,40.2K OHM,+/-1%,1/4W,HP,0805</v>
          </cell>
          <cell r="C744" t="str">
            <v>RES</v>
          </cell>
          <cell r="D744">
            <v>25</v>
          </cell>
          <cell r="E744">
            <v>1</v>
          </cell>
          <cell r="F744" t="str">
            <v>17 Weeks</v>
          </cell>
          <cell r="G744">
            <v>5000</v>
          </cell>
          <cell r="H744">
            <v>8.5789999999999998E-3</v>
          </cell>
          <cell r="I744">
            <v>42.894999999999996</v>
          </cell>
          <cell r="J744">
            <v>1.046219512195122E-2</v>
          </cell>
          <cell r="K744">
            <v>9.4159756097561029</v>
          </cell>
          <cell r="L744">
            <v>52.310975609756099</v>
          </cell>
          <cell r="O744"/>
          <cell r="Q744">
            <v>1</v>
          </cell>
          <cell r="R744" t="str">
            <v>RNCP0805FTD40K2</v>
          </cell>
          <cell r="S744" t="str">
            <v>Stackpole Electronics</v>
          </cell>
          <cell r="T744" t="str">
            <v>Digikey</v>
          </cell>
          <cell r="U744">
            <v>1.1039999999999999E-2</v>
          </cell>
          <cell r="V744">
            <v>5000</v>
          </cell>
          <cell r="W744">
            <v>0</v>
          </cell>
          <cell r="X744">
            <v>1</v>
          </cell>
          <cell r="Y744" t="str">
            <v>Y</v>
          </cell>
          <cell r="Z744">
            <v>55.199999999999996</v>
          </cell>
          <cell r="AA744">
            <v>-12.305</v>
          </cell>
          <cell r="AB744" t="str">
            <v/>
          </cell>
          <cell r="AC744" t="str">
            <v>JH</v>
          </cell>
          <cell r="AD744">
            <v>1062721</v>
          </cell>
          <cell r="AE744" t="str">
            <v>POV0067257</v>
          </cell>
          <cell r="AF744" t="str">
            <v>JH</v>
          </cell>
        </row>
        <row r="745">
          <cell r="A745" t="str">
            <v>615-162861-080</v>
          </cell>
          <cell r="B745" t="str">
            <v>RES,0805,TF,1/8W,0.1%,25PPM,240 ROHS</v>
          </cell>
          <cell r="C745" t="str">
            <v>RES</v>
          </cell>
          <cell r="D745">
            <v>15</v>
          </cell>
          <cell r="E745">
            <v>1</v>
          </cell>
          <cell r="F745" t="str">
            <v>22 Weeks</v>
          </cell>
          <cell r="G745">
            <v>5000</v>
          </cell>
          <cell r="H745">
            <v>5.0245999999999999E-2</v>
          </cell>
          <cell r="I745">
            <v>251.23</v>
          </cell>
          <cell r="J745">
            <v>6.1275609756097561E-2</v>
          </cell>
          <cell r="K745">
            <v>55.148048780487812</v>
          </cell>
          <cell r="L745">
            <v>306.3780487804878</v>
          </cell>
          <cell r="O745"/>
          <cell r="Q745">
            <v>2</v>
          </cell>
          <cell r="R745" t="str">
            <v>ERA-6AEB241V</v>
          </cell>
          <cell r="S745" t="str">
            <v>Panasonic</v>
          </cell>
          <cell r="T745" t="str">
            <v>Newark</v>
          </cell>
          <cell r="U745">
            <v>2.7E-2</v>
          </cell>
          <cell r="V745">
            <v>5000</v>
          </cell>
          <cell r="W745">
            <v>0</v>
          </cell>
          <cell r="X745">
            <v>1</v>
          </cell>
          <cell r="Y745" t="str">
            <v>Y</v>
          </cell>
          <cell r="Z745">
            <v>135</v>
          </cell>
          <cell r="AA745">
            <v>116.22999999999999</v>
          </cell>
          <cell r="AB745">
            <v>0.55936790988337382</v>
          </cell>
          <cell r="AD745">
            <v>1062721</v>
          </cell>
          <cell r="AE745" t="str">
            <v>POV0067258</v>
          </cell>
          <cell r="AF745" t="str">
            <v>JH</v>
          </cell>
        </row>
        <row r="746">
          <cell r="A746" t="str">
            <v>609-A71211-001</v>
          </cell>
          <cell r="B746" t="str">
            <v>DIO,SMD,SCHOTTKY,790MV,15A,TO-277-3</v>
          </cell>
          <cell r="C746" t="str">
            <v>DIO</v>
          </cell>
          <cell r="D746">
            <v>15</v>
          </cell>
          <cell r="E746">
            <v>1</v>
          </cell>
          <cell r="F746" t="str">
            <v>29 Weeks</v>
          </cell>
          <cell r="G746">
            <v>5000</v>
          </cell>
          <cell r="H746">
            <v>0.54534800000000005</v>
          </cell>
          <cell r="I746">
            <v>2726.7400000000002</v>
          </cell>
          <cell r="J746">
            <v>0.66505853658536596</v>
          </cell>
          <cell r="K746">
            <v>598.55268292682968</v>
          </cell>
          <cell r="L746">
            <v>3325.2926829268299</v>
          </cell>
          <cell r="O746"/>
          <cell r="Q746">
            <v>2</v>
          </cell>
          <cell r="R746" t="str">
            <v>FSV1550V</v>
          </cell>
          <cell r="S746" t="str">
            <v>On Semiconductor</v>
          </cell>
          <cell r="T746" t="str">
            <v>Flip Electronics</v>
          </cell>
          <cell r="U746">
            <v>0.46</v>
          </cell>
          <cell r="V746">
            <v>5000</v>
          </cell>
          <cell r="W746">
            <v>0</v>
          </cell>
          <cell r="X746">
            <v>2</v>
          </cell>
          <cell r="Y746" t="str">
            <v>Y</v>
          </cell>
          <cell r="Z746">
            <v>2300</v>
          </cell>
          <cell r="AA746">
            <v>426.74000000000024</v>
          </cell>
          <cell r="AB746">
            <v>0.30833156076486956</v>
          </cell>
          <cell r="AC746" t="str">
            <v>JH</v>
          </cell>
          <cell r="AD746">
            <v>1062721</v>
          </cell>
          <cell r="AE746" t="str">
            <v>POV0067260</v>
          </cell>
          <cell r="AF746" t="str">
            <v>JH</v>
          </cell>
        </row>
        <row r="747">
          <cell r="A747" t="str">
            <v>609-034003-013</v>
          </cell>
          <cell r="B747" t="str">
            <v>DIO,SMD,PWR,TVS,600W,13V,ROHS</v>
          </cell>
          <cell r="C747" t="str">
            <v>DIO</v>
          </cell>
          <cell r="D747">
            <v>25</v>
          </cell>
          <cell r="E747">
            <v>1</v>
          </cell>
          <cell r="F747" t="str">
            <v>15 Weeks</v>
          </cell>
          <cell r="G747">
            <v>3000</v>
          </cell>
          <cell r="H747">
            <v>9.0687000000000004E-2</v>
          </cell>
          <cell r="I747">
            <v>272.06100000000004</v>
          </cell>
          <cell r="J747">
            <v>0.11059390243902441</v>
          </cell>
          <cell r="K747">
            <v>59.72070731707322</v>
          </cell>
          <cell r="L747">
            <v>331.7817073170732</v>
          </cell>
          <cell r="O747"/>
          <cell r="Q747">
            <v>1</v>
          </cell>
          <cell r="R747" t="str">
            <v>SMBJ13A</v>
          </cell>
          <cell r="S747" t="str">
            <v>Littelfuse</v>
          </cell>
          <cell r="T747" t="str">
            <v>Future</v>
          </cell>
          <cell r="U747">
            <v>4.6899999999999997E-2</v>
          </cell>
          <cell r="V747">
            <v>3000</v>
          </cell>
          <cell r="W747">
            <v>0</v>
          </cell>
          <cell r="X747">
            <v>1</v>
          </cell>
          <cell r="Y747" t="str">
            <v>Y</v>
          </cell>
          <cell r="Z747">
            <v>140.69999999999999</v>
          </cell>
          <cell r="AA747">
            <v>131.36100000000005</v>
          </cell>
          <cell r="AB747">
            <v>0.57592598718669719</v>
          </cell>
          <cell r="AC747" t="str">
            <v>JH</v>
          </cell>
          <cell r="AD747">
            <v>1062721</v>
          </cell>
          <cell r="AE747" t="str">
            <v>POV0067262</v>
          </cell>
          <cell r="AF747" t="str">
            <v>JH</v>
          </cell>
        </row>
        <row r="748">
          <cell r="A748" t="str">
            <v>626-345771-001</v>
          </cell>
          <cell r="B748" t="str">
            <v>XSTR,SMD,FIELD EFT,N-CH,40V,49A,2.2M OHM</v>
          </cell>
          <cell r="C748" t="str">
            <v>XSTR</v>
          </cell>
          <cell r="D748">
            <v>25</v>
          </cell>
          <cell r="E748">
            <v>1</v>
          </cell>
          <cell r="F748" t="str">
            <v>36 Weeks</v>
          </cell>
          <cell r="G748">
            <v>3000</v>
          </cell>
          <cell r="H748">
            <v>1.1801569999999999</v>
          </cell>
          <cell r="I748">
            <v>3540.4709999999995</v>
          </cell>
          <cell r="J748">
            <v>1.4392158536585367</v>
          </cell>
          <cell r="K748">
            <v>777.1765609756103</v>
          </cell>
          <cell r="L748">
            <v>4317.6475609756098</v>
          </cell>
          <cell r="O748"/>
          <cell r="Q748">
            <v>1</v>
          </cell>
          <cell r="R748" t="str">
            <v>FDMS8460</v>
          </cell>
          <cell r="S748" t="str">
            <v>On Semiconductor</v>
          </cell>
          <cell r="T748" t="str">
            <v>Flip Electronics</v>
          </cell>
          <cell r="U748">
            <v>0.92</v>
          </cell>
          <cell r="V748">
            <v>3000</v>
          </cell>
          <cell r="W748">
            <v>0</v>
          </cell>
          <cell r="X748">
            <v>1</v>
          </cell>
          <cell r="Y748" t="str">
            <v>Y</v>
          </cell>
          <cell r="Z748">
            <v>2760</v>
          </cell>
          <cell r="AA748">
            <v>780.47099999999955</v>
          </cell>
          <cell r="AB748">
            <v>0.36076301712399284</v>
          </cell>
          <cell r="AC748" t="str">
            <v>JH</v>
          </cell>
          <cell r="AD748">
            <v>1062721</v>
          </cell>
          <cell r="AE748" t="str">
            <v>POV0067260</v>
          </cell>
          <cell r="AF748" t="str">
            <v>JH</v>
          </cell>
        </row>
        <row r="749">
          <cell r="A749" t="str">
            <v>609-066834-060</v>
          </cell>
          <cell r="B749" t="str">
            <v>DIO,SMD,SCHOTTKY,60V,2A</v>
          </cell>
          <cell r="C749" t="str">
            <v>DIO</v>
          </cell>
          <cell r="D749">
            <v>15</v>
          </cell>
          <cell r="E749">
            <v>1</v>
          </cell>
          <cell r="F749" t="str">
            <v>13 Weeks</v>
          </cell>
          <cell r="G749">
            <v>750</v>
          </cell>
          <cell r="H749">
            <v>0.116423</v>
          </cell>
          <cell r="I749">
            <v>87.317250000000001</v>
          </cell>
          <cell r="J749">
            <v>0.14197926829268293</v>
          </cell>
          <cell r="K749">
            <v>19.167201219512208</v>
          </cell>
          <cell r="L749">
            <v>106.4844512195122</v>
          </cell>
          <cell r="O749"/>
          <cell r="Q749">
            <v>2</v>
          </cell>
          <cell r="R749" t="str">
            <v>SS26T3G</v>
          </cell>
          <cell r="S749" t="str">
            <v>ONSEMI</v>
          </cell>
          <cell r="T749" t="str">
            <v>Digikey</v>
          </cell>
          <cell r="U749">
            <v>0.11847000000000001</v>
          </cell>
          <cell r="V749">
            <v>1000</v>
          </cell>
          <cell r="W749">
            <v>-250</v>
          </cell>
          <cell r="X749">
            <v>1</v>
          </cell>
          <cell r="Y749" t="str">
            <v>Y</v>
          </cell>
          <cell r="Z749">
            <v>118.47</v>
          </cell>
          <cell r="AA749">
            <v>-31.152749999999997</v>
          </cell>
          <cell r="AB749" t="str">
            <v/>
          </cell>
          <cell r="AC749" t="str">
            <v>JH</v>
          </cell>
          <cell r="AD749">
            <v>1062721</v>
          </cell>
          <cell r="AE749" t="str">
            <v>POV0067257</v>
          </cell>
          <cell r="AF749" t="str">
            <v>JH</v>
          </cell>
        </row>
        <row r="750">
          <cell r="A750" t="str">
            <v>670-A07635-022</v>
          </cell>
          <cell r="B750" t="str">
            <v>FUSE,AXIAL LEAD,12A,250V,5X20,FAST-ACT</v>
          </cell>
          <cell r="C750" t="str">
            <v>FUSE</v>
          </cell>
          <cell r="D750">
            <v>15</v>
          </cell>
          <cell r="E750" t="str">
            <v>N/A</v>
          </cell>
          <cell r="F750" t="str">
            <v>13 Weeks</v>
          </cell>
          <cell r="G750">
            <v>1000</v>
          </cell>
          <cell r="H750">
            <v>0.35468699999999997</v>
          </cell>
          <cell r="I750">
            <v>354.68699999999995</v>
          </cell>
          <cell r="J750">
            <v>0.43254512195121952</v>
          </cell>
          <cell r="K750">
            <v>77.858121951219516</v>
          </cell>
          <cell r="L750">
            <v>432.54512195121953</v>
          </cell>
          <cell r="O750"/>
          <cell r="Q750">
            <v>1</v>
          </cell>
          <cell r="R750" t="str">
            <v>0650R9120-13</v>
          </cell>
          <cell r="S750" t="str">
            <v>Bel Fuse</v>
          </cell>
          <cell r="T750" t="str">
            <v>Digikey</v>
          </cell>
          <cell r="U750">
            <v>0.317</v>
          </cell>
          <cell r="V750">
            <v>1000</v>
          </cell>
          <cell r="W750">
            <v>0</v>
          </cell>
          <cell r="X750" t="str">
            <v>916  stock; balance LT</v>
          </cell>
          <cell r="Y750" t="str">
            <v>Y</v>
          </cell>
          <cell r="Z750">
            <v>317</v>
          </cell>
          <cell r="AA750">
            <v>37.686999999999955</v>
          </cell>
          <cell r="AB750">
            <v>0.26712848229565789</v>
          </cell>
          <cell r="AC750" t="str">
            <v>JH</v>
          </cell>
          <cell r="AD750">
            <v>1062721</v>
          </cell>
          <cell r="AE750" t="str">
            <v>POV0067257</v>
          </cell>
          <cell r="AF750" t="str">
            <v>JH</v>
          </cell>
        </row>
        <row r="751">
          <cell r="A751" t="str">
            <v>670-A11993-135</v>
          </cell>
          <cell r="B751" t="str">
            <v>FUSE,PPTC,1.35A HOLD CUR,60V,THT</v>
          </cell>
          <cell r="C751" t="str">
            <v>FUSE</v>
          </cell>
          <cell r="D751">
            <v>25</v>
          </cell>
          <cell r="E751">
            <v>1</v>
          </cell>
          <cell r="F751" t="str">
            <v>17 Weeks</v>
          </cell>
          <cell r="G751">
            <v>500</v>
          </cell>
          <cell r="H751">
            <v>0.29411999999999999</v>
          </cell>
          <cell r="I751">
            <v>147.06</v>
          </cell>
          <cell r="J751">
            <v>0.35868292682926828</v>
          </cell>
          <cell r="K751">
            <v>32.281463414634146</v>
          </cell>
          <cell r="L751">
            <v>179.34146341463415</v>
          </cell>
          <cell r="O751"/>
          <cell r="Q751">
            <v>1</v>
          </cell>
          <cell r="R751" t="str">
            <v>RKEF135</v>
          </cell>
          <cell r="S751" t="str">
            <v>Littelfuse</v>
          </cell>
          <cell r="T751" t="str">
            <v>Digikey</v>
          </cell>
          <cell r="U751">
            <v>0.27117999999999998</v>
          </cell>
          <cell r="V751">
            <v>500</v>
          </cell>
          <cell r="W751">
            <v>0</v>
          </cell>
          <cell r="X751">
            <v>1</v>
          </cell>
          <cell r="Y751" t="str">
            <v>Y</v>
          </cell>
          <cell r="Z751">
            <v>135.58999999999997</v>
          </cell>
          <cell r="AA751">
            <v>11.470000000000027</v>
          </cell>
          <cell r="AB751">
            <v>0.24395620835033338</v>
          </cell>
          <cell r="AC751" t="str">
            <v>JH</v>
          </cell>
          <cell r="AD751">
            <v>1062721</v>
          </cell>
          <cell r="AE751" t="str">
            <v>POV0067257</v>
          </cell>
          <cell r="AF751" t="str">
            <v>JH</v>
          </cell>
        </row>
        <row r="752">
          <cell r="A752" t="str">
            <v>667-123622-001</v>
          </cell>
          <cell r="B752" t="str">
            <v>CONN,SMD,RT ANGL MTE,4 POS</v>
          </cell>
          <cell r="C752" t="str">
            <v>CONN</v>
          </cell>
          <cell r="D752">
            <v>15</v>
          </cell>
          <cell r="E752">
            <v>1</v>
          </cell>
          <cell r="F752" t="str">
            <v>22 Weeks</v>
          </cell>
          <cell r="G752">
            <v>300</v>
          </cell>
          <cell r="H752">
            <v>4.0441500000000001</v>
          </cell>
          <cell r="I752">
            <v>1213.2450000000001</v>
          </cell>
          <cell r="J752">
            <v>4.9318902439024397</v>
          </cell>
          <cell r="K752">
            <v>266.32207317073176</v>
          </cell>
          <cell r="L752">
            <v>1479.5670731707319</v>
          </cell>
          <cell r="O752"/>
          <cell r="Q752">
            <v>1</v>
          </cell>
          <cell r="R752" t="str">
            <v>5-147278-3</v>
          </cell>
          <cell r="S752" t="str">
            <v>TE CONNECTIVITY</v>
          </cell>
          <cell r="T752" t="str">
            <v>Future</v>
          </cell>
          <cell r="U752">
            <v>2.68</v>
          </cell>
          <cell r="V752">
            <v>300</v>
          </cell>
          <cell r="W752">
            <v>0</v>
          </cell>
          <cell r="X752">
            <v>1</v>
          </cell>
          <cell r="Y752" t="str">
            <v>Y</v>
          </cell>
          <cell r="Z752">
            <v>804</v>
          </cell>
          <cell r="AA752">
            <v>409.24500000000012</v>
          </cell>
          <cell r="AB752">
            <v>0.45659780176304054</v>
          </cell>
          <cell r="AC752" t="str">
            <v>JH</v>
          </cell>
          <cell r="AD752">
            <v>1062721</v>
          </cell>
          <cell r="AE752" t="str">
            <v>POV0067262</v>
          </cell>
          <cell r="AF752" t="str">
            <v>JH</v>
          </cell>
        </row>
        <row r="753">
          <cell r="A753" t="str">
            <v>645-B04805-001</v>
          </cell>
          <cell r="B753" t="str">
            <v>SW,TGL,SPDT,ON-OFF-ON,3A,120VAC,THT</v>
          </cell>
          <cell r="C753" t="str">
            <v>SW</v>
          </cell>
          <cell r="D753">
            <v>15</v>
          </cell>
          <cell r="E753">
            <v>1</v>
          </cell>
          <cell r="F753" t="str">
            <v>3 Weeks</v>
          </cell>
          <cell r="G753">
            <v>200</v>
          </cell>
          <cell r="H753">
            <v>3.061728</v>
          </cell>
          <cell r="I753">
            <v>612.34559999999999</v>
          </cell>
          <cell r="J753">
            <v>3.7338146341463418</v>
          </cell>
          <cell r="K753">
            <v>134.41732682926829</v>
          </cell>
          <cell r="L753">
            <v>746.76292682926839</v>
          </cell>
          <cell r="O753"/>
          <cell r="Q753">
            <v>1</v>
          </cell>
          <cell r="R753" t="str">
            <v>BST13T1ACR</v>
          </cell>
          <cell r="S753" t="str">
            <v>Unmatched</v>
          </cell>
          <cell r="T753" t="str">
            <v>Digikey</v>
          </cell>
          <cell r="U753">
            <v>3.1077499999999998</v>
          </cell>
          <cell r="V753">
            <v>200</v>
          </cell>
          <cell r="W753">
            <v>0</v>
          </cell>
          <cell r="X753">
            <v>1</v>
          </cell>
          <cell r="Y753" t="str">
            <v>Y</v>
          </cell>
          <cell r="Z753">
            <v>621.54999999999995</v>
          </cell>
          <cell r="AA753">
            <v>-9.2043999999999642</v>
          </cell>
          <cell r="AB753" t="str">
            <v/>
          </cell>
          <cell r="AC753" t="str">
            <v>JH</v>
          </cell>
          <cell r="AD753">
            <v>1062721</v>
          </cell>
          <cell r="AE753" t="str">
            <v>POV0067257</v>
          </cell>
          <cell r="AF753" t="str">
            <v>JH</v>
          </cell>
        </row>
        <row r="754">
          <cell r="A754" t="str">
            <v>630-274216-001</v>
          </cell>
          <cell r="B754" t="str">
            <v>IC,SMD,DVR,HIGH-SIDE,1-CH O/P,8SOIC</v>
          </cell>
          <cell r="C754" t="str">
            <v>IC</v>
          </cell>
          <cell r="D754">
            <v>25</v>
          </cell>
          <cell r="E754">
            <v>3</v>
          </cell>
          <cell r="F754" t="str">
            <v>30 Weeks</v>
          </cell>
          <cell r="G754">
            <v>200</v>
          </cell>
          <cell r="H754">
            <v>1.1044210000000001</v>
          </cell>
          <cell r="I754">
            <v>220.88420000000002</v>
          </cell>
          <cell r="J754">
            <v>1.3468548780487808</v>
          </cell>
          <cell r="K754">
            <v>48.486775609756137</v>
          </cell>
          <cell r="L754">
            <v>269.37097560975616</v>
          </cell>
          <cell r="N754" t="str">
            <v/>
          </cell>
          <cell r="O754"/>
          <cell r="Q754">
            <v>1</v>
          </cell>
          <cell r="R754" t="str">
            <v>VN7140ASTR</v>
          </cell>
          <cell r="S754" t="str">
            <v>STMicroelectronics</v>
          </cell>
          <cell r="T754" t="str">
            <v>Digikey</v>
          </cell>
          <cell r="U754">
            <v>1.0894999999999999</v>
          </cell>
          <cell r="V754">
            <v>200</v>
          </cell>
          <cell r="W754">
            <v>0</v>
          </cell>
          <cell r="X754">
            <v>1</v>
          </cell>
          <cell r="Y754" t="str">
            <v>Y</v>
          </cell>
          <cell r="Z754">
            <v>217.89999999999998</v>
          </cell>
          <cell r="AA754">
            <v>2.9842000000000439</v>
          </cell>
          <cell r="AB754">
            <v>0.19107840216728977</v>
          </cell>
          <cell r="AC754" t="str">
            <v>JH</v>
          </cell>
          <cell r="AD754">
            <v>1062721</v>
          </cell>
          <cell r="AE754" t="str">
            <v>POV0067257</v>
          </cell>
          <cell r="AF754" t="str">
            <v>JH</v>
          </cell>
        </row>
        <row r="755">
          <cell r="A755" t="str">
            <v>630-225109-001</v>
          </cell>
          <cell r="B755" t="str">
            <v>IC,SMD,CPLD,32 I/O,5V TOLERNT,7.5NS,ROHS</v>
          </cell>
          <cell r="C755" t="str">
            <v>IC</v>
          </cell>
          <cell r="D755">
            <v>15</v>
          </cell>
          <cell r="E755">
            <v>3</v>
          </cell>
          <cell r="F755" t="str">
            <v>3 Weeks</v>
          </cell>
          <cell r="G755">
            <v>60</v>
          </cell>
          <cell r="H755">
            <v>12.058920000000001</v>
          </cell>
          <cell r="I755">
            <v>723.53520000000003</v>
          </cell>
          <cell r="J755">
            <v>14.706000000000001</v>
          </cell>
          <cell r="K755">
            <v>158.8248000000001</v>
          </cell>
          <cell r="L755">
            <v>882.36000000000013</v>
          </cell>
          <cell r="O755"/>
          <cell r="Q755">
            <v>1</v>
          </cell>
          <cell r="R755" t="str">
            <v>LC4064V-75TN48E</v>
          </cell>
          <cell r="S755" t="str">
            <v>LATTICE</v>
          </cell>
          <cell r="T755" t="str">
            <v>Digikey</v>
          </cell>
          <cell r="U755">
            <v>12.3</v>
          </cell>
          <cell r="V755">
            <v>60</v>
          </cell>
          <cell r="W755">
            <v>0</v>
          </cell>
          <cell r="X755">
            <v>1</v>
          </cell>
          <cell r="Y755" t="str">
            <v>Y</v>
          </cell>
          <cell r="Z755">
            <v>738</v>
          </cell>
          <cell r="AA755">
            <v>-14.464799999999968</v>
          </cell>
          <cell r="AB755" t="str">
            <v/>
          </cell>
          <cell r="AC755" t="str">
            <v>JH</v>
          </cell>
          <cell r="AD755">
            <v>1062721</v>
          </cell>
          <cell r="AE755" t="str">
            <v>POV0067257</v>
          </cell>
          <cell r="AF755" t="str">
            <v>JH</v>
          </cell>
        </row>
        <row r="756">
          <cell r="A756" t="str">
            <v>618-213909-001</v>
          </cell>
          <cell r="B756" t="str">
            <v>RES,METAL FILM,1M OHM</v>
          </cell>
          <cell r="C756" t="str">
            <v>RES</v>
          </cell>
          <cell r="D756">
            <v>25</v>
          </cell>
          <cell r="E756">
            <v>1</v>
          </cell>
          <cell r="F756" t="str">
            <v>48 Weeks</v>
          </cell>
          <cell r="G756">
            <v>60</v>
          </cell>
          <cell r="H756">
            <v>24.929500000000001</v>
          </cell>
          <cell r="I756">
            <v>1495.77</v>
          </cell>
          <cell r="J756">
            <v>30.401829268292687</v>
          </cell>
          <cell r="K756">
            <v>328.33975609756135</v>
          </cell>
          <cell r="L756">
            <v>1824.1097560975613</v>
          </cell>
          <cell r="O756"/>
          <cell r="Q756">
            <v>1</v>
          </cell>
          <cell r="R756" t="str">
            <v>MOX93021004FVE</v>
          </cell>
          <cell r="S756" t="str">
            <v>Ohmite</v>
          </cell>
          <cell r="T756" t="str">
            <v>Digikey</v>
          </cell>
          <cell r="U756">
            <v>15.65067</v>
          </cell>
          <cell r="V756">
            <v>60</v>
          </cell>
          <cell r="W756">
            <v>0</v>
          </cell>
          <cell r="X756">
            <v>1</v>
          </cell>
          <cell r="Y756" t="str">
            <v>Y</v>
          </cell>
          <cell r="Z756">
            <v>939.04020000000003</v>
          </cell>
          <cell r="AA756">
            <v>556.72979999999995</v>
          </cell>
          <cell r="AB756">
            <v>0.48520630578230617</v>
          </cell>
          <cell r="AC756" t="str">
            <v>JH</v>
          </cell>
          <cell r="AD756">
            <v>1062721</v>
          </cell>
          <cell r="AE756" t="str">
            <v>POV0067257</v>
          </cell>
          <cell r="AF756" t="str">
            <v>JH</v>
          </cell>
        </row>
        <row r="757">
          <cell r="A757" t="str">
            <v>645-A79390-001</v>
          </cell>
          <cell r="B757" t="str">
            <v>SW,TGL,DPST,250V/6A,SLDR TERM,SEALED</v>
          </cell>
          <cell r="C757" t="str">
            <v>SW</v>
          </cell>
          <cell r="D757">
            <v>15</v>
          </cell>
          <cell r="E757">
            <v>1</v>
          </cell>
          <cell r="F757" t="str">
            <v>23 Weeks</v>
          </cell>
          <cell r="G757">
            <v>200</v>
          </cell>
          <cell r="H757">
            <v>15.700616</v>
          </cell>
          <cell r="I757">
            <v>3140.1232</v>
          </cell>
          <cell r="J757">
            <v>19.147092682926832</v>
          </cell>
          <cell r="K757">
            <v>689.29533658536593</v>
          </cell>
          <cell r="L757">
            <v>3829.4185365853664</v>
          </cell>
          <cell r="O757"/>
          <cell r="Q757">
            <v>1</v>
          </cell>
          <cell r="R757" t="str">
            <v>WT21S</v>
          </cell>
          <cell r="S757" t="str">
            <v>NKK SWITCHES</v>
          </cell>
          <cell r="T757" t="str">
            <v>Digikey</v>
          </cell>
          <cell r="U757">
            <v>15.9368</v>
          </cell>
          <cell r="V757">
            <v>200</v>
          </cell>
          <cell r="W757">
            <v>0</v>
          </cell>
          <cell r="X757" t="str">
            <v>17 stock; balance to lead time (17 wks)</v>
          </cell>
          <cell r="Y757" t="str">
            <v>Y</v>
          </cell>
          <cell r="Z757">
            <v>3187.36</v>
          </cell>
          <cell r="AA757">
            <v>-47.23680000000013</v>
          </cell>
          <cell r="AB757" t="str">
            <v/>
          </cell>
          <cell r="AC757" t="str">
            <v>JH</v>
          </cell>
          <cell r="AD757">
            <v>1062721</v>
          </cell>
          <cell r="AE757" t="str">
            <v>POV0067257</v>
          </cell>
          <cell r="AF757" t="str">
            <v>JH</v>
          </cell>
        </row>
        <row r="758">
          <cell r="A758" t="str">
            <v>668-043863-044</v>
          </cell>
          <cell r="B758" t="str">
            <v>CONN,HD,D-SUB,RT ANGL,MALE,44 PIN,ROHS</v>
          </cell>
          <cell r="C758" t="str">
            <v>CONN</v>
          </cell>
          <cell r="D758">
            <v>15</v>
          </cell>
          <cell r="E758">
            <v>1</v>
          </cell>
          <cell r="F758" t="str">
            <v>27 Weeks</v>
          </cell>
          <cell r="G758">
            <v>50</v>
          </cell>
          <cell r="H758">
            <v>9.2770349999999997</v>
          </cell>
          <cell r="I758">
            <v>463.85174999999998</v>
          </cell>
          <cell r="J758">
            <v>11.313457317073171</v>
          </cell>
          <cell r="K758">
            <v>101.82111585365857</v>
          </cell>
          <cell r="L758">
            <v>565.67286585365855</v>
          </cell>
          <cell r="O758"/>
          <cell r="Q758">
            <v>1</v>
          </cell>
          <cell r="R758" t="str">
            <v>K66X-B44P-N</v>
          </cell>
          <cell r="S758" t="str">
            <v>KYCON, INC</v>
          </cell>
          <cell r="T758" t="str">
            <v>Digikey</v>
          </cell>
          <cell r="U758">
            <v>6.7198000000000002</v>
          </cell>
          <cell r="V758">
            <v>50</v>
          </cell>
          <cell r="W758">
            <v>0</v>
          </cell>
          <cell r="X758">
            <v>1</v>
          </cell>
          <cell r="Y758" t="str">
            <v>Y</v>
          </cell>
          <cell r="Z758">
            <v>335.99</v>
          </cell>
          <cell r="AA758">
            <v>127.86174999999997</v>
          </cell>
          <cell r="AB758">
            <v>0.40603479452217217</v>
          </cell>
          <cell r="AC758" t="str">
            <v>JH</v>
          </cell>
          <cell r="AD758">
            <v>1062721</v>
          </cell>
          <cell r="AE758" t="str">
            <v>POV0067257</v>
          </cell>
          <cell r="AF758" t="str">
            <v>JH</v>
          </cell>
        </row>
        <row r="759">
          <cell r="A759" t="str">
            <v>677-B14836-001</v>
          </cell>
          <cell r="B759" t="str">
            <v>FAN,5VDC,.136A,40X40X10MM,8CFM,VAPO BRG</v>
          </cell>
          <cell r="C759" t="str">
            <v>FAN</v>
          </cell>
          <cell r="D759">
            <v>25</v>
          </cell>
          <cell r="E759">
            <v>1</v>
          </cell>
          <cell r="F759" t="str">
            <v>21 Weeks</v>
          </cell>
          <cell r="G759">
            <v>50</v>
          </cell>
          <cell r="H759">
            <v>4.4176820000000001</v>
          </cell>
          <cell r="I759">
            <v>220.88410000000002</v>
          </cell>
          <cell r="J759">
            <v>5.3874170731707318</v>
          </cell>
          <cell r="K759">
            <v>48.486753658536628</v>
          </cell>
          <cell r="L759">
            <v>269.37085365853659</v>
          </cell>
          <cell r="O759"/>
          <cell r="Q759">
            <v>1</v>
          </cell>
          <cell r="R759" t="str">
            <v>MF40100V1-1000U-G99</v>
          </cell>
          <cell r="S759" t="str">
            <v>SUNON</v>
          </cell>
          <cell r="T759" t="str">
            <v>Digikey</v>
          </cell>
          <cell r="U759">
            <v>3.512</v>
          </cell>
          <cell r="V759">
            <v>50</v>
          </cell>
          <cell r="W759">
            <v>0</v>
          </cell>
          <cell r="X759">
            <v>1</v>
          </cell>
          <cell r="Y759" t="str">
            <v>Y</v>
          </cell>
          <cell r="Z759">
            <v>175.6</v>
          </cell>
          <cell r="AA759">
            <v>45.284100000000024</v>
          </cell>
          <cell r="AB759">
            <v>0.34811061547662325</v>
          </cell>
          <cell r="AC759" t="str">
            <v>JH</v>
          </cell>
          <cell r="AD759">
            <v>1062721</v>
          </cell>
          <cell r="AE759" t="str">
            <v>POV0067257</v>
          </cell>
          <cell r="AF759" t="str">
            <v>JH</v>
          </cell>
        </row>
        <row r="760">
          <cell r="A760" t="str">
            <v>635-A91539-001</v>
          </cell>
          <cell r="B760" t="str">
            <v>OSC,SMD,XTAL,3.3V,245.76MHZ,50PPM</v>
          </cell>
          <cell r="C760" t="str">
            <v>OSC</v>
          </cell>
          <cell r="D760">
            <v>15</v>
          </cell>
          <cell r="E760">
            <v>1</v>
          </cell>
          <cell r="F760" t="str">
            <v>4 Weeks</v>
          </cell>
          <cell r="G760">
            <v>30</v>
          </cell>
          <cell r="H760">
            <v>3.04</v>
          </cell>
          <cell r="I760">
            <v>91.2</v>
          </cell>
          <cell r="J760">
            <v>3.7073170731707319</v>
          </cell>
          <cell r="K760">
            <v>20.019512195121962</v>
          </cell>
          <cell r="L760">
            <v>111.21951219512195</v>
          </cell>
          <cell r="O760"/>
          <cell r="Q760">
            <v>1</v>
          </cell>
          <cell r="R760" t="str">
            <v>SiT3373AI-1E3-33EG245.760000</v>
          </cell>
          <cell r="S760" t="str">
            <v>SITIME</v>
          </cell>
          <cell r="T760" t="str">
            <v>Digikey</v>
          </cell>
          <cell r="U760">
            <v>9.5609999999999999</v>
          </cell>
          <cell r="V760">
            <v>30</v>
          </cell>
          <cell r="W760">
            <v>0</v>
          </cell>
          <cell r="X760">
            <v>1</v>
          </cell>
          <cell r="Y760" t="str">
            <v>Y</v>
          </cell>
          <cell r="Z760">
            <v>286.83</v>
          </cell>
          <cell r="AA760">
            <v>-195.63</v>
          </cell>
          <cell r="AB760" t="str">
            <v/>
          </cell>
          <cell r="AC760" t="str">
            <v>JH</v>
          </cell>
          <cell r="AD760">
            <v>1062721</v>
          </cell>
          <cell r="AE760" t="str">
            <v>POV0067257</v>
          </cell>
          <cell r="AF760" t="str">
            <v>JH</v>
          </cell>
        </row>
        <row r="761">
          <cell r="A761" t="str">
            <v>670-338640-400</v>
          </cell>
          <cell r="B761" t="str">
            <v>FUSE,CRTG,4A,600VAC/400DC,5X20MM</v>
          </cell>
          <cell r="C761" t="str">
            <v>FUSE</v>
          </cell>
          <cell r="D761">
            <v>25</v>
          </cell>
          <cell r="E761" t="str">
            <v>N/A</v>
          </cell>
          <cell r="F761" t="str">
            <v>3 Weeks</v>
          </cell>
          <cell r="G761">
            <v>200</v>
          </cell>
          <cell r="H761">
            <v>0.92500000000000004</v>
          </cell>
          <cell r="I761">
            <v>185</v>
          </cell>
          <cell r="J761">
            <v>1.128048780487805</v>
          </cell>
          <cell r="K761">
            <v>40.609756097560989</v>
          </cell>
          <cell r="L761">
            <v>225.60975609756099</v>
          </cell>
          <cell r="O761"/>
          <cell r="Q761">
            <v>2</v>
          </cell>
          <cell r="R761" t="str">
            <v>BK1/S505H-4-R</v>
          </cell>
          <cell r="S761" t="str">
            <v>Eaton</v>
          </cell>
          <cell r="T761" t="str">
            <v>Master Electronics</v>
          </cell>
          <cell r="U761">
            <v>0.8</v>
          </cell>
          <cell r="V761">
            <v>200</v>
          </cell>
          <cell r="W761">
            <v>0</v>
          </cell>
          <cell r="X761">
            <v>1</v>
          </cell>
          <cell r="Y761" t="str">
            <v>Y</v>
          </cell>
          <cell r="Z761">
            <v>160</v>
          </cell>
          <cell r="AA761">
            <v>25</v>
          </cell>
          <cell r="AB761">
            <v>0.29081081081081084</v>
          </cell>
          <cell r="AC761" t="str">
            <v>JH</v>
          </cell>
          <cell r="AD761">
            <v>1062721</v>
          </cell>
          <cell r="AE761" t="str">
            <v xml:space="preserve">POV0067277 </v>
          </cell>
          <cell r="AF761" t="str">
            <v>JH</v>
          </cell>
        </row>
        <row r="762">
          <cell r="A762" t="str">
            <v>668-A65704-001</v>
          </cell>
          <cell r="B762" t="str">
            <v>CONN,TC,MINTR,2POSN,FEM,TYPE-E,HORIZ MT</v>
          </cell>
          <cell r="C762" t="str">
            <v>CONN</v>
          </cell>
          <cell r="D762">
            <v>75</v>
          </cell>
          <cell r="E762" t="str">
            <v>N/A</v>
          </cell>
          <cell r="F762" t="str">
            <v>6 Weeks</v>
          </cell>
          <cell r="G762">
            <v>100</v>
          </cell>
          <cell r="H762">
            <v>3.8444500000000001</v>
          </cell>
          <cell r="I762">
            <v>384.44499999999999</v>
          </cell>
          <cell r="J762">
            <v>4.6883536585365855</v>
          </cell>
          <cell r="K762">
            <v>84.390365853658579</v>
          </cell>
          <cell r="L762">
            <v>468.83536585365857</v>
          </cell>
          <cell r="O762"/>
          <cell r="Q762">
            <v>1</v>
          </cell>
          <cell r="R762" t="str">
            <v>PCC-SMP-E-100</v>
          </cell>
          <cell r="S762" t="str">
            <v>Omega</v>
          </cell>
          <cell r="T762" t="str">
            <v>Omega</v>
          </cell>
          <cell r="U762">
            <v>4.0255999999999998</v>
          </cell>
          <cell r="V762">
            <v>100</v>
          </cell>
          <cell r="W762">
            <v>0</v>
          </cell>
          <cell r="X762">
            <v>4</v>
          </cell>
          <cell r="Y762" t="str">
            <v>Y</v>
          </cell>
          <cell r="Z762">
            <v>402.56</v>
          </cell>
          <cell r="AA762">
            <v>-18.115000000000009</v>
          </cell>
          <cell r="AB762" t="str">
            <v/>
          </cell>
          <cell r="AD762">
            <v>1062721</v>
          </cell>
          <cell r="AE762" t="str">
            <v>POV0067271</v>
          </cell>
          <cell r="AF762" t="str">
            <v>SH</v>
          </cell>
        </row>
        <row r="763">
          <cell r="A763" t="str">
            <v>779-256998-002</v>
          </cell>
          <cell r="B763" t="str">
            <v>HTSK,LP DROP,25.4SQX25MM,ANODIZED,AL,BLK</v>
          </cell>
          <cell r="C763" t="str">
            <v>HTSK</v>
          </cell>
          <cell r="D763">
            <v>15</v>
          </cell>
          <cell r="E763">
            <v>1</v>
          </cell>
          <cell r="F763" t="str">
            <v>6 Weeks</v>
          </cell>
          <cell r="G763">
            <v>100</v>
          </cell>
          <cell r="H763">
            <v>2.41</v>
          </cell>
          <cell r="I763">
            <v>241</v>
          </cell>
          <cell r="J763">
            <v>2.9390243902439028</v>
          </cell>
          <cell r="K763">
            <v>52.902439024390276</v>
          </cell>
          <cell r="L763">
            <v>293.90243902439028</v>
          </cell>
          <cell r="O763"/>
          <cell r="Q763">
            <v>1</v>
          </cell>
          <cell r="R763" t="str">
            <v>LPD25-25B</v>
          </cell>
          <cell r="S763" t="str">
            <v>ALPHA COMPANY LTD</v>
          </cell>
          <cell r="T763" t="str">
            <v>Alpha Nova Tech</v>
          </cell>
          <cell r="U763">
            <v>2.41</v>
          </cell>
          <cell r="V763">
            <v>100</v>
          </cell>
          <cell r="W763">
            <v>0</v>
          </cell>
          <cell r="X763">
            <v>2</v>
          </cell>
          <cell r="Y763" t="str">
            <v>Y</v>
          </cell>
          <cell r="Z763">
            <v>241</v>
          </cell>
          <cell r="AA763">
            <v>0</v>
          </cell>
          <cell r="AB763" t="str">
            <v/>
          </cell>
          <cell r="AC763" t="str">
            <v>SH</v>
          </cell>
          <cell r="AD763">
            <v>1062721</v>
          </cell>
          <cell r="AE763" t="str">
            <v>POV0067270</v>
          </cell>
          <cell r="AF763" t="str">
            <v>SH</v>
          </cell>
        </row>
        <row r="764">
          <cell r="A764" t="str">
            <v>631-308696-001</v>
          </cell>
          <cell r="B764" t="str">
            <v>IC,OPTOCOUPLER,XSTR OUTPUT</v>
          </cell>
          <cell r="C764" t="str">
            <v>IC</v>
          </cell>
          <cell r="D764">
            <v>25</v>
          </cell>
          <cell r="E764">
            <v>1</v>
          </cell>
          <cell r="F764" t="str">
            <v>19 Weeks</v>
          </cell>
          <cell r="G764">
            <v>6000</v>
          </cell>
          <cell r="H764">
            <v>0.114927</v>
          </cell>
          <cell r="I764">
            <v>689.56200000000001</v>
          </cell>
          <cell r="J764">
            <v>0.14015487804878049</v>
          </cell>
          <cell r="K764">
            <v>151.36726829268298</v>
          </cell>
          <cell r="L764">
            <v>840.92926829268299</v>
          </cell>
          <cell r="O764"/>
          <cell r="Q764">
            <v>1</v>
          </cell>
          <cell r="R764" t="str">
            <v>CNY17-4</v>
          </cell>
          <cell r="S764" t="str">
            <v>VISHAY</v>
          </cell>
          <cell r="T764" t="str">
            <v>Mouser</v>
          </cell>
          <cell r="U764">
            <v>0.19</v>
          </cell>
          <cell r="V764">
            <v>6000</v>
          </cell>
          <cell r="W764">
            <v>0</v>
          </cell>
          <cell r="X764">
            <v>1</v>
          </cell>
          <cell r="Y764" t="str">
            <v>Y</v>
          </cell>
          <cell r="Z764">
            <v>1140</v>
          </cell>
          <cell r="AA764">
            <v>-450.43799999999999</v>
          </cell>
          <cell r="AB764" t="str">
            <v/>
          </cell>
          <cell r="AC764" t="str">
            <v>JH</v>
          </cell>
          <cell r="AD764">
            <v>1062721</v>
          </cell>
          <cell r="AE764" t="str">
            <v>POV0067254</v>
          </cell>
          <cell r="AF764" t="str">
            <v>JH</v>
          </cell>
        </row>
        <row r="765">
          <cell r="A765" t="str">
            <v>729-036913-002</v>
          </cell>
          <cell r="B765" t="str">
            <v>WSHR,SPLTLK,PHOS BRNZ</v>
          </cell>
          <cell r="C765" t="str">
            <v>WASHER</v>
          </cell>
          <cell r="D765">
            <v>500</v>
          </cell>
          <cell r="E765" t="str">
            <v>N/A</v>
          </cell>
          <cell r="F765" t="str">
            <v>3 Weeks</v>
          </cell>
          <cell r="G765">
            <v>1000</v>
          </cell>
          <cell r="H765">
            <v>0.115</v>
          </cell>
          <cell r="I765">
            <v>115</v>
          </cell>
          <cell r="J765">
            <v>0.1402439024390244</v>
          </cell>
          <cell r="K765">
            <v>25.243902439024396</v>
          </cell>
          <cell r="L765">
            <v>140.2439024390244</v>
          </cell>
          <cell r="O765"/>
          <cell r="Q765">
            <v>1</v>
          </cell>
          <cell r="R765" t="str">
            <v>4NSLWPP</v>
          </cell>
          <cell r="S765" t="str">
            <v>Olander</v>
          </cell>
          <cell r="T765" t="str">
            <v>Olander Website</v>
          </cell>
          <cell r="U765">
            <v>0.12</v>
          </cell>
          <cell r="V765">
            <v>1000</v>
          </cell>
          <cell r="W765">
            <v>0</v>
          </cell>
          <cell r="X765">
            <v>2</v>
          </cell>
          <cell r="Z765">
            <v>120</v>
          </cell>
          <cell r="AA765">
            <v>-5</v>
          </cell>
          <cell r="AB765" t="str">
            <v/>
          </cell>
          <cell r="AC765" t="str">
            <v>SH</v>
          </cell>
          <cell r="AD765">
            <v>1062721</v>
          </cell>
          <cell r="AE765" t="str">
            <v>POV0067269</v>
          </cell>
          <cell r="AF765" t="str">
            <v>SH</v>
          </cell>
        </row>
        <row r="766">
          <cell r="A766" t="str">
            <v>615-049171-845</v>
          </cell>
          <cell r="B766" t="str">
            <v>RES,SMD,0805,84.5K OHMS</v>
          </cell>
          <cell r="C766" t="str">
            <v>RES</v>
          </cell>
          <cell r="D766">
            <v>15</v>
          </cell>
          <cell r="E766">
            <v>1</v>
          </cell>
          <cell r="F766" t="str">
            <v>15 Weeks</v>
          </cell>
          <cell r="G766">
            <v>5000</v>
          </cell>
          <cell r="H766">
            <v>0.164217</v>
          </cell>
          <cell r="I766">
            <v>821.08500000000004</v>
          </cell>
          <cell r="J766">
            <v>0.20026463414634149</v>
          </cell>
          <cell r="K766">
            <v>180.23817073170744</v>
          </cell>
          <cell r="L766">
            <v>1001.3231707317075</v>
          </cell>
          <cell r="O766"/>
          <cell r="Q766">
            <v>2</v>
          </cell>
          <cell r="R766" t="str">
            <v>TNPW080584K5BEEA</v>
          </cell>
          <cell r="S766" t="str">
            <v>Vishay</v>
          </cell>
          <cell r="T766" t="str">
            <v>Future</v>
          </cell>
          <cell r="U766">
            <v>0.1188</v>
          </cell>
          <cell r="V766">
            <v>500</v>
          </cell>
          <cell r="W766">
            <v>4500</v>
          </cell>
          <cell r="X766">
            <v>10</v>
          </cell>
          <cell r="Y766" t="str">
            <v>Y</v>
          </cell>
          <cell r="Z766">
            <v>59.4</v>
          </cell>
          <cell r="AA766">
            <v>22.708500000000008</v>
          </cell>
          <cell r="AB766">
            <v>0.40678492482507911</v>
          </cell>
          <cell r="AC766" t="str">
            <v>JH</v>
          </cell>
          <cell r="AD766">
            <v>1062721</v>
          </cell>
          <cell r="AE766" t="str">
            <v>POV0067275</v>
          </cell>
          <cell r="AF766" t="str">
            <v>JH</v>
          </cell>
        </row>
        <row r="767">
          <cell r="A767" t="str">
            <v>630-121459-001</v>
          </cell>
          <cell r="B767" t="str">
            <v>IC,SMD,PWR MGMT 8 LDO 48VQFN,ROHS</v>
          </cell>
          <cell r="C767" t="str">
            <v>IC</v>
          </cell>
          <cell r="D767">
            <v>15</v>
          </cell>
          <cell r="E767">
            <v>3</v>
          </cell>
          <cell r="F767" t="str">
            <v>3 Weeks</v>
          </cell>
          <cell r="G767">
            <v>60</v>
          </cell>
          <cell r="H767">
            <v>4.0931699999999998</v>
          </cell>
          <cell r="I767">
            <v>245.59019999999998</v>
          </cell>
          <cell r="J767">
            <v>4.991670731707317</v>
          </cell>
          <cell r="K767">
            <v>53.910043902439043</v>
          </cell>
          <cell r="L767">
            <v>299.50024390243902</v>
          </cell>
          <cell r="O767"/>
          <cell r="Q767">
            <v>1</v>
          </cell>
          <cell r="R767" t="str">
            <v>TPS65910AA1RSL</v>
          </cell>
          <cell r="S767" t="str">
            <v>Texas Instruments</v>
          </cell>
          <cell r="T767" t="str">
            <v>TI Store</v>
          </cell>
          <cell r="U767">
            <v>4.4379999999999997</v>
          </cell>
          <cell r="V767">
            <v>60</v>
          </cell>
          <cell r="W767">
            <v>0</v>
          </cell>
          <cell r="X767">
            <v>1</v>
          </cell>
          <cell r="Y767" t="str">
            <v>Y</v>
          </cell>
          <cell r="Z767">
            <v>266.27999999999997</v>
          </cell>
          <cell r="AA767">
            <v>-20.689799999999991</v>
          </cell>
          <cell r="AB767" t="str">
            <v/>
          </cell>
          <cell r="AC767" t="str">
            <v>JH</v>
          </cell>
          <cell r="AD767">
            <v>1062721</v>
          </cell>
          <cell r="AE767" t="str">
            <v xml:space="preserve">POV0067274 </v>
          </cell>
          <cell r="AF767" t="str">
            <v>JH</v>
          </cell>
        </row>
        <row r="768">
          <cell r="A768" t="str">
            <v>630-038898-001</v>
          </cell>
          <cell r="B768" t="str">
            <v>IC,SMD,ULN2003AD,DUAL,DAR,HV,HC</v>
          </cell>
          <cell r="C768" t="str">
            <v>IC</v>
          </cell>
          <cell r="D768">
            <v>15</v>
          </cell>
          <cell r="E768">
            <v>1</v>
          </cell>
          <cell r="F768" t="str">
            <v>8 Weeks</v>
          </cell>
          <cell r="G768">
            <v>1000</v>
          </cell>
          <cell r="H768">
            <v>0.132354</v>
          </cell>
          <cell r="I768">
            <v>132.35400000000001</v>
          </cell>
          <cell r="J768">
            <v>0.16140731707317074</v>
          </cell>
          <cell r="K768">
            <v>29.053317073170746</v>
          </cell>
          <cell r="L768">
            <v>161.40731707317073</v>
          </cell>
          <cell r="O768"/>
          <cell r="Q768">
            <v>1</v>
          </cell>
          <cell r="R768" t="str">
            <v>ULN2003ADR</v>
          </cell>
          <cell r="S768" t="str">
            <v>Texas Instruments</v>
          </cell>
          <cell r="T768" t="str">
            <v>TI Store</v>
          </cell>
          <cell r="U768">
            <v>7.9000000000000001E-2</v>
          </cell>
          <cell r="V768">
            <v>1000</v>
          </cell>
          <cell r="W768">
            <v>0</v>
          </cell>
          <cell r="X768">
            <v>1</v>
          </cell>
          <cell r="Y768" t="str">
            <v>Y</v>
          </cell>
          <cell r="Z768">
            <v>79</v>
          </cell>
          <cell r="AA768">
            <v>53.354000000000013</v>
          </cell>
          <cell r="AB768">
            <v>0.5105550266708978</v>
          </cell>
          <cell r="AC768" t="str">
            <v>JH</v>
          </cell>
          <cell r="AD768">
            <v>1062721</v>
          </cell>
          <cell r="AE768" t="str">
            <v xml:space="preserve">POV0067274 </v>
          </cell>
          <cell r="AF768" t="str">
            <v>JH</v>
          </cell>
        </row>
        <row r="769">
          <cell r="A769" t="str">
            <v>630-900406-001</v>
          </cell>
          <cell r="B769" t="str">
            <v>IC, LM358, DUAL OP AMP, SO8, ROHS</v>
          </cell>
          <cell r="C769" t="str">
            <v>IC</v>
          </cell>
          <cell r="D769">
            <v>25</v>
          </cell>
          <cell r="E769">
            <v>1</v>
          </cell>
          <cell r="F769" t="str">
            <v>9 Weeks</v>
          </cell>
          <cell r="G769">
            <v>2500</v>
          </cell>
          <cell r="H769">
            <v>0.39734000000000003</v>
          </cell>
          <cell r="I769">
            <v>993.35</v>
          </cell>
          <cell r="J769">
            <v>0.48456097560975614</v>
          </cell>
          <cell r="K769">
            <v>218.05243902439031</v>
          </cell>
          <cell r="L769">
            <v>1211.4024390243903</v>
          </cell>
          <cell r="M769" t="str">
            <v>CHINA</v>
          </cell>
          <cell r="N769">
            <v>8542330001</v>
          </cell>
          <cell r="O769">
            <v>0.35</v>
          </cell>
          <cell r="P769">
            <v>347.67250000000001</v>
          </cell>
          <cell r="Q769">
            <v>2</v>
          </cell>
          <cell r="R769" t="str">
            <v>LM358MX/NOPB</v>
          </cell>
          <cell r="S769" t="str">
            <v>Texas Instruments</v>
          </cell>
          <cell r="T769" t="str">
            <v>TI Store</v>
          </cell>
          <cell r="U769">
            <v>0.23</v>
          </cell>
          <cell r="V769">
            <v>2500</v>
          </cell>
          <cell r="W769">
            <v>0</v>
          </cell>
          <cell r="X769">
            <v>1</v>
          </cell>
          <cell r="Y769" t="str">
            <v>Y</v>
          </cell>
          <cell r="Z769">
            <v>575</v>
          </cell>
          <cell r="AA769">
            <v>418.35</v>
          </cell>
          <cell r="AB769">
            <v>0.52534353450445459</v>
          </cell>
          <cell r="AC769" t="str">
            <v>JH</v>
          </cell>
          <cell r="AD769">
            <v>1062411</v>
          </cell>
          <cell r="AE769" t="str">
            <v xml:space="preserve">POV0067274 </v>
          </cell>
          <cell r="AF769" t="str">
            <v>JH</v>
          </cell>
        </row>
        <row r="770">
          <cell r="A770" t="str">
            <v>630-032533-001</v>
          </cell>
          <cell r="B770" t="str">
            <v>IC,SMD,TMR,DUAL PRCN,4.5-16V,SOIC-14</v>
          </cell>
          <cell r="C770" t="str">
            <v>IC</v>
          </cell>
          <cell r="D770">
            <v>15</v>
          </cell>
          <cell r="E770">
            <v>1</v>
          </cell>
          <cell r="F770" t="str">
            <v>3 Weeks</v>
          </cell>
          <cell r="G770">
            <v>2500</v>
          </cell>
          <cell r="H770">
            <v>0.15997</v>
          </cell>
          <cell r="I770">
            <v>399.92500000000001</v>
          </cell>
          <cell r="J770">
            <v>0.19508536585365854</v>
          </cell>
          <cell r="K770">
            <v>87.788414634146363</v>
          </cell>
          <cell r="L770">
            <v>487.71341463414637</v>
          </cell>
          <cell r="O770"/>
          <cell r="Q770">
            <v>1</v>
          </cell>
          <cell r="R770" t="str">
            <v>NE556DR</v>
          </cell>
          <cell r="S770" t="str">
            <v>TEXAS INSTRUMENTS</v>
          </cell>
          <cell r="T770" t="str">
            <v>TI Store</v>
          </cell>
          <cell r="U770">
            <v>0.107</v>
          </cell>
          <cell r="V770">
            <v>2500</v>
          </cell>
          <cell r="W770">
            <v>0</v>
          </cell>
          <cell r="X770">
            <v>1</v>
          </cell>
          <cell r="Y770" t="str">
            <v>Y</v>
          </cell>
          <cell r="Z770">
            <v>267.5</v>
          </cell>
          <cell r="AA770">
            <v>132.42500000000001</v>
          </cell>
          <cell r="AB770">
            <v>0.45152216040507598</v>
          </cell>
          <cell r="AC770" t="str">
            <v>JH</v>
          </cell>
          <cell r="AD770">
            <v>1062721</v>
          </cell>
          <cell r="AE770" t="str">
            <v xml:space="preserve">POV0067274 </v>
          </cell>
          <cell r="AF770" t="str">
            <v>JH</v>
          </cell>
        </row>
        <row r="771">
          <cell r="A771" t="str">
            <v>630-135488-001</v>
          </cell>
          <cell r="B771" t="str">
            <v>IC,SMD,DUAL 2 IN NAND</v>
          </cell>
          <cell r="C771" t="str">
            <v>IC</v>
          </cell>
          <cell r="D771">
            <v>15</v>
          </cell>
          <cell r="E771">
            <v>1</v>
          </cell>
          <cell r="F771" t="str">
            <v>9 Weeks</v>
          </cell>
          <cell r="G771">
            <v>3000</v>
          </cell>
          <cell r="H771">
            <v>0.178923</v>
          </cell>
          <cell r="I771">
            <v>536.76900000000001</v>
          </cell>
          <cell r="J771">
            <v>0.21819878048780489</v>
          </cell>
          <cell r="K771">
            <v>117.82734146341465</v>
          </cell>
          <cell r="L771">
            <v>654.59634146341466</v>
          </cell>
          <cell r="M771" t="str">
            <v>CHINA</v>
          </cell>
          <cell r="N771">
            <v>8542390001</v>
          </cell>
          <cell r="O771">
            <v>0.35</v>
          </cell>
          <cell r="P771">
            <v>187.86914999999999</v>
          </cell>
          <cell r="Q771">
            <v>1</v>
          </cell>
          <cell r="R771" t="str">
            <v>SN74LVC2G00DCUR</v>
          </cell>
          <cell r="S771" t="str">
            <v>Texas Instruments</v>
          </cell>
          <cell r="T771" t="str">
            <v>TI Store</v>
          </cell>
          <cell r="U771">
            <v>0.126</v>
          </cell>
          <cell r="V771">
            <v>3000</v>
          </cell>
          <cell r="W771">
            <v>0</v>
          </cell>
          <cell r="X771">
            <v>1</v>
          </cell>
          <cell r="Y771" t="str">
            <v>Y</v>
          </cell>
          <cell r="Z771">
            <v>378</v>
          </cell>
          <cell r="AA771">
            <v>158.76900000000001</v>
          </cell>
          <cell r="AB771">
            <v>0.42254489361345382</v>
          </cell>
          <cell r="AC771" t="str">
            <v>JH</v>
          </cell>
          <cell r="AD771">
            <v>1062721</v>
          </cell>
          <cell r="AE771" t="str">
            <v xml:space="preserve">POV0067274 </v>
          </cell>
          <cell r="AF771" t="str">
            <v>JH</v>
          </cell>
        </row>
        <row r="772">
          <cell r="A772" t="str">
            <v>668-B33497-015</v>
          </cell>
          <cell r="B772" t="str">
            <v>CONN,HDR,PCB,3A,600V,15PIN,SHRD,VERT,BLK</v>
          </cell>
          <cell r="C772" t="str">
            <v>CONN</v>
          </cell>
          <cell r="D772">
            <v>25</v>
          </cell>
          <cell r="E772">
            <v>1</v>
          </cell>
          <cell r="F772" t="str">
            <v>12 Weeks</v>
          </cell>
          <cell r="G772">
            <v>936</v>
          </cell>
          <cell r="H772">
            <v>2.5329250000000001</v>
          </cell>
          <cell r="I772">
            <v>2370.8178000000003</v>
          </cell>
          <cell r="J772">
            <v>3.0889329268292687</v>
          </cell>
          <cell r="K772">
            <v>520.42341951219532</v>
          </cell>
          <cell r="L772">
            <v>2891.2412195121956</v>
          </cell>
          <cell r="O772"/>
          <cell r="Q772">
            <v>1</v>
          </cell>
          <cell r="R772" t="str">
            <v>6-104910-4</v>
          </cell>
          <cell r="S772" t="str">
            <v>TE CONNECTIVITY</v>
          </cell>
          <cell r="T772" t="str">
            <v>Waldom</v>
          </cell>
          <cell r="U772">
            <v>1.73</v>
          </cell>
          <cell r="V772">
            <v>1001</v>
          </cell>
          <cell r="W772">
            <v>-65</v>
          </cell>
          <cell r="X772">
            <v>10</v>
          </cell>
          <cell r="Y772" t="str">
            <v>Y</v>
          </cell>
          <cell r="Z772">
            <v>1731.73</v>
          </cell>
          <cell r="AA772">
            <v>639.08780000000024</v>
          </cell>
          <cell r="AB772">
            <v>0.40104271192834817</v>
          </cell>
          <cell r="AD772">
            <v>1062721</v>
          </cell>
          <cell r="AE772" t="str">
            <v>POV0067273</v>
          </cell>
          <cell r="AF772" t="str">
            <v>JH</v>
          </cell>
        </row>
        <row r="773">
          <cell r="A773" t="str">
            <v>626-A86953-001</v>
          </cell>
          <cell r="B773" t="str">
            <v>XSTR,SMD,MOSFET,P-CH,50V,0.180A,TO-236AB</v>
          </cell>
          <cell r="C773" t="str">
            <v>XSTR</v>
          </cell>
          <cell r="D773">
            <v>15</v>
          </cell>
          <cell r="E773">
            <v>1</v>
          </cell>
          <cell r="F773" t="str">
            <v>3 Weeks</v>
          </cell>
          <cell r="G773">
            <v>10000</v>
          </cell>
          <cell r="H773">
            <v>2.4510000000000001E-2</v>
          </cell>
          <cell r="I773">
            <v>245.1</v>
          </cell>
          <cell r="J773">
            <v>2.9890243902439027E-2</v>
          </cell>
          <cell r="K773">
            <v>53.802439024390281</v>
          </cell>
          <cell r="L773">
            <v>298.90243902439028</v>
          </cell>
          <cell r="O773"/>
          <cell r="Q773">
            <v>1</v>
          </cell>
          <cell r="R773" t="str">
            <v>BSS84AK,215</v>
          </cell>
          <cell r="S773" t="str">
            <v>NXP</v>
          </cell>
          <cell r="T773" t="str">
            <v>Mouser</v>
          </cell>
          <cell r="U773">
            <v>2.1000000000000001E-2</v>
          </cell>
          <cell r="V773">
            <v>10000</v>
          </cell>
          <cell r="W773">
            <v>0</v>
          </cell>
          <cell r="X773">
            <v>1</v>
          </cell>
          <cell r="Y773" t="str">
            <v>Y</v>
          </cell>
          <cell r="Z773">
            <v>210</v>
          </cell>
          <cell r="AA773">
            <v>35.099999999999994</v>
          </cell>
          <cell r="AB773">
            <v>0.29742962056303557</v>
          </cell>
          <cell r="AC773" t="str">
            <v>JH</v>
          </cell>
          <cell r="AD773">
            <v>1062721</v>
          </cell>
          <cell r="AE773" t="str">
            <v>POV0067254</v>
          </cell>
          <cell r="AF773" t="str">
            <v>JH</v>
          </cell>
        </row>
        <row r="774">
          <cell r="A774" t="str">
            <v>615-A00422-267</v>
          </cell>
          <cell r="B774" t="str">
            <v>RES SMD 267 OHM 0.1% 1/16W 0402</v>
          </cell>
          <cell r="C774" t="str">
            <v>RES</v>
          </cell>
          <cell r="D774">
            <v>15</v>
          </cell>
          <cell r="E774">
            <v>1</v>
          </cell>
          <cell r="F774" t="str">
            <v>22 Weeks</v>
          </cell>
          <cell r="G774">
            <v>10000</v>
          </cell>
          <cell r="H774">
            <v>3.9656999999999998E-2</v>
          </cell>
          <cell r="I774">
            <v>396.57</v>
          </cell>
          <cell r="J774">
            <v>4.8362195121951217E-2</v>
          </cell>
          <cell r="K774">
            <v>87.051951219512205</v>
          </cell>
          <cell r="L774">
            <v>483.62195121951214</v>
          </cell>
          <cell r="O774"/>
          <cell r="Q774">
            <v>2</v>
          </cell>
          <cell r="R774" t="str">
            <v>RT0402BRD07267RL</v>
          </cell>
          <cell r="S774" t="str">
            <v>Yageo</v>
          </cell>
          <cell r="T774" t="str">
            <v>Digikey</v>
          </cell>
          <cell r="U774">
            <v>3.7690000000000001E-2</v>
          </cell>
          <cell r="V774">
            <v>10000</v>
          </cell>
          <cell r="W774">
            <v>0</v>
          </cell>
          <cell r="X774">
            <v>1</v>
          </cell>
          <cell r="Y774" t="str">
            <v>Y</v>
          </cell>
          <cell r="Z774">
            <v>376.90000000000003</v>
          </cell>
          <cell r="AA774">
            <v>19.669999999999959</v>
          </cell>
          <cell r="AB774">
            <v>0.22067226466954115</v>
          </cell>
          <cell r="AD774">
            <v>1062721</v>
          </cell>
          <cell r="AE774" t="str">
            <v xml:space="preserve">POV0067276 </v>
          </cell>
          <cell r="AF774" t="str">
            <v>JH</v>
          </cell>
        </row>
        <row r="775">
          <cell r="A775" t="str">
            <v>615-233538-001</v>
          </cell>
          <cell r="B775" t="str">
            <v>RES,SMD,0402,0.1% 1/16W,19.8K</v>
          </cell>
          <cell r="C775" t="str">
            <v>RES</v>
          </cell>
          <cell r="D775">
            <v>15</v>
          </cell>
          <cell r="E775">
            <v>1</v>
          </cell>
          <cell r="F775" t="str">
            <v>15 Weeks</v>
          </cell>
          <cell r="G775">
            <v>10000</v>
          </cell>
          <cell r="H775">
            <v>0.101717</v>
          </cell>
          <cell r="I775">
            <v>1017.1700000000001</v>
          </cell>
          <cell r="J775">
            <v>0.12404512195121953</v>
          </cell>
          <cell r="K775">
            <v>223.28121951219532</v>
          </cell>
          <cell r="L775">
            <v>1240.4512195121952</v>
          </cell>
          <cell r="O775"/>
          <cell r="Q775">
            <v>1</v>
          </cell>
          <cell r="R775" t="str">
            <v>TNPW040219K8BEED</v>
          </cell>
          <cell r="S775" t="str">
            <v>Vishay</v>
          </cell>
          <cell r="T775" t="str">
            <v>Mouser</v>
          </cell>
          <cell r="U775">
            <v>0.10299999999999999</v>
          </cell>
          <cell r="V775">
            <v>10000</v>
          </cell>
          <cell r="W775">
            <v>0</v>
          </cell>
          <cell r="X775" t="str">
            <v>9500 STOCK; BALANCE TO LEAD TIME</v>
          </cell>
          <cell r="Y775" t="str">
            <v>Y</v>
          </cell>
          <cell r="Z775">
            <v>1030</v>
          </cell>
          <cell r="AA775">
            <v>-12.829999999999927</v>
          </cell>
          <cell r="AB775" t="str">
            <v/>
          </cell>
          <cell r="AC775" t="str">
            <v>JH</v>
          </cell>
          <cell r="AD775">
            <v>1062721</v>
          </cell>
          <cell r="AE775" t="str">
            <v>POV0067254</v>
          </cell>
          <cell r="AF775" t="str">
            <v>JH</v>
          </cell>
        </row>
        <row r="776">
          <cell r="A776" t="str">
            <v>609-283113-001</v>
          </cell>
          <cell r="B776" t="str">
            <v>DIO,SMD,3.3V,ESD CLAMP</v>
          </cell>
          <cell r="C776" t="str">
            <v>DIO</v>
          </cell>
          <cell r="D776">
            <v>25</v>
          </cell>
          <cell r="E776">
            <v>1</v>
          </cell>
          <cell r="F776" t="str">
            <v>24 Weeks</v>
          </cell>
          <cell r="G776">
            <v>8000</v>
          </cell>
          <cell r="H776">
            <v>5.6372999999999999E-2</v>
          </cell>
          <cell r="I776">
            <v>450.98399999999998</v>
          </cell>
          <cell r="J776">
            <v>6.8747560975609759E-2</v>
          </cell>
          <cell r="K776">
            <v>98.996487804878086</v>
          </cell>
          <cell r="L776">
            <v>549.98048780487807</v>
          </cell>
          <cell r="O776"/>
          <cell r="Q776">
            <v>2</v>
          </cell>
          <cell r="R776" t="str">
            <v>ESD7551N2T5G</v>
          </cell>
          <cell r="S776" t="str">
            <v>ONSEMI</v>
          </cell>
          <cell r="T776" t="str">
            <v>Digikey</v>
          </cell>
          <cell r="U776">
            <v>5.4449999999999998E-2</v>
          </cell>
          <cell r="V776">
            <v>8000</v>
          </cell>
          <cell r="W776">
            <v>0</v>
          </cell>
          <cell r="X776">
            <v>1</v>
          </cell>
          <cell r="Y776" t="str">
            <v>Y</v>
          </cell>
          <cell r="Z776">
            <v>435.59999999999997</v>
          </cell>
          <cell r="AA776">
            <v>15.384000000000015</v>
          </cell>
          <cell r="AB776">
            <v>0.20797190144217981</v>
          </cell>
          <cell r="AD776">
            <v>1062721</v>
          </cell>
          <cell r="AE776" t="str">
            <v xml:space="preserve">POV0067276 </v>
          </cell>
          <cell r="AF776" t="str">
            <v>JH</v>
          </cell>
        </row>
        <row r="777">
          <cell r="A777" t="str">
            <v>615-B08197-001</v>
          </cell>
          <cell r="B777" t="str">
            <v>RES,SMD,THK FILM,200K OHM,1%,0.25W,0603</v>
          </cell>
          <cell r="C777" t="str">
            <v>RES</v>
          </cell>
          <cell r="D777">
            <v>15</v>
          </cell>
          <cell r="E777">
            <v>1</v>
          </cell>
          <cell r="F777" t="str">
            <v>23 Weeks</v>
          </cell>
          <cell r="G777">
            <v>5000</v>
          </cell>
          <cell r="H777">
            <v>2.2880000000000001E-2</v>
          </cell>
          <cell r="I777">
            <v>114.4</v>
          </cell>
          <cell r="J777">
            <v>2.7902439024390248E-2</v>
          </cell>
          <cell r="K777">
            <v>25.112195121951231</v>
          </cell>
          <cell r="L777">
            <v>139.51219512195124</v>
          </cell>
          <cell r="O777"/>
          <cell r="Q777">
            <v>1</v>
          </cell>
          <cell r="R777" t="str">
            <v>ERJUP3F2003V</v>
          </cell>
          <cell r="S777" t="str">
            <v>Panasonic</v>
          </cell>
          <cell r="T777" t="str">
            <v>Mouser</v>
          </cell>
          <cell r="U777">
            <v>2.5000000000000001E-2</v>
          </cell>
          <cell r="V777">
            <v>5000</v>
          </cell>
          <cell r="W777">
            <v>0</v>
          </cell>
          <cell r="X777">
            <v>1</v>
          </cell>
          <cell r="Y777" t="str">
            <v>Y</v>
          </cell>
          <cell r="Z777">
            <v>125</v>
          </cell>
          <cell r="AA777">
            <v>-10.599999999999994</v>
          </cell>
          <cell r="AB777" t="str">
            <v/>
          </cell>
          <cell r="AC777" t="str">
            <v>JH</v>
          </cell>
          <cell r="AD777">
            <v>1062721</v>
          </cell>
          <cell r="AE777" t="str">
            <v>POV0067254</v>
          </cell>
          <cell r="AF777" t="str">
            <v>JH</v>
          </cell>
        </row>
        <row r="778">
          <cell r="A778" t="str">
            <v>615-255080-043</v>
          </cell>
          <cell r="B778" t="str">
            <v>RES,SMD,1W,+/-1%TOL,0.43OHM,THK FILM</v>
          </cell>
          <cell r="C778" t="str">
            <v>RES</v>
          </cell>
          <cell r="D778">
            <v>25</v>
          </cell>
          <cell r="E778">
            <v>1</v>
          </cell>
          <cell r="F778" t="str">
            <v>25 Weeks</v>
          </cell>
          <cell r="G778">
            <v>4000</v>
          </cell>
          <cell r="H778">
            <v>0.17157</v>
          </cell>
          <cell r="I778">
            <v>686.28</v>
          </cell>
          <cell r="J778">
            <v>0.20923170731707319</v>
          </cell>
          <cell r="K778">
            <v>150.64682926829278</v>
          </cell>
          <cell r="L778">
            <v>836.92682926829275</v>
          </cell>
          <cell r="O778"/>
          <cell r="Q778">
            <v>1</v>
          </cell>
          <cell r="R778" t="str">
            <v>ERJ1TRQFR43U</v>
          </cell>
          <cell r="S778" t="str">
            <v>Panasonic</v>
          </cell>
          <cell r="T778" t="str">
            <v>Digikey</v>
          </cell>
          <cell r="U778">
            <v>0.18179000000000001</v>
          </cell>
          <cell r="V778">
            <v>4000</v>
          </cell>
          <cell r="W778">
            <v>0</v>
          </cell>
          <cell r="X778">
            <v>1</v>
          </cell>
          <cell r="Y778" t="str">
            <v>Y</v>
          </cell>
          <cell r="Z778">
            <v>727.16000000000008</v>
          </cell>
          <cell r="AA778">
            <v>-40.880000000000109</v>
          </cell>
          <cell r="AB778" t="str">
            <v/>
          </cell>
          <cell r="AC778" t="str">
            <v>JH</v>
          </cell>
          <cell r="AD778">
            <v>1062721</v>
          </cell>
          <cell r="AE778" t="str">
            <v xml:space="preserve">POV0067276 </v>
          </cell>
          <cell r="AF778" t="str">
            <v>JH</v>
          </cell>
        </row>
        <row r="779">
          <cell r="A779" t="str">
            <v>648-108237-001</v>
          </cell>
          <cell r="B779" t="str">
            <v>CAP,SMD,X2Y,22PF,20%,100V,0805</v>
          </cell>
          <cell r="C779" t="str">
            <v>CAP</v>
          </cell>
          <cell r="D779">
            <v>15</v>
          </cell>
          <cell r="E779">
            <v>1</v>
          </cell>
          <cell r="F779" t="str">
            <v>12 Weeks</v>
          </cell>
          <cell r="G779">
            <v>4000</v>
          </cell>
          <cell r="H779">
            <v>0.107</v>
          </cell>
          <cell r="I779">
            <v>428</v>
          </cell>
          <cell r="J779">
            <v>0.13048780487804879</v>
          </cell>
          <cell r="K779">
            <v>93.951219512195166</v>
          </cell>
          <cell r="L779">
            <v>521.95121951219517</v>
          </cell>
          <cell r="O779"/>
          <cell r="Q779">
            <v>1</v>
          </cell>
          <cell r="R779" t="str">
            <v>101X15N220MV4E</v>
          </cell>
          <cell r="S779" t="str">
            <v>Johanson</v>
          </cell>
          <cell r="T779" t="str">
            <v>Mouser</v>
          </cell>
          <cell r="U779">
            <v>0.107</v>
          </cell>
          <cell r="V779">
            <v>4000</v>
          </cell>
          <cell r="W779">
            <v>0</v>
          </cell>
          <cell r="X779">
            <v>1</v>
          </cell>
          <cell r="Y779" t="str">
            <v>Y</v>
          </cell>
          <cell r="Z779">
            <v>428</v>
          </cell>
          <cell r="AA779">
            <v>0</v>
          </cell>
          <cell r="AB779" t="str">
            <v/>
          </cell>
          <cell r="AC779" t="str">
            <v>JH</v>
          </cell>
          <cell r="AD779">
            <v>1062721</v>
          </cell>
          <cell r="AE779" t="str">
            <v>POV0067254</v>
          </cell>
          <cell r="AF779" t="str">
            <v>JH</v>
          </cell>
        </row>
        <row r="780">
          <cell r="A780" t="str">
            <v>648-A80876-332</v>
          </cell>
          <cell r="B780" t="str">
            <v>CAP,SMD,CER,3300PF,+/-1%,50V,C0G,0603</v>
          </cell>
          <cell r="C780" t="str">
            <v>CAP</v>
          </cell>
          <cell r="D780">
            <v>25</v>
          </cell>
          <cell r="E780">
            <v>1</v>
          </cell>
          <cell r="F780" t="str">
            <v>22 Weeks</v>
          </cell>
          <cell r="G780">
            <v>4000</v>
          </cell>
          <cell r="H780">
            <v>3.3089E-2</v>
          </cell>
          <cell r="I780">
            <v>132.35599999999999</v>
          </cell>
          <cell r="J780">
            <v>4.0352439024390244E-2</v>
          </cell>
          <cell r="K780">
            <v>29.053756097560978</v>
          </cell>
          <cell r="L780">
            <v>161.40975609756097</v>
          </cell>
          <cell r="O780"/>
          <cell r="Q780">
            <v>1</v>
          </cell>
          <cell r="R780" t="str">
            <v>GCM1885C1H332FA16D</v>
          </cell>
          <cell r="S780" t="str">
            <v>Murata</v>
          </cell>
          <cell r="T780" t="str">
            <v>Mouser</v>
          </cell>
          <cell r="U780">
            <v>3.3000000000000002E-2</v>
          </cell>
          <cell r="V780">
            <v>4000</v>
          </cell>
          <cell r="W780">
            <v>0</v>
          </cell>
          <cell r="X780">
            <v>1</v>
          </cell>
          <cell r="Y780" t="str">
            <v>Y</v>
          </cell>
          <cell r="Z780">
            <v>132</v>
          </cell>
          <cell r="AA780">
            <v>0.35599999999999454</v>
          </cell>
          <cell r="AB780">
            <v>0.18220556680467825</v>
          </cell>
          <cell r="AC780" t="str">
            <v>JH</v>
          </cell>
          <cell r="AD780">
            <v>1062721</v>
          </cell>
          <cell r="AE780" t="str">
            <v>POV0067254</v>
          </cell>
          <cell r="AF780" t="str">
            <v>JH</v>
          </cell>
        </row>
        <row r="781">
          <cell r="A781" t="str">
            <v>648-B08025-001</v>
          </cell>
          <cell r="B781" t="str">
            <v>CAP,SMD,CER,10PF,+/-5%TOL,250V,X8G,0603</v>
          </cell>
          <cell r="C781" t="str">
            <v>CAP</v>
          </cell>
          <cell r="D781">
            <v>15</v>
          </cell>
          <cell r="E781">
            <v>1</v>
          </cell>
          <cell r="F781" t="str">
            <v>13 Weeks</v>
          </cell>
          <cell r="G781">
            <v>4000</v>
          </cell>
          <cell r="H781">
            <v>9.2733999999999997E-2</v>
          </cell>
          <cell r="I781">
            <v>370.93599999999998</v>
          </cell>
          <cell r="J781">
            <v>0.11309024390243903</v>
          </cell>
          <cell r="K781">
            <v>81.424975609756132</v>
          </cell>
          <cell r="L781">
            <v>452.36097560975611</v>
          </cell>
          <cell r="O781"/>
          <cell r="Q781">
            <v>1</v>
          </cell>
          <cell r="R781" t="str">
            <v>GQM1875G2E100JB12D</v>
          </cell>
          <cell r="S781" t="str">
            <v>Murata</v>
          </cell>
          <cell r="T781" t="str">
            <v>Mouser</v>
          </cell>
          <cell r="U781">
            <v>0.10199999999999999</v>
          </cell>
          <cell r="V781">
            <v>4000</v>
          </cell>
          <cell r="W781">
            <v>0</v>
          </cell>
          <cell r="X781">
            <v>1</v>
          </cell>
          <cell r="Y781" t="str">
            <v>Y</v>
          </cell>
          <cell r="Z781">
            <v>408</v>
          </cell>
          <cell r="AA781">
            <v>-37.064000000000021</v>
          </cell>
          <cell r="AB781" t="str">
            <v/>
          </cell>
          <cell r="AC781" t="str">
            <v>JH</v>
          </cell>
          <cell r="AD781">
            <v>1062721</v>
          </cell>
          <cell r="AE781" t="str">
            <v>POV0067254</v>
          </cell>
          <cell r="AF781" t="str">
            <v>JH</v>
          </cell>
        </row>
        <row r="782">
          <cell r="A782" t="str">
            <v>668-005463-006</v>
          </cell>
          <cell r="B782" t="str">
            <v>HEADER,STR,DBL ROW,6 CKT,ROHS</v>
          </cell>
          <cell r="C782" t="str">
            <v>HEADER</v>
          </cell>
          <cell r="D782">
            <v>15</v>
          </cell>
          <cell r="E782">
            <v>1</v>
          </cell>
          <cell r="F782" t="str">
            <v>28 Weeks</v>
          </cell>
          <cell r="G782">
            <v>3000</v>
          </cell>
          <cell r="H782">
            <v>0.46936699999999998</v>
          </cell>
          <cell r="I782">
            <v>1408.1009999999999</v>
          </cell>
          <cell r="J782">
            <v>0.5723987804878049</v>
          </cell>
          <cell r="K782">
            <v>309.0953414634148</v>
          </cell>
          <cell r="L782">
            <v>1717.1963414634147</v>
          </cell>
          <cell r="O782"/>
          <cell r="Q782">
            <v>2</v>
          </cell>
          <cell r="R782" t="str">
            <v>10-89-7060</v>
          </cell>
          <cell r="S782" t="str">
            <v>MOLEX, LLC</v>
          </cell>
          <cell r="T782" t="str">
            <v>Waldom</v>
          </cell>
          <cell r="U782">
            <v>0.37</v>
          </cell>
          <cell r="V782">
            <v>3000</v>
          </cell>
          <cell r="W782">
            <v>0</v>
          </cell>
          <cell r="X782">
            <v>1</v>
          </cell>
          <cell r="Y782" t="str">
            <v>Y</v>
          </cell>
          <cell r="Z782">
            <v>1110</v>
          </cell>
          <cell r="AA782">
            <v>298.10099999999989</v>
          </cell>
          <cell r="AB782">
            <v>0.35359750472444806</v>
          </cell>
          <cell r="AD782">
            <v>1062721</v>
          </cell>
          <cell r="AE782" t="str">
            <v>POV0067273</v>
          </cell>
          <cell r="AF782" t="str">
            <v>JH</v>
          </cell>
        </row>
        <row r="783">
          <cell r="A783" t="str">
            <v>609-068289-001</v>
          </cell>
          <cell r="B783" t="str">
            <v>DIO,SMD,PWR,TVS,255W,5V  ROHS</v>
          </cell>
          <cell r="C783" t="str">
            <v>DIO</v>
          </cell>
          <cell r="D783">
            <v>15</v>
          </cell>
          <cell r="E783">
            <v>1</v>
          </cell>
          <cell r="F783" t="str">
            <v>16 Weeks</v>
          </cell>
          <cell r="G783">
            <v>3000</v>
          </cell>
          <cell r="H783">
            <v>0.116423</v>
          </cell>
          <cell r="I783">
            <v>349.26900000000001</v>
          </cell>
          <cell r="J783">
            <v>0.14197926829268293</v>
          </cell>
          <cell r="K783">
            <v>76.668804878048832</v>
          </cell>
          <cell r="L783">
            <v>425.93780487804878</v>
          </cell>
          <cell r="O783"/>
          <cell r="Q783">
            <v>1</v>
          </cell>
          <cell r="R783" t="str">
            <v>DFLT5V0A-7</v>
          </cell>
          <cell r="S783" t="str">
            <v>DIODES INCORPORATED</v>
          </cell>
          <cell r="T783" t="str">
            <v>Mouser</v>
          </cell>
          <cell r="U783">
            <v>0.11799999999999999</v>
          </cell>
          <cell r="V783">
            <v>3000</v>
          </cell>
          <cell r="W783">
            <v>0</v>
          </cell>
          <cell r="X783">
            <v>1</v>
          </cell>
          <cell r="Y783" t="str">
            <v>Y</v>
          </cell>
          <cell r="Z783">
            <v>354</v>
          </cell>
          <cell r="AA783">
            <v>-4.7309999999999945</v>
          </cell>
          <cell r="AB783" t="str">
            <v/>
          </cell>
          <cell r="AC783" t="str">
            <v>JH</v>
          </cell>
          <cell r="AD783">
            <v>1062721</v>
          </cell>
          <cell r="AE783" t="str">
            <v>POV0067254</v>
          </cell>
          <cell r="AF783" t="str">
            <v>JH</v>
          </cell>
        </row>
        <row r="784">
          <cell r="A784" t="str">
            <v>669-047358-001</v>
          </cell>
          <cell r="B784" t="str">
            <v>CONT,SKT,MINIATURE SPRING SOCKET</v>
          </cell>
          <cell r="C784" t="str">
            <v>CONT</v>
          </cell>
          <cell r="D784">
            <v>25</v>
          </cell>
          <cell r="E784">
            <v>1</v>
          </cell>
          <cell r="F784" t="str">
            <v>23 Weeks</v>
          </cell>
          <cell r="G784">
            <v>2000</v>
          </cell>
          <cell r="H784">
            <v>0.59319100000000002</v>
          </cell>
          <cell r="I784">
            <v>1186.3820000000001</v>
          </cell>
          <cell r="J784">
            <v>0.72340365853658539</v>
          </cell>
          <cell r="K784">
            <v>260.42531707317085</v>
          </cell>
          <cell r="L784">
            <v>1446.8073170731707</v>
          </cell>
          <cell r="O784"/>
          <cell r="Q784">
            <v>3</v>
          </cell>
          <cell r="R784" t="str">
            <v>50865-5</v>
          </cell>
          <cell r="S784" t="str">
            <v>TE CONNECTIVITY</v>
          </cell>
          <cell r="T784" t="str">
            <v>Waldom</v>
          </cell>
          <cell r="U784">
            <v>0.3</v>
          </cell>
          <cell r="V784">
            <v>2000</v>
          </cell>
          <cell r="W784">
            <v>0</v>
          </cell>
          <cell r="X784">
            <v>1</v>
          </cell>
          <cell r="Y784" t="str">
            <v>Y</v>
          </cell>
          <cell r="Z784">
            <v>600</v>
          </cell>
          <cell r="AA784">
            <v>586.38200000000006</v>
          </cell>
          <cell r="AB784">
            <v>0.58529377552929829</v>
          </cell>
          <cell r="AD784">
            <v>1062721</v>
          </cell>
          <cell r="AE784" t="str">
            <v>POV0067273</v>
          </cell>
          <cell r="AF784" t="str">
            <v>JH</v>
          </cell>
        </row>
        <row r="785">
          <cell r="A785" t="str">
            <v>648-B34301-001</v>
          </cell>
          <cell r="B785" t="str">
            <v>CAP,SMD,MLCC,47UF,20%,6.3V,X5R,0805</v>
          </cell>
          <cell r="C785" t="str">
            <v>CAP</v>
          </cell>
          <cell r="D785">
            <v>50</v>
          </cell>
          <cell r="E785">
            <v>1</v>
          </cell>
          <cell r="F785" t="str">
            <v>27 Weeks</v>
          </cell>
          <cell r="G785">
            <v>2000</v>
          </cell>
          <cell r="H785">
            <v>6.9523000000000001E-2</v>
          </cell>
          <cell r="I785">
            <v>139.04599999999999</v>
          </cell>
          <cell r="J785">
            <v>8.4784146341463418E-2</v>
          </cell>
          <cell r="K785">
            <v>30.522292682926832</v>
          </cell>
          <cell r="L785">
            <v>169.56829268292682</v>
          </cell>
          <cell r="O785"/>
          <cell r="Q785">
            <v>1</v>
          </cell>
          <cell r="R785" t="str">
            <v>CL21A476MQYNNNE</v>
          </cell>
          <cell r="S785" t="str">
            <v>SAMSUNG EM</v>
          </cell>
          <cell r="T785" t="str">
            <v>Rutronik US</v>
          </cell>
          <cell r="U785">
            <v>2.87E-2</v>
          </cell>
          <cell r="V785">
            <v>2000</v>
          </cell>
          <cell r="W785">
            <v>0</v>
          </cell>
          <cell r="X785">
            <v>1</v>
          </cell>
          <cell r="Y785" t="str">
            <v>Y</v>
          </cell>
          <cell r="Z785">
            <v>57.4</v>
          </cell>
          <cell r="AA785">
            <v>81.645999999999987</v>
          </cell>
          <cell r="AB785">
            <v>0.66149331875782114</v>
          </cell>
          <cell r="AD785">
            <v>1062721</v>
          </cell>
          <cell r="AE785" t="str">
            <v>POV0067280</v>
          </cell>
          <cell r="AF785" t="str">
            <v>DM</v>
          </cell>
        </row>
        <row r="786">
          <cell r="A786" t="str">
            <v>668-099029-015</v>
          </cell>
          <cell r="B786" t="str">
            <v>CONN,PIN,15P,DSUB,HD,VERT,ROHS</v>
          </cell>
          <cell r="C786" t="str">
            <v>CONN</v>
          </cell>
          <cell r="D786">
            <v>15</v>
          </cell>
          <cell r="E786">
            <v>1</v>
          </cell>
          <cell r="F786" t="str">
            <v>27 Weeks</v>
          </cell>
          <cell r="G786">
            <v>1008</v>
          </cell>
          <cell r="H786">
            <v>3.8113049999999999</v>
          </cell>
          <cell r="I786">
            <v>3841.7954399999999</v>
          </cell>
          <cell r="J786">
            <v>4.6479329268292684</v>
          </cell>
          <cell r="K786">
            <v>843.3209502439031</v>
          </cell>
          <cell r="L786">
            <v>4685.116390243903</v>
          </cell>
          <cell r="O786"/>
          <cell r="Q786">
            <v>6</v>
          </cell>
          <cell r="R786" t="str">
            <v>K86X-ED-15P-BR</v>
          </cell>
          <cell r="S786" t="str">
            <v>KYCON, INC</v>
          </cell>
          <cell r="T786" t="str">
            <v>Digikey</v>
          </cell>
          <cell r="U786">
            <v>2.5562499999999999</v>
          </cell>
          <cell r="V786">
            <v>1008</v>
          </cell>
          <cell r="W786">
            <v>0</v>
          </cell>
          <cell r="X786">
            <v>1</v>
          </cell>
          <cell r="Y786" t="str">
            <v>Y</v>
          </cell>
          <cell r="Z786">
            <v>2576.6999999999998</v>
          </cell>
          <cell r="AA786">
            <v>1265.0954400000001</v>
          </cell>
          <cell r="AB786">
            <v>0.45002433549663445</v>
          </cell>
          <cell r="AD786">
            <v>1062721</v>
          </cell>
          <cell r="AE786" t="str">
            <v xml:space="preserve">POV0067276 </v>
          </cell>
          <cell r="AF786" t="str">
            <v>JH</v>
          </cell>
        </row>
        <row r="787">
          <cell r="A787" t="str">
            <v>648-067455-101</v>
          </cell>
          <cell r="B787" t="str">
            <v>CAP,1812,COG,10%,3KV,100PF ROHS</v>
          </cell>
          <cell r="C787" t="str">
            <v>CAP</v>
          </cell>
          <cell r="D787">
            <v>25</v>
          </cell>
          <cell r="E787">
            <v>1</v>
          </cell>
          <cell r="F787" t="str">
            <v>19 Weeks</v>
          </cell>
          <cell r="G787">
            <v>1000</v>
          </cell>
          <cell r="H787">
            <v>0.23774700000000001</v>
          </cell>
          <cell r="I787">
            <v>237.74700000000001</v>
          </cell>
          <cell r="J787">
            <v>0.28993536585365859</v>
          </cell>
          <cell r="K787">
            <v>52.188365853658581</v>
          </cell>
          <cell r="L787">
            <v>289.9353658536586</v>
          </cell>
          <cell r="O787"/>
          <cell r="Q787">
            <v>1</v>
          </cell>
          <cell r="R787" t="str">
            <v>C4532C0G3F101K160KA</v>
          </cell>
          <cell r="S787" t="str">
            <v>TDK</v>
          </cell>
          <cell r="T787" t="str">
            <v>Future</v>
          </cell>
          <cell r="U787">
            <v>0.19400000000000001</v>
          </cell>
          <cell r="V787">
            <v>1000</v>
          </cell>
          <cell r="W787">
            <v>0</v>
          </cell>
          <cell r="X787">
            <v>1</v>
          </cell>
          <cell r="Y787" t="str">
            <v>Y</v>
          </cell>
          <cell r="Z787">
            <v>194</v>
          </cell>
          <cell r="AA787">
            <v>43.747000000000014</v>
          </cell>
          <cell r="AB787">
            <v>0.3308853529171768</v>
          </cell>
          <cell r="AC787" t="str">
            <v>JH</v>
          </cell>
          <cell r="AD787">
            <v>1062721</v>
          </cell>
          <cell r="AE787" t="str">
            <v>POV0067275</v>
          </cell>
          <cell r="AF787" t="str">
            <v>JH</v>
          </cell>
        </row>
        <row r="788">
          <cell r="A788" t="str">
            <v>630-080990-001</v>
          </cell>
          <cell r="B788" t="str">
            <v>IC,SMD,SINGLE TRNSTOR OPTOCPL TTL COMP</v>
          </cell>
          <cell r="C788" t="str">
            <v>IC</v>
          </cell>
          <cell r="D788">
            <v>15</v>
          </cell>
          <cell r="E788">
            <v>3</v>
          </cell>
          <cell r="F788" t="str">
            <v>26 Weeks</v>
          </cell>
          <cell r="G788">
            <v>1000</v>
          </cell>
          <cell r="H788">
            <v>0.70343699999999998</v>
          </cell>
          <cell r="I788">
            <v>703.43700000000001</v>
          </cell>
          <cell r="J788">
            <v>0.85785</v>
          </cell>
          <cell r="K788">
            <v>154.41300000000001</v>
          </cell>
          <cell r="L788">
            <v>857.85</v>
          </cell>
          <cell r="O788"/>
          <cell r="Q788">
            <v>1</v>
          </cell>
          <cell r="R788" t="str">
            <v>CPC1303GR</v>
          </cell>
          <cell r="S788" t="str">
            <v>Littelfuse</v>
          </cell>
          <cell r="T788" t="str">
            <v>Mouser</v>
          </cell>
          <cell r="U788">
            <v>0.69699999999999995</v>
          </cell>
          <cell r="V788">
            <v>1000</v>
          </cell>
          <cell r="W788">
            <v>0</v>
          </cell>
          <cell r="X788">
            <v>1</v>
          </cell>
          <cell r="Y788" t="str">
            <v>Y</v>
          </cell>
          <cell r="Z788">
            <v>697</v>
          </cell>
          <cell r="AA788">
            <v>6.4370000000000118</v>
          </cell>
          <cell r="AB788">
            <v>0.18750364282800025</v>
          </cell>
          <cell r="AC788" t="str">
            <v>JH</v>
          </cell>
          <cell r="AD788">
            <v>1062721</v>
          </cell>
          <cell r="AE788" t="str">
            <v>POV0067254</v>
          </cell>
          <cell r="AF788" t="str">
            <v>JH</v>
          </cell>
        </row>
        <row r="789">
          <cell r="A789" t="str">
            <v>668-097179-216</v>
          </cell>
          <cell r="B789" t="str">
            <v>CONN,DSUB,JCK SCRW,HEX,.216,ROHS</v>
          </cell>
          <cell r="C789" t="str">
            <v>CONN</v>
          </cell>
          <cell r="D789">
            <v>30</v>
          </cell>
          <cell r="E789">
            <v>1</v>
          </cell>
          <cell r="F789" t="str">
            <v>25 Weeks</v>
          </cell>
          <cell r="G789">
            <v>1000</v>
          </cell>
          <cell r="H789">
            <v>0.180149</v>
          </cell>
          <cell r="I789">
            <v>180.149</v>
          </cell>
          <cell r="J789">
            <v>0.2196939024390244</v>
          </cell>
          <cell r="K789">
            <v>39.544902439024412</v>
          </cell>
          <cell r="L789">
            <v>219.69390243902438</v>
          </cell>
          <cell r="O789"/>
          <cell r="Q789">
            <v>1</v>
          </cell>
          <cell r="R789" t="str">
            <v>JSX-1055</v>
          </cell>
          <cell r="S789" t="str">
            <v>KYCON, INC</v>
          </cell>
          <cell r="T789" t="str">
            <v>Sager</v>
          </cell>
          <cell r="U789">
            <v>0.17</v>
          </cell>
          <cell r="V789">
            <v>1000</v>
          </cell>
          <cell r="W789">
            <v>0</v>
          </cell>
          <cell r="X789">
            <v>1</v>
          </cell>
          <cell r="Y789" t="str">
            <v>Y</v>
          </cell>
          <cell r="Z789">
            <v>170</v>
          </cell>
          <cell r="AA789">
            <v>10.149000000000001</v>
          </cell>
          <cell r="AB789">
            <v>0.22619609323393408</v>
          </cell>
          <cell r="AC789" t="str">
            <v>JH</v>
          </cell>
          <cell r="AD789">
            <v>1062721</v>
          </cell>
          <cell r="AE789" t="str">
            <v>POV0067264</v>
          </cell>
          <cell r="AF789" t="str">
            <v>JH</v>
          </cell>
        </row>
        <row r="790">
          <cell r="A790" t="str">
            <v>670-338640-500</v>
          </cell>
          <cell r="B790" t="str">
            <v>FUSE,CRTG,5A,600VAC/400DC,5X20MM</v>
          </cell>
          <cell r="C790" t="str">
            <v>FUSE</v>
          </cell>
          <cell r="D790">
            <v>25</v>
          </cell>
          <cell r="E790" t="str">
            <v>N/A</v>
          </cell>
          <cell r="F790" t="str">
            <v>13 Weeks</v>
          </cell>
          <cell r="G790">
            <v>1000</v>
          </cell>
          <cell r="H790">
            <v>0.87004999999999999</v>
          </cell>
          <cell r="I790">
            <v>870.05</v>
          </cell>
          <cell r="J790">
            <v>1.0610365853658537</v>
          </cell>
          <cell r="K790">
            <v>190.98658536585367</v>
          </cell>
          <cell r="L790">
            <v>1061.0365853658536</v>
          </cell>
          <cell r="O790"/>
          <cell r="Q790">
            <v>2</v>
          </cell>
          <cell r="R790" t="str">
            <v>BK1/S505H-5-R</v>
          </cell>
          <cell r="S790" t="str">
            <v>Eaton</v>
          </cell>
          <cell r="T790" t="str">
            <v>Waldom / Master Electronics</v>
          </cell>
          <cell r="U790">
            <v>0.61</v>
          </cell>
          <cell r="V790">
            <v>991</v>
          </cell>
          <cell r="W790">
            <v>9</v>
          </cell>
          <cell r="X790" t="str">
            <v>500 Waldom @ 0.61
491 Master @ 0.72</v>
          </cell>
          <cell r="Y790" t="str">
            <v>Y</v>
          </cell>
          <cell r="Z790">
            <v>604.51</v>
          </cell>
          <cell r="AA790">
            <v>257.70955000000004</v>
          </cell>
          <cell r="AB790">
            <v>0.42509051203953796</v>
          </cell>
          <cell r="AC790" t="str">
            <v>JH</v>
          </cell>
          <cell r="AD790">
            <v>1062721</v>
          </cell>
          <cell r="AE790" t="str">
            <v>POV0067273 / POV0067277</v>
          </cell>
          <cell r="AF790" t="str">
            <v>JH</v>
          </cell>
        </row>
        <row r="791">
          <cell r="A791" t="str">
            <v>668-097179-217</v>
          </cell>
          <cell r="B791" t="str">
            <v>CONN,DSUB,JCK SCRW,HEX,.217</v>
          </cell>
          <cell r="C791" t="str">
            <v>CONN</v>
          </cell>
          <cell r="D791">
            <v>25</v>
          </cell>
          <cell r="E791">
            <v>1</v>
          </cell>
          <cell r="F791" t="str">
            <v>25 Weeks</v>
          </cell>
          <cell r="G791">
            <v>500</v>
          </cell>
          <cell r="H791">
            <v>0.20269799999999999</v>
          </cell>
          <cell r="I791">
            <v>101.34899999999999</v>
          </cell>
          <cell r="J791">
            <v>0.24719268292682928</v>
          </cell>
          <cell r="K791">
            <v>22.247341463414642</v>
          </cell>
          <cell r="L791">
            <v>123.59634146341463</v>
          </cell>
          <cell r="O791"/>
          <cell r="Q791">
            <v>1</v>
          </cell>
          <cell r="R791" t="str">
            <v>JSX-1055-5.9</v>
          </cell>
          <cell r="S791" t="str">
            <v>KYCON, INC</v>
          </cell>
          <cell r="T791" t="str">
            <v>Sager</v>
          </cell>
          <cell r="U791">
            <v>0.19</v>
          </cell>
          <cell r="V791">
            <v>500</v>
          </cell>
          <cell r="W791">
            <v>0</v>
          </cell>
          <cell r="X791">
            <v>1</v>
          </cell>
          <cell r="Y791" t="str">
            <v>Y</v>
          </cell>
          <cell r="Z791">
            <v>95</v>
          </cell>
          <cell r="AA791">
            <v>6.3489999999999895</v>
          </cell>
          <cell r="AB791">
            <v>0.23136883442362532</v>
          </cell>
          <cell r="AC791" t="str">
            <v>JH</v>
          </cell>
          <cell r="AD791">
            <v>1062721</v>
          </cell>
          <cell r="AE791" t="str">
            <v>POV0067264</v>
          </cell>
          <cell r="AF791" t="str">
            <v>JH</v>
          </cell>
        </row>
        <row r="792">
          <cell r="A792" t="str">
            <v>626-B09702-001</v>
          </cell>
          <cell r="B792" t="str">
            <v>XSTR,SMD,FIELD EFT,N-CH,200V,TO-268HV</v>
          </cell>
          <cell r="C792" t="str">
            <v>XSTR</v>
          </cell>
          <cell r="D792">
            <v>25</v>
          </cell>
          <cell r="E792">
            <v>1</v>
          </cell>
          <cell r="F792" t="str">
            <v>43 Weeks</v>
          </cell>
          <cell r="G792">
            <v>210</v>
          </cell>
          <cell r="H792">
            <v>13.835895000000001</v>
          </cell>
          <cell r="I792">
            <v>2905.5379500000004</v>
          </cell>
          <cell r="J792">
            <v>16.87304268292683</v>
          </cell>
          <cell r="K792">
            <v>637.80101341463433</v>
          </cell>
          <cell r="L792">
            <v>3543.3389634146342</v>
          </cell>
          <cell r="O792"/>
          <cell r="Q792">
            <v>1</v>
          </cell>
          <cell r="R792" t="str">
            <v>IXTT220N20X4HV</v>
          </cell>
          <cell r="S792" t="str">
            <v>Littelfuse</v>
          </cell>
          <cell r="T792" t="str">
            <v>Digikey</v>
          </cell>
          <cell r="U792">
            <v>14.13017</v>
          </cell>
          <cell r="V792">
            <v>210</v>
          </cell>
          <cell r="W792">
            <v>0</v>
          </cell>
          <cell r="X792">
            <v>1</v>
          </cell>
          <cell r="Y792" t="str">
            <v>Y</v>
          </cell>
          <cell r="Z792">
            <v>2967.3357000000001</v>
          </cell>
          <cell r="AA792">
            <v>-61.797749999999724</v>
          </cell>
          <cell r="AB792" t="str">
            <v/>
          </cell>
          <cell r="AD792">
            <v>1062721</v>
          </cell>
          <cell r="AE792" t="str">
            <v xml:space="preserve">POV0067276 </v>
          </cell>
          <cell r="AF792" t="str">
            <v>JH</v>
          </cell>
        </row>
        <row r="793">
          <cell r="A793" t="str">
            <v>667-272524-001</v>
          </cell>
          <cell r="B793" t="str">
            <v>CONN,SMD,MMCX,JACK,STR,50 OHM</v>
          </cell>
          <cell r="C793" t="str">
            <v>CONN</v>
          </cell>
          <cell r="D793">
            <v>25</v>
          </cell>
          <cell r="E793">
            <v>1</v>
          </cell>
          <cell r="F793" t="str">
            <v>3 Weeks</v>
          </cell>
          <cell r="G793">
            <v>100</v>
          </cell>
          <cell r="H793">
            <v>1.782367</v>
          </cell>
          <cell r="I793">
            <v>178.23670000000001</v>
          </cell>
          <cell r="J793">
            <v>2.1736182926829271</v>
          </cell>
          <cell r="K793">
            <v>39.12512926829271</v>
          </cell>
          <cell r="L793">
            <v>217.36182926829269</v>
          </cell>
          <cell r="O793"/>
          <cell r="Q793">
            <v>1</v>
          </cell>
          <cell r="R793">
            <v>734152063</v>
          </cell>
          <cell r="S793" t="str">
            <v>MOLEX, LLC</v>
          </cell>
          <cell r="T793" t="str">
            <v>Mouser</v>
          </cell>
          <cell r="U793">
            <v>1.7</v>
          </cell>
          <cell r="V793">
            <v>100</v>
          </cell>
          <cell r="W793">
            <v>0</v>
          </cell>
          <cell r="X793">
            <v>1</v>
          </cell>
          <cell r="Y793" t="str">
            <v>Y</v>
          </cell>
          <cell r="Z793">
            <v>170</v>
          </cell>
          <cell r="AA793">
            <v>8.2367000000000132</v>
          </cell>
          <cell r="AB793">
            <v>0.21789395786614096</v>
          </cell>
          <cell r="AC793" t="str">
            <v>JH</v>
          </cell>
          <cell r="AD793">
            <v>1062721</v>
          </cell>
          <cell r="AE793" t="str">
            <v>POV0067254</v>
          </cell>
          <cell r="AF793" t="str">
            <v>JH</v>
          </cell>
        </row>
        <row r="794">
          <cell r="A794" t="str">
            <v>670-332664-021</v>
          </cell>
          <cell r="B794" t="str">
            <v>FUSE,FAST-ACT,10A,600VAC/300VDC,5AG</v>
          </cell>
          <cell r="C794" t="str">
            <v>FUSE</v>
          </cell>
          <cell r="D794">
            <v>25</v>
          </cell>
          <cell r="E794">
            <v>1</v>
          </cell>
          <cell r="F794" t="str">
            <v>21 Weeks</v>
          </cell>
          <cell r="G794">
            <v>100</v>
          </cell>
          <cell r="H794">
            <v>15.567527</v>
          </cell>
          <cell r="I794">
            <v>1556.7527</v>
          </cell>
          <cell r="J794">
            <v>18.984789024390246</v>
          </cell>
          <cell r="K794">
            <v>341.72620243902452</v>
          </cell>
          <cell r="L794">
            <v>1898.4789024390245</v>
          </cell>
          <cell r="O794"/>
          <cell r="Q794">
            <v>1</v>
          </cell>
          <cell r="R794" t="str">
            <v>KLKR010.T</v>
          </cell>
          <cell r="S794" t="str">
            <v>Littelfuse</v>
          </cell>
          <cell r="T794" t="str">
            <v>Fuses Unlimited</v>
          </cell>
          <cell r="U794">
            <v>12</v>
          </cell>
          <cell r="V794">
            <v>100</v>
          </cell>
          <cell r="W794">
            <v>0</v>
          </cell>
          <cell r="X794">
            <v>2</v>
          </cell>
          <cell r="Y794" t="str">
            <v>Y</v>
          </cell>
          <cell r="Z794">
            <v>1200</v>
          </cell>
          <cell r="AA794">
            <v>356.7527</v>
          </cell>
          <cell r="AB794">
            <v>0.36791501951466032</v>
          </cell>
          <cell r="AC794" t="str">
            <v>JH</v>
          </cell>
          <cell r="AD794">
            <v>1062721</v>
          </cell>
          <cell r="AE794" t="str">
            <v>POV0067255</v>
          </cell>
          <cell r="AF794" t="str">
            <v>JH</v>
          </cell>
        </row>
        <row r="795">
          <cell r="A795" t="str">
            <v>667-072912-015</v>
          </cell>
          <cell r="B795" t="str">
            <v>CONN,SMD,D-SUB,MR,7.3MM,15P ROHS</v>
          </cell>
          <cell r="C795" t="str">
            <v>CONN</v>
          </cell>
          <cell r="D795">
            <v>15</v>
          </cell>
          <cell r="E795">
            <v>1</v>
          </cell>
          <cell r="F795" t="str">
            <v>3 Weeks</v>
          </cell>
          <cell r="G795">
            <v>200</v>
          </cell>
          <cell r="H795">
            <v>3.9472499999999999</v>
          </cell>
          <cell r="I795">
            <v>789.44999999999993</v>
          </cell>
          <cell r="J795">
            <v>4.8137195121951217</v>
          </cell>
          <cell r="K795">
            <v>173.29390243902446</v>
          </cell>
          <cell r="L795">
            <v>962.7439024390244</v>
          </cell>
          <cell r="O795"/>
          <cell r="Q795">
            <v>2</v>
          </cell>
          <cell r="R795">
            <v>9552666816741</v>
          </cell>
          <cell r="S795" t="str">
            <v>Harting</v>
          </cell>
          <cell r="T795" t="str">
            <v>Mouser</v>
          </cell>
          <cell r="U795">
            <v>5.21</v>
          </cell>
          <cell r="V795">
            <v>200</v>
          </cell>
          <cell r="W795">
            <v>0</v>
          </cell>
          <cell r="X795" t="str">
            <v>95 stock; balance to lead time</v>
          </cell>
          <cell r="Y795" t="str">
            <v>Y</v>
          </cell>
          <cell r="Z795">
            <v>1042</v>
          </cell>
          <cell r="AA795">
            <v>-252.55000000000007</v>
          </cell>
          <cell r="AB795" t="str">
            <v/>
          </cell>
          <cell r="AC795" t="str">
            <v>JH</v>
          </cell>
          <cell r="AD795">
            <v>1062411</v>
          </cell>
          <cell r="AE795" t="str">
            <v>POV0067254</v>
          </cell>
          <cell r="AF795" t="str">
            <v>JH</v>
          </cell>
        </row>
        <row r="796">
          <cell r="A796" t="str">
            <v>626-A87430-001</v>
          </cell>
          <cell r="B796" t="str">
            <v>XSTR,SMD,MOSFET,N-CH,150V,120A,TO-268</v>
          </cell>
          <cell r="C796" t="str">
            <v>XSTR</v>
          </cell>
          <cell r="D796">
            <v>25</v>
          </cell>
          <cell r="E796">
            <v>1</v>
          </cell>
          <cell r="F796" t="str">
            <v>46 Weeks</v>
          </cell>
          <cell r="G796">
            <v>100</v>
          </cell>
          <cell r="H796">
            <v>8.1740849999999998</v>
          </cell>
          <cell r="I796">
            <v>817.4085</v>
          </cell>
          <cell r="J796">
            <v>9.9683963414634142</v>
          </cell>
          <cell r="K796">
            <v>179.43113414634149</v>
          </cell>
          <cell r="L796">
            <v>996.83963414634138</v>
          </cell>
          <cell r="O796"/>
          <cell r="Q796">
            <v>1</v>
          </cell>
          <cell r="R796" t="str">
            <v>IXTT120N15P</v>
          </cell>
          <cell r="S796" t="str">
            <v>IXYS</v>
          </cell>
          <cell r="T796" t="str">
            <v>Fuses Unlimited</v>
          </cell>
          <cell r="U796">
            <v>6.06</v>
          </cell>
          <cell r="V796">
            <v>90</v>
          </cell>
          <cell r="W796">
            <v>10</v>
          </cell>
          <cell r="X796">
            <v>2</v>
          </cell>
          <cell r="Y796" t="str">
            <v>Y</v>
          </cell>
          <cell r="Z796">
            <v>545.4</v>
          </cell>
          <cell r="AA796">
            <v>190.26765</v>
          </cell>
          <cell r="AB796">
            <v>0.39207874642849927</v>
          </cell>
          <cell r="AC796" t="str">
            <v>JH</v>
          </cell>
          <cell r="AD796">
            <v>1062721</v>
          </cell>
          <cell r="AE796" t="str">
            <v xml:space="preserve">POV0067255 </v>
          </cell>
          <cell r="AF796" t="str">
            <v>JH</v>
          </cell>
        </row>
        <row r="797">
          <cell r="A797" t="str">
            <v>644-087493-002</v>
          </cell>
          <cell r="B797" t="str">
            <v>RLY,PWR,DPDT,24VDC,ROHS</v>
          </cell>
          <cell r="C797" t="str">
            <v>RLY</v>
          </cell>
          <cell r="D797">
            <v>25</v>
          </cell>
          <cell r="E797">
            <v>1</v>
          </cell>
          <cell r="F797" t="str">
            <v>95 Weeks</v>
          </cell>
          <cell r="G797">
            <v>60</v>
          </cell>
          <cell r="H797">
            <v>5.0667070000000001</v>
          </cell>
          <cell r="I797">
            <v>304.00242000000003</v>
          </cell>
          <cell r="J797">
            <v>6.1789109756097567</v>
          </cell>
          <cell r="K797">
            <v>66.732238536585385</v>
          </cell>
          <cell r="L797">
            <v>370.73465853658541</v>
          </cell>
          <cell r="M797" t="str">
            <v>CHINA</v>
          </cell>
          <cell r="N797" t="str">
            <v>8536410050</v>
          </cell>
          <cell r="O797">
            <v>0.35</v>
          </cell>
          <cell r="P797">
            <v>106.400847</v>
          </cell>
          <cell r="Q797">
            <v>1</v>
          </cell>
          <cell r="R797" t="str">
            <v>RTE24024F</v>
          </cell>
          <cell r="S797" t="str">
            <v>TE Connectivity / P&amp;B Brand</v>
          </cell>
          <cell r="T797" t="str">
            <v>Waldom</v>
          </cell>
          <cell r="U797">
            <v>2.8</v>
          </cell>
          <cell r="V797">
            <v>60</v>
          </cell>
          <cell r="W797">
            <v>0</v>
          </cell>
          <cell r="X797">
            <v>1</v>
          </cell>
          <cell r="Y797" t="str">
            <v>Y</v>
          </cell>
          <cell r="Z797">
            <v>168</v>
          </cell>
          <cell r="AA797">
            <v>136.00242000000003</v>
          </cell>
          <cell r="AB797">
            <v>0.54684571260978787</v>
          </cell>
          <cell r="AD797">
            <v>1062721</v>
          </cell>
          <cell r="AE797" t="str">
            <v>POV0067273</v>
          </cell>
          <cell r="AF797" t="str">
            <v>JH</v>
          </cell>
        </row>
        <row r="798">
          <cell r="A798" t="str">
            <v>668-336426-001</v>
          </cell>
          <cell r="B798" t="str">
            <v>CONN,PLUG,COMBO-D,2W2C,30A,SHL SIZE 1</v>
          </cell>
          <cell r="C798" t="str">
            <v>CONN</v>
          </cell>
          <cell r="D798">
            <v>15</v>
          </cell>
          <cell r="E798">
            <v>1</v>
          </cell>
          <cell r="F798" t="str">
            <v>3 Weeks</v>
          </cell>
          <cell r="G798">
            <v>60</v>
          </cell>
          <cell r="H798">
            <v>8.9338949999999997</v>
          </cell>
          <cell r="I798">
            <v>536.03369999999995</v>
          </cell>
          <cell r="J798">
            <v>10.894993902439024</v>
          </cell>
          <cell r="K798">
            <v>117.66593414634144</v>
          </cell>
          <cell r="L798">
            <v>653.69963414634151</v>
          </cell>
          <cell r="O798"/>
          <cell r="Q798">
            <v>1</v>
          </cell>
          <cell r="R798" t="str">
            <v>302W2CPXX51E40X</v>
          </cell>
          <cell r="S798" t="str">
            <v>Amphenol CONEC</v>
          </cell>
          <cell r="T798" t="str">
            <v>Mouser</v>
          </cell>
          <cell r="U798">
            <v>9.1199999999999992</v>
          </cell>
          <cell r="V798">
            <v>60</v>
          </cell>
          <cell r="W798">
            <v>0</v>
          </cell>
          <cell r="X798">
            <v>1</v>
          </cell>
          <cell r="Y798" t="str">
            <v>Y</v>
          </cell>
          <cell r="Z798">
            <v>547.19999999999993</v>
          </cell>
          <cell r="AA798">
            <v>-11.166299999999978</v>
          </cell>
          <cell r="AB798" t="str">
            <v/>
          </cell>
          <cell r="AC798" t="str">
            <v>JH</v>
          </cell>
          <cell r="AD798">
            <v>1062721</v>
          </cell>
          <cell r="AE798" t="str">
            <v>POV0067254</v>
          </cell>
          <cell r="AF798" t="str">
            <v>JH</v>
          </cell>
        </row>
        <row r="799">
          <cell r="A799" t="str">
            <v>667-215428-001</v>
          </cell>
          <cell r="B799" t="str">
            <v>CONN,SMD,D-SUB,PLUG,9POSN,RTANG,AU FLASH</v>
          </cell>
          <cell r="C799" t="str">
            <v>CONN</v>
          </cell>
          <cell r="D799">
            <v>15</v>
          </cell>
          <cell r="E799">
            <v>1</v>
          </cell>
          <cell r="F799" t="str">
            <v>27 Weeks</v>
          </cell>
          <cell r="G799">
            <v>30</v>
          </cell>
          <cell r="H799">
            <v>3.3211050000000002</v>
          </cell>
          <cell r="I799">
            <v>99.633150000000001</v>
          </cell>
          <cell r="J799">
            <v>4.050128048780488</v>
          </cell>
          <cell r="K799">
            <v>21.870691463414644</v>
          </cell>
          <cell r="L799">
            <v>121.50384146341464</v>
          </cell>
          <cell r="O799"/>
          <cell r="Q799">
            <v>1</v>
          </cell>
          <cell r="R799" t="str">
            <v>K202XHT-E9P-N</v>
          </cell>
          <cell r="S799" t="str">
            <v>KYCON, INC</v>
          </cell>
          <cell r="T799" t="str">
            <v>Mouser</v>
          </cell>
          <cell r="U799">
            <v>3.01</v>
          </cell>
          <cell r="V799">
            <v>30</v>
          </cell>
          <cell r="W799">
            <v>0</v>
          </cell>
          <cell r="X799">
            <v>1</v>
          </cell>
          <cell r="Y799" t="str">
            <v>Y</v>
          </cell>
          <cell r="Z799">
            <v>90.3</v>
          </cell>
          <cell r="AA799">
            <v>9.3331500000000034</v>
          </cell>
          <cell r="AB799">
            <v>0.25681362076778669</v>
          </cell>
          <cell r="AC799" t="str">
            <v>JH</v>
          </cell>
          <cell r="AD799">
            <v>1062721</v>
          </cell>
          <cell r="AE799" t="str">
            <v>POV0067254</v>
          </cell>
          <cell r="AF799" t="str">
            <v>JH</v>
          </cell>
        </row>
        <row r="800">
          <cell r="A800" t="str">
            <v>39-130655-25</v>
          </cell>
          <cell r="B800" t="str">
            <v>CONN,DSUB,25F,PCB STRT,0.25"</v>
          </cell>
          <cell r="C800" t="str">
            <v>CONN</v>
          </cell>
          <cell r="D800">
            <v>25</v>
          </cell>
          <cell r="E800">
            <v>1</v>
          </cell>
          <cell r="F800" t="str">
            <v>48 Weeks</v>
          </cell>
          <cell r="G800">
            <v>50</v>
          </cell>
          <cell r="H800">
            <v>28.076205000000002</v>
          </cell>
          <cell r="I800">
            <v>1403.81025</v>
          </cell>
          <cell r="J800">
            <v>34.239274390243907</v>
          </cell>
          <cell r="K800">
            <v>308.15346951219522</v>
          </cell>
          <cell r="L800">
            <v>1711.9637195121954</v>
          </cell>
          <cell r="O800"/>
          <cell r="Q800">
            <v>2</v>
          </cell>
          <cell r="R800" t="str">
            <v>2-747708-0</v>
          </cell>
          <cell r="S800" t="str">
            <v>TE CONNECTIVITY</v>
          </cell>
          <cell r="T800" t="str">
            <v>Waldom</v>
          </cell>
          <cell r="U800">
            <v>7.64</v>
          </cell>
          <cell r="V800">
            <v>50</v>
          </cell>
          <cell r="W800">
            <v>0</v>
          </cell>
          <cell r="X800">
            <v>1</v>
          </cell>
          <cell r="Y800" t="str">
            <v>Y</v>
          </cell>
          <cell r="Z800">
            <v>382</v>
          </cell>
          <cell r="AA800">
            <v>1021.81025</v>
          </cell>
          <cell r="AB800">
            <v>0.77686443021768792</v>
          </cell>
          <cell r="AD800">
            <v>1062721</v>
          </cell>
          <cell r="AE800" t="str">
            <v>POV0067273</v>
          </cell>
          <cell r="AF800" t="str">
            <v>JH</v>
          </cell>
        </row>
        <row r="801">
          <cell r="A801" t="str">
            <v>668-111553-003</v>
          </cell>
          <cell r="B801" t="str">
            <v>CONN,RCPT,D-SUB,POWER,3P,COMBO,ROHS</v>
          </cell>
          <cell r="C801" t="str">
            <v>CONN</v>
          </cell>
          <cell r="D801">
            <v>25</v>
          </cell>
          <cell r="E801">
            <v>1</v>
          </cell>
          <cell r="F801" t="str">
            <v>15 Weeks</v>
          </cell>
          <cell r="G801">
            <v>30</v>
          </cell>
          <cell r="H801">
            <v>13.377154000000001</v>
          </cell>
          <cell r="I801">
            <v>401.31462000000005</v>
          </cell>
          <cell r="J801">
            <v>16.313602439024393</v>
          </cell>
          <cell r="K801">
            <v>88.093453170731721</v>
          </cell>
          <cell r="L801">
            <v>489.40807317073177</v>
          </cell>
          <cell r="O801"/>
          <cell r="Q801">
            <v>1</v>
          </cell>
          <cell r="R801" t="str">
            <v>303W3CSXX69E40X</v>
          </cell>
          <cell r="S801" t="str">
            <v>Amphenol CONEC</v>
          </cell>
          <cell r="T801" t="str">
            <v>Mouser</v>
          </cell>
          <cell r="U801">
            <v>13.85</v>
          </cell>
          <cell r="V801">
            <v>30</v>
          </cell>
          <cell r="W801">
            <v>0</v>
          </cell>
          <cell r="X801" t="str">
            <v>17 stock; balance lead time</v>
          </cell>
          <cell r="Y801" t="str">
            <v>Y</v>
          </cell>
          <cell r="Z801">
            <v>415.5</v>
          </cell>
          <cell r="AA801">
            <v>-14.185379999999952</v>
          </cell>
          <cell r="AB801" t="str">
            <v/>
          </cell>
          <cell r="AC801" t="str">
            <v>JH</v>
          </cell>
          <cell r="AD801">
            <v>1062721</v>
          </cell>
          <cell r="AE801" t="str">
            <v>POV0067254</v>
          </cell>
          <cell r="AF801" t="str">
            <v>JH</v>
          </cell>
        </row>
        <row r="802">
          <cell r="A802" t="str">
            <v>32-441255-00</v>
          </cell>
          <cell r="B802" t="str">
            <v>IC,STEPPER MOTOR CNTRLR,2.5A,24V,HTSSOP-</v>
          </cell>
          <cell r="C802" t="str">
            <v>IC</v>
          </cell>
          <cell r="D802">
            <v>25</v>
          </cell>
          <cell r="E802">
            <v>3</v>
          </cell>
          <cell r="F802" t="str">
            <v>3 Weeks</v>
          </cell>
          <cell r="G802">
            <v>100</v>
          </cell>
          <cell r="H802">
            <v>2.9779650000000002</v>
          </cell>
          <cell r="I802">
            <v>297.79650000000004</v>
          </cell>
          <cell r="J802">
            <v>3.6316646341463419</v>
          </cell>
          <cell r="K802">
            <v>65.369963414634185</v>
          </cell>
          <cell r="L802">
            <v>363.16646341463417</v>
          </cell>
          <cell r="O802"/>
          <cell r="Q802">
            <v>2</v>
          </cell>
          <cell r="R802" t="str">
            <v>DRV8825PWPR</v>
          </cell>
          <cell r="S802" t="str">
            <v>Texas Instruments</v>
          </cell>
          <cell r="T802" t="str">
            <v>TI Store</v>
          </cell>
          <cell r="U802">
            <v>2.0139999999999998</v>
          </cell>
          <cell r="V802">
            <v>100</v>
          </cell>
          <cell r="W802">
            <v>0</v>
          </cell>
          <cell r="X802">
            <v>0</v>
          </cell>
          <cell r="Z802">
            <v>201.39999999999998</v>
          </cell>
          <cell r="AA802">
            <v>96.39650000000006</v>
          </cell>
          <cell r="AB802">
            <v>0.44543337480460654</v>
          </cell>
          <cell r="AD802">
            <v>1062721</v>
          </cell>
          <cell r="AE802" t="str">
            <v>POV0067299</v>
          </cell>
          <cell r="AF802" t="str">
            <v>SH</v>
          </cell>
        </row>
        <row r="803">
          <cell r="A803" t="str">
            <v>630-240544-001</v>
          </cell>
          <cell r="B803" t="str">
            <v>IC,SMD,OR GATE,2 INPUT,SOT-23-5,ROHS</v>
          </cell>
          <cell r="C803" t="str">
            <v>IC</v>
          </cell>
          <cell r="D803">
            <v>15</v>
          </cell>
          <cell r="E803">
            <v>1</v>
          </cell>
          <cell r="F803" t="str">
            <v>9 Weeks</v>
          </cell>
          <cell r="G803">
            <v>3000</v>
          </cell>
          <cell r="H803">
            <v>6.7369999999999999E-2</v>
          </cell>
          <cell r="I803">
            <v>202.10999999999999</v>
          </cell>
          <cell r="J803">
            <v>8.2158536585365857E-2</v>
          </cell>
          <cell r="K803">
            <v>44.36560975609757</v>
          </cell>
          <cell r="L803">
            <v>246.47560975609758</v>
          </cell>
          <cell r="O803"/>
          <cell r="Q803">
            <v>1</v>
          </cell>
          <cell r="R803" t="str">
            <v>SN74LVC1G32DBVT</v>
          </cell>
          <cell r="S803" t="str">
            <v>Texas Instruments</v>
          </cell>
          <cell r="T803" t="str">
            <v>TI Store</v>
          </cell>
          <cell r="U803">
            <v>0.27</v>
          </cell>
          <cell r="V803">
            <v>3000</v>
          </cell>
          <cell r="W803">
            <v>0</v>
          </cell>
          <cell r="X803">
            <v>0</v>
          </cell>
          <cell r="Y803" t="str">
            <v>Y</v>
          </cell>
          <cell r="Z803">
            <v>810</v>
          </cell>
          <cell r="AA803">
            <v>-607.89</v>
          </cell>
          <cell r="AB803" t="str">
            <v/>
          </cell>
          <cell r="AC803" t="str">
            <v>SH</v>
          </cell>
          <cell r="AD803">
            <v>1062721</v>
          </cell>
          <cell r="AE803" t="str">
            <v>POV0067299</v>
          </cell>
          <cell r="AF803" t="str">
            <v>SH</v>
          </cell>
        </row>
        <row r="804">
          <cell r="A804" t="str">
            <v>630-330902-001</v>
          </cell>
          <cell r="B804" t="str">
            <v>DIGITAL TEMP SENSOR,SMD,DSBGA6</v>
          </cell>
          <cell r="C804" t="str">
            <v>IC</v>
          </cell>
          <cell r="D804">
            <v>25</v>
          </cell>
          <cell r="E804">
            <v>1</v>
          </cell>
          <cell r="F804" t="str">
            <v>3 Weeks</v>
          </cell>
          <cell r="G804">
            <v>100</v>
          </cell>
          <cell r="H804">
            <v>3.9583650000000001</v>
          </cell>
          <cell r="I804">
            <v>395.8365</v>
          </cell>
          <cell r="J804">
            <v>4.827274390243903</v>
          </cell>
          <cell r="K804">
            <v>86.890939024390264</v>
          </cell>
          <cell r="L804">
            <v>482.72743902439032</v>
          </cell>
          <cell r="O804"/>
          <cell r="Q804">
            <v>1</v>
          </cell>
          <cell r="R804" t="str">
            <v>TMP117AIYBGR</v>
          </cell>
          <cell r="S804" t="str">
            <v>Texas Instruments</v>
          </cell>
          <cell r="T804" t="str">
            <v>TI Store</v>
          </cell>
          <cell r="U804">
            <v>3.8130000000000002</v>
          </cell>
          <cell r="V804">
            <v>100</v>
          </cell>
          <cell r="W804">
            <v>0</v>
          </cell>
          <cell r="X804">
            <v>0</v>
          </cell>
          <cell r="Y804" t="str">
            <v>Y</v>
          </cell>
          <cell r="Z804">
            <v>381.3</v>
          </cell>
          <cell r="AA804">
            <v>14.53649999999999</v>
          </cell>
          <cell r="AB804">
            <v>0.21011326646228945</v>
          </cell>
          <cell r="AC804" t="str">
            <v>SH</v>
          </cell>
          <cell r="AD804">
            <v>1062721</v>
          </cell>
          <cell r="AE804" t="str">
            <v>POV0067299</v>
          </cell>
          <cell r="AF804" t="str">
            <v>SH</v>
          </cell>
        </row>
        <row r="805">
          <cell r="A805" t="str">
            <v>673-348843-003</v>
          </cell>
          <cell r="B805" t="str">
            <v>TERM BLK,3 CKT,16-30AWG,2.54MM,10A,THT</v>
          </cell>
          <cell r="C805" t="str">
            <v>TERM BLK</v>
          </cell>
          <cell r="D805">
            <v>15</v>
          </cell>
          <cell r="E805">
            <v>1</v>
          </cell>
          <cell r="F805" t="str">
            <v>11 Weeks</v>
          </cell>
          <cell r="G805">
            <v>200</v>
          </cell>
          <cell r="H805">
            <v>1.6236649999999999</v>
          </cell>
          <cell r="I805">
            <v>324.733</v>
          </cell>
          <cell r="J805">
            <v>1.9800792682926829</v>
          </cell>
          <cell r="K805">
            <v>71.282853658536624</v>
          </cell>
          <cell r="L805">
            <v>396.01585365853657</v>
          </cell>
          <cell r="O805"/>
          <cell r="Q805">
            <v>1</v>
          </cell>
          <cell r="R805" t="str">
            <v>282834-3</v>
          </cell>
          <cell r="S805" t="str">
            <v>TE Connectivity</v>
          </cell>
          <cell r="T805" t="str">
            <v>TTI Europe</v>
          </cell>
          <cell r="U805">
            <v>0.79</v>
          </cell>
          <cell r="V805">
            <v>200</v>
          </cell>
          <cell r="W805">
            <v>0</v>
          </cell>
          <cell r="X805">
            <v>2</v>
          </cell>
          <cell r="Y805" t="str">
            <v>Y</v>
          </cell>
          <cell r="Z805">
            <v>158</v>
          </cell>
          <cell r="AA805">
            <v>166.733</v>
          </cell>
          <cell r="AB805">
            <v>0.60102607372826289</v>
          </cell>
          <cell r="AC805" t="str">
            <v>JH</v>
          </cell>
          <cell r="AD805">
            <v>1062721</v>
          </cell>
          <cell r="AE805" t="str">
            <v>POV0067272</v>
          </cell>
          <cell r="AF805" t="str">
            <v>JH</v>
          </cell>
        </row>
        <row r="806">
          <cell r="A806" t="str">
            <v>682-117131-002</v>
          </cell>
          <cell r="B806" t="str">
            <v>FUSE,SMD,2920,RESETABLE,60V,0.5A,ROHS</v>
          </cell>
          <cell r="C806" t="str">
            <v>FUSE</v>
          </cell>
          <cell r="D806">
            <v>15</v>
          </cell>
          <cell r="E806">
            <v>1</v>
          </cell>
          <cell r="F806" t="str">
            <v>18 Weeks</v>
          </cell>
          <cell r="G806">
            <v>1500</v>
          </cell>
          <cell r="H806">
            <v>0.28431600000000001</v>
          </cell>
          <cell r="I806">
            <v>426.47400000000005</v>
          </cell>
          <cell r="J806">
            <v>0.34672682926829274</v>
          </cell>
          <cell r="K806">
            <v>93.61624390243901</v>
          </cell>
          <cell r="L806">
            <v>520.09024390243906</v>
          </cell>
          <cell r="O806"/>
          <cell r="Q806">
            <v>1</v>
          </cell>
          <cell r="R806" t="str">
            <v>2920L050DR</v>
          </cell>
          <cell r="S806" t="str">
            <v>Littelfuse</v>
          </cell>
          <cell r="T806" t="str">
            <v>TTI Europe</v>
          </cell>
          <cell r="U806">
            <v>9.1999999999999998E-2</v>
          </cell>
          <cell r="V806">
            <v>1500</v>
          </cell>
          <cell r="W806">
            <v>0</v>
          </cell>
          <cell r="X806">
            <v>2</v>
          </cell>
          <cell r="Y806" t="str">
            <v>Y</v>
          </cell>
          <cell r="Z806">
            <v>138</v>
          </cell>
          <cell r="AA806">
            <v>288.47400000000005</v>
          </cell>
          <cell r="AB806">
            <v>0.73466143305336318</v>
          </cell>
          <cell r="AC806" t="str">
            <v>JH</v>
          </cell>
          <cell r="AD806">
            <v>1062721</v>
          </cell>
          <cell r="AE806" t="str">
            <v>POV0067272</v>
          </cell>
          <cell r="AF806" t="str">
            <v>JH</v>
          </cell>
        </row>
        <row r="807">
          <cell r="A807" t="str">
            <v>668-262972-001</v>
          </cell>
          <cell r="B807" t="str">
            <v>CONN,SMD,HDR,40PIN,VERT,2ROW,2.54MM</v>
          </cell>
          <cell r="C807" t="str">
            <v>CONN</v>
          </cell>
          <cell r="D807">
            <v>15</v>
          </cell>
          <cell r="E807">
            <v>1</v>
          </cell>
          <cell r="F807" t="str">
            <v>11 Weeks</v>
          </cell>
          <cell r="G807">
            <v>350</v>
          </cell>
          <cell r="H807">
            <v>2.678563</v>
          </cell>
          <cell r="I807">
            <v>937.49705000000006</v>
          </cell>
          <cell r="J807">
            <v>3.2665402439024391</v>
          </cell>
          <cell r="K807">
            <v>205.79203536585385</v>
          </cell>
          <cell r="L807">
            <v>1143.2890853658537</v>
          </cell>
          <cell r="M807" t="str">
            <v>CHINA</v>
          </cell>
          <cell r="N807">
            <v>8536694040</v>
          </cell>
          <cell r="O807">
            <v>0.35</v>
          </cell>
          <cell r="P807">
            <v>328.12396749999999</v>
          </cell>
          <cell r="Q807">
            <v>1</v>
          </cell>
          <cell r="R807" t="str">
            <v>5-1814832-2</v>
          </cell>
          <cell r="S807" t="str">
            <v>TE CONNECTIVITY</v>
          </cell>
          <cell r="T807" t="str">
            <v>TTI Europe</v>
          </cell>
          <cell r="U807">
            <v>1.21</v>
          </cell>
          <cell r="V807">
            <v>350</v>
          </cell>
          <cell r="W807">
            <v>0</v>
          </cell>
          <cell r="X807">
            <v>2</v>
          </cell>
          <cell r="Y807" t="str">
            <v>Y</v>
          </cell>
          <cell r="Z807">
            <v>423.5</v>
          </cell>
          <cell r="AA807">
            <v>513.99705000000006</v>
          </cell>
          <cell r="AB807">
            <v>0.62957750107053667</v>
          </cell>
          <cell r="AC807" t="str">
            <v>JH</v>
          </cell>
          <cell r="AD807">
            <v>1062721</v>
          </cell>
          <cell r="AE807" t="str">
            <v>POV0067272</v>
          </cell>
          <cell r="AF807" t="str">
            <v>JH</v>
          </cell>
        </row>
        <row r="808">
          <cell r="A808" t="str">
            <v>630-A42452-001</v>
          </cell>
          <cell r="B808" t="str">
            <v>IC,SMD,ANALOG MUX,1CKT,8CH,78OHM,TSSOP16</v>
          </cell>
          <cell r="C808" t="str">
            <v>IC</v>
          </cell>
          <cell r="D808">
            <v>25</v>
          </cell>
          <cell r="E808">
            <v>1</v>
          </cell>
          <cell r="F808" t="str">
            <v>16 Weeks</v>
          </cell>
          <cell r="G808">
            <v>3000</v>
          </cell>
          <cell r="H808">
            <v>0.69118199999999996</v>
          </cell>
          <cell r="I808">
            <v>2073.5459999999998</v>
          </cell>
          <cell r="J808">
            <v>0.84290487804878045</v>
          </cell>
          <cell r="K808">
            <v>455.16863414634145</v>
          </cell>
          <cell r="L808">
            <v>2528.7146341463413</v>
          </cell>
          <cell r="O808"/>
          <cell r="Q808">
            <v>1</v>
          </cell>
          <cell r="R808" t="str">
            <v>DG4051EEQ-T1-GE3</v>
          </cell>
          <cell r="S808" t="str">
            <v>VISHAY</v>
          </cell>
          <cell r="T808" t="str">
            <v>TTI Europe</v>
          </cell>
          <cell r="U808">
            <v>0.63</v>
          </cell>
          <cell r="V808">
            <v>3000</v>
          </cell>
          <cell r="W808">
            <v>0</v>
          </cell>
          <cell r="X808">
            <v>2</v>
          </cell>
          <cell r="Y808" t="str">
            <v>Y</v>
          </cell>
          <cell r="Z808">
            <v>1890</v>
          </cell>
          <cell r="AA808">
            <v>183.54599999999982</v>
          </cell>
          <cell r="AB808">
            <v>0.25258470272663347</v>
          </cell>
          <cell r="AC808" t="str">
            <v>JH</v>
          </cell>
          <cell r="AD808">
            <v>1062721</v>
          </cell>
          <cell r="AE808" t="str">
            <v>POV0067272</v>
          </cell>
          <cell r="AF808" t="str">
            <v>JH</v>
          </cell>
        </row>
        <row r="809">
          <cell r="A809" t="str">
            <v>668-082689-003</v>
          </cell>
          <cell r="B809" t="str">
            <v>CONN,HD DSUB,DP R/A,26P/26P,F/F,ROHS</v>
          </cell>
          <cell r="C809" t="str">
            <v>CONN</v>
          </cell>
          <cell r="D809">
            <v>15</v>
          </cell>
          <cell r="E809">
            <v>1</v>
          </cell>
          <cell r="F809" t="str">
            <v>31 Weeks</v>
          </cell>
          <cell r="G809">
            <v>3024</v>
          </cell>
          <cell r="H809">
            <v>11.69</v>
          </cell>
          <cell r="I809">
            <v>35350.559999999998</v>
          </cell>
          <cell r="J809">
            <v>14.25609756097561</v>
          </cell>
          <cell r="K809">
            <v>7759.8790243902477</v>
          </cell>
          <cell r="L809">
            <v>43110.439024390245</v>
          </cell>
          <cell r="M809"/>
          <cell r="O809"/>
          <cell r="Q809">
            <v>2</v>
          </cell>
          <cell r="R809" t="str">
            <v>SDD-H26H26-2-95-FN</v>
          </cell>
          <cell r="S809" t="str">
            <v>E-tech</v>
          </cell>
          <cell r="T809" t="str">
            <v>E-tech</v>
          </cell>
          <cell r="U809">
            <v>6.58</v>
          </cell>
          <cell r="V809">
            <v>3024</v>
          </cell>
          <cell r="W809">
            <v>0</v>
          </cell>
          <cell r="X809">
            <v>12</v>
          </cell>
          <cell r="Y809" t="str">
            <v>Y</v>
          </cell>
          <cell r="Z809">
            <v>19897.920000000002</v>
          </cell>
          <cell r="AA809">
            <v>15452.639999999996</v>
          </cell>
          <cell r="AB809">
            <v>0.53844311377245502</v>
          </cell>
          <cell r="AC809" t="str">
            <v>JH</v>
          </cell>
          <cell r="AD809">
            <v>1062411</v>
          </cell>
          <cell r="AE809" t="str">
            <v>POV0067298</v>
          </cell>
          <cell r="AF809" t="str">
            <v>JH</v>
          </cell>
        </row>
        <row r="810">
          <cell r="A810" t="str">
            <v>630-B26253-001</v>
          </cell>
          <cell r="B810" t="str">
            <v>IC,SMD,MCU,8BIT,FLASH,7KB,32MHZ,SOIC-14</v>
          </cell>
          <cell r="C810" t="str">
            <v>IC</v>
          </cell>
          <cell r="D810">
            <v>15</v>
          </cell>
          <cell r="E810">
            <v>1</v>
          </cell>
          <cell r="F810" t="str">
            <v>37 Weeks</v>
          </cell>
          <cell r="G810">
            <v>286</v>
          </cell>
          <cell r="H810">
            <v>1.1132439999999999</v>
          </cell>
          <cell r="I810">
            <v>318.38778399999995</v>
          </cell>
          <cell r="J810">
            <v>1.3576146341463413</v>
          </cell>
          <cell r="K810">
            <v>69.890001365853664</v>
          </cell>
          <cell r="L810">
            <v>388.27778536585362</v>
          </cell>
          <cell r="O810"/>
          <cell r="Q810">
            <v>1</v>
          </cell>
          <cell r="R810" t="str">
            <v>PIC16F1614-E/SL</v>
          </cell>
          <cell r="S810" t="str">
            <v>MICROCHIP TECHNOLOGY INC.</v>
          </cell>
          <cell r="T810" t="str">
            <v>Amalfi Trading</v>
          </cell>
          <cell r="U810">
            <v>1.65</v>
          </cell>
          <cell r="V810">
            <v>286</v>
          </cell>
          <cell r="W810">
            <v>0</v>
          </cell>
          <cell r="X810">
            <v>2</v>
          </cell>
          <cell r="Y810" t="str">
            <v>Y</v>
          </cell>
          <cell r="Z810">
            <v>471.9</v>
          </cell>
          <cell r="AA810">
            <v>-153.51221600000002</v>
          </cell>
          <cell r="AB810" t="str">
            <v/>
          </cell>
          <cell r="AC810" t="str">
            <v>JH</v>
          </cell>
          <cell r="AD810">
            <v>1062721</v>
          </cell>
          <cell r="AE810" t="str">
            <v xml:space="preserve">POV0067304 </v>
          </cell>
          <cell r="AF810" t="str">
            <v>JH</v>
          </cell>
        </row>
        <row r="811">
          <cell r="A811" t="str">
            <v>630-231505-001</v>
          </cell>
          <cell r="B811" t="str">
            <v>IC,SMD,EEPROM,512KBIT,1MHZ,8SOIC</v>
          </cell>
          <cell r="C811" t="str">
            <v>IC</v>
          </cell>
          <cell r="D811">
            <v>25</v>
          </cell>
          <cell r="E811">
            <v>1</v>
          </cell>
          <cell r="F811" t="str">
            <v>3 Weeks</v>
          </cell>
          <cell r="G811">
            <v>100</v>
          </cell>
          <cell r="H811">
            <v>1.636288</v>
          </cell>
          <cell r="I811">
            <v>163.62879999999998</v>
          </cell>
          <cell r="J811">
            <v>1.9954731707317075</v>
          </cell>
          <cell r="K811">
            <v>35.918517073170733</v>
          </cell>
          <cell r="L811">
            <v>199.54731707317075</v>
          </cell>
          <cell r="O811"/>
          <cell r="Q811">
            <v>1</v>
          </cell>
          <cell r="R811" t="str">
            <v>24FC512-I/SN</v>
          </cell>
          <cell r="S811" t="str">
            <v>MICROCHIP TECHNOLOGY INC.</v>
          </cell>
          <cell r="T811" t="str">
            <v>Amalfi Trading</v>
          </cell>
          <cell r="U811">
            <v>2.15</v>
          </cell>
          <cell r="V811">
            <v>100</v>
          </cell>
          <cell r="W811">
            <v>0</v>
          </cell>
          <cell r="X811">
            <v>2</v>
          </cell>
          <cell r="Y811" t="str">
            <v>Y</v>
          </cell>
          <cell r="Z811">
            <v>215</v>
          </cell>
          <cell r="AA811">
            <v>-51.371200000000016</v>
          </cell>
          <cell r="AB811" t="str">
            <v/>
          </cell>
          <cell r="AC811" t="str">
            <v>JH</v>
          </cell>
          <cell r="AD811">
            <v>1062721</v>
          </cell>
          <cell r="AE811" t="str">
            <v xml:space="preserve">POV0067304 </v>
          </cell>
          <cell r="AF811" t="str">
            <v>JH</v>
          </cell>
        </row>
        <row r="812">
          <cell r="A812" t="str">
            <v>630-254852-001</v>
          </cell>
          <cell r="B812" t="str">
            <v>IC,SMD,MCU,8 BIT,3.5KB,FLASH,SOIC8</v>
          </cell>
          <cell r="C812" t="str">
            <v>IC</v>
          </cell>
          <cell r="D812">
            <v>25</v>
          </cell>
          <cell r="E812">
            <v>1</v>
          </cell>
          <cell r="F812" t="str">
            <v>3 Weeks</v>
          </cell>
          <cell r="G812">
            <v>100</v>
          </cell>
          <cell r="H812">
            <v>0.81765399999999999</v>
          </cell>
          <cell r="I812">
            <v>81.7654</v>
          </cell>
          <cell r="J812">
            <v>0.99713902439024393</v>
          </cell>
          <cell r="K812">
            <v>17.948502439024395</v>
          </cell>
          <cell r="L812">
            <v>99.713902439024395</v>
          </cell>
          <cell r="O812"/>
          <cell r="Q812">
            <v>1</v>
          </cell>
          <cell r="R812" t="str">
            <v>PIC12F1612-I/SN</v>
          </cell>
          <cell r="S812" t="str">
            <v>MICROCHIP TECHNOLOGY INC.</v>
          </cell>
          <cell r="T812" t="str">
            <v>Amalfi Trading</v>
          </cell>
          <cell r="U812">
            <v>1.2</v>
          </cell>
          <cell r="V812">
            <v>100</v>
          </cell>
          <cell r="W812">
            <v>0</v>
          </cell>
          <cell r="X812">
            <v>2</v>
          </cell>
          <cell r="Y812" t="str">
            <v>Y</v>
          </cell>
          <cell r="Z812">
            <v>120</v>
          </cell>
          <cell r="AA812">
            <v>-38.2346</v>
          </cell>
          <cell r="AB812" t="str">
            <v/>
          </cell>
          <cell r="AC812" t="str">
            <v>JH</v>
          </cell>
          <cell r="AD812">
            <v>1062721</v>
          </cell>
          <cell r="AE812" t="str">
            <v xml:space="preserve">POV0067304 </v>
          </cell>
          <cell r="AF812" t="str">
            <v>JH</v>
          </cell>
        </row>
        <row r="813">
          <cell r="A813" t="str">
            <v>630-121761-001</v>
          </cell>
          <cell r="B813" t="str">
            <v>IC,SMD,EEPROM,2KBIT,3MHZ,SOT-23</v>
          </cell>
          <cell r="C813" t="str">
            <v>IC</v>
          </cell>
          <cell r="D813">
            <v>15</v>
          </cell>
          <cell r="E813">
            <v>1</v>
          </cell>
          <cell r="F813" t="str">
            <v>13 Weeks</v>
          </cell>
          <cell r="G813">
            <v>200</v>
          </cell>
          <cell r="H813">
            <v>0.26642399999999999</v>
          </cell>
          <cell r="I813">
            <v>53.284799999999997</v>
          </cell>
          <cell r="J813">
            <v>0.32490731707317072</v>
          </cell>
          <cell r="K813">
            <v>11.696663414634152</v>
          </cell>
          <cell r="L813">
            <v>64.981463414634149</v>
          </cell>
          <cell r="O813"/>
          <cell r="Q813">
            <v>1</v>
          </cell>
          <cell r="R813" t="str">
            <v>93LC56BT-I/OT</v>
          </cell>
          <cell r="S813" t="str">
            <v>MICROCHIP TECHNOLOGY INC.</v>
          </cell>
          <cell r="T813" t="str">
            <v>Amalfi Trading</v>
          </cell>
          <cell r="U813">
            <v>0.65</v>
          </cell>
          <cell r="V813">
            <v>200</v>
          </cell>
          <cell r="W813">
            <v>0</v>
          </cell>
          <cell r="X813">
            <v>2</v>
          </cell>
          <cell r="Y813" t="str">
            <v>Y</v>
          </cell>
          <cell r="Z813">
            <v>130</v>
          </cell>
          <cell r="AA813">
            <v>-76.71520000000001</v>
          </cell>
          <cell r="AB813" t="str">
            <v/>
          </cell>
          <cell r="AC813" t="str">
            <v>JH</v>
          </cell>
          <cell r="AD813">
            <v>1062721</v>
          </cell>
          <cell r="AE813" t="str">
            <v xml:space="preserve">POV0067304 </v>
          </cell>
          <cell r="AF813" t="str">
            <v>JH</v>
          </cell>
        </row>
        <row r="814">
          <cell r="A814" t="str">
            <v>630-A89170-001</v>
          </cell>
          <cell r="B814" t="str">
            <v>IC,SMD,I/O EXPANDER,16BIT,W/SPI,SOIC-28</v>
          </cell>
          <cell r="C814" t="str">
            <v>IC</v>
          </cell>
          <cell r="D814">
            <v>25</v>
          </cell>
          <cell r="E814">
            <v>1</v>
          </cell>
          <cell r="F814" t="str">
            <v>7 Weeks</v>
          </cell>
          <cell r="G814">
            <v>216</v>
          </cell>
          <cell r="H814">
            <v>1.605405</v>
          </cell>
          <cell r="I814">
            <v>346.76747999999998</v>
          </cell>
          <cell r="J814">
            <v>1.9578109756097561</v>
          </cell>
          <cell r="K814">
            <v>76.119690731707351</v>
          </cell>
          <cell r="L814">
            <v>422.88717073170733</v>
          </cell>
          <cell r="O814"/>
          <cell r="Q814">
            <v>1</v>
          </cell>
          <cell r="R814" t="str">
            <v>MCP23S18-E/SO</v>
          </cell>
          <cell r="S814" t="str">
            <v>MICROCHIP TECHNOLOGY INC.</v>
          </cell>
          <cell r="T814" t="str">
            <v>Amalfi Trading</v>
          </cell>
          <cell r="U814">
            <v>2.35</v>
          </cell>
          <cell r="V814">
            <v>216</v>
          </cell>
          <cell r="W814">
            <v>0</v>
          </cell>
          <cell r="X814">
            <v>2</v>
          </cell>
          <cell r="Y814" t="str">
            <v>Y</v>
          </cell>
          <cell r="Z814">
            <v>507.6</v>
          </cell>
          <cell r="AA814">
            <v>-160.83252000000005</v>
          </cell>
          <cell r="AB814" t="str">
            <v/>
          </cell>
          <cell r="AC814" t="str">
            <v>JH</v>
          </cell>
          <cell r="AD814">
            <v>1062721</v>
          </cell>
          <cell r="AE814" t="str">
            <v xml:space="preserve">POV0067304 </v>
          </cell>
          <cell r="AF814" t="str">
            <v>JH</v>
          </cell>
        </row>
        <row r="815">
          <cell r="A815" t="str">
            <v>630-B26275-001</v>
          </cell>
          <cell r="B815" t="str">
            <v>IC,SMD,MCU,8BIT,FLASH,28KB,32MHZ,SOIC-20</v>
          </cell>
          <cell r="C815" t="str">
            <v>IC</v>
          </cell>
          <cell r="D815">
            <v>15</v>
          </cell>
          <cell r="E815">
            <v>1</v>
          </cell>
          <cell r="F815" t="str">
            <v>10 Weeks</v>
          </cell>
          <cell r="G815">
            <v>228</v>
          </cell>
          <cell r="H815">
            <v>1.3848149999999999</v>
          </cell>
          <cell r="I815">
            <v>315.73782</v>
          </cell>
          <cell r="J815">
            <v>1.6887987804878049</v>
          </cell>
          <cell r="K815">
            <v>69.308301951219562</v>
          </cell>
          <cell r="L815">
            <v>385.0461219512195</v>
          </cell>
          <cell r="O815"/>
          <cell r="Q815">
            <v>1</v>
          </cell>
          <cell r="R815" t="str">
            <v>PIC16F18446-I/SO</v>
          </cell>
          <cell r="S815" t="str">
            <v>MICROCHIP TECHNOLOGY INC.</v>
          </cell>
          <cell r="T815" t="str">
            <v>Amalfi Trading</v>
          </cell>
          <cell r="U815">
            <v>2.0499999999999998</v>
          </cell>
          <cell r="V815">
            <v>228</v>
          </cell>
          <cell r="W815">
            <v>0</v>
          </cell>
          <cell r="X815">
            <v>2</v>
          </cell>
          <cell r="Y815" t="str">
            <v>Y</v>
          </cell>
          <cell r="Z815">
            <v>467.4</v>
          </cell>
          <cell r="AA815">
            <v>-151.66217999999998</v>
          </cell>
          <cell r="AB815" t="str">
            <v/>
          </cell>
          <cell r="AC815" t="str">
            <v>JH</v>
          </cell>
          <cell r="AD815">
            <v>1062721</v>
          </cell>
          <cell r="AE815" t="str">
            <v xml:space="preserve">POV0067304 </v>
          </cell>
          <cell r="AF815" t="str">
            <v>JH</v>
          </cell>
        </row>
        <row r="816">
          <cell r="A816" t="str">
            <v>631-007891-001</v>
          </cell>
          <cell r="B816" t="str">
            <v>IC  ULN-2802A, ROHS</v>
          </cell>
          <cell r="C816" t="str">
            <v>IC</v>
          </cell>
          <cell r="D816">
            <v>25</v>
          </cell>
          <cell r="E816">
            <v>1</v>
          </cell>
          <cell r="F816" t="str">
            <v>29 Weeks</v>
          </cell>
          <cell r="G816">
            <v>1000</v>
          </cell>
          <cell r="H816">
            <v>1.3093360000000001</v>
          </cell>
          <cell r="I816">
            <v>1309.336</v>
          </cell>
          <cell r="J816">
            <v>1.5967512195121953</v>
          </cell>
          <cell r="K816">
            <v>287.41521951219511</v>
          </cell>
          <cell r="L816">
            <v>1596.7512195121953</v>
          </cell>
          <cell r="O816"/>
          <cell r="Q816">
            <v>3</v>
          </cell>
          <cell r="R816" t="str">
            <v>ULN2802A</v>
          </cell>
          <cell r="S816" t="str">
            <v>St Micro</v>
          </cell>
          <cell r="T816" t="str">
            <v>Future</v>
          </cell>
          <cell r="U816">
            <v>0.81499999999999995</v>
          </cell>
          <cell r="V816">
            <v>1000</v>
          </cell>
          <cell r="W816">
            <v>0</v>
          </cell>
          <cell r="X816">
            <v>1</v>
          </cell>
          <cell r="Y816" t="str">
            <v>Y</v>
          </cell>
          <cell r="Z816">
            <v>815</v>
          </cell>
          <cell r="AA816">
            <v>494.33600000000001</v>
          </cell>
          <cell r="AB816">
            <v>0.48958861590913261</v>
          </cell>
          <cell r="AC816" t="str">
            <v>JH</v>
          </cell>
          <cell r="AD816">
            <v>1062721</v>
          </cell>
          <cell r="AE816" t="str">
            <v>POV0067302</v>
          </cell>
          <cell r="AF816" t="str">
            <v>JH</v>
          </cell>
        </row>
        <row r="817">
          <cell r="A817" t="str">
            <v>670-A11993-075</v>
          </cell>
          <cell r="B817" t="str">
            <v>FUSE,PPTC,0.75A HOLD CUR,60V,THT</v>
          </cell>
          <cell r="C817" t="str">
            <v>FUSE</v>
          </cell>
          <cell r="D817">
            <v>25</v>
          </cell>
          <cell r="E817">
            <v>1</v>
          </cell>
          <cell r="F817" t="str">
            <v>23 Weeks</v>
          </cell>
          <cell r="G817">
            <v>500</v>
          </cell>
          <cell r="H817">
            <v>0.23529600000000001</v>
          </cell>
          <cell r="I817">
            <v>117.648</v>
          </cell>
          <cell r="J817">
            <v>0.28694634146341463</v>
          </cell>
          <cell r="K817">
            <v>25.825170731707317</v>
          </cell>
          <cell r="L817">
            <v>143.47317073170731</v>
          </cell>
          <cell r="M817" t="str">
            <v>CHINA</v>
          </cell>
          <cell r="N817">
            <v>8533408070</v>
          </cell>
          <cell r="O817">
            <v>0.35</v>
          </cell>
          <cell r="P817">
            <v>41.176799999999993</v>
          </cell>
          <cell r="Q817">
            <v>1</v>
          </cell>
          <cell r="R817" t="str">
            <v>RKEF075</v>
          </cell>
          <cell r="S817" t="str">
            <v>Littelfuse</v>
          </cell>
          <cell r="T817" t="str">
            <v>Arrow</v>
          </cell>
          <cell r="U817">
            <v>0.20369999999999999</v>
          </cell>
          <cell r="V817">
            <v>500</v>
          </cell>
          <cell r="W817">
            <v>0</v>
          </cell>
          <cell r="X817">
            <v>1</v>
          </cell>
          <cell r="Y817" t="str">
            <v>Y</v>
          </cell>
          <cell r="Z817">
            <v>101.85</v>
          </cell>
          <cell r="AA817">
            <v>15.798000000000002</v>
          </cell>
          <cell r="AB817">
            <v>0.29011117911056716</v>
          </cell>
          <cell r="AD817">
            <v>1062721</v>
          </cell>
          <cell r="AE817" t="str">
            <v>POV0067209</v>
          </cell>
          <cell r="AF817" t="str">
            <v>ES</v>
          </cell>
        </row>
        <row r="818">
          <cell r="A818" t="str">
            <v>670-A11993-050</v>
          </cell>
          <cell r="B818" t="str">
            <v>FUSE,PPTC,0.50A HOLD CUR,60V,THT</v>
          </cell>
          <cell r="C818" t="str">
            <v>FUSE</v>
          </cell>
          <cell r="D818">
            <v>25</v>
          </cell>
          <cell r="E818">
            <v>1</v>
          </cell>
          <cell r="F818" t="str">
            <v>18 Weeks</v>
          </cell>
          <cell r="G818">
            <v>500</v>
          </cell>
          <cell r="H818">
            <v>0.248997</v>
          </cell>
          <cell r="I818">
            <v>124.49849999999999</v>
          </cell>
          <cell r="J818">
            <v>0.3036548780487805</v>
          </cell>
          <cell r="K818">
            <v>27.328939024390237</v>
          </cell>
          <cell r="L818">
            <v>151.82743902439026</v>
          </cell>
          <cell r="M818" t="str">
            <v>CHINA</v>
          </cell>
          <cell r="N818">
            <v>8533408070</v>
          </cell>
          <cell r="O818">
            <v>0.35</v>
          </cell>
          <cell r="P818">
            <v>43.574474999999993</v>
          </cell>
          <cell r="Q818">
            <v>1</v>
          </cell>
          <cell r="R818" t="str">
            <v>RKEF050</v>
          </cell>
          <cell r="S818" t="str">
            <v>Littelfuse</v>
          </cell>
          <cell r="T818" t="str">
            <v>TTI</v>
          </cell>
          <cell r="U818">
            <v>0.19800000000000001</v>
          </cell>
          <cell r="V818">
            <v>500</v>
          </cell>
          <cell r="W818">
            <v>0</v>
          </cell>
          <cell r="X818">
            <v>1</v>
          </cell>
          <cell r="Y818" t="str">
            <v>Y</v>
          </cell>
          <cell r="Z818">
            <v>99</v>
          </cell>
          <cell r="AA818">
            <v>25.498499999999993</v>
          </cell>
          <cell r="AB818">
            <v>0.34794395113194143</v>
          </cell>
          <cell r="AD818">
            <v>1062721</v>
          </cell>
          <cell r="AE818" t="str">
            <v>POV0067301</v>
          </cell>
          <cell r="AF818" t="str">
            <v>SH</v>
          </cell>
        </row>
        <row r="819">
          <cell r="A819" t="str">
            <v>639-121559-001</v>
          </cell>
          <cell r="B819" t="str">
            <v>IDCTR,SMD,POWER 2.2UH 2.6A</v>
          </cell>
          <cell r="C819" t="str">
            <v>IDCTR</v>
          </cell>
          <cell r="D819">
            <v>25</v>
          </cell>
          <cell r="E819">
            <v>1</v>
          </cell>
          <cell r="F819" t="str">
            <v>3 Weeks</v>
          </cell>
          <cell r="G819">
            <v>500</v>
          </cell>
          <cell r="H819">
            <v>0.43015100000000001</v>
          </cell>
          <cell r="I819">
            <v>215.07550000000001</v>
          </cell>
          <cell r="J819">
            <v>0.52457439024390251</v>
          </cell>
          <cell r="K819">
            <v>47.211695121951237</v>
          </cell>
          <cell r="L819">
            <v>262.28719512195124</v>
          </cell>
          <cell r="O819"/>
          <cell r="Q819">
            <v>1</v>
          </cell>
          <cell r="R819" t="str">
            <v>VLCF5020T-2R2N2R6-3</v>
          </cell>
          <cell r="S819" t="str">
            <v>TDK</v>
          </cell>
          <cell r="T819" t="str">
            <v>Arrow</v>
          </cell>
          <cell r="U819">
            <v>0.37990000000000002</v>
          </cell>
          <cell r="V819">
            <v>500</v>
          </cell>
          <cell r="W819">
            <v>0</v>
          </cell>
          <cell r="X819">
            <v>1</v>
          </cell>
          <cell r="Y819" t="str">
            <v>Y</v>
          </cell>
          <cell r="Z819">
            <v>189.95000000000002</v>
          </cell>
          <cell r="AA819">
            <v>25.125499999999988</v>
          </cell>
          <cell r="AB819">
            <v>0.27579384913669847</v>
          </cell>
          <cell r="AD819">
            <v>1062721</v>
          </cell>
          <cell r="AE819" t="str">
            <v>POV0067209</v>
          </cell>
          <cell r="AF819" t="str">
            <v>ES</v>
          </cell>
        </row>
        <row r="820">
          <cell r="A820" t="str">
            <v>39-357513-00</v>
          </cell>
          <cell r="B820" t="str">
            <v>CONN,MATE-N-LOK,MICTRO 6 POS RIGHT ANGLE</v>
          </cell>
          <cell r="C820" t="str">
            <v>CONN</v>
          </cell>
          <cell r="D820">
            <v>15</v>
          </cell>
          <cell r="E820">
            <v>1</v>
          </cell>
          <cell r="F820" t="str">
            <v>16 Weeks</v>
          </cell>
          <cell r="G820">
            <v>286</v>
          </cell>
          <cell r="H820">
            <v>1.6176600000000001</v>
          </cell>
          <cell r="I820">
            <v>462.65076000000005</v>
          </cell>
          <cell r="J820">
            <v>1.9727560975609759</v>
          </cell>
          <cell r="K820">
            <v>101.55748390243906</v>
          </cell>
          <cell r="L820">
            <v>564.20824390243911</v>
          </cell>
          <cell r="M820" t="str">
            <v>CHINA</v>
          </cell>
          <cell r="N820">
            <v>8536698000</v>
          </cell>
          <cell r="O820">
            <v>0.35</v>
          </cell>
          <cell r="P820">
            <v>161.92776600000002</v>
          </cell>
          <cell r="Q820">
            <v>1</v>
          </cell>
          <cell r="R820" t="str">
            <v>3-794620-6</v>
          </cell>
          <cell r="S820" t="str">
            <v>TE CONNECTIVITY</v>
          </cell>
          <cell r="T820" t="str">
            <v>Arrow</v>
          </cell>
          <cell r="U820">
            <v>1.3067</v>
          </cell>
          <cell r="V820">
            <v>286</v>
          </cell>
          <cell r="W820">
            <v>0</v>
          </cell>
          <cell r="Y820" t="str">
            <v>Y</v>
          </cell>
          <cell r="Z820">
            <v>373.71620000000001</v>
          </cell>
          <cell r="AA820">
            <v>88.934560000000033</v>
          </cell>
          <cell r="AB820">
            <v>0.33762718989157181</v>
          </cell>
          <cell r="AD820">
            <v>1062721</v>
          </cell>
          <cell r="AE820" t="str">
            <v>POV0067209</v>
          </cell>
          <cell r="AF820" t="str">
            <v>ES</v>
          </cell>
        </row>
        <row r="821">
          <cell r="A821" t="str">
            <v>673-A81272-003</v>
          </cell>
          <cell r="B821" t="str">
            <v>TERM BLK,3P,5MM PITCH,300V,10A,PCB MT</v>
          </cell>
          <cell r="C821" t="str">
            <v>TERM BLK</v>
          </cell>
          <cell r="D821">
            <v>25</v>
          </cell>
          <cell r="E821">
            <v>1</v>
          </cell>
          <cell r="F821" t="str">
            <v>17 Weeks</v>
          </cell>
          <cell r="G821">
            <v>280</v>
          </cell>
          <cell r="H821">
            <v>1.230745</v>
          </cell>
          <cell r="I821">
            <v>344.60859999999997</v>
          </cell>
          <cell r="J821">
            <v>1.5009085365853658</v>
          </cell>
          <cell r="K821">
            <v>75.645790243902468</v>
          </cell>
          <cell r="L821">
            <v>420.25439024390244</v>
          </cell>
          <cell r="O821"/>
          <cell r="Q821">
            <v>1</v>
          </cell>
          <cell r="R821" t="str">
            <v>739-103</v>
          </cell>
          <cell r="S821" t="str">
            <v>WAGO</v>
          </cell>
          <cell r="T821" t="str">
            <v>Arrow</v>
          </cell>
          <cell r="U821">
            <v>1.1595</v>
          </cell>
          <cell r="V821">
            <v>280</v>
          </cell>
          <cell r="W821">
            <v>0</v>
          </cell>
          <cell r="X821">
            <v>1</v>
          </cell>
          <cell r="Y821" t="str">
            <v>Y</v>
          </cell>
          <cell r="Z821">
            <v>324.65999999999997</v>
          </cell>
          <cell r="AA821">
            <v>19.948599999999999</v>
          </cell>
          <cell r="AB821">
            <v>0.22746791577459191</v>
          </cell>
          <cell r="AD821">
            <v>1062721</v>
          </cell>
          <cell r="AE821" t="str">
            <v>POV0067209</v>
          </cell>
          <cell r="AF821" t="str">
            <v>ES</v>
          </cell>
        </row>
        <row r="822">
          <cell r="A822" t="str">
            <v>668-311384-007</v>
          </cell>
          <cell r="B822" t="str">
            <v>CONN,HDR,VERTICAL,6POS,NO BRD LCK</v>
          </cell>
          <cell r="C822" t="str">
            <v>CONN</v>
          </cell>
          <cell r="D822">
            <v>15</v>
          </cell>
          <cell r="E822">
            <v>1</v>
          </cell>
          <cell r="F822" t="str">
            <v>3 Weeks</v>
          </cell>
          <cell r="G822">
            <v>210</v>
          </cell>
          <cell r="H822">
            <v>2.9779650000000002</v>
          </cell>
          <cell r="I822">
            <v>625.37265000000002</v>
          </cell>
          <cell r="J822">
            <v>3.6316646341463419</v>
          </cell>
          <cell r="K822">
            <v>137.27692317073172</v>
          </cell>
          <cell r="L822">
            <v>762.64957317073174</v>
          </cell>
          <cell r="O822"/>
          <cell r="Q822">
            <v>1</v>
          </cell>
          <cell r="R822">
            <v>1720420601</v>
          </cell>
          <cell r="S822" t="str">
            <v>MOLEX, LLC</v>
          </cell>
          <cell r="T822" t="str">
            <v>Arrow</v>
          </cell>
          <cell r="U822">
            <v>2.0560999999999998</v>
          </cell>
          <cell r="V822">
            <v>210</v>
          </cell>
          <cell r="W822">
            <v>0</v>
          </cell>
          <cell r="X822" t="str">
            <v>1-2 wks</v>
          </cell>
          <cell r="Y822" t="str">
            <v>Y</v>
          </cell>
          <cell r="Z822">
            <v>431.78099999999995</v>
          </cell>
          <cell r="AA822">
            <v>193.59165000000007</v>
          </cell>
          <cell r="AB822">
            <v>0.43384089470494125</v>
          </cell>
          <cell r="AD822">
            <v>1062721</v>
          </cell>
          <cell r="AE822" t="str">
            <v>POV0067209</v>
          </cell>
          <cell r="AF822" t="str">
            <v>ES</v>
          </cell>
        </row>
        <row r="823">
          <cell r="A823" t="str">
            <v>39-164243-15</v>
          </cell>
          <cell r="B823" t="str">
            <v>CONN,D-SUB,15,M,PCB STRT,BRD LOCK,4-40 I</v>
          </cell>
          <cell r="C823" t="str">
            <v>CONN</v>
          </cell>
          <cell r="D823">
            <v>15</v>
          </cell>
          <cell r="E823">
            <v>1</v>
          </cell>
          <cell r="F823" t="str">
            <v>18 Weeks</v>
          </cell>
          <cell r="G823">
            <v>208</v>
          </cell>
          <cell r="H823">
            <v>7.9098920000000001</v>
          </cell>
          <cell r="I823">
            <v>1645.2575360000001</v>
          </cell>
          <cell r="J823">
            <v>9.6462097560975621</v>
          </cell>
          <cell r="K823">
            <v>361.15409326829285</v>
          </cell>
          <cell r="L823">
            <v>2006.4116292682929</v>
          </cell>
          <cell r="O823"/>
          <cell r="Q823">
            <v>1</v>
          </cell>
          <cell r="R823" t="str">
            <v>5750638-1</v>
          </cell>
          <cell r="S823" t="str">
            <v>TE CONNECTIVITY</v>
          </cell>
          <cell r="T823" t="str">
            <v>Arrow</v>
          </cell>
          <cell r="U823">
            <v>5.891</v>
          </cell>
          <cell r="V823">
            <v>208</v>
          </cell>
          <cell r="W823">
            <v>0</v>
          </cell>
          <cell r="X823">
            <v>1</v>
          </cell>
          <cell r="Y823" t="str">
            <v>Y</v>
          </cell>
          <cell r="Z823">
            <v>1225.328</v>
          </cell>
          <cell r="AA823">
            <v>419.9295360000001</v>
          </cell>
          <cell r="AB823">
            <v>0.38929381083837811</v>
          </cell>
          <cell r="AD823">
            <v>1062721</v>
          </cell>
          <cell r="AE823" t="str">
            <v>POV0067209</v>
          </cell>
          <cell r="AF823" t="str">
            <v>ES</v>
          </cell>
        </row>
        <row r="824">
          <cell r="A824" t="str">
            <v>668-061260-006</v>
          </cell>
          <cell r="B824" t="str">
            <v>CONN,HDR,PCB,ST,MINI-U M-N-LOK,6P,ROHS</v>
          </cell>
          <cell r="C824" t="str">
            <v>CONN</v>
          </cell>
          <cell r="D824">
            <v>25</v>
          </cell>
          <cell r="E824">
            <v>1</v>
          </cell>
          <cell r="F824" t="str">
            <v>29 Weeks</v>
          </cell>
          <cell r="G824">
            <v>200</v>
          </cell>
          <cell r="H824">
            <v>1.39707</v>
          </cell>
          <cell r="I824">
            <v>279.41399999999999</v>
          </cell>
          <cell r="J824">
            <v>1.7037439024390246</v>
          </cell>
          <cell r="K824">
            <v>61.334780487804892</v>
          </cell>
          <cell r="L824">
            <v>340.74878048780494</v>
          </cell>
          <cell r="O824"/>
          <cell r="Q824">
            <v>1</v>
          </cell>
          <cell r="R824" t="str">
            <v>1-770178-1</v>
          </cell>
          <cell r="S824" t="str">
            <v>TE CONNECTIVITY</v>
          </cell>
          <cell r="T824" t="str">
            <v>Arrow</v>
          </cell>
          <cell r="U824">
            <v>1.2350000000000001</v>
          </cell>
          <cell r="V824">
            <v>200</v>
          </cell>
          <cell r="W824">
            <v>0</v>
          </cell>
          <cell r="Y824" t="str">
            <v>Y</v>
          </cell>
          <cell r="Z824">
            <v>247.00000000000003</v>
          </cell>
          <cell r="AA824">
            <v>32.413999999999959</v>
          </cell>
          <cell r="AB824">
            <v>0.27512579899360812</v>
          </cell>
          <cell r="AD824">
            <v>1062721</v>
          </cell>
          <cell r="AE824" t="str">
            <v>POV0067209</v>
          </cell>
          <cell r="AF824" t="str">
            <v>ES</v>
          </cell>
        </row>
        <row r="825">
          <cell r="A825" t="str">
            <v>668-111554-005</v>
          </cell>
          <cell r="B825" t="str">
            <v>CONN,RCPT,D-SUB,POWER,5P,ROHS</v>
          </cell>
          <cell r="C825" t="str">
            <v>CONN</v>
          </cell>
          <cell r="D825">
            <v>35</v>
          </cell>
          <cell r="E825">
            <v>1</v>
          </cell>
          <cell r="F825" t="str">
            <v>10 Weeks</v>
          </cell>
          <cell r="G825">
            <v>140</v>
          </cell>
          <cell r="H825">
            <v>17.022195</v>
          </cell>
          <cell r="I825">
            <v>2383.1073000000001</v>
          </cell>
          <cell r="J825">
            <v>20.758774390243904</v>
          </cell>
          <cell r="K825">
            <v>523.12111463414658</v>
          </cell>
          <cell r="L825">
            <v>2906.2284146341467</v>
          </cell>
          <cell r="O825"/>
          <cell r="Q825">
            <v>2</v>
          </cell>
          <cell r="R825" t="str">
            <v>3005W5SXX69E40X</v>
          </cell>
          <cell r="S825" t="str">
            <v>Amphenol CONEC</v>
          </cell>
          <cell r="T825" t="str">
            <v>Arrow</v>
          </cell>
          <cell r="U825">
            <v>16.75</v>
          </cell>
          <cell r="V825">
            <v>140</v>
          </cell>
          <cell r="W825">
            <v>0</v>
          </cell>
          <cell r="X825">
            <v>1</v>
          </cell>
          <cell r="Y825" t="str">
            <v>Y</v>
          </cell>
          <cell r="Z825">
            <v>2345</v>
          </cell>
          <cell r="AA825">
            <v>38.107300000000123</v>
          </cell>
          <cell r="AB825">
            <v>0.19311228663518432</v>
          </cell>
          <cell r="AD825">
            <v>1062721</v>
          </cell>
          <cell r="AE825" t="str">
            <v>POV0067209</v>
          </cell>
          <cell r="AF825" t="str">
            <v>ES</v>
          </cell>
        </row>
        <row r="826">
          <cell r="A826" t="str">
            <v>628-A72178-001</v>
          </cell>
          <cell r="B826" t="str">
            <v>XSTR,FIELD EFT,N-CHAN,80A,75V,TO-263AA</v>
          </cell>
          <cell r="C826" t="str">
            <v>XSTR</v>
          </cell>
          <cell r="D826">
            <v>15</v>
          </cell>
          <cell r="E826">
            <v>1</v>
          </cell>
          <cell r="F826" t="str">
            <v>47 Weeks</v>
          </cell>
          <cell r="G826">
            <v>60</v>
          </cell>
          <cell r="H826">
            <v>10.678762000000001</v>
          </cell>
          <cell r="I826">
            <v>640.72572000000002</v>
          </cell>
          <cell r="J826">
            <v>13.02288048780488</v>
          </cell>
          <cell r="K826">
            <v>140.64710926829275</v>
          </cell>
          <cell r="L826">
            <v>781.37282926829278</v>
          </cell>
          <cell r="O826"/>
          <cell r="Q826">
            <v>1</v>
          </cell>
          <cell r="R826" t="str">
            <v>IXTA80N075L2</v>
          </cell>
          <cell r="S826" t="str">
            <v>IXYS</v>
          </cell>
          <cell r="T826" t="str">
            <v>Arrow</v>
          </cell>
          <cell r="U826">
            <v>10.494999999999999</v>
          </cell>
          <cell r="V826">
            <v>60</v>
          </cell>
          <cell r="W826">
            <v>0</v>
          </cell>
          <cell r="X826">
            <v>1</v>
          </cell>
          <cell r="Y826" t="str">
            <v>Y</v>
          </cell>
          <cell r="Z826">
            <v>629.69999999999993</v>
          </cell>
          <cell r="AA826">
            <v>11.025720000000092</v>
          </cell>
          <cell r="AB826">
            <v>0.19411070309460987</v>
          </cell>
          <cell r="AD826">
            <v>1062721</v>
          </cell>
          <cell r="AE826" t="str">
            <v>POV0067209</v>
          </cell>
          <cell r="AF826" t="str">
            <v>ES</v>
          </cell>
        </row>
        <row r="827">
          <cell r="A827" t="str">
            <v>668-A54180-001</v>
          </cell>
          <cell r="B827" t="str">
            <v>CONN,COMBO D-SUB,PIN,DA,7W2,30A,THD INSR</v>
          </cell>
          <cell r="C827" t="str">
            <v>CONN</v>
          </cell>
          <cell r="D827">
            <v>25</v>
          </cell>
          <cell r="E827">
            <v>1</v>
          </cell>
          <cell r="F827" t="str">
            <v>12 Weeks</v>
          </cell>
          <cell r="G827">
            <v>50</v>
          </cell>
          <cell r="H827">
            <v>7.6838850000000001</v>
          </cell>
          <cell r="I827">
            <v>384.19425000000001</v>
          </cell>
          <cell r="J827">
            <v>9.3705914634146357</v>
          </cell>
          <cell r="K827">
            <v>84.335323170731726</v>
          </cell>
          <cell r="L827">
            <v>468.52957317073179</v>
          </cell>
          <cell r="O827"/>
          <cell r="Q827">
            <v>1</v>
          </cell>
          <cell r="R827" t="str">
            <v>DAO7W2P300H30LF</v>
          </cell>
          <cell r="S827" t="str">
            <v>Amphenol Communications Solutions-FCI</v>
          </cell>
          <cell r="T827" t="str">
            <v>Arrow</v>
          </cell>
          <cell r="U827">
            <v>5.9029999999999996</v>
          </cell>
          <cell r="V827">
            <v>60</v>
          </cell>
          <cell r="W827">
            <v>-10</v>
          </cell>
          <cell r="Y827" t="str">
            <v>Y</v>
          </cell>
          <cell r="Z827">
            <v>354.17999999999995</v>
          </cell>
          <cell r="AA827">
            <v>30.014250000000061</v>
          </cell>
          <cell r="AB827">
            <v>0.24406052407083156</v>
          </cell>
          <cell r="AD827">
            <v>1062721</v>
          </cell>
          <cell r="AE827" t="str">
            <v>POV0067209</v>
          </cell>
          <cell r="AF827" t="str">
            <v>ES</v>
          </cell>
        </row>
        <row r="828">
          <cell r="A828" t="str">
            <v>682-349233-019</v>
          </cell>
          <cell r="B828" t="str">
            <v>FUSE,SMD,15A,32VDC,1206</v>
          </cell>
          <cell r="C828" t="str">
            <v>FUSE</v>
          </cell>
          <cell r="D828">
            <v>25</v>
          </cell>
          <cell r="E828">
            <v>1</v>
          </cell>
          <cell r="F828" t="str">
            <v>20 Weeks</v>
          </cell>
          <cell r="G828">
            <v>3000</v>
          </cell>
          <cell r="H828">
            <v>0.50368100000000005</v>
          </cell>
          <cell r="I828">
            <v>1511.0430000000001</v>
          </cell>
          <cell r="J828">
            <v>0.61424512195121961</v>
          </cell>
          <cell r="K828">
            <v>331.69236585365866</v>
          </cell>
          <cell r="L828">
            <v>1842.7353658536588</v>
          </cell>
          <cell r="M828" t="str">
            <v>CHINA</v>
          </cell>
          <cell r="N828">
            <v>8536100040</v>
          </cell>
          <cell r="O828">
            <v>0.35</v>
          </cell>
          <cell r="P828">
            <v>528.86505</v>
          </cell>
          <cell r="Q828">
            <v>1</v>
          </cell>
          <cell r="R828" t="str">
            <v>CC12H1.5A-TR</v>
          </cell>
          <cell r="S828" t="str">
            <v>Bussmann / Eaton</v>
          </cell>
          <cell r="T828" t="str">
            <v>TTI</v>
          </cell>
          <cell r="U828">
            <v>0.50600000000000001</v>
          </cell>
          <cell r="V828">
            <v>3000</v>
          </cell>
          <cell r="W828">
            <v>0</v>
          </cell>
          <cell r="X828">
            <v>1</v>
          </cell>
          <cell r="Z828">
            <v>1518</v>
          </cell>
          <cell r="AA828">
            <v>-6.9569999999998799</v>
          </cell>
          <cell r="AB828" t="str">
            <v/>
          </cell>
          <cell r="AD828">
            <v>1062721</v>
          </cell>
          <cell r="AE828" t="str">
            <v>POV0067301</v>
          </cell>
          <cell r="AF828" t="str">
            <v>Stephanie Hill</v>
          </cell>
        </row>
        <row r="829">
          <cell r="A829" t="str">
            <v>648-A86866-476</v>
          </cell>
          <cell r="B829" t="str">
            <v>CAP,SMD,MLCC,47UF,20%,16VDC,X5R,1210</v>
          </cell>
          <cell r="C829" t="str">
            <v>CAP</v>
          </cell>
          <cell r="D829">
            <v>25</v>
          </cell>
          <cell r="E829">
            <v>1</v>
          </cell>
          <cell r="F829" t="str">
            <v>16 Weeks</v>
          </cell>
          <cell r="G829">
            <v>500</v>
          </cell>
          <cell r="H829">
            <v>0.29902200000000001</v>
          </cell>
          <cell r="I829">
            <v>149.511</v>
          </cell>
          <cell r="J829">
            <v>0.36466097560975613</v>
          </cell>
          <cell r="K829">
            <v>32.819487804878065</v>
          </cell>
          <cell r="L829">
            <v>182.33048780487806</v>
          </cell>
          <cell r="O829"/>
          <cell r="Q829">
            <v>1</v>
          </cell>
          <cell r="R829" t="str">
            <v>CC1210MKX5R7BB476</v>
          </cell>
          <cell r="S829" t="str">
            <v>Yageo</v>
          </cell>
          <cell r="T829" t="str">
            <v>Beijing Elight Technologies Co</v>
          </cell>
          <cell r="U829">
            <v>0.12870000000000001</v>
          </cell>
          <cell r="V829">
            <v>500</v>
          </cell>
          <cell r="W829">
            <v>0</v>
          </cell>
          <cell r="X829">
            <v>60</v>
          </cell>
          <cell r="Y829" t="str">
            <v>Y</v>
          </cell>
          <cell r="Z829">
            <v>64.350000000000009</v>
          </cell>
          <cell r="AA829">
            <v>85.160999999999987</v>
          </cell>
          <cell r="AB829">
            <v>0.64706944639524844</v>
          </cell>
          <cell r="AC829" t="str">
            <v>JH</v>
          </cell>
          <cell r="AD829">
            <v>1062721</v>
          </cell>
          <cell r="AE829" t="str">
            <v>POV0067296</v>
          </cell>
          <cell r="AF829" t="str">
            <v>TX</v>
          </cell>
        </row>
        <row r="830">
          <cell r="A830" t="str">
            <v>615-302942-005</v>
          </cell>
          <cell r="B830" t="str">
            <v>RES,SMD,6.8K OHM,TOL 1%,0603,0.25W</v>
          </cell>
          <cell r="C830" t="str">
            <v>RES</v>
          </cell>
          <cell r="D830">
            <v>25</v>
          </cell>
          <cell r="E830">
            <v>1</v>
          </cell>
          <cell r="F830" t="str">
            <v>24 Weeks</v>
          </cell>
          <cell r="G830">
            <v>5000</v>
          </cell>
          <cell r="H830">
            <v>1.7156999999999999E-2</v>
          </cell>
          <cell r="I830">
            <v>85.784999999999997</v>
          </cell>
          <cell r="J830">
            <v>2.0923170731707318E-2</v>
          </cell>
          <cell r="K830">
            <v>18.830853658536597</v>
          </cell>
          <cell r="L830">
            <v>104.61585365853659</v>
          </cell>
          <cell r="O830"/>
          <cell r="Q830">
            <v>1</v>
          </cell>
          <cell r="R830" t="str">
            <v>ERJ-PA3F6801V</v>
          </cell>
          <cell r="S830" t="str">
            <v>Panasonic</v>
          </cell>
          <cell r="T830" t="str">
            <v>TTI</v>
          </cell>
          <cell r="U830">
            <v>1.4999999999999999E-2</v>
          </cell>
          <cell r="V830">
            <v>5000</v>
          </cell>
          <cell r="W830">
            <v>0</v>
          </cell>
          <cell r="X830">
            <v>1</v>
          </cell>
          <cell r="Y830" t="str">
            <v>Y</v>
          </cell>
          <cell r="Z830">
            <v>75</v>
          </cell>
          <cell r="AA830">
            <v>10.784999999999997</v>
          </cell>
          <cell r="AB830">
            <v>0.28309144955411791</v>
          </cell>
          <cell r="AD830">
            <v>1062721</v>
          </cell>
          <cell r="AE830" t="str">
            <v>POV0067301</v>
          </cell>
          <cell r="AF830" t="str">
            <v>Stephanie Hill</v>
          </cell>
        </row>
        <row r="831">
          <cell r="A831" t="str">
            <v>609-118138-026</v>
          </cell>
          <cell r="B831" t="str">
            <v>DIO,SMD,TVS,UNI-DIR,SMF,26V,ROHS</v>
          </cell>
          <cell r="C831" t="str">
            <v>DIO</v>
          </cell>
          <cell r="D831">
            <v>100</v>
          </cell>
          <cell r="E831">
            <v>1</v>
          </cell>
          <cell r="F831" t="str">
            <v>17 Weeks</v>
          </cell>
          <cell r="G831">
            <v>3000</v>
          </cell>
          <cell r="H831">
            <v>5.0944000000000003E-2</v>
          </cell>
          <cell r="I831">
            <v>152.83200000000002</v>
          </cell>
          <cell r="J831">
            <v>6.2126829268292688E-2</v>
          </cell>
          <cell r="K831">
            <v>33.548487804878079</v>
          </cell>
          <cell r="L831">
            <v>186.38048780487807</v>
          </cell>
          <cell r="O831"/>
          <cell r="Q831">
            <v>1</v>
          </cell>
          <cell r="R831" t="str">
            <v>SMF26A</v>
          </cell>
          <cell r="S831" t="str">
            <v>Littelfuse</v>
          </cell>
          <cell r="T831" t="str">
            <v>TTI</v>
          </cell>
          <cell r="U831">
            <v>0.08</v>
          </cell>
          <cell r="V831">
            <v>3000</v>
          </cell>
          <cell r="W831">
            <v>0</v>
          </cell>
          <cell r="X831">
            <v>1</v>
          </cell>
          <cell r="Y831" t="str">
            <v>Y</v>
          </cell>
          <cell r="Z831">
            <v>240</v>
          </cell>
          <cell r="AA831">
            <v>-87.167999999999978</v>
          </cell>
          <cell r="AB831" t="str">
            <v/>
          </cell>
          <cell r="AD831">
            <v>1062721</v>
          </cell>
          <cell r="AE831" t="str">
            <v>POV0067301</v>
          </cell>
          <cell r="AF831" t="str">
            <v>Stephanie Hill</v>
          </cell>
        </row>
        <row r="832">
          <cell r="A832" t="str">
            <v>639-076946-001</v>
          </cell>
          <cell r="B832" t="str">
            <v>IDCTR,SMD,FERRITE,10A,90 OHM,ROHS</v>
          </cell>
          <cell r="C832" t="str">
            <v>IDCTR</v>
          </cell>
          <cell r="D832">
            <v>25</v>
          </cell>
          <cell r="E832" t="str">
            <v>N/A</v>
          </cell>
          <cell r="F832" t="str">
            <v>19 Weeks</v>
          </cell>
          <cell r="G832">
            <v>2500</v>
          </cell>
          <cell r="H832">
            <v>0.20710999999999999</v>
          </cell>
          <cell r="I832">
            <v>517.77499999999998</v>
          </cell>
          <cell r="J832">
            <v>0.25257317073170732</v>
          </cell>
          <cell r="K832">
            <v>113.65792682926838</v>
          </cell>
          <cell r="L832">
            <v>631.43292682926835</v>
          </cell>
          <cell r="O832"/>
          <cell r="Q832">
            <v>1</v>
          </cell>
          <cell r="R832" t="str">
            <v>35F0121-1SR-10</v>
          </cell>
          <cell r="S832" t="str">
            <v>Laird</v>
          </cell>
          <cell r="T832" t="str">
            <v>TTI</v>
          </cell>
          <cell r="U832">
            <v>0.18</v>
          </cell>
          <cell r="V832">
            <v>2500</v>
          </cell>
          <cell r="W832">
            <v>0</v>
          </cell>
          <cell r="X832">
            <v>1</v>
          </cell>
          <cell r="Y832" t="str">
            <v>Y</v>
          </cell>
          <cell r="Z832">
            <v>450</v>
          </cell>
          <cell r="AA832">
            <v>67.774999999999977</v>
          </cell>
          <cell r="AB832">
            <v>0.28733523248515291</v>
          </cell>
          <cell r="AD832">
            <v>1062721</v>
          </cell>
          <cell r="AE832" t="str">
            <v>POV0067301</v>
          </cell>
          <cell r="AF832" t="str">
            <v>Stephanie Hill</v>
          </cell>
        </row>
        <row r="833">
          <cell r="A833" t="str">
            <v>615-900298-112</v>
          </cell>
          <cell r="B833" t="str">
            <v>RES,2512,1.1K,5%,1W</v>
          </cell>
          <cell r="C833" t="str">
            <v>RES</v>
          </cell>
          <cell r="D833">
            <v>25</v>
          </cell>
          <cell r="E833">
            <v>1</v>
          </cell>
          <cell r="F833" t="str">
            <v>13 Weeks</v>
          </cell>
          <cell r="G833">
            <v>2000</v>
          </cell>
          <cell r="H833">
            <v>6.2501000000000001E-2</v>
          </cell>
          <cell r="I833">
            <v>125.002</v>
          </cell>
          <cell r="J833">
            <v>7.622073170731708E-2</v>
          </cell>
          <cell r="K833">
            <v>27.439463414634147</v>
          </cell>
          <cell r="L833">
            <v>152.44146341463417</v>
          </cell>
          <cell r="O833"/>
          <cell r="Q833">
            <v>2</v>
          </cell>
          <cell r="R833" t="str">
            <v>CRCW25121K10JNEG</v>
          </cell>
          <cell r="S833" t="str">
            <v>Vishay</v>
          </cell>
          <cell r="T833" t="str">
            <v>TTI</v>
          </cell>
          <cell r="U833">
            <v>4.2999999999999997E-2</v>
          </cell>
          <cell r="V833">
            <v>2000</v>
          </cell>
          <cell r="W833">
            <v>0</v>
          </cell>
          <cell r="X833">
            <v>1</v>
          </cell>
          <cell r="Y833" t="str">
            <v>Y</v>
          </cell>
          <cell r="Z833">
            <v>86</v>
          </cell>
          <cell r="AA833">
            <v>39.001999999999995</v>
          </cell>
          <cell r="AB833">
            <v>0.43584902641557743</v>
          </cell>
          <cell r="AD833">
            <v>1062721</v>
          </cell>
          <cell r="AE833" t="str">
            <v xml:space="preserve">POV0067301 </v>
          </cell>
          <cell r="AF833" t="str">
            <v>Stephanie Hill</v>
          </cell>
        </row>
        <row r="834">
          <cell r="A834" t="str">
            <v>648-144339-001</v>
          </cell>
          <cell r="B834" t="str">
            <v>CAP,SMD,1206,CER,X5R,20%,10V,47UF ROHS</v>
          </cell>
          <cell r="C834" t="str">
            <v>CAP</v>
          </cell>
          <cell r="D834">
            <v>15</v>
          </cell>
          <cell r="E834">
            <v>1</v>
          </cell>
          <cell r="F834" t="str">
            <v>27 Weeks</v>
          </cell>
          <cell r="G834">
            <v>2000</v>
          </cell>
          <cell r="H834">
            <v>0.164217</v>
          </cell>
          <cell r="I834">
            <v>328.43400000000003</v>
          </cell>
          <cell r="J834">
            <v>0.20026463414634149</v>
          </cell>
          <cell r="K834">
            <v>72.095268292682931</v>
          </cell>
          <cell r="L834">
            <v>400.52926829268296</v>
          </cell>
          <cell r="O834"/>
          <cell r="Q834">
            <v>1</v>
          </cell>
          <cell r="R834" t="str">
            <v>LMK316BJ476ML-T</v>
          </cell>
          <cell r="S834" t="str">
            <v>Taiyo Yuden</v>
          </cell>
          <cell r="T834" t="str">
            <v>TTI</v>
          </cell>
          <cell r="U834">
            <v>0.13800000000000001</v>
          </cell>
          <cell r="V834">
            <v>2000</v>
          </cell>
          <cell r="W834">
            <v>0</v>
          </cell>
          <cell r="X834">
            <v>1</v>
          </cell>
          <cell r="Y834" t="str">
            <v>Y</v>
          </cell>
          <cell r="Z834">
            <v>276</v>
          </cell>
          <cell r="AA834">
            <v>52.434000000000026</v>
          </cell>
          <cell r="AB834">
            <v>0.31091178136246556</v>
          </cell>
          <cell r="AD834">
            <v>1062721</v>
          </cell>
          <cell r="AE834" t="str">
            <v>POV0067301</v>
          </cell>
          <cell r="AF834" t="str">
            <v>Stephanie Hill</v>
          </cell>
        </row>
        <row r="835">
          <cell r="A835" t="str">
            <v>649-094841-103</v>
          </cell>
          <cell r="B835" t="str">
            <v>CAP,CER DISC,3KV 20%,10000PF,ROHS</v>
          </cell>
          <cell r="C835" t="str">
            <v>CAP</v>
          </cell>
          <cell r="D835">
            <v>75</v>
          </cell>
          <cell r="E835" t="str">
            <v>N/A</v>
          </cell>
          <cell r="F835" t="str">
            <v>3 Weeks</v>
          </cell>
          <cell r="G835">
            <v>400</v>
          </cell>
          <cell r="H835">
            <v>1.801485</v>
          </cell>
          <cell r="I835">
            <v>720.59400000000005</v>
          </cell>
          <cell r="J835">
            <v>2.1969329268292683</v>
          </cell>
          <cell r="K835">
            <v>158.17917073170736</v>
          </cell>
          <cell r="L835">
            <v>878.7731707317073</v>
          </cell>
          <cell r="O835"/>
          <cell r="Q835">
            <v>1</v>
          </cell>
          <cell r="R835" t="str">
            <v>564R30GAS10</v>
          </cell>
          <cell r="S835" t="str">
            <v>Vishay</v>
          </cell>
          <cell r="T835" t="str">
            <v>TTI</v>
          </cell>
          <cell r="U835">
            <v>1.24</v>
          </cell>
          <cell r="V835">
            <v>400</v>
          </cell>
          <cell r="W835">
            <v>0</v>
          </cell>
          <cell r="X835">
            <v>1</v>
          </cell>
          <cell r="Y835" t="str">
            <v>Y</v>
          </cell>
          <cell r="Z835">
            <v>496</v>
          </cell>
          <cell r="AA835">
            <v>224.59400000000005</v>
          </cell>
          <cell r="AB835">
            <v>0.43557676028387693</v>
          </cell>
          <cell r="AD835">
            <v>1062721</v>
          </cell>
          <cell r="AE835" t="str">
            <v>POV0067301</v>
          </cell>
          <cell r="AF835" t="str">
            <v>Stephanie Hill</v>
          </cell>
        </row>
        <row r="836">
          <cell r="A836" t="str">
            <v>39-164230-15</v>
          </cell>
          <cell r="B836" t="str">
            <v>CONN,D-SUB,15,F,PCB STRT,BRD LOCK,4-40 I</v>
          </cell>
          <cell r="C836" t="str">
            <v>CONN</v>
          </cell>
          <cell r="D836">
            <v>15</v>
          </cell>
          <cell r="E836">
            <v>1</v>
          </cell>
          <cell r="F836" t="str">
            <v>3 Weeks</v>
          </cell>
          <cell r="G836">
            <v>50</v>
          </cell>
          <cell r="H836">
            <v>4.6215400000000004</v>
          </cell>
          <cell r="I836">
            <v>231.07700000000003</v>
          </cell>
          <cell r="J836">
            <v>5.6360243902439029</v>
          </cell>
          <cell r="K836">
            <v>50.724219512195162</v>
          </cell>
          <cell r="L836">
            <v>281.80121951219513</v>
          </cell>
          <cell r="O836"/>
          <cell r="Q836">
            <v>1</v>
          </cell>
          <cell r="R836" t="str">
            <v>2-5747707-0</v>
          </cell>
          <cell r="S836" t="str">
            <v>TE CONNECTIVITY</v>
          </cell>
          <cell r="T836" t="str">
            <v>TTI</v>
          </cell>
          <cell r="U836">
            <v>3.19</v>
          </cell>
          <cell r="V836">
            <v>52</v>
          </cell>
          <cell r="W836">
            <v>-2</v>
          </cell>
          <cell r="Z836">
            <v>165.88</v>
          </cell>
          <cell r="AA836">
            <v>65.197000000000031</v>
          </cell>
          <cell r="AB836">
            <v>0.41135811872233063</v>
          </cell>
          <cell r="AD836">
            <v>1062721</v>
          </cell>
          <cell r="AE836" t="str">
            <v xml:space="preserve">POV0067301 </v>
          </cell>
          <cell r="AF836" t="str">
            <v>Stephanie Hill</v>
          </cell>
        </row>
        <row r="837">
          <cell r="A837" t="str">
            <v>615-255080-056</v>
          </cell>
          <cell r="B837" t="str">
            <v>RES,SMD,1W,+/-1%TOL,0.56OHM,THK FILM</v>
          </cell>
          <cell r="C837" t="str">
            <v>RES</v>
          </cell>
          <cell r="D837">
            <v>25</v>
          </cell>
          <cell r="E837">
            <v>1</v>
          </cell>
          <cell r="F837" t="str">
            <v>3 Weeks</v>
          </cell>
          <cell r="G837">
            <v>4000</v>
          </cell>
          <cell r="H837">
            <v>0.17402100000000001</v>
          </cell>
          <cell r="I837">
            <v>696.08400000000006</v>
          </cell>
          <cell r="J837">
            <v>0.21222073170731709</v>
          </cell>
          <cell r="K837">
            <v>152.79892682926834</v>
          </cell>
          <cell r="L837">
            <v>848.8829268292684</v>
          </cell>
          <cell r="O837"/>
          <cell r="Q837">
            <v>1</v>
          </cell>
          <cell r="R837" t="str">
            <v>ERJ-1TRQFR56U</v>
          </cell>
          <cell r="S837" t="str">
            <v>Panasonic</v>
          </cell>
          <cell r="T837" t="str">
            <v>Digikey</v>
          </cell>
          <cell r="U837">
            <v>0.18179000000000001</v>
          </cell>
          <cell r="V837">
            <v>4000</v>
          </cell>
          <cell r="W837">
            <v>0</v>
          </cell>
          <cell r="X837">
            <v>1</v>
          </cell>
          <cell r="Y837" t="str">
            <v>Y</v>
          </cell>
          <cell r="Z837">
            <v>727.16000000000008</v>
          </cell>
          <cell r="AA837">
            <v>-31.076000000000022</v>
          </cell>
          <cell r="AB837" t="str">
            <v/>
          </cell>
          <cell r="AD837">
            <v>1062721</v>
          </cell>
          <cell r="AE837" t="str">
            <v>POV0067325</v>
          </cell>
          <cell r="AF837" t="str">
            <v>ES</v>
          </cell>
        </row>
        <row r="838">
          <cell r="A838" t="str">
            <v>615-A31517-002</v>
          </cell>
          <cell r="B838" t="str">
            <v>RES,SMD,100OHM,±0.1%,1W,±25PPM,0805</v>
          </cell>
          <cell r="C838" t="str">
            <v>RES</v>
          </cell>
          <cell r="D838">
            <v>25</v>
          </cell>
          <cell r="E838">
            <v>1</v>
          </cell>
          <cell r="F838" t="str">
            <v>3 Weeks</v>
          </cell>
          <cell r="G838">
            <v>500</v>
          </cell>
          <cell r="H838">
            <v>1.1699109999999999</v>
          </cell>
          <cell r="I838">
            <v>584.95549999999992</v>
          </cell>
          <cell r="J838">
            <v>1.4267207317073172</v>
          </cell>
          <cell r="K838">
            <v>128.40486585365852</v>
          </cell>
          <cell r="L838">
            <v>713.36036585365855</v>
          </cell>
          <cell r="O838"/>
          <cell r="Q838">
            <v>1</v>
          </cell>
          <cell r="R838" t="str">
            <v>PCAN0805E1000BST5</v>
          </cell>
          <cell r="S838" t="str">
            <v>Vishay / Thin Film</v>
          </cell>
          <cell r="T838" t="str">
            <v>Digi-Key</v>
          </cell>
          <cell r="U838">
            <v>1.2312000000000001</v>
          </cell>
          <cell r="V838">
            <v>500</v>
          </cell>
          <cell r="W838">
            <v>0</v>
          </cell>
          <cell r="X838">
            <v>1</v>
          </cell>
          <cell r="Y838" t="str">
            <v>Y</v>
          </cell>
          <cell r="Z838">
            <v>615.6</v>
          </cell>
          <cell r="AA838">
            <v>-30.644500000000107</v>
          </cell>
          <cell r="AB838" t="str">
            <v/>
          </cell>
          <cell r="AD838">
            <v>1062721</v>
          </cell>
          <cell r="AE838" t="str">
            <v>POV0067325</v>
          </cell>
          <cell r="AF838" t="str">
            <v>ES</v>
          </cell>
        </row>
        <row r="839">
          <cell r="A839" t="str">
            <v>668-A24092-001</v>
          </cell>
          <cell r="B839" t="str">
            <v>CONN,COMBO-D,FEM,3W3,SHELL SIZE 2,ROHS</v>
          </cell>
          <cell r="C839" t="str">
            <v>CONN</v>
          </cell>
          <cell r="D839">
            <v>15</v>
          </cell>
          <cell r="E839" t="str">
            <v>N/A</v>
          </cell>
          <cell r="F839" t="str">
            <v>5 Weeks</v>
          </cell>
          <cell r="G839">
            <v>480</v>
          </cell>
          <cell r="H839">
            <v>3.1863000000000001</v>
          </cell>
          <cell r="I839">
            <v>1529.424</v>
          </cell>
          <cell r="J839">
            <v>3.8857317073170736</v>
          </cell>
          <cell r="K839">
            <v>335.72721951219523</v>
          </cell>
          <cell r="L839">
            <v>1865.1512195121954</v>
          </cell>
          <cell r="O839"/>
          <cell r="Q839">
            <v>1</v>
          </cell>
          <cell r="R839" t="str">
            <v>CBD3W3F00000/AA</v>
          </cell>
          <cell r="S839" t="str">
            <v>POSITRONIC</v>
          </cell>
          <cell r="T839" t="str">
            <v>Positronic</v>
          </cell>
          <cell r="U839">
            <v>1.89</v>
          </cell>
          <cell r="V839">
            <v>500</v>
          </cell>
          <cell r="W839">
            <v>-20</v>
          </cell>
          <cell r="X839">
            <v>10</v>
          </cell>
          <cell r="Y839" t="str">
            <v>Y</v>
          </cell>
          <cell r="Z839">
            <v>945</v>
          </cell>
          <cell r="AA839">
            <v>584.42399999999998</v>
          </cell>
          <cell r="AB839">
            <v>0.4933386686752661</v>
          </cell>
          <cell r="AE839" t="str">
            <v>POV0067333</v>
          </cell>
          <cell r="AF839" t="str">
            <v>JH</v>
          </cell>
        </row>
        <row r="840">
          <cell r="A840" t="str">
            <v>615-121726-161</v>
          </cell>
          <cell r="B840" t="str">
            <v>RES,SMD,1/10W,1%,0402</v>
          </cell>
          <cell r="C840" t="str">
            <v>RES</v>
          </cell>
          <cell r="D840">
            <v>15</v>
          </cell>
          <cell r="E840">
            <v>1</v>
          </cell>
          <cell r="F840" t="str">
            <v>9 Weeks</v>
          </cell>
          <cell r="G840">
            <v>10000</v>
          </cell>
          <cell r="H840">
            <v>6.0000000000000001E-3</v>
          </cell>
          <cell r="I840">
            <v>60</v>
          </cell>
          <cell r="J840">
            <v>7.3170731707317077E-3</v>
          </cell>
          <cell r="K840">
            <v>13.170731707317074</v>
          </cell>
          <cell r="L840">
            <v>73.170731707317074</v>
          </cell>
          <cell r="M840" t="str">
            <v>CHINA</v>
          </cell>
          <cell r="N840">
            <v>8533210030</v>
          </cell>
          <cell r="O840">
            <v>0.35</v>
          </cell>
          <cell r="P840">
            <v>21</v>
          </cell>
          <cell r="Q840">
            <v>3</v>
          </cell>
          <cell r="R840" t="str">
            <v>RK73H1ETTP1600F</v>
          </cell>
          <cell r="S840" t="str">
            <v>KOA Speer Electronics</v>
          </cell>
          <cell r="T840" t="str">
            <v>Digikey</v>
          </cell>
          <cell r="U840">
            <v>4.2399999999999998E-3</v>
          </cell>
          <cell r="V840">
            <v>10000</v>
          </cell>
          <cell r="W840">
            <v>0</v>
          </cell>
          <cell r="X840">
            <v>1</v>
          </cell>
          <cell r="Y840" t="str">
            <v>Y</v>
          </cell>
          <cell r="Z840">
            <v>42.4</v>
          </cell>
          <cell r="AA840">
            <v>17.600000000000001</v>
          </cell>
          <cell r="AB840">
            <v>0.42053333333333331</v>
          </cell>
          <cell r="AD840">
            <v>1062721</v>
          </cell>
          <cell r="AE840" t="str">
            <v xml:space="preserve">POV0067334 </v>
          </cell>
          <cell r="AF840" t="str">
            <v>JH</v>
          </cell>
        </row>
        <row r="841">
          <cell r="A841" t="str">
            <v>615-A00422-523</v>
          </cell>
          <cell r="B841" t="str">
            <v>RES,SMD,0402,523OHM,0.1%,1/16W,ROHS</v>
          </cell>
          <cell r="C841" t="str">
            <v>RES</v>
          </cell>
          <cell r="D841">
            <v>25</v>
          </cell>
          <cell r="E841">
            <v>1</v>
          </cell>
          <cell r="F841" t="str">
            <v>23 Weeks</v>
          </cell>
          <cell r="G841">
            <v>10000</v>
          </cell>
          <cell r="H841">
            <v>4.1116E-2</v>
          </cell>
          <cell r="I841">
            <v>411.16</v>
          </cell>
          <cell r="J841">
            <v>5.0141463414634151E-2</v>
          </cell>
          <cell r="K841">
            <v>90.254634146341516</v>
          </cell>
          <cell r="L841">
            <v>501.41463414634148</v>
          </cell>
          <cell r="O841"/>
          <cell r="Q841">
            <v>2</v>
          </cell>
          <cell r="R841" t="str">
            <v>ERA-2AEB5230X</v>
          </cell>
          <cell r="S841" t="str">
            <v>Panasonic</v>
          </cell>
          <cell r="T841" t="str">
            <v>Digikey</v>
          </cell>
          <cell r="U841">
            <v>4.1730000000000003E-2</v>
          </cell>
          <cell r="V841">
            <v>10000</v>
          </cell>
          <cell r="W841">
            <v>0</v>
          </cell>
          <cell r="X841">
            <v>1</v>
          </cell>
          <cell r="Y841" t="str">
            <v>Y</v>
          </cell>
          <cell r="Z841">
            <v>417.3</v>
          </cell>
          <cell r="AA841">
            <v>-6.1399999999999864</v>
          </cell>
          <cell r="AB841" t="str">
            <v/>
          </cell>
          <cell r="AD841">
            <v>1062721</v>
          </cell>
          <cell r="AE841" t="str">
            <v xml:space="preserve">POV0067334 </v>
          </cell>
          <cell r="AF841" t="str">
            <v>JH</v>
          </cell>
        </row>
        <row r="842">
          <cell r="A842" t="str">
            <v>615-064170-536</v>
          </cell>
          <cell r="B842" t="str">
            <v>RES,SMD,0805,RG,MF,0.1%,1/10W,5.36K</v>
          </cell>
          <cell r="C842" t="str">
            <v>RES</v>
          </cell>
          <cell r="D842">
            <v>15</v>
          </cell>
          <cell r="E842">
            <v>1</v>
          </cell>
          <cell r="F842" t="str">
            <v>26 Weeks</v>
          </cell>
          <cell r="G842">
            <v>5000</v>
          </cell>
          <cell r="H842">
            <v>5.1263000000000003E-2</v>
          </cell>
          <cell r="I842">
            <v>256.315</v>
          </cell>
          <cell r="J842">
            <v>6.2515853658536596E-2</v>
          </cell>
          <cell r="K842">
            <v>56.264268292682971</v>
          </cell>
          <cell r="L842">
            <v>312.57926829268297</v>
          </cell>
          <cell r="O842"/>
          <cell r="Q842">
            <v>3</v>
          </cell>
          <cell r="R842" t="str">
            <v>RT0805BRD075K36L</v>
          </cell>
          <cell r="S842" t="str">
            <v>Yageo</v>
          </cell>
          <cell r="T842" t="str">
            <v>Digikey</v>
          </cell>
          <cell r="U842">
            <v>4.7300000000000002E-2</v>
          </cell>
          <cell r="V842">
            <v>5000</v>
          </cell>
          <cell r="W842">
            <v>0</v>
          </cell>
          <cell r="X842">
            <v>1</v>
          </cell>
          <cell r="Y842" t="str">
            <v>Y</v>
          </cell>
          <cell r="Z842">
            <v>236.5</v>
          </cell>
          <cell r="AA842">
            <v>19.814999999999998</v>
          </cell>
          <cell r="AB842">
            <v>0.24339192009831667</v>
          </cell>
          <cell r="AD842">
            <v>1062721</v>
          </cell>
          <cell r="AE842" t="str">
            <v xml:space="preserve">POV0067334 </v>
          </cell>
          <cell r="AF842" t="str">
            <v>JH</v>
          </cell>
        </row>
        <row r="843">
          <cell r="A843" t="str">
            <v>609-273843-001</v>
          </cell>
          <cell r="B843" t="str">
            <v>DIODE,SMD,ZENER,3.6V,3W,SMB</v>
          </cell>
          <cell r="C843" t="str">
            <v>DIO</v>
          </cell>
          <cell r="D843">
            <v>30</v>
          </cell>
          <cell r="E843">
            <v>1</v>
          </cell>
          <cell r="F843" t="str">
            <v>32 Weeks</v>
          </cell>
          <cell r="G843">
            <v>2500</v>
          </cell>
          <cell r="H843">
            <v>7.2304999999999994E-2</v>
          </cell>
          <cell r="I843">
            <v>180.76249999999999</v>
          </cell>
          <cell r="J843">
            <v>8.8176829268292678E-2</v>
          </cell>
          <cell r="K843">
            <v>39.679573170731715</v>
          </cell>
          <cell r="L843">
            <v>220.4420731707317</v>
          </cell>
          <cell r="O843"/>
          <cell r="Q843">
            <v>1</v>
          </cell>
          <cell r="R843" t="str">
            <v>1SMB5914BT3G</v>
          </cell>
          <cell r="S843" t="str">
            <v>OnSemi</v>
          </cell>
          <cell r="T843" t="str">
            <v>Avnet</v>
          </cell>
          <cell r="U843">
            <v>7.1999999999999995E-2</v>
          </cell>
          <cell r="V843">
            <v>2500</v>
          </cell>
          <cell r="W843">
            <v>0</v>
          </cell>
          <cell r="X843">
            <v>1</v>
          </cell>
          <cell r="Y843" t="str">
            <v>Y</v>
          </cell>
          <cell r="Z843">
            <v>180</v>
          </cell>
          <cell r="AA843">
            <v>0.76249999999998863</v>
          </cell>
          <cell r="AB843">
            <v>0.1834589585782449</v>
          </cell>
          <cell r="AD843">
            <v>1062721</v>
          </cell>
          <cell r="AE843" t="str">
            <v>POV0067332</v>
          </cell>
          <cell r="AF843" t="str">
            <v>JH</v>
          </cell>
        </row>
        <row r="844">
          <cell r="A844" t="str">
            <v>668-244809-001</v>
          </cell>
          <cell r="B844" t="str">
            <v>TRANSMITTER,FIBRE OPTIC CONN,685NM,10MBD</v>
          </cell>
          <cell r="C844" t="str">
            <v>TRANSMITTER</v>
          </cell>
          <cell r="D844">
            <v>25</v>
          </cell>
          <cell r="E844">
            <v>3</v>
          </cell>
          <cell r="F844" t="str">
            <v>31 Weeks</v>
          </cell>
          <cell r="G844">
            <v>200</v>
          </cell>
          <cell r="H844">
            <v>11.838329999999999</v>
          </cell>
          <cell r="I844">
            <v>2367.6659999999997</v>
          </cell>
          <cell r="J844">
            <v>14.436987804878049</v>
          </cell>
          <cell r="K844">
            <v>519.73156097560968</v>
          </cell>
          <cell r="L844">
            <v>2887.3975609756098</v>
          </cell>
          <cell r="O844"/>
          <cell r="Q844">
            <v>1</v>
          </cell>
          <cell r="R844" t="str">
            <v>AFBR-1539Z</v>
          </cell>
          <cell r="S844" t="str">
            <v>Broadcom Limited</v>
          </cell>
          <cell r="T844" t="str">
            <v>Digikey</v>
          </cell>
          <cell r="U844">
            <v>12.2471</v>
          </cell>
          <cell r="V844">
            <v>200</v>
          </cell>
          <cell r="W844">
            <v>0</v>
          </cell>
          <cell r="X844">
            <v>1</v>
          </cell>
          <cell r="Y844" t="str">
            <v>Y</v>
          </cell>
          <cell r="Z844">
            <v>2449.42</v>
          </cell>
          <cell r="AA844">
            <v>-81.75400000000036</v>
          </cell>
          <cell r="AB844" t="str">
            <v/>
          </cell>
          <cell r="AD844">
            <v>1062721</v>
          </cell>
          <cell r="AE844" t="str">
            <v xml:space="preserve">POV0067334 </v>
          </cell>
          <cell r="AF844" t="str">
            <v>JH</v>
          </cell>
        </row>
        <row r="845">
          <cell r="A845" t="str">
            <v>630-B35278-001</v>
          </cell>
          <cell r="B845" t="str">
            <v>IC,SMD,512 MEGX16,SDRAM-DDR4,96 PIN,FBGA</v>
          </cell>
          <cell r="C845" t="str">
            <v>IC</v>
          </cell>
          <cell r="D845">
            <v>25</v>
          </cell>
          <cell r="E845">
            <v>3</v>
          </cell>
          <cell r="F845" t="str">
            <v>3 Weeks</v>
          </cell>
          <cell r="G845">
            <v>50</v>
          </cell>
          <cell r="H845">
            <v>8.2108500000000006</v>
          </cell>
          <cell r="I845">
            <v>410.54250000000002</v>
          </cell>
          <cell r="J845">
            <v>10.013231707317075</v>
          </cell>
          <cell r="K845">
            <v>90.119085365853721</v>
          </cell>
          <cell r="L845">
            <v>500.66158536585374</v>
          </cell>
          <cell r="M845" t="str">
            <v>TAIWAN</v>
          </cell>
          <cell r="N845">
            <v>8542320032</v>
          </cell>
          <cell r="O845">
            <v>0.35</v>
          </cell>
          <cell r="P845">
            <v>143.689875</v>
          </cell>
          <cell r="Q845">
            <v>1</v>
          </cell>
          <cell r="R845" t="str">
            <v>MT40A512M16TB-062E:R</v>
          </cell>
          <cell r="S845" t="str">
            <v>MICRON TECHNOLOGY, INC.</v>
          </cell>
          <cell r="T845" t="str">
            <v>Avnet</v>
          </cell>
          <cell r="U845">
            <v>8.0399999999999991</v>
          </cell>
          <cell r="V845">
            <v>50</v>
          </cell>
          <cell r="W845">
            <v>0</v>
          </cell>
          <cell r="X845">
            <v>1</v>
          </cell>
          <cell r="Y845" t="str">
            <v>Y</v>
          </cell>
          <cell r="Z845">
            <v>401.99999999999994</v>
          </cell>
          <cell r="AA845">
            <v>8.542500000000075</v>
          </cell>
          <cell r="AB845">
            <v>0.1970624235006122</v>
          </cell>
          <cell r="AD845">
            <v>1062721</v>
          </cell>
          <cell r="AE845" t="str">
            <v>POV0067332</v>
          </cell>
          <cell r="AF845" t="str">
            <v>JH</v>
          </cell>
        </row>
        <row r="846">
          <cell r="A846" t="str">
            <v>664-A42466-001</v>
          </cell>
          <cell r="B846" t="str">
            <v>LED,SMD,1.8V,7.1MCD,630NM,RED,0603</v>
          </cell>
          <cell r="C846" t="str">
            <v>LED</v>
          </cell>
          <cell r="D846">
            <v>15</v>
          </cell>
          <cell r="E846">
            <v>2</v>
          </cell>
          <cell r="F846" t="str">
            <v>15 Weeks</v>
          </cell>
          <cell r="G846">
            <v>5000</v>
          </cell>
          <cell r="H846">
            <v>8.6104E-2</v>
          </cell>
          <cell r="I846">
            <v>430.52</v>
          </cell>
          <cell r="J846">
            <v>0.10500487804878049</v>
          </cell>
          <cell r="K846">
            <v>94.504390243902435</v>
          </cell>
          <cell r="L846">
            <v>525.02439024390242</v>
          </cell>
          <cell r="O846"/>
          <cell r="Q846">
            <v>1</v>
          </cell>
          <cell r="R846" t="str">
            <v>LSL29K-H1J2-1-Z</v>
          </cell>
          <cell r="S846" t="str">
            <v>OSRAM</v>
          </cell>
          <cell r="T846" t="str">
            <v>Avnet</v>
          </cell>
          <cell r="U846">
            <v>7.0389999999999994E-2</v>
          </cell>
          <cell r="V846">
            <v>5000</v>
          </cell>
          <cell r="W846">
            <v>0</v>
          </cell>
          <cell r="X846">
            <v>1</v>
          </cell>
          <cell r="Y846" t="str">
            <v>Y</v>
          </cell>
          <cell r="Z846">
            <v>351.95</v>
          </cell>
          <cell r="AA846">
            <v>78.569999999999993</v>
          </cell>
          <cell r="AB846">
            <v>0.32965019046734179</v>
          </cell>
          <cell r="AD846">
            <v>1062721</v>
          </cell>
          <cell r="AE846" t="str">
            <v xml:space="preserve">POV0067350 </v>
          </cell>
          <cell r="AF846" t="str">
            <v>JH</v>
          </cell>
        </row>
        <row r="847">
          <cell r="A847" t="str">
            <v>626-A72008-001</v>
          </cell>
          <cell r="B847" t="str">
            <v>XSTR,SMD,FIELD EFT,N-CHAN,40V,27A,WDFN8</v>
          </cell>
          <cell r="C847" t="str">
            <v>XSTR</v>
          </cell>
          <cell r="D847">
            <v>15</v>
          </cell>
          <cell r="E847">
            <v>1</v>
          </cell>
          <cell r="F847" t="str">
            <v>19 Weeks</v>
          </cell>
          <cell r="G847">
            <v>1500</v>
          </cell>
          <cell r="H847">
            <v>0.18872700000000001</v>
          </cell>
          <cell r="I847">
            <v>283.09050000000002</v>
          </cell>
          <cell r="J847">
            <v>0.23015487804878051</v>
          </cell>
          <cell r="K847">
            <v>62.141817073170785</v>
          </cell>
          <cell r="L847">
            <v>345.23231707317075</v>
          </cell>
          <cell r="O847"/>
          <cell r="Q847">
            <v>1</v>
          </cell>
          <cell r="R847" t="str">
            <v>NTTFS015N04CTAG</v>
          </cell>
          <cell r="S847" t="str">
            <v>On Semiconductor</v>
          </cell>
          <cell r="T847" t="str">
            <v>Flip Electronics</v>
          </cell>
          <cell r="U847">
            <v>0.26</v>
          </cell>
          <cell r="V847">
            <v>1286</v>
          </cell>
          <cell r="W847">
            <v>214</v>
          </cell>
          <cell r="X847">
            <v>1</v>
          </cell>
          <cell r="Y847" t="str">
            <v>Y</v>
          </cell>
          <cell r="Z847">
            <v>334.36</v>
          </cell>
          <cell r="AA847">
            <v>-91.657078000000013</v>
          </cell>
          <cell r="AB847" t="str">
            <v/>
          </cell>
          <cell r="AD847">
            <v>1062721</v>
          </cell>
          <cell r="AE847" t="str">
            <v>POV0067348</v>
          </cell>
          <cell r="AF847" t="str">
            <v>JH</v>
          </cell>
        </row>
        <row r="848">
          <cell r="A848" t="str">
            <v>32-10010-00</v>
          </cell>
          <cell r="B848" t="str">
            <v>IC,INDUSTRIAL DRIVER,0.5A PWR SW,6V-35V</v>
          </cell>
          <cell r="C848" t="str">
            <v>IC</v>
          </cell>
          <cell r="D848">
            <v>25</v>
          </cell>
          <cell r="E848">
            <v>1</v>
          </cell>
          <cell r="F848" t="str">
            <v>19 Weeks</v>
          </cell>
          <cell r="G848">
            <v>200</v>
          </cell>
          <cell r="H848">
            <v>5.83338</v>
          </cell>
          <cell r="I848">
            <v>1166.6759999999999</v>
          </cell>
          <cell r="J848">
            <v>7.1138780487804887</v>
          </cell>
          <cell r="K848">
            <v>256.09960975609761</v>
          </cell>
          <cell r="L848">
            <v>1422.7756097560978</v>
          </cell>
          <cell r="O848"/>
          <cell r="Q848">
            <v>1</v>
          </cell>
          <cell r="R848" t="str">
            <v>TDE1798DP</v>
          </cell>
          <cell r="S848" t="str">
            <v>STMICROELECTRONICS (EUR S&amp;D)</v>
          </cell>
          <cell r="T848" t="str">
            <v>Avnet Silica via Astute Ltd</v>
          </cell>
          <cell r="U848">
            <v>4.8</v>
          </cell>
          <cell r="V848">
            <v>200</v>
          </cell>
          <cell r="W848">
            <v>0</v>
          </cell>
          <cell r="X848">
            <v>2</v>
          </cell>
          <cell r="Y848" t="str">
            <v>Y</v>
          </cell>
          <cell r="Z848">
            <v>960</v>
          </cell>
          <cell r="AA848">
            <v>206.67599999999993</v>
          </cell>
          <cell r="AB848">
            <v>0.32526254075681693</v>
          </cell>
          <cell r="AC848" t="str">
            <v>JH</v>
          </cell>
          <cell r="AD848">
            <v>1062721</v>
          </cell>
          <cell r="AE848" t="str">
            <v>POV0067327</v>
          </cell>
          <cell r="AF848" t="str">
            <v>JH</v>
          </cell>
        </row>
        <row r="849">
          <cell r="A849" t="str">
            <v>674-B39244-406</v>
          </cell>
          <cell r="B849" t="str">
            <v>TERM,SMD,PCB,WIRE TO BD,M4 THD,50A,BRS</v>
          </cell>
          <cell r="C849" t="str">
            <v>TERM</v>
          </cell>
          <cell r="D849">
            <v>200</v>
          </cell>
          <cell r="E849">
            <v>1</v>
          </cell>
          <cell r="F849" t="str">
            <v>27 Weeks</v>
          </cell>
          <cell r="G849">
            <v>500</v>
          </cell>
          <cell r="H849">
            <v>1.811755</v>
          </cell>
          <cell r="I849">
            <v>905.87750000000005</v>
          </cell>
          <cell r="J849">
            <v>2.2094573170731708</v>
          </cell>
          <cell r="K849">
            <v>198.85115853658544</v>
          </cell>
          <cell r="L849">
            <v>1104.7286585365855</v>
          </cell>
          <cell r="O849"/>
          <cell r="Q849">
            <v>1</v>
          </cell>
          <cell r="R849" t="str">
            <v>7466004R</v>
          </cell>
          <cell r="S849" t="str">
            <v>WURTH ELEKTRONIK</v>
          </cell>
          <cell r="T849" t="str">
            <v>Wurth via Astute Ltd</v>
          </cell>
          <cell r="U849">
            <v>0.59699999999999998</v>
          </cell>
          <cell r="V849">
            <v>500</v>
          </cell>
          <cell r="W849">
            <v>0</v>
          </cell>
          <cell r="X849">
            <v>2</v>
          </cell>
          <cell r="Y849" t="str">
            <v>Y</v>
          </cell>
          <cell r="Z849">
            <v>298.5</v>
          </cell>
          <cell r="AA849">
            <v>607.37750000000005</v>
          </cell>
          <cell r="AB849">
            <v>0.72979790313811743</v>
          </cell>
          <cell r="AC849" t="str">
            <v>JH</v>
          </cell>
          <cell r="AD849">
            <v>1062721</v>
          </cell>
          <cell r="AE849" t="str">
            <v>POV0067327</v>
          </cell>
          <cell r="AF849" t="str">
            <v>JH</v>
          </cell>
        </row>
        <row r="850">
          <cell r="A850" t="str">
            <v>648-185803-001</v>
          </cell>
          <cell r="B850" t="str">
            <v>CAP,SMD,1210,CER,50V,10%,X7R,10UF,ROHS</v>
          </cell>
          <cell r="C850" t="str">
            <v>CAP</v>
          </cell>
          <cell r="D850">
            <v>15</v>
          </cell>
          <cell r="E850">
            <v>1</v>
          </cell>
          <cell r="F850" t="str">
            <v>18 Weeks</v>
          </cell>
          <cell r="G850">
            <v>1000</v>
          </cell>
          <cell r="H850">
            <v>0.09</v>
          </cell>
          <cell r="I850">
            <v>90</v>
          </cell>
          <cell r="J850">
            <v>0.10975609756097561</v>
          </cell>
          <cell r="K850">
            <v>19.756097560975618</v>
          </cell>
          <cell r="L850">
            <v>109.7560975609756</v>
          </cell>
          <cell r="O850"/>
          <cell r="Q850">
            <v>2</v>
          </cell>
          <cell r="R850" t="str">
            <v>GRM32ER71H106KA12L</v>
          </cell>
          <cell r="S850" t="str">
            <v>Murata Electronics</v>
          </cell>
          <cell r="T850" t="str">
            <v>Avnet Abacus via Astute Ltd</v>
          </cell>
          <cell r="U850">
            <v>0.19</v>
          </cell>
          <cell r="V850">
            <v>1000</v>
          </cell>
          <cell r="W850">
            <v>0</v>
          </cell>
          <cell r="X850">
            <v>1</v>
          </cell>
          <cell r="Y850" t="str">
            <v>Y</v>
          </cell>
          <cell r="Z850">
            <v>190</v>
          </cell>
          <cell r="AA850">
            <v>-100</v>
          </cell>
          <cell r="AB850" t="str">
            <v/>
          </cell>
          <cell r="AC850" t="str">
            <v>JH</v>
          </cell>
          <cell r="AD850">
            <v>1062721</v>
          </cell>
          <cell r="AE850" t="str">
            <v>POV0067327</v>
          </cell>
          <cell r="AF850" t="str">
            <v>JH</v>
          </cell>
        </row>
        <row r="851">
          <cell r="A851" t="str">
            <v>609-A99417-001</v>
          </cell>
          <cell r="B851" t="str">
            <v>DIO,SMD,SCHOTTKY BARR,40V,3A,SOD-123FL</v>
          </cell>
          <cell r="C851" t="str">
            <v>DIO</v>
          </cell>
          <cell r="D851">
            <v>25</v>
          </cell>
          <cell r="E851" t="str">
            <v>N/A</v>
          </cell>
          <cell r="F851" t="str">
            <v>21 Weeks</v>
          </cell>
          <cell r="G851">
            <v>3000</v>
          </cell>
          <cell r="H851">
            <v>0.12925300000000001</v>
          </cell>
          <cell r="I851">
            <v>387.75900000000001</v>
          </cell>
          <cell r="J851">
            <v>0.15762560975609757</v>
          </cell>
          <cell r="K851">
            <v>85.117829268292724</v>
          </cell>
          <cell r="L851">
            <v>472.87682926829274</v>
          </cell>
          <cell r="O851"/>
          <cell r="Q851">
            <v>1</v>
          </cell>
          <cell r="R851" t="str">
            <v>RBR3MM40A</v>
          </cell>
          <cell r="S851" t="str">
            <v>ROHM</v>
          </cell>
          <cell r="T851" t="str">
            <v>Avnet Silia via Astute Ltd</v>
          </cell>
          <cell r="U851">
            <v>0.121</v>
          </cell>
          <cell r="V851">
            <v>3000</v>
          </cell>
          <cell r="W851">
            <v>0</v>
          </cell>
          <cell r="Y851" t="str">
            <v>Y</v>
          </cell>
          <cell r="Z851">
            <v>363</v>
          </cell>
          <cell r="AA851">
            <v>24.759000000000015</v>
          </cell>
          <cell r="AB851">
            <v>0.23235824313555598</v>
          </cell>
          <cell r="AC851" t="str">
            <v>JH</v>
          </cell>
          <cell r="AD851">
            <v>1062721</v>
          </cell>
          <cell r="AE851" t="str">
            <v>POV0067327</v>
          </cell>
          <cell r="AF851" t="str">
            <v>JH</v>
          </cell>
        </row>
        <row r="852">
          <cell r="A852" t="str">
            <v>630-089762-001</v>
          </cell>
          <cell r="B852" t="str">
            <v>IC,SMD,INVTR,DUAL,SCHMITT TRIG,1.0MM</v>
          </cell>
          <cell r="C852" t="str">
            <v>IC</v>
          </cell>
          <cell r="D852">
            <v>15</v>
          </cell>
          <cell r="E852">
            <v>1</v>
          </cell>
          <cell r="F852" t="str">
            <v>EOL/3 Weeks</v>
          </cell>
          <cell r="G852">
            <v>5000</v>
          </cell>
          <cell r="H852">
            <v>0.13700000000000001</v>
          </cell>
          <cell r="I852">
            <v>685</v>
          </cell>
          <cell r="J852">
            <v>0.16707317073170733</v>
          </cell>
          <cell r="K852">
            <v>150.36585365853659</v>
          </cell>
          <cell r="L852">
            <v>835.36585365853659</v>
          </cell>
          <cell r="M852"/>
          <cell r="Q852">
            <v>2</v>
          </cell>
          <cell r="R852" t="str">
            <v>NC7WZ14L6X-L22175</v>
          </cell>
          <cell r="S852" t="str">
            <v>ON SEMICONDUCTOR</v>
          </cell>
          <cell r="T852" t="str">
            <v>Avnet Silica / EBV via Astute Ltd</v>
          </cell>
          <cell r="U852">
            <v>0.11600000000000001</v>
          </cell>
          <cell r="V852">
            <v>5000</v>
          </cell>
          <cell r="W852">
            <v>0</v>
          </cell>
          <cell r="Y852" t="str">
            <v>Y</v>
          </cell>
          <cell r="Z852">
            <v>580</v>
          </cell>
          <cell r="AA852">
            <v>105</v>
          </cell>
          <cell r="AB852">
            <v>0.30569343065693433</v>
          </cell>
          <cell r="AC852" t="str">
            <v>JH</v>
          </cell>
          <cell r="AD852">
            <v>1062721</v>
          </cell>
          <cell r="AE852" t="str">
            <v>POV0067327</v>
          </cell>
          <cell r="AF852" t="str">
            <v>JH</v>
          </cell>
        </row>
        <row r="853">
          <cell r="A853" t="str">
            <v>664-039171-001</v>
          </cell>
          <cell r="B853" t="str">
            <v>LED,SMD,RT,HSM-C110,RED,ROHS</v>
          </cell>
          <cell r="C853" t="str">
            <v>LED</v>
          </cell>
          <cell r="D853">
            <v>15</v>
          </cell>
          <cell r="E853">
            <v>2</v>
          </cell>
          <cell r="F853" t="str">
            <v>3 Weeks</v>
          </cell>
          <cell r="G853">
            <v>3000</v>
          </cell>
          <cell r="H853">
            <v>0.16789399999999999</v>
          </cell>
          <cell r="I853">
            <v>503.68199999999996</v>
          </cell>
          <cell r="J853">
            <v>0.20474878048780487</v>
          </cell>
          <cell r="K853">
            <v>110.56434146341468</v>
          </cell>
          <cell r="L853">
            <v>614.24634146341464</v>
          </cell>
          <cell r="O853"/>
          <cell r="Q853">
            <v>2</v>
          </cell>
          <cell r="R853" t="str">
            <v>HSMH-C110</v>
          </cell>
          <cell r="S853" t="str">
            <v>Broadcom Limited</v>
          </cell>
          <cell r="T853" t="str">
            <v>RS through Astute Ltd</v>
          </cell>
          <cell r="U853">
            <v>0.182</v>
          </cell>
          <cell r="V853">
            <v>3000</v>
          </cell>
          <cell r="W853">
            <v>0</v>
          </cell>
          <cell r="Y853" t="str">
            <v>Y</v>
          </cell>
          <cell r="Z853">
            <v>546</v>
          </cell>
          <cell r="AA853">
            <v>-42.31800000000004</v>
          </cell>
          <cell r="AB853" t="str">
            <v/>
          </cell>
          <cell r="AC853" t="str">
            <v>JH</v>
          </cell>
          <cell r="AD853">
            <v>1062721</v>
          </cell>
          <cell r="AE853" t="str">
            <v>POV0067327</v>
          </cell>
          <cell r="AF853" t="str">
            <v>JH</v>
          </cell>
        </row>
        <row r="854">
          <cell r="A854" t="str">
            <v>630-345765-001</v>
          </cell>
          <cell r="B854" t="str">
            <v>IC,SMD,COMPARATOR,280MHZ,2.9NS,SC70-6</v>
          </cell>
          <cell r="C854" t="str">
            <v>IC</v>
          </cell>
          <cell r="D854">
            <v>30</v>
          </cell>
          <cell r="E854"/>
          <cell r="F854" t="str">
            <v>29 Weeks</v>
          </cell>
          <cell r="G854">
            <v>500</v>
          </cell>
          <cell r="H854">
            <v>3.3365459999999998</v>
          </cell>
          <cell r="I854">
            <v>1668.2729999999999</v>
          </cell>
          <cell r="J854">
            <v>4.0689585365853658</v>
          </cell>
          <cell r="K854">
            <v>366.20626829268303</v>
          </cell>
          <cell r="L854">
            <v>2034.4792682926829</v>
          </cell>
          <cell r="O854"/>
          <cell r="Q854">
            <v>1</v>
          </cell>
          <cell r="R854" t="str">
            <v>LTC6752ISC6-1#TRPBF</v>
          </cell>
          <cell r="S854" t="str">
            <v>ANALOG DEVICES</v>
          </cell>
          <cell r="T854" t="str">
            <v>Singsun</v>
          </cell>
          <cell r="U854">
            <v>2.1</v>
          </cell>
          <cell r="V854">
            <v>500</v>
          </cell>
          <cell r="W854">
            <v>0</v>
          </cell>
          <cell r="Z854">
            <v>1050</v>
          </cell>
          <cell r="AA854">
            <v>618.27299999999991</v>
          </cell>
          <cell r="AB854">
            <v>0.48389741966692501</v>
          </cell>
          <cell r="AC854" t="str">
            <v>JH</v>
          </cell>
          <cell r="AD854">
            <v>1061234</v>
          </cell>
          <cell r="AE854" t="str">
            <v>POV0067355</v>
          </cell>
          <cell r="AF854" t="str">
            <v>TX</v>
          </cell>
        </row>
        <row r="855">
          <cell r="A855" t="str">
            <v>630-B28359-001</v>
          </cell>
          <cell r="B855" t="str">
            <v>IC,SMD,V REF,3.3VOUT,TSOT-23-6</v>
          </cell>
          <cell r="C855" t="str">
            <v>IC</v>
          </cell>
          <cell r="D855">
            <v>15</v>
          </cell>
          <cell r="E855">
            <v>1</v>
          </cell>
          <cell r="F855" t="str">
            <v>14 Weeks</v>
          </cell>
          <cell r="G855">
            <v>500</v>
          </cell>
          <cell r="H855">
            <v>4.9353579999999999</v>
          </cell>
          <cell r="I855">
            <v>2467.6790000000001</v>
          </cell>
          <cell r="J855">
            <v>6.0187292682926836</v>
          </cell>
          <cell r="K855">
            <v>541.68563414634173</v>
          </cell>
          <cell r="L855">
            <v>3009.3646341463418</v>
          </cell>
          <cell r="O855"/>
          <cell r="Q855">
            <v>1</v>
          </cell>
          <cell r="R855" t="str">
            <v>LT6654AHS6-3.3#TRMPBF</v>
          </cell>
          <cell r="S855" t="str">
            <v>ANALOG DEVICES</v>
          </cell>
          <cell r="T855" t="str">
            <v>Singsun</v>
          </cell>
          <cell r="U855">
            <v>3.5</v>
          </cell>
          <cell r="V855">
            <v>500</v>
          </cell>
          <cell r="W855">
            <v>0</v>
          </cell>
          <cell r="Z855">
            <v>1750</v>
          </cell>
          <cell r="AA855">
            <v>717.67900000000009</v>
          </cell>
          <cell r="AB855">
            <v>0.41848190141424402</v>
          </cell>
          <cell r="AC855" t="str">
            <v>JH</v>
          </cell>
          <cell r="AD855">
            <v>1061234</v>
          </cell>
          <cell r="AE855" t="str">
            <v>POV0067355</v>
          </cell>
          <cell r="AF855" t="str">
            <v>TX</v>
          </cell>
        </row>
        <row r="856">
          <cell r="A856" t="str">
            <v>630-311294-002</v>
          </cell>
          <cell r="B856" t="str">
            <v>IC,SMD,REG,BUCK,ADJ,8A,65V OUT,32-LQFN</v>
          </cell>
          <cell r="C856" t="str">
            <v>IC</v>
          </cell>
          <cell r="D856">
            <v>25</v>
          </cell>
          <cell r="E856">
            <v>3</v>
          </cell>
          <cell r="F856" t="str">
            <v>13 Weeks</v>
          </cell>
          <cell r="G856">
            <v>490</v>
          </cell>
          <cell r="H856">
            <v>9.6324299999999994</v>
          </cell>
          <cell r="I856">
            <v>4719.8906999999999</v>
          </cell>
          <cell r="J856">
            <v>11.746865853658537</v>
          </cell>
          <cell r="K856">
            <v>1036.0735682926834</v>
          </cell>
          <cell r="L856">
            <v>5755.9642682926833</v>
          </cell>
          <cell r="O856"/>
          <cell r="Q856">
            <v>1</v>
          </cell>
          <cell r="R856" t="str">
            <v>LT8645SHV-2#PBF</v>
          </cell>
          <cell r="S856" t="str">
            <v>ANALOG DEVICES</v>
          </cell>
          <cell r="T856" t="str">
            <v>Singsun</v>
          </cell>
          <cell r="U856">
            <v>6</v>
          </cell>
          <cell r="V856">
            <v>490</v>
          </cell>
          <cell r="W856">
            <v>0</v>
          </cell>
          <cell r="Z856">
            <v>2940</v>
          </cell>
          <cell r="AA856">
            <v>1779.8906999999999</v>
          </cell>
          <cell r="AB856">
            <v>0.48922546024211966</v>
          </cell>
          <cell r="AC856" t="str">
            <v>JH</v>
          </cell>
          <cell r="AD856">
            <v>1061234</v>
          </cell>
          <cell r="AE856" t="str">
            <v>POV0067355</v>
          </cell>
          <cell r="AF856" t="str">
            <v>TX</v>
          </cell>
        </row>
        <row r="857">
          <cell r="A857" t="str">
            <v>630-320785-001</v>
          </cell>
          <cell r="B857" t="str">
            <v>IC,SMD,XCVR,CMOS-RS232,BI-DIR,SOIC-16</v>
          </cell>
          <cell r="C857" t="str">
            <v>IC</v>
          </cell>
          <cell r="D857">
            <v>25</v>
          </cell>
          <cell r="E857">
            <v>1</v>
          </cell>
          <cell r="F857" t="str">
            <v>20 Weeks</v>
          </cell>
          <cell r="G857">
            <v>200</v>
          </cell>
          <cell r="H857">
            <v>6.2868149999999998</v>
          </cell>
          <cell r="I857">
            <v>1257.3630000000001</v>
          </cell>
          <cell r="J857">
            <v>7.6668475609756097</v>
          </cell>
          <cell r="K857">
            <v>276.00651219512201</v>
          </cell>
          <cell r="L857">
            <v>1533.3695121951218</v>
          </cell>
          <cell r="O857"/>
          <cell r="Q857">
            <v>1</v>
          </cell>
          <cell r="R857" t="str">
            <v>MAX232ACSE+T</v>
          </cell>
          <cell r="S857" t="str">
            <v>MAXIM INTEGRATED</v>
          </cell>
          <cell r="T857" t="str">
            <v>Keming</v>
          </cell>
          <cell r="U857">
            <v>0.97</v>
          </cell>
          <cell r="V857">
            <v>200</v>
          </cell>
          <cell r="W857">
            <v>0</v>
          </cell>
          <cell r="Y857" t="str">
            <v>Y</v>
          </cell>
          <cell r="Z857">
            <v>194</v>
          </cell>
          <cell r="AA857">
            <v>1063.3630000000001</v>
          </cell>
          <cell r="AB857">
            <v>0.87348124606816013</v>
          </cell>
          <cell r="AD857">
            <v>1061234</v>
          </cell>
          <cell r="AE857" t="str">
            <v>POV0067354</v>
          </cell>
          <cell r="AF857" t="str">
            <v>TX</v>
          </cell>
        </row>
        <row r="858">
          <cell r="A858" t="str">
            <v>630-A61432-001</v>
          </cell>
          <cell r="B858" t="str">
            <v>IC,SMD,DAC,16-BIT,8-CHAN,32-QFN</v>
          </cell>
          <cell r="C858" t="str">
            <v>IC</v>
          </cell>
          <cell r="D858">
            <v>25</v>
          </cell>
          <cell r="E858">
            <v>1</v>
          </cell>
          <cell r="F858" t="str">
            <v>13 Weeks</v>
          </cell>
          <cell r="G858">
            <v>73</v>
          </cell>
          <cell r="H858">
            <v>54.597349999999999</v>
          </cell>
          <cell r="I858">
            <v>3985.60655</v>
          </cell>
          <cell r="J858">
            <v>66.58213414634146</v>
          </cell>
          <cell r="K858">
            <v>874.88924268292749</v>
          </cell>
          <cell r="L858">
            <v>4860.4957926829265</v>
          </cell>
          <cell r="O858"/>
          <cell r="Q858">
            <v>1</v>
          </cell>
          <cell r="R858" t="str">
            <v>LTC2666IUH-16#PBF</v>
          </cell>
          <cell r="S858" t="str">
            <v>ANALOG DEVICES</v>
          </cell>
          <cell r="T858" t="str">
            <v>Keming</v>
          </cell>
          <cell r="U858">
            <v>28.56</v>
          </cell>
          <cell r="V858">
            <v>73</v>
          </cell>
          <cell r="W858">
            <v>0</v>
          </cell>
          <cell r="Y858" t="str">
            <v>Y</v>
          </cell>
          <cell r="Z858">
            <v>2084.88</v>
          </cell>
          <cell r="AA858">
            <v>1900.7265499999999</v>
          </cell>
          <cell r="AB858">
            <v>0.571056104371366</v>
          </cell>
          <cell r="AD858">
            <v>1061234</v>
          </cell>
          <cell r="AE858" t="str">
            <v>POV0067354</v>
          </cell>
          <cell r="AF858" t="str">
            <v>TX</v>
          </cell>
        </row>
        <row r="859">
          <cell r="A859" t="str">
            <v>630-225105-001</v>
          </cell>
          <cell r="B859" t="str">
            <v>IC,SMD,CLK GEN,6-OUT,1.6GHZ VCO,LFCSP-48</v>
          </cell>
          <cell r="C859" t="str">
            <v>IC</v>
          </cell>
          <cell r="D859">
            <v>25</v>
          </cell>
          <cell r="E859">
            <v>3</v>
          </cell>
          <cell r="F859" t="str">
            <v>3 Weeks</v>
          </cell>
          <cell r="G859">
            <v>100</v>
          </cell>
          <cell r="H859">
            <v>13.218548999999999</v>
          </cell>
          <cell r="I859">
            <v>1321.8549</v>
          </cell>
          <cell r="J859">
            <v>16.120181707317073</v>
          </cell>
          <cell r="K859">
            <v>290.16327073170737</v>
          </cell>
          <cell r="L859">
            <v>1612.0181707317074</v>
          </cell>
          <cell r="O859"/>
          <cell r="Q859">
            <v>1</v>
          </cell>
          <cell r="R859" t="str">
            <v>AD9518-4ABCPZ</v>
          </cell>
          <cell r="S859" t="str">
            <v>ANALOG DEVICES</v>
          </cell>
          <cell r="T859" t="str">
            <v>Digikey via IC360</v>
          </cell>
          <cell r="U859">
            <v>11.206</v>
          </cell>
          <cell r="V859">
            <v>100</v>
          </cell>
          <cell r="W859">
            <v>0</v>
          </cell>
          <cell r="X859" t="str">
            <v>2-3 wks</v>
          </cell>
          <cell r="Y859" t="str">
            <v>Y</v>
          </cell>
          <cell r="Z859">
            <v>1120.5999999999999</v>
          </cell>
          <cell r="AA859">
            <v>201.25490000000013</v>
          </cell>
          <cell r="AB859">
            <v>0.30484654556260304</v>
          </cell>
          <cell r="AD859">
            <v>1062721</v>
          </cell>
          <cell r="AE859" t="str">
            <v xml:space="preserve">POV0067368 </v>
          </cell>
          <cell r="AF859" t="str">
            <v>TX</v>
          </cell>
        </row>
        <row r="860">
          <cell r="A860" t="str">
            <v>630-129906-001</v>
          </cell>
          <cell r="B860" t="str">
            <v>IC,SMD,JFET OPAMP,AD8510,ROHS</v>
          </cell>
          <cell r="C860" t="str">
            <v>IC</v>
          </cell>
          <cell r="D860">
            <v>25</v>
          </cell>
          <cell r="E860">
            <v>1</v>
          </cell>
          <cell r="F860" t="str">
            <v>14 Weeks</v>
          </cell>
          <cell r="G860">
            <v>200</v>
          </cell>
          <cell r="H860">
            <v>2.9044349999999999</v>
          </cell>
          <cell r="I860">
            <v>580.88699999999994</v>
          </cell>
          <cell r="J860">
            <v>3.5419939024390246</v>
          </cell>
          <cell r="K860">
            <v>127.51178048780491</v>
          </cell>
          <cell r="L860">
            <v>708.39878048780497</v>
          </cell>
          <cell r="M860" t="str">
            <v>CHINA</v>
          </cell>
          <cell r="N860">
            <v>8542330001</v>
          </cell>
          <cell r="O860">
            <v>0.35</v>
          </cell>
          <cell r="P860">
            <v>203.31044999999997</v>
          </cell>
          <cell r="Q860">
            <v>1</v>
          </cell>
          <cell r="R860" t="str">
            <v>AD8510ARMZ</v>
          </cell>
          <cell r="S860" t="str">
            <v>ANALOG DEVICES</v>
          </cell>
          <cell r="T860" t="str">
            <v>Mouser via IC360</v>
          </cell>
          <cell r="U860">
            <v>3.0579999999999998</v>
          </cell>
          <cell r="V860">
            <v>200</v>
          </cell>
          <cell r="W860">
            <v>0</v>
          </cell>
          <cell r="X860" t="str">
            <v>2-3 wks</v>
          </cell>
          <cell r="Y860" t="str">
            <v>Y</v>
          </cell>
          <cell r="Z860">
            <v>611.59999999999991</v>
          </cell>
          <cell r="AA860">
            <v>-30.712999999999965</v>
          </cell>
          <cell r="AB860" t="str">
            <v/>
          </cell>
          <cell r="AD860">
            <v>1062721</v>
          </cell>
          <cell r="AE860" t="str">
            <v xml:space="preserve">POV0067368 </v>
          </cell>
          <cell r="AF860" t="str">
            <v>TX</v>
          </cell>
        </row>
        <row r="861">
          <cell r="A861" t="str">
            <v>630-A42310-001</v>
          </cell>
          <cell r="B861" t="str">
            <v>IC,SMD,OPAMP,1 CKT,870V/US,LFCSP-8</v>
          </cell>
          <cell r="C861" t="str">
            <v>IC</v>
          </cell>
          <cell r="D861">
            <v>15</v>
          </cell>
          <cell r="E861">
            <v>3</v>
          </cell>
          <cell r="F861" t="str">
            <v>3 Weeks</v>
          </cell>
          <cell r="G861">
            <v>60</v>
          </cell>
          <cell r="H861">
            <v>7.1691750000000001</v>
          </cell>
          <cell r="I861">
            <v>430.15050000000002</v>
          </cell>
          <cell r="J861">
            <v>8.7428963414634158</v>
          </cell>
          <cell r="K861">
            <v>94.423280487804902</v>
          </cell>
          <cell r="L861">
            <v>524.57378048780492</v>
          </cell>
          <cell r="O861"/>
          <cell r="Q861">
            <v>1</v>
          </cell>
          <cell r="R861" t="str">
            <v>ADA4817-1ACPZ-R7</v>
          </cell>
          <cell r="S861" t="str">
            <v>ANALOG DEVICES</v>
          </cell>
          <cell r="T861" t="str">
            <v>Mouser via IC360</v>
          </cell>
          <cell r="U861">
            <v>8.0079999999999991</v>
          </cell>
          <cell r="V861">
            <v>60</v>
          </cell>
          <cell r="W861">
            <v>0</v>
          </cell>
          <cell r="X861" t="str">
            <v>2-3 wks</v>
          </cell>
          <cell r="Y861" t="str">
            <v>Y</v>
          </cell>
          <cell r="Z861">
            <v>480.47999999999996</v>
          </cell>
          <cell r="AA861">
            <v>-50.329499999999939</v>
          </cell>
          <cell r="AB861" t="str">
            <v/>
          </cell>
          <cell r="AD861">
            <v>1062721</v>
          </cell>
          <cell r="AE861" t="str">
            <v xml:space="preserve">POV0067368 </v>
          </cell>
          <cell r="AF861" t="str">
            <v>TX</v>
          </cell>
        </row>
        <row r="862">
          <cell r="A862" t="str">
            <v>630-119465-001</v>
          </cell>
          <cell r="B862" t="str">
            <v>IC,SMD,ANALOG SW,SPDT,MSOP,ADG1419BRMZ</v>
          </cell>
          <cell r="C862" t="str">
            <v>IC</v>
          </cell>
          <cell r="D862">
            <v>15</v>
          </cell>
          <cell r="E862">
            <v>1</v>
          </cell>
          <cell r="F862" t="str">
            <v>13 Weeks</v>
          </cell>
          <cell r="G862">
            <v>200</v>
          </cell>
          <cell r="H862">
            <v>4.0164540000000004</v>
          </cell>
          <cell r="I862">
            <v>803.2908000000001</v>
          </cell>
          <cell r="J862">
            <v>4.8981146341463422</v>
          </cell>
          <cell r="K862">
            <v>176.33212682926842</v>
          </cell>
          <cell r="L862">
            <v>979.62292682926841</v>
          </cell>
          <cell r="O862"/>
          <cell r="Q862">
            <v>1</v>
          </cell>
          <cell r="R862" t="str">
            <v>ADG1419BRMZ</v>
          </cell>
          <cell r="S862" t="str">
            <v>ANALOG DEVICES</v>
          </cell>
          <cell r="T862" t="str">
            <v>Mouser via IC360</v>
          </cell>
          <cell r="U862">
            <v>4.4770000000000003</v>
          </cell>
          <cell r="V862">
            <v>200</v>
          </cell>
          <cell r="W862">
            <v>0</v>
          </cell>
          <cell r="X862" t="str">
            <v>2-3 wks</v>
          </cell>
          <cell r="Y862" t="str">
            <v>Y</v>
          </cell>
          <cell r="Z862">
            <v>895.40000000000009</v>
          </cell>
          <cell r="AA862">
            <v>-92.109199999999987</v>
          </cell>
          <cell r="AB862" t="str">
            <v/>
          </cell>
          <cell r="AD862">
            <v>1062721</v>
          </cell>
          <cell r="AE862" t="str">
            <v xml:space="preserve">POV0067368 </v>
          </cell>
          <cell r="AF862" t="str">
            <v>TX</v>
          </cell>
        </row>
        <row r="863">
          <cell r="A863" t="str">
            <v>630-210849-001</v>
          </cell>
          <cell r="B863" t="str">
            <v>IC,SMD, QUAD MPOWER RTR I/O OP-AMP,ROHS</v>
          </cell>
          <cell r="C863" t="str">
            <v>IC</v>
          </cell>
          <cell r="D863">
            <v>15</v>
          </cell>
          <cell r="E863">
            <v>1</v>
          </cell>
          <cell r="F863" t="str">
            <v>13 Weeks</v>
          </cell>
          <cell r="G863">
            <v>60</v>
          </cell>
          <cell r="H863">
            <v>9.3750750000000007</v>
          </cell>
          <cell r="I863">
            <v>562.50450000000001</v>
          </cell>
          <cell r="J863">
            <v>11.433018292682929</v>
          </cell>
          <cell r="K863">
            <v>123.47659756097562</v>
          </cell>
          <cell r="L863">
            <v>685.98109756097574</v>
          </cell>
          <cell r="O863"/>
          <cell r="Q863">
            <v>2</v>
          </cell>
          <cell r="R863" t="str">
            <v>LT1491ACS#PBF</v>
          </cell>
          <cell r="S863" t="str">
            <v>ANALOG DEVICES</v>
          </cell>
          <cell r="T863" t="str">
            <v>Mouser via IC360</v>
          </cell>
          <cell r="U863">
            <v>7.5789999999999997</v>
          </cell>
          <cell r="V863">
            <v>60</v>
          </cell>
          <cell r="W863">
            <v>0</v>
          </cell>
          <cell r="X863" t="str">
            <v>2-3 wks</v>
          </cell>
          <cell r="Y863" t="str">
            <v>Y</v>
          </cell>
          <cell r="Z863">
            <v>454.74</v>
          </cell>
          <cell r="AA863">
            <v>107.7645</v>
          </cell>
          <cell r="AB863">
            <v>0.33709543656984087</v>
          </cell>
          <cell r="AC863" t="str">
            <v>JH</v>
          </cell>
          <cell r="AD863">
            <v>1062721</v>
          </cell>
          <cell r="AE863" t="str">
            <v xml:space="preserve">POV0067368 </v>
          </cell>
          <cell r="AF863" t="str">
            <v>TX</v>
          </cell>
        </row>
        <row r="864">
          <cell r="A864" t="str">
            <v>630-269922-001</v>
          </cell>
          <cell r="B864" t="str">
            <v>IC,SMD,VOLT REG,POS ADJ,500MA,DFN10</v>
          </cell>
          <cell r="C864" t="str">
            <v>IC</v>
          </cell>
          <cell r="D864">
            <v>25</v>
          </cell>
          <cell r="E864">
            <v>1</v>
          </cell>
          <cell r="F864" t="str">
            <v>3 Weeks</v>
          </cell>
          <cell r="G864">
            <v>100</v>
          </cell>
          <cell r="H864">
            <v>3.8235600000000001</v>
          </cell>
          <cell r="I864">
            <v>382.35599999999999</v>
          </cell>
          <cell r="J864">
            <v>4.6628780487804882</v>
          </cell>
          <cell r="K864">
            <v>83.931804878048808</v>
          </cell>
          <cell r="L864">
            <v>466.2878048780488</v>
          </cell>
          <cell r="O864"/>
          <cell r="Q864">
            <v>1</v>
          </cell>
          <cell r="R864" t="str">
            <v>LT3065EDD#PBF</v>
          </cell>
          <cell r="S864" t="str">
            <v>LINEAR TECHNOLOGIES</v>
          </cell>
          <cell r="T864" t="str">
            <v>Mouser via IC360</v>
          </cell>
          <cell r="U864">
            <v>4.2130000000000001</v>
          </cell>
          <cell r="V864">
            <v>100</v>
          </cell>
          <cell r="W864">
            <v>0</v>
          </cell>
          <cell r="X864" t="str">
            <v>2-3 wks</v>
          </cell>
          <cell r="Y864" t="str">
            <v>Y</v>
          </cell>
          <cell r="Z864">
            <v>421.3</v>
          </cell>
          <cell r="AA864">
            <v>-38.944000000000017</v>
          </cell>
          <cell r="AB864" t="str">
            <v/>
          </cell>
          <cell r="AD864">
            <v>1062721</v>
          </cell>
          <cell r="AE864" t="str">
            <v xml:space="preserve">POV0067368 </v>
          </cell>
          <cell r="AF864" t="str">
            <v>TX</v>
          </cell>
        </row>
        <row r="865">
          <cell r="A865" t="str">
            <v>630-A20797-001</v>
          </cell>
          <cell r="B865" t="str">
            <v>IC,SMD,DC-DC CONT,STEP DN,6-36V,TSSOP-20</v>
          </cell>
          <cell r="C865" t="str">
            <v>IC</v>
          </cell>
          <cell r="D865">
            <v>15</v>
          </cell>
          <cell r="E865">
            <v>1</v>
          </cell>
          <cell r="F865" t="str">
            <v>3 Weeks</v>
          </cell>
          <cell r="G865">
            <v>60</v>
          </cell>
          <cell r="H865">
            <v>9.9265500000000007</v>
          </cell>
          <cell r="I865">
            <v>595.59300000000007</v>
          </cell>
          <cell r="J865">
            <v>12.105548780487807</v>
          </cell>
          <cell r="K865">
            <v>130.73992682926837</v>
          </cell>
          <cell r="L865">
            <v>726.33292682926844</v>
          </cell>
          <cell r="O865"/>
          <cell r="Q865">
            <v>1</v>
          </cell>
          <cell r="R865" t="str">
            <v>LT3741EFE#PBF</v>
          </cell>
          <cell r="S865" t="str">
            <v>ANALOG DEVICES</v>
          </cell>
          <cell r="T865" t="str">
            <v>Mouser via IC360</v>
          </cell>
          <cell r="U865">
            <v>11.154</v>
          </cell>
          <cell r="V865">
            <v>60</v>
          </cell>
          <cell r="W865">
            <v>0</v>
          </cell>
          <cell r="X865" t="str">
            <v>2-3 wks</v>
          </cell>
          <cell r="Y865" t="str">
            <v>Y</v>
          </cell>
          <cell r="Z865">
            <v>669.24</v>
          </cell>
          <cell r="AA865">
            <v>-73.646999999999935</v>
          </cell>
          <cell r="AB865" t="str">
            <v/>
          </cell>
          <cell r="AD865">
            <v>1062721</v>
          </cell>
          <cell r="AE865" t="str">
            <v xml:space="preserve">POV0067368 </v>
          </cell>
          <cell r="AF865" t="str">
            <v>TX</v>
          </cell>
        </row>
        <row r="866">
          <cell r="A866" t="str">
            <v>630-213514-002</v>
          </cell>
          <cell r="B866" t="str">
            <v>IC,DUAL PWR SPLY,CH PMP,100MA,DFN,125C</v>
          </cell>
          <cell r="C866" t="str">
            <v>IC</v>
          </cell>
          <cell r="D866">
            <v>25</v>
          </cell>
          <cell r="E866">
            <v>1</v>
          </cell>
          <cell r="F866" t="str">
            <v>3 Weeks</v>
          </cell>
          <cell r="G866">
            <v>91</v>
          </cell>
          <cell r="H866">
            <v>8.0515349999999994</v>
          </cell>
          <cell r="I866">
            <v>732.68968499999994</v>
          </cell>
          <cell r="J866">
            <v>9.81894512195122</v>
          </cell>
          <cell r="K866">
            <v>160.83432109756097</v>
          </cell>
          <cell r="L866">
            <v>893.52400609756103</v>
          </cell>
          <cell r="O866"/>
          <cell r="Q866">
            <v>1</v>
          </cell>
          <cell r="R866" t="str">
            <v>LTC3260IDE#PBF</v>
          </cell>
          <cell r="S866" t="str">
            <v>LINEAR TECHNOLOGY CORPORATION</v>
          </cell>
          <cell r="T866" t="str">
            <v>Mouser via IC360</v>
          </cell>
          <cell r="U866">
            <v>9.0090000000000003</v>
          </cell>
          <cell r="V866">
            <v>91</v>
          </cell>
          <cell r="W866">
            <v>0</v>
          </cell>
          <cell r="X866" t="str">
            <v>2-3 wks</v>
          </cell>
          <cell r="Y866" t="str">
            <v>Y</v>
          </cell>
          <cell r="Z866">
            <v>819.81900000000007</v>
          </cell>
          <cell r="AA866">
            <v>-87.129315000000133</v>
          </cell>
          <cell r="AB866" t="str">
            <v/>
          </cell>
          <cell r="AD866">
            <v>1062721</v>
          </cell>
          <cell r="AE866" t="str">
            <v xml:space="preserve">POV0067368 </v>
          </cell>
          <cell r="AF866" t="str">
            <v>TX</v>
          </cell>
        </row>
        <row r="867">
          <cell r="A867" t="str">
            <v>630-A87473-001</v>
          </cell>
          <cell r="B867" t="str">
            <v>IC,SMD,LOW V CONT,2.7-36V,4UA,MSOP-12</v>
          </cell>
          <cell r="C867" t="str">
            <v>IC</v>
          </cell>
          <cell r="D867">
            <v>25</v>
          </cell>
          <cell r="E867">
            <v>1</v>
          </cell>
          <cell r="F867" t="str">
            <v>13 Weeks</v>
          </cell>
          <cell r="G867">
            <v>222</v>
          </cell>
          <cell r="H867">
            <v>6.45</v>
          </cell>
          <cell r="I867">
            <v>1431.9</v>
          </cell>
          <cell r="J867">
            <v>7.8658536585365857</v>
          </cell>
          <cell r="K867">
            <v>314.31951219512189</v>
          </cell>
          <cell r="L867">
            <v>1746.219512195122</v>
          </cell>
          <cell r="O867"/>
          <cell r="Q867">
            <v>1</v>
          </cell>
          <cell r="R867" t="str">
            <v>LTC4231IMS-2#PBF</v>
          </cell>
          <cell r="S867" t="str">
            <v>ANALOG DEVICES</v>
          </cell>
          <cell r="T867" t="str">
            <v>Mouser via IC360</v>
          </cell>
          <cell r="U867">
            <v>6.2039999999999997</v>
          </cell>
          <cell r="V867">
            <v>222</v>
          </cell>
          <cell r="W867">
            <v>0</v>
          </cell>
          <cell r="X867" t="str">
            <v>2-3 wks</v>
          </cell>
          <cell r="Y867" t="str">
            <v>Y</v>
          </cell>
          <cell r="Z867">
            <v>1377.288</v>
          </cell>
          <cell r="AA867">
            <v>54.61200000000008</v>
          </cell>
          <cell r="AB867">
            <v>0.21127441860465113</v>
          </cell>
          <cell r="AD867">
            <v>1062721</v>
          </cell>
          <cell r="AE867" t="str">
            <v xml:space="preserve">POV0067368 </v>
          </cell>
          <cell r="AF867" t="str">
            <v>TX</v>
          </cell>
        </row>
        <row r="868">
          <cell r="A868" t="str">
            <v>660-345770-001</v>
          </cell>
          <cell r="B868" t="str">
            <v>PS,DC-DC UMODULE,3.2-40VIN,1.2A,25-BGA</v>
          </cell>
          <cell r="C868" t="str">
            <v>PS</v>
          </cell>
          <cell r="D868">
            <v>25</v>
          </cell>
          <cell r="E868"/>
          <cell r="F868" t="str">
            <v>3 Weeks</v>
          </cell>
          <cell r="G868">
            <v>80</v>
          </cell>
          <cell r="H868">
            <v>7.970199</v>
          </cell>
          <cell r="I868">
            <v>637.61591999999996</v>
          </cell>
          <cell r="J868">
            <v>9.7197548780487804</v>
          </cell>
          <cell r="K868">
            <v>139.9644702439025</v>
          </cell>
          <cell r="L868">
            <v>777.58039024390246</v>
          </cell>
          <cell r="O868"/>
          <cell r="Q868">
            <v>1</v>
          </cell>
          <cell r="R868" t="str">
            <v>LTM8074EY#PBF</v>
          </cell>
          <cell r="S868" t="str">
            <v>ANALOG DEVICES</v>
          </cell>
          <cell r="T868" t="str">
            <v>Mouser via IC360</v>
          </cell>
          <cell r="U868">
            <v>10.241</v>
          </cell>
          <cell r="V868">
            <v>80</v>
          </cell>
          <cell r="W868">
            <v>0</v>
          </cell>
          <cell r="X868" t="str">
            <v>2-3 wks</v>
          </cell>
          <cell r="Y868" t="str">
            <v>Y</v>
          </cell>
          <cell r="Z868">
            <v>819.28</v>
          </cell>
          <cell r="AA868">
            <v>-181.66408000000001</v>
          </cell>
          <cell r="AB868" t="str">
            <v/>
          </cell>
          <cell r="AD868">
            <v>1062721</v>
          </cell>
          <cell r="AE868" t="str">
            <v xml:space="preserve">POV0067368 </v>
          </cell>
          <cell r="AF868" t="str">
            <v>TX</v>
          </cell>
        </row>
        <row r="869">
          <cell r="A869" t="str">
            <v>630-345769-001</v>
          </cell>
          <cell r="B869" t="str">
            <v>IC,SMD,QUAD-V MONITOR,2.2-28V,24-TQFN</v>
          </cell>
          <cell r="C869" t="str">
            <v>IC</v>
          </cell>
          <cell r="D869">
            <v>25</v>
          </cell>
          <cell r="E869">
            <v>1</v>
          </cell>
          <cell r="F869" t="str">
            <v>12 Weeks</v>
          </cell>
          <cell r="G869">
            <v>75</v>
          </cell>
          <cell r="H869">
            <v>7.3186859999999996</v>
          </cell>
          <cell r="I869">
            <v>548.90144999999995</v>
          </cell>
          <cell r="J869">
            <v>8.9252268292682935</v>
          </cell>
          <cell r="K869">
            <v>120.49056219512192</v>
          </cell>
          <cell r="L869">
            <v>669.39201219512199</v>
          </cell>
          <cell r="O869"/>
          <cell r="Q869">
            <v>1</v>
          </cell>
          <cell r="R869" t="str">
            <v>MAX16029TG+</v>
          </cell>
          <cell r="S869" t="str">
            <v>MAXIM INTEGRATED</v>
          </cell>
          <cell r="T869" t="str">
            <v>Mouser via IC360</v>
          </cell>
          <cell r="U869">
            <v>7.8760000000000003</v>
          </cell>
          <cell r="V869">
            <v>75</v>
          </cell>
          <cell r="W869">
            <v>0</v>
          </cell>
          <cell r="X869" t="str">
            <v>2-3 wks</v>
          </cell>
          <cell r="Y869" t="str">
            <v>Y</v>
          </cell>
          <cell r="Z869">
            <v>590.70000000000005</v>
          </cell>
          <cell r="AA869">
            <v>-41.798550000000091</v>
          </cell>
          <cell r="AB869" t="str">
            <v/>
          </cell>
          <cell r="AD869">
            <v>1062721</v>
          </cell>
          <cell r="AE869" t="str">
            <v xml:space="preserve">POV0067368 </v>
          </cell>
          <cell r="AF869" t="str">
            <v>TX</v>
          </cell>
        </row>
        <row r="870">
          <cell r="A870" t="str">
            <v>630-323466-001</v>
          </cell>
          <cell r="B870" t="str">
            <v>IC,SMD,HOT-SWAP CONTROLLER,6TDFN</v>
          </cell>
          <cell r="C870" t="str">
            <v>IC</v>
          </cell>
          <cell r="D870">
            <v>25</v>
          </cell>
          <cell r="E870">
            <v>1</v>
          </cell>
          <cell r="F870" t="str">
            <v>3 Weeks</v>
          </cell>
          <cell r="G870">
            <v>100</v>
          </cell>
          <cell r="H870">
            <v>4.1717250000000003</v>
          </cell>
          <cell r="I870">
            <v>417.17250000000001</v>
          </cell>
          <cell r="J870">
            <v>5.0874695121951223</v>
          </cell>
          <cell r="K870">
            <v>91.574451219512241</v>
          </cell>
          <cell r="L870">
            <v>508.74695121951225</v>
          </cell>
          <cell r="O870"/>
          <cell r="Q870">
            <v>1</v>
          </cell>
          <cell r="R870" t="str">
            <v>MAX5901NNETT+T</v>
          </cell>
          <cell r="S870" t="str">
            <v>MAXIM INTEGRATED</v>
          </cell>
          <cell r="T870" t="str">
            <v>Digikey via IC360</v>
          </cell>
          <cell r="U870">
            <v>4.6580000000000004</v>
          </cell>
          <cell r="V870">
            <v>100</v>
          </cell>
          <cell r="W870">
            <v>0</v>
          </cell>
          <cell r="X870" t="str">
            <v>2-3 wks</v>
          </cell>
          <cell r="Y870" t="str">
            <v>Y</v>
          </cell>
          <cell r="Z870">
            <v>465.8</v>
          </cell>
          <cell r="AA870">
            <v>-48.627499999999998</v>
          </cell>
          <cell r="AB870" t="str">
            <v/>
          </cell>
          <cell r="AD870">
            <v>1062721</v>
          </cell>
          <cell r="AE870" t="str">
            <v xml:space="preserve">POV0067368 </v>
          </cell>
          <cell r="AF870" t="str">
            <v>TX</v>
          </cell>
        </row>
        <row r="871">
          <cell r="A871" t="str">
            <v>630-255637-001</v>
          </cell>
          <cell r="B871" t="str">
            <v>IC,SMD,CURR LIMIT SWITCH,SOT23-6</v>
          </cell>
          <cell r="C871" t="str">
            <v>IC</v>
          </cell>
          <cell r="D871">
            <v>25</v>
          </cell>
          <cell r="E871">
            <v>1</v>
          </cell>
          <cell r="F871" t="str">
            <v>3 Weeks</v>
          </cell>
          <cell r="G871">
            <v>100</v>
          </cell>
          <cell r="H871">
            <v>4.1299349999999997</v>
          </cell>
          <cell r="I871">
            <v>412.99349999999998</v>
          </cell>
          <cell r="J871">
            <v>5.0365060975609754</v>
          </cell>
          <cell r="K871">
            <v>90.657109756097611</v>
          </cell>
          <cell r="L871">
            <v>503.65060975609754</v>
          </cell>
          <cell r="M871" t="str">
            <v>TAIWAN</v>
          </cell>
          <cell r="N871">
            <v>8542390001</v>
          </cell>
          <cell r="O871">
            <v>0.35</v>
          </cell>
          <cell r="P871">
            <v>144.54772499999999</v>
          </cell>
          <cell r="Q871">
            <v>1</v>
          </cell>
          <cell r="R871" t="str">
            <v>MAX4995BAUT+T</v>
          </cell>
          <cell r="S871" t="str">
            <v>MAXIM INTEGRATED</v>
          </cell>
          <cell r="T871" t="str">
            <v>Mouser via IC360</v>
          </cell>
          <cell r="U871">
            <v>4.6310000000000002</v>
          </cell>
          <cell r="V871">
            <v>100</v>
          </cell>
          <cell r="W871">
            <v>0</v>
          </cell>
          <cell r="X871" t="str">
            <v>2-3 wks</v>
          </cell>
          <cell r="Y871" t="str">
            <v>Y</v>
          </cell>
          <cell r="Z871">
            <v>463.1</v>
          </cell>
          <cell r="AA871">
            <v>-50.10650000000004</v>
          </cell>
          <cell r="AB871" t="str">
            <v/>
          </cell>
          <cell r="AD871">
            <v>1062721</v>
          </cell>
          <cell r="AE871" t="str">
            <v xml:space="preserve">POV0067368 </v>
          </cell>
          <cell r="AF871" t="str">
            <v>TX</v>
          </cell>
        </row>
        <row r="872">
          <cell r="A872" t="str">
            <v>630-042919-001</v>
          </cell>
          <cell r="B872" t="str">
            <v>IC,SMD,HOT SWAP CNTLR,POS 72V,ROHS</v>
          </cell>
          <cell r="C872" t="str">
            <v>IC</v>
          </cell>
          <cell r="D872">
            <v>25</v>
          </cell>
          <cell r="E872">
            <v>1</v>
          </cell>
          <cell r="F872" t="str">
            <v>3 Weeks</v>
          </cell>
          <cell r="G872">
            <v>100</v>
          </cell>
          <cell r="H872">
            <v>4.5872919999999997</v>
          </cell>
          <cell r="I872">
            <v>458.72919999999999</v>
          </cell>
          <cell r="J872">
            <v>5.5942585365853654</v>
          </cell>
          <cell r="K872">
            <v>100.69665365853666</v>
          </cell>
          <cell r="L872">
            <v>559.42585365853654</v>
          </cell>
          <cell r="O872"/>
          <cell r="Q872">
            <v>1</v>
          </cell>
          <cell r="R872" t="str">
            <v>MAX5903NNEUT+</v>
          </cell>
          <cell r="S872" t="str">
            <v>MAXIM INTEGRATED</v>
          </cell>
          <cell r="T872" t="str">
            <v>Mouser via IC360</v>
          </cell>
          <cell r="U872">
            <v>5.1150000000000002</v>
          </cell>
          <cell r="V872">
            <v>100</v>
          </cell>
          <cell r="W872">
            <v>0</v>
          </cell>
          <cell r="X872" t="str">
            <v>2-3 wks</v>
          </cell>
          <cell r="Y872" t="str">
            <v>Y</v>
          </cell>
          <cell r="Z872">
            <v>511.5</v>
          </cell>
          <cell r="AA872">
            <v>-52.770800000000008</v>
          </cell>
          <cell r="AB872" t="str">
            <v/>
          </cell>
          <cell r="AD872">
            <v>1062721</v>
          </cell>
          <cell r="AE872" t="str">
            <v xml:space="preserve">POV0067368 </v>
          </cell>
          <cell r="AF872" t="str">
            <v>TX</v>
          </cell>
        </row>
        <row r="873">
          <cell r="A873" t="str">
            <v>630-140331-001</v>
          </cell>
          <cell r="B873" t="str">
            <v>IC,SMD,HOT SWAP,+18V,7A,ROHS</v>
          </cell>
          <cell r="C873" t="str">
            <v>IC</v>
          </cell>
          <cell r="D873">
            <v>15</v>
          </cell>
          <cell r="E873">
            <v>1</v>
          </cell>
          <cell r="F873" t="str">
            <v>27 Weeks</v>
          </cell>
          <cell r="G873">
            <v>200</v>
          </cell>
          <cell r="H873">
            <v>4.4853300000000003</v>
          </cell>
          <cell r="I873">
            <v>897.06600000000003</v>
          </cell>
          <cell r="J873">
            <v>5.4699146341463418</v>
          </cell>
          <cell r="K873">
            <v>196.91692682926828</v>
          </cell>
          <cell r="L873">
            <v>1093.9829268292683</v>
          </cell>
          <cell r="O873"/>
          <cell r="Q873">
            <v>1</v>
          </cell>
          <cell r="R873" t="str">
            <v>MAX5976AETE+</v>
          </cell>
          <cell r="S873" t="str">
            <v>MAXIM INTEGRATED PRODUCTS</v>
          </cell>
          <cell r="T873" t="str">
            <v>Mouser via IC360</v>
          </cell>
          <cell r="U873">
            <v>5.28</v>
          </cell>
          <cell r="V873">
            <v>200</v>
          </cell>
          <cell r="W873">
            <v>0</v>
          </cell>
          <cell r="X873" t="str">
            <v>2-3 wks</v>
          </cell>
          <cell r="Y873" t="str">
            <v>Y</v>
          </cell>
          <cell r="Z873">
            <v>1056</v>
          </cell>
          <cell r="AA873">
            <v>-158.93399999999997</v>
          </cell>
          <cell r="AB873" t="str">
            <v/>
          </cell>
          <cell r="AD873">
            <v>1062721</v>
          </cell>
          <cell r="AE873" t="str">
            <v xml:space="preserve">POV0067368 </v>
          </cell>
          <cell r="AF873" t="str">
            <v>TX</v>
          </cell>
        </row>
        <row r="874">
          <cell r="A874" t="str">
            <v>630-A94155-001</v>
          </cell>
          <cell r="B874" t="str">
            <v>IC,SMD,TEMP SNSR,-55 TO 150 DEG C,SC70-5</v>
          </cell>
          <cell r="C874" t="str">
            <v>IC</v>
          </cell>
          <cell r="D874">
            <v>15</v>
          </cell>
          <cell r="E874">
            <v>1</v>
          </cell>
          <cell r="F874" t="str">
            <v>28 Weeks</v>
          </cell>
          <cell r="G874">
            <v>200</v>
          </cell>
          <cell r="H874">
            <v>1.074641</v>
          </cell>
          <cell r="I874">
            <v>214.9282</v>
          </cell>
          <cell r="J874">
            <v>1.3105378048780487</v>
          </cell>
          <cell r="K874">
            <v>47.179360975609768</v>
          </cell>
          <cell r="L874">
            <v>262.10756097560977</v>
          </cell>
          <cell r="O874"/>
          <cell r="Q874">
            <v>1</v>
          </cell>
          <cell r="R874" t="str">
            <v>MAX6612MXK+T</v>
          </cell>
          <cell r="S874" t="str">
            <v>MAXIM INTEGRATED</v>
          </cell>
          <cell r="T874" t="str">
            <v>Mouser via IC360</v>
          </cell>
          <cell r="U874">
            <v>1.1990000000000001</v>
          </cell>
          <cell r="V874">
            <v>200</v>
          </cell>
          <cell r="W874">
            <v>0</v>
          </cell>
          <cell r="X874" t="str">
            <v>2-3 wks</v>
          </cell>
          <cell r="Y874" t="str">
            <v>Y</v>
          </cell>
          <cell r="Z874">
            <v>239.8</v>
          </cell>
          <cell r="AA874">
            <v>-24.871800000000007</v>
          </cell>
          <cell r="AB874" t="str">
            <v/>
          </cell>
          <cell r="AD874">
            <v>1062721</v>
          </cell>
          <cell r="AE874" t="str">
            <v xml:space="preserve">POV0067368 </v>
          </cell>
          <cell r="AF874" t="str">
            <v>TX</v>
          </cell>
        </row>
        <row r="875">
          <cell r="A875" t="str">
            <v>630-043000-001</v>
          </cell>
          <cell r="B875" t="str">
            <v>IC,SMD,FAN CNTLR/DRVR</v>
          </cell>
          <cell r="C875" t="str">
            <v>IC</v>
          </cell>
          <cell r="D875">
            <v>15</v>
          </cell>
          <cell r="E875">
            <v>1</v>
          </cell>
          <cell r="F875" t="str">
            <v>3 Weeks</v>
          </cell>
          <cell r="G875">
            <v>60</v>
          </cell>
          <cell r="H875">
            <v>3.4926750000000002</v>
          </cell>
          <cell r="I875">
            <v>209.56050000000002</v>
          </cell>
          <cell r="J875">
            <v>4.2593597560975613</v>
          </cell>
          <cell r="K875">
            <v>46.001085365853669</v>
          </cell>
          <cell r="L875">
            <v>255.56158536585369</v>
          </cell>
          <cell r="O875"/>
          <cell r="Q875">
            <v>1</v>
          </cell>
          <cell r="R875" t="str">
            <v>MAX6665ASA40+</v>
          </cell>
          <cell r="S875" t="str">
            <v>MAXIM INTEGRATED</v>
          </cell>
          <cell r="T875" t="str">
            <v>Mouser via IC360</v>
          </cell>
          <cell r="U875">
            <v>3.9159999999999999</v>
          </cell>
          <cell r="V875">
            <v>60</v>
          </cell>
          <cell r="W875">
            <v>0</v>
          </cell>
          <cell r="X875" t="str">
            <v>2-3 wks</v>
          </cell>
          <cell r="Y875" t="str">
            <v>Y</v>
          </cell>
          <cell r="Z875">
            <v>234.96</v>
          </cell>
          <cell r="AA875">
            <v>-25.399499999999989</v>
          </cell>
          <cell r="AB875" t="str">
            <v/>
          </cell>
          <cell r="AD875">
            <v>1062721</v>
          </cell>
          <cell r="AE875" t="str">
            <v xml:space="preserve">POV0067368 </v>
          </cell>
          <cell r="AF875" t="str">
            <v>TX</v>
          </cell>
        </row>
        <row r="876">
          <cell r="A876" t="str">
            <v>630-B27066-001</v>
          </cell>
          <cell r="B876" t="str">
            <v>IC,SMD,SW DEBOUNCER,CMOS,2.7-5.5V,SSOP20</v>
          </cell>
          <cell r="C876" t="str">
            <v>IC</v>
          </cell>
          <cell r="D876">
            <v>15</v>
          </cell>
          <cell r="E876">
            <v>1</v>
          </cell>
          <cell r="F876" t="str">
            <v>3 Weeks</v>
          </cell>
          <cell r="G876">
            <v>60</v>
          </cell>
          <cell r="H876">
            <v>7.2211360000000004</v>
          </cell>
          <cell r="I876">
            <v>433.26816000000002</v>
          </cell>
          <cell r="J876">
            <v>8.806263414634147</v>
          </cell>
          <cell r="K876">
            <v>95.107644878048802</v>
          </cell>
          <cell r="L876">
            <v>528.37580487804883</v>
          </cell>
          <cell r="O876"/>
          <cell r="Q876">
            <v>1</v>
          </cell>
          <cell r="R876" t="str">
            <v>MAX6818EAP+T</v>
          </cell>
          <cell r="S876" t="str">
            <v>MAXIM INTEGRATED</v>
          </cell>
          <cell r="T876" t="str">
            <v>Mouser via IC360</v>
          </cell>
          <cell r="U876">
            <v>8.0519999999999996</v>
          </cell>
          <cell r="V876">
            <v>60</v>
          </cell>
          <cell r="W876">
            <v>0</v>
          </cell>
          <cell r="Y876" t="str">
            <v>Y</v>
          </cell>
          <cell r="Z876">
            <v>483.12</v>
          </cell>
          <cell r="AA876">
            <v>-49.851839999999982</v>
          </cell>
          <cell r="AB876" t="str">
            <v/>
          </cell>
          <cell r="AD876">
            <v>1062721</v>
          </cell>
          <cell r="AE876" t="str">
            <v xml:space="preserve">POV0067368 </v>
          </cell>
          <cell r="AF876" t="str">
            <v>TX</v>
          </cell>
        </row>
        <row r="877">
          <cell r="A877" t="str">
            <v>630-042919-004</v>
          </cell>
          <cell r="B877" t="str">
            <v>IC,SMD,HOT SWAP CNTLR,POS 72V,ROHS</v>
          </cell>
          <cell r="C877" t="str">
            <v>IC</v>
          </cell>
          <cell r="D877">
            <v>15</v>
          </cell>
          <cell r="E877">
            <v>1</v>
          </cell>
          <cell r="F877" t="str">
            <v>3 Weeks</v>
          </cell>
          <cell r="G877">
            <v>60</v>
          </cell>
          <cell r="H877">
            <v>5.1961199999999996</v>
          </cell>
          <cell r="I877">
            <v>311.7672</v>
          </cell>
          <cell r="J877">
            <v>6.3367317073170728</v>
          </cell>
          <cell r="K877">
            <v>68.43670243902443</v>
          </cell>
          <cell r="L877">
            <v>380.20390243902438</v>
          </cell>
          <cell r="O877"/>
          <cell r="Q877">
            <v>1</v>
          </cell>
          <cell r="R877" t="str">
            <v>MAX5903ACEUT+</v>
          </cell>
          <cell r="S877" t="str">
            <v>MAXIM INTEGRATED</v>
          </cell>
          <cell r="T877" t="str">
            <v>Digikey via IC360</v>
          </cell>
          <cell r="U877">
            <v>5.8239999999999998</v>
          </cell>
          <cell r="V877">
            <v>60</v>
          </cell>
          <cell r="W877">
            <v>0</v>
          </cell>
          <cell r="X877" t="str">
            <v>2-3 wks</v>
          </cell>
          <cell r="Y877" t="str">
            <v>Y</v>
          </cell>
          <cell r="Z877">
            <v>349.44</v>
          </cell>
          <cell r="AA877">
            <v>-37.672799999999995</v>
          </cell>
          <cell r="AB877" t="str">
            <v/>
          </cell>
          <cell r="AD877">
            <v>1062721</v>
          </cell>
          <cell r="AE877" t="str">
            <v xml:space="preserve">POV0067368 </v>
          </cell>
          <cell r="AF877" t="str">
            <v>TX</v>
          </cell>
        </row>
        <row r="878">
          <cell r="A878" t="str">
            <v>630-A95543-001</v>
          </cell>
          <cell r="B878" t="str">
            <v>IC,SMD,I/O EXPANDER,10PORT,16PIN,TQFN-EP</v>
          </cell>
          <cell r="C878" t="str">
            <v>IC</v>
          </cell>
          <cell r="D878">
            <v>15</v>
          </cell>
          <cell r="E878">
            <v>1</v>
          </cell>
          <cell r="F878" t="str">
            <v>3 Weeks</v>
          </cell>
          <cell r="G878">
            <v>60</v>
          </cell>
          <cell r="H878">
            <v>2.7261860000000002</v>
          </cell>
          <cell r="I878">
            <v>163.57116000000002</v>
          </cell>
          <cell r="J878">
            <v>3.3246170731707321</v>
          </cell>
          <cell r="K878">
            <v>35.90586439024392</v>
          </cell>
          <cell r="L878">
            <v>199.47702439024391</v>
          </cell>
          <cell r="O878"/>
          <cell r="Q878">
            <v>1</v>
          </cell>
          <cell r="R878" t="str">
            <v>MAX7317ATE+T</v>
          </cell>
          <cell r="S878" t="str">
            <v>MAXIM INTEGRATED</v>
          </cell>
          <cell r="T878" t="str">
            <v>Digikey via IC360</v>
          </cell>
          <cell r="U878">
            <v>5.2990000000000004</v>
          </cell>
          <cell r="V878">
            <v>60</v>
          </cell>
          <cell r="W878">
            <v>0</v>
          </cell>
          <cell r="X878" t="str">
            <v>2-3 wks</v>
          </cell>
          <cell r="Y878" t="str">
            <v>Y</v>
          </cell>
          <cell r="Z878">
            <v>317.94</v>
          </cell>
          <cell r="AA878">
            <v>-154.36883999999998</v>
          </cell>
          <cell r="AB878" t="str">
            <v/>
          </cell>
          <cell r="AD878">
            <v>1062721</v>
          </cell>
          <cell r="AE878" t="str">
            <v xml:space="preserve">POV0067368 </v>
          </cell>
          <cell r="AF878" t="str">
            <v>TX</v>
          </cell>
        </row>
        <row r="879">
          <cell r="A879" t="str">
            <v>615-217661-003</v>
          </cell>
          <cell r="B879" t="str">
            <v>RES,SMD,CUR SNS,0.005 OHM,0.1%,1W,2512</v>
          </cell>
          <cell r="C879" t="str">
            <v>RES</v>
          </cell>
          <cell r="D879">
            <v>15</v>
          </cell>
          <cell r="E879">
            <v>1</v>
          </cell>
          <cell r="F879" t="str">
            <v>78 Weeks</v>
          </cell>
          <cell r="G879">
            <v>50</v>
          </cell>
          <cell r="H879">
            <v>15.58836</v>
          </cell>
          <cell r="I879">
            <v>779.41800000000001</v>
          </cell>
          <cell r="J879">
            <v>19.01019512195122</v>
          </cell>
          <cell r="K879">
            <v>171.09175609756107</v>
          </cell>
          <cell r="L879">
            <v>950.50975609756097</v>
          </cell>
          <cell r="O879"/>
          <cell r="Q879">
            <v>2</v>
          </cell>
          <cell r="R879" t="str">
            <v>Y14870R00500B9R</v>
          </cell>
          <cell r="S879" t="str">
            <v>Vishay</v>
          </cell>
          <cell r="T879" t="str">
            <v>Mouser via IC360</v>
          </cell>
          <cell r="U879">
            <v>15.5</v>
          </cell>
          <cell r="V879">
            <v>50</v>
          </cell>
          <cell r="W879">
            <v>0</v>
          </cell>
          <cell r="X879" t="str">
            <v>2-3 wks</v>
          </cell>
          <cell r="Y879" t="str">
            <v>Y</v>
          </cell>
          <cell r="Z879">
            <v>775</v>
          </cell>
          <cell r="AA879">
            <v>4.4180000000000064</v>
          </cell>
          <cell r="AB879">
            <v>0.18464803224970427</v>
          </cell>
          <cell r="AD879">
            <v>1062721</v>
          </cell>
          <cell r="AE879" t="str">
            <v xml:space="preserve">POV0067368 </v>
          </cell>
          <cell r="AF879" t="str">
            <v>TX</v>
          </cell>
        </row>
        <row r="880">
          <cell r="A880" t="str">
            <v>630-271124-001</v>
          </cell>
          <cell r="B880" t="str">
            <v>IC,SMD,ADC,8CH,16BIT,100KSPS,28-SSOP</v>
          </cell>
          <cell r="C880" t="str">
            <v>IC</v>
          </cell>
          <cell r="D880">
            <v>25</v>
          </cell>
          <cell r="E880">
            <v>1</v>
          </cell>
          <cell r="F880" t="str">
            <v>43 Weeks</v>
          </cell>
          <cell r="G880">
            <v>94</v>
          </cell>
          <cell r="H880">
            <v>35.870384999999999</v>
          </cell>
          <cell r="I880">
            <v>3371.81619</v>
          </cell>
          <cell r="J880">
            <v>43.744371951219513</v>
          </cell>
          <cell r="K880">
            <v>740.15477341463475</v>
          </cell>
          <cell r="L880">
            <v>4111.9709634146338</v>
          </cell>
          <cell r="O880"/>
          <cell r="Q880">
            <v>1</v>
          </cell>
          <cell r="R880" t="str">
            <v>LTC1859CG#PBF</v>
          </cell>
          <cell r="S880" t="str">
            <v>ANALOG DEVICES</v>
          </cell>
          <cell r="T880" t="str">
            <v>Mouser via IC360</v>
          </cell>
          <cell r="U880">
            <v>37.652999999999999</v>
          </cell>
          <cell r="V880">
            <v>94</v>
          </cell>
          <cell r="W880">
            <v>0</v>
          </cell>
          <cell r="X880" t="str">
            <v>2-3 wks</v>
          </cell>
          <cell r="Y880" t="str">
            <v>Y</v>
          </cell>
          <cell r="Z880">
            <v>3539.3820000000001</v>
          </cell>
          <cell r="AA880">
            <v>-167.56581000000006</v>
          </cell>
          <cell r="AB880" t="str">
            <v/>
          </cell>
          <cell r="AD880">
            <v>1062721</v>
          </cell>
          <cell r="AE880" t="str">
            <v xml:space="preserve">POV0067368 </v>
          </cell>
          <cell r="AF880" t="str">
            <v>TX</v>
          </cell>
        </row>
        <row r="881">
          <cell r="A881" t="str">
            <v>630-248785-001</v>
          </cell>
          <cell r="B881" t="str">
            <v>IC,SMD,DAC,16-BIT,8CHAN,QFN32,0-70DEG C</v>
          </cell>
          <cell r="C881" t="str">
            <v>IC</v>
          </cell>
          <cell r="D881">
            <v>15</v>
          </cell>
          <cell r="E881">
            <v>1</v>
          </cell>
          <cell r="F881" t="str">
            <v>16 Weeks</v>
          </cell>
          <cell r="G881">
            <v>60</v>
          </cell>
          <cell r="H881">
            <v>40.674345000000002</v>
          </cell>
          <cell r="I881">
            <v>2440.4607000000001</v>
          </cell>
          <cell r="J881">
            <v>49.602859756097565</v>
          </cell>
          <cell r="K881">
            <v>535.71088536585376</v>
          </cell>
          <cell r="L881">
            <v>2976.1715853658538</v>
          </cell>
          <cell r="O881"/>
          <cell r="Q881">
            <v>2</v>
          </cell>
          <cell r="R881" t="str">
            <v>LTC2666CUH-16#PBF</v>
          </cell>
          <cell r="S881" t="str">
            <v>ANALOG DEVICES</v>
          </cell>
          <cell r="T881" t="str">
            <v>Mouser via IC360</v>
          </cell>
          <cell r="U881">
            <v>45.639000000000003</v>
          </cell>
          <cell r="V881">
            <v>60</v>
          </cell>
          <cell r="W881">
            <v>0</v>
          </cell>
          <cell r="X881" t="str">
            <v>2-3 wks</v>
          </cell>
          <cell r="Y881" t="str">
            <v>Y</v>
          </cell>
          <cell r="Z881">
            <v>2738.34</v>
          </cell>
          <cell r="AA881">
            <v>-297.87930000000006</v>
          </cell>
          <cell r="AB881" t="str">
            <v/>
          </cell>
          <cell r="AD881">
            <v>1062721</v>
          </cell>
          <cell r="AE881" t="str">
            <v xml:space="preserve">POV0067368 </v>
          </cell>
          <cell r="AF881" t="str">
            <v>TX</v>
          </cell>
        </row>
        <row r="882">
          <cell r="A882" t="str">
            <v>630-315158-001</v>
          </cell>
          <cell r="B882" t="str">
            <v>IC,SMD,DAC,16BIT,SRL</v>
          </cell>
          <cell r="C882" t="str">
            <v>IC</v>
          </cell>
          <cell r="D882">
            <v>25</v>
          </cell>
          <cell r="E882">
            <v>1</v>
          </cell>
          <cell r="F882" t="str">
            <v>3 Weeks</v>
          </cell>
          <cell r="G882">
            <v>96</v>
          </cell>
          <cell r="H882">
            <v>6.0294600000000003</v>
          </cell>
          <cell r="I882">
            <v>578.82816000000003</v>
          </cell>
          <cell r="J882">
            <v>7.3530000000000006</v>
          </cell>
          <cell r="K882">
            <v>127.05984000000001</v>
          </cell>
          <cell r="L882">
            <v>705.88800000000003</v>
          </cell>
          <cell r="O882"/>
          <cell r="Q882">
            <v>1</v>
          </cell>
          <cell r="R882" t="str">
            <v>AD5689RARUZ</v>
          </cell>
          <cell r="S882" t="str">
            <v>ANALOG DEVICES</v>
          </cell>
          <cell r="T882" t="str">
            <v>Mouser via IC360</v>
          </cell>
          <cell r="U882">
            <v>6.5010000000000003</v>
          </cell>
          <cell r="V882">
            <v>96</v>
          </cell>
          <cell r="W882">
            <v>0</v>
          </cell>
          <cell r="X882" t="str">
            <v>2-3 wks</v>
          </cell>
          <cell r="Y882" t="str">
            <v>Y</v>
          </cell>
          <cell r="Z882">
            <v>624.096</v>
          </cell>
          <cell r="AA882">
            <v>-45.267839999999978</v>
          </cell>
          <cell r="AB882" t="str">
            <v/>
          </cell>
          <cell r="AD882">
            <v>1062721</v>
          </cell>
          <cell r="AE882" t="str">
            <v xml:space="preserve">POV0067368 </v>
          </cell>
          <cell r="AF882" t="str">
            <v>TX</v>
          </cell>
        </row>
        <row r="883">
          <cell r="A883" t="str">
            <v>630-098364-001</v>
          </cell>
          <cell r="B883" t="str">
            <v>IC,AD587 VREF 10V SO8,ROHS</v>
          </cell>
          <cell r="C883" t="str">
            <v>IC</v>
          </cell>
          <cell r="D883">
            <v>15</v>
          </cell>
          <cell r="E883">
            <v>1</v>
          </cell>
          <cell r="F883" t="str">
            <v>3 Weeks</v>
          </cell>
          <cell r="G883">
            <v>60</v>
          </cell>
          <cell r="H883">
            <v>10.330965000000001</v>
          </cell>
          <cell r="I883">
            <v>619.85790000000009</v>
          </cell>
          <cell r="J883">
            <v>12.59873780487805</v>
          </cell>
          <cell r="K883">
            <v>136.06636829268302</v>
          </cell>
          <cell r="L883">
            <v>755.924268292683</v>
          </cell>
          <cell r="O883"/>
          <cell r="Q883">
            <v>2</v>
          </cell>
          <cell r="R883" t="str">
            <v>AD587JRZ</v>
          </cell>
          <cell r="S883" t="str">
            <v>ANALOG DEVICES</v>
          </cell>
          <cell r="T883" t="str">
            <v>Mouser via IC360</v>
          </cell>
          <cell r="U883">
            <v>9.7569999999999997</v>
          </cell>
          <cell r="V883">
            <v>60</v>
          </cell>
          <cell r="W883">
            <v>0</v>
          </cell>
          <cell r="X883" t="str">
            <v>2-3 wks</v>
          </cell>
          <cell r="Y883" t="str">
            <v>Y</v>
          </cell>
          <cell r="Z883">
            <v>585.41999999999996</v>
          </cell>
          <cell r="AA883">
            <v>34.437900000000127</v>
          </cell>
          <cell r="AB883">
            <v>0.22555734144874184</v>
          </cell>
          <cell r="AD883">
            <v>1062721</v>
          </cell>
          <cell r="AE883" t="str">
            <v xml:space="preserve">POV0067368 </v>
          </cell>
          <cell r="AF883" t="str">
            <v>TX</v>
          </cell>
        </row>
        <row r="884">
          <cell r="A884" t="str">
            <v>668-A51501-026</v>
          </cell>
          <cell r="B884" t="str">
            <v>CONN,RCPT,D-SUB,H DENSITY,26POSN,3A,60V</v>
          </cell>
          <cell r="C884" t="str">
            <v>CONN</v>
          </cell>
          <cell r="D884">
            <v>25</v>
          </cell>
          <cell r="E884" t="str">
            <v>N/A</v>
          </cell>
          <cell r="F884" t="str">
            <v>29 Weeks</v>
          </cell>
          <cell r="G884">
            <v>50</v>
          </cell>
          <cell r="H884">
            <v>13.200106</v>
          </cell>
          <cell r="I884">
            <v>660.00530000000003</v>
          </cell>
          <cell r="J884">
            <v>16.097690243902441</v>
          </cell>
          <cell r="K884">
            <v>144.87921219512202</v>
          </cell>
          <cell r="L884">
            <v>804.88451219512206</v>
          </cell>
          <cell r="O884"/>
          <cell r="Q884">
            <v>1</v>
          </cell>
          <cell r="R884" t="str">
            <v>164A17369X</v>
          </cell>
          <cell r="S884" t="str">
            <v>Conec</v>
          </cell>
          <cell r="T884" t="str">
            <v>Mouser</v>
          </cell>
          <cell r="U884">
            <v>11.39</v>
          </cell>
          <cell r="V884">
            <v>50</v>
          </cell>
          <cell r="W884">
            <v>0</v>
          </cell>
          <cell r="X884">
            <v>1</v>
          </cell>
          <cell r="Y884" t="str">
            <v>Y</v>
          </cell>
          <cell r="Z884">
            <v>569.5</v>
          </cell>
          <cell r="AA884">
            <v>90.505300000000034</v>
          </cell>
          <cell r="AB884">
            <v>0.2924450758198458</v>
          </cell>
          <cell r="AD884">
            <v>1062721</v>
          </cell>
          <cell r="AE884" t="str">
            <v xml:space="preserve">POV0067240 </v>
          </cell>
          <cell r="AF884" t="str">
            <v>JH</v>
          </cell>
        </row>
        <row r="885">
          <cell r="A885" t="str">
            <v>668-A09548-009</v>
          </cell>
          <cell r="B885" t="str">
            <v>CONN,RCPT,D-SUB,SIZE 1,9POSN,5A,STR,SMD</v>
          </cell>
          <cell r="C885" t="str">
            <v>CONN</v>
          </cell>
          <cell r="D885">
            <v>15</v>
          </cell>
          <cell r="E885">
            <v>1</v>
          </cell>
          <cell r="F885" t="str">
            <v>3 Weeks</v>
          </cell>
          <cell r="G885">
            <v>140</v>
          </cell>
          <cell r="H885">
            <v>4.2390049999999997</v>
          </cell>
          <cell r="I885">
            <v>593.46069999999997</v>
          </cell>
          <cell r="J885">
            <v>5.1695182926829268</v>
          </cell>
          <cell r="K885">
            <v>130.2718609756098</v>
          </cell>
          <cell r="L885">
            <v>723.73256097560977</v>
          </cell>
          <cell r="O885"/>
          <cell r="Q885">
            <v>1</v>
          </cell>
          <cell r="R885">
            <v>9551156612741</v>
          </cell>
          <cell r="S885" t="str">
            <v>Harting, Inc. of North America</v>
          </cell>
          <cell r="T885" t="str">
            <v>Mouser</v>
          </cell>
          <cell r="U885">
            <v>4.3</v>
          </cell>
          <cell r="V885">
            <v>140</v>
          </cell>
          <cell r="W885">
            <v>0</v>
          </cell>
          <cell r="X885">
            <v>1</v>
          </cell>
          <cell r="Y885" t="str">
            <v>Y</v>
          </cell>
          <cell r="Z885">
            <v>602</v>
          </cell>
          <cell r="AA885">
            <v>-8.5393000000000256</v>
          </cell>
          <cell r="AB885" t="str">
            <v/>
          </cell>
          <cell r="AD885">
            <v>1062721</v>
          </cell>
          <cell r="AE885" t="str">
            <v xml:space="preserve">POV0067240 </v>
          </cell>
          <cell r="AF885" t="str">
            <v>JH</v>
          </cell>
        </row>
        <row r="886">
          <cell r="A886" t="str">
            <v>668-A09548-025</v>
          </cell>
          <cell r="B886" t="str">
            <v>CONN,RCPT,D-SUB,SIZE 3,25POSN,5A,STR,SMD</v>
          </cell>
          <cell r="C886" t="str">
            <v>CONN</v>
          </cell>
          <cell r="D886">
            <v>15</v>
          </cell>
          <cell r="E886">
            <v>1</v>
          </cell>
          <cell r="F886" t="str">
            <v>3 Weeks</v>
          </cell>
          <cell r="G886">
            <v>140</v>
          </cell>
          <cell r="H886">
            <v>6.3644999999999996</v>
          </cell>
          <cell r="I886">
            <v>891.03</v>
          </cell>
          <cell r="J886">
            <v>7.7615853658536587</v>
          </cell>
          <cell r="K886">
            <v>195.59195121951234</v>
          </cell>
          <cell r="L886">
            <v>1086.6219512195123</v>
          </cell>
          <cell r="O886"/>
          <cell r="Q886">
            <v>1</v>
          </cell>
          <cell r="R886">
            <v>9553156612741</v>
          </cell>
          <cell r="S886" t="str">
            <v>HARTING TECHNOLOGY GROUP</v>
          </cell>
          <cell r="T886" t="str">
            <v>Mouser</v>
          </cell>
          <cell r="U886">
            <v>6.36</v>
          </cell>
          <cell r="V886">
            <v>140</v>
          </cell>
          <cell r="W886">
            <v>0</v>
          </cell>
          <cell r="X886">
            <v>1</v>
          </cell>
          <cell r="Y886" t="str">
            <v>Y</v>
          </cell>
          <cell r="Z886">
            <v>890.40000000000009</v>
          </cell>
          <cell r="AA886">
            <v>0.62999999999988177</v>
          </cell>
          <cell r="AB886">
            <v>0.18057977845863771</v>
          </cell>
          <cell r="AD886">
            <v>1062721</v>
          </cell>
          <cell r="AE886" t="str">
            <v xml:space="preserve">POV0067240 </v>
          </cell>
          <cell r="AF886" t="str">
            <v>JH</v>
          </cell>
        </row>
        <row r="887">
          <cell r="A887" t="str">
            <v>648-B09166-001</v>
          </cell>
          <cell r="B887" t="str">
            <v>CAP,SMD,ELCTLT,AL,100UF,20%,50VDC</v>
          </cell>
          <cell r="C887" t="str">
            <v>CAP</v>
          </cell>
          <cell r="D887">
            <v>25</v>
          </cell>
          <cell r="E887">
            <v>1</v>
          </cell>
          <cell r="F887" t="str">
            <v>3 Weeks</v>
          </cell>
          <cell r="G887">
            <v>500</v>
          </cell>
          <cell r="H887">
            <v>0.39300000000000002</v>
          </cell>
          <cell r="I887">
            <v>196.5</v>
          </cell>
          <cell r="J887">
            <v>0.47926829268292687</v>
          </cell>
          <cell r="K887">
            <v>43.134146341463435</v>
          </cell>
          <cell r="L887">
            <v>239.63414634146343</v>
          </cell>
          <cell r="O887"/>
          <cell r="Q887">
            <v>1</v>
          </cell>
          <cell r="R887">
            <v>865060653010</v>
          </cell>
          <cell r="S887" t="str">
            <v>WURTH ELEKTRONIK</v>
          </cell>
          <cell r="T887" t="str">
            <v>Mouser</v>
          </cell>
          <cell r="U887">
            <v>0.36099999999999999</v>
          </cell>
          <cell r="V887">
            <v>500</v>
          </cell>
          <cell r="W887">
            <v>0</v>
          </cell>
          <cell r="X887">
            <v>1</v>
          </cell>
          <cell r="Y887" t="str">
            <v>Y</v>
          </cell>
          <cell r="Z887">
            <v>180.5</v>
          </cell>
          <cell r="AA887">
            <v>16</v>
          </cell>
          <cell r="AB887">
            <v>0.24676844783715024</v>
          </cell>
          <cell r="AD887">
            <v>1062721</v>
          </cell>
          <cell r="AE887" t="str">
            <v xml:space="preserve">POV0067240 </v>
          </cell>
          <cell r="AF887" t="str">
            <v>JH</v>
          </cell>
        </row>
        <row r="888">
          <cell r="A888" t="str">
            <v>630-121758-001</v>
          </cell>
          <cell r="B888" t="str">
            <v>IC,SMD,USB,HS,DUAL UART/FIFO,64-LQFP</v>
          </cell>
          <cell r="C888" t="str">
            <v>IC</v>
          </cell>
          <cell r="D888">
            <v>15</v>
          </cell>
          <cell r="E888">
            <v>3</v>
          </cell>
          <cell r="F888" t="str">
            <v>3 Weeks</v>
          </cell>
          <cell r="G888">
            <v>1000</v>
          </cell>
          <cell r="H888">
            <v>4.4375</v>
          </cell>
          <cell r="I888">
            <v>4437.5</v>
          </cell>
          <cell r="J888">
            <v>5.411585365853659</v>
          </cell>
          <cell r="K888">
            <v>974.08536585365891</v>
          </cell>
          <cell r="L888">
            <v>5411.5853658536589</v>
          </cell>
          <cell r="O888"/>
          <cell r="Q888">
            <v>1</v>
          </cell>
          <cell r="R888" t="str">
            <v>FT2232HL-REEL</v>
          </cell>
          <cell r="S888" t="str">
            <v>FTDI</v>
          </cell>
          <cell r="T888" t="str">
            <v>Mouser</v>
          </cell>
          <cell r="U888">
            <v>4.32</v>
          </cell>
          <cell r="V888">
            <v>1000</v>
          </cell>
          <cell r="W888">
            <v>0</v>
          </cell>
          <cell r="X888">
            <v>1</v>
          </cell>
          <cell r="Y888" t="str">
            <v>Y</v>
          </cell>
          <cell r="Z888">
            <v>4320</v>
          </cell>
          <cell r="AA888">
            <v>117.5</v>
          </cell>
          <cell r="AB888">
            <v>0.20171267605633814</v>
          </cell>
          <cell r="AD888">
            <v>1062721</v>
          </cell>
          <cell r="AE888" t="str">
            <v xml:space="preserve">POV0067240 </v>
          </cell>
          <cell r="AF888" t="str">
            <v>JH</v>
          </cell>
        </row>
        <row r="889">
          <cell r="A889" t="str">
            <v>648-082038-101</v>
          </cell>
          <cell r="B889" t="str">
            <v>CAP,SMD,0805,NPO,5%,250V,100PF ROHS</v>
          </cell>
          <cell r="C889" t="str">
            <v>CAP</v>
          </cell>
          <cell r="D889">
            <v>15</v>
          </cell>
          <cell r="E889">
            <v>1</v>
          </cell>
          <cell r="F889" t="str">
            <v>13 Weeks</v>
          </cell>
          <cell r="G889">
            <v>4000</v>
          </cell>
          <cell r="H889">
            <v>0.105393</v>
          </cell>
          <cell r="I889">
            <v>421.572</v>
          </cell>
          <cell r="J889">
            <v>0.12852804878048782</v>
          </cell>
          <cell r="K889">
            <v>92.540195121951228</v>
          </cell>
          <cell r="L889">
            <v>514.11219512195123</v>
          </cell>
          <cell r="O889"/>
          <cell r="Q889">
            <v>1</v>
          </cell>
          <cell r="R889" t="str">
            <v>251R15S101JV4E</v>
          </cell>
          <cell r="S889" t="str">
            <v>Johanson Technology</v>
          </cell>
          <cell r="T889" t="str">
            <v>Mouser</v>
          </cell>
          <cell r="U889">
            <v>0.114</v>
          </cell>
          <cell r="V889">
            <v>4000</v>
          </cell>
          <cell r="W889">
            <v>0</v>
          </cell>
          <cell r="X889">
            <v>1</v>
          </cell>
          <cell r="Y889" t="str">
            <v>Y</v>
          </cell>
          <cell r="Z889">
            <v>456</v>
          </cell>
          <cell r="AA889">
            <v>-34.427999999999997</v>
          </cell>
          <cell r="AB889" t="str">
            <v/>
          </cell>
          <cell r="AD889">
            <v>1062721</v>
          </cell>
          <cell r="AE889" t="str">
            <v xml:space="preserve">POV0067240 </v>
          </cell>
          <cell r="AF889" t="str">
            <v>JH</v>
          </cell>
        </row>
        <row r="890">
          <cell r="A890" t="str">
            <v>648-082038-300</v>
          </cell>
          <cell r="B890" t="str">
            <v>CAP,SMD,0805,NPO,5%,250V,30PF,ROHS</v>
          </cell>
          <cell r="C890" t="str">
            <v>CAP</v>
          </cell>
          <cell r="D890">
            <v>15</v>
          </cell>
          <cell r="E890">
            <v>1</v>
          </cell>
          <cell r="F890" t="str">
            <v>18 Weeks</v>
          </cell>
          <cell r="G890">
            <v>4000</v>
          </cell>
          <cell r="H890">
            <v>0.105393</v>
          </cell>
          <cell r="I890">
            <v>421.572</v>
          </cell>
          <cell r="J890">
            <v>0.12852804878048782</v>
          </cell>
          <cell r="K890">
            <v>92.540195121951228</v>
          </cell>
          <cell r="L890">
            <v>514.11219512195123</v>
          </cell>
          <cell r="O890"/>
          <cell r="Q890">
            <v>1</v>
          </cell>
          <cell r="R890" t="str">
            <v>251R15S300JV4E</v>
          </cell>
          <cell r="S890" t="str">
            <v>Johanson Technology</v>
          </cell>
          <cell r="T890" t="str">
            <v>Mouser</v>
          </cell>
          <cell r="U890">
            <v>0.111</v>
          </cell>
          <cell r="V890">
            <v>4000</v>
          </cell>
          <cell r="W890">
            <v>0</v>
          </cell>
          <cell r="X890">
            <v>1</v>
          </cell>
          <cell r="Y890" t="str">
            <v>Y</v>
          </cell>
          <cell r="Z890">
            <v>444</v>
          </cell>
          <cell r="AA890">
            <v>-22.427999999999997</v>
          </cell>
          <cell r="AB890" t="str">
            <v/>
          </cell>
          <cell r="AD890">
            <v>1062721</v>
          </cell>
          <cell r="AE890" t="str">
            <v xml:space="preserve">POV0067240 </v>
          </cell>
          <cell r="AF890" t="str">
            <v>JH</v>
          </cell>
        </row>
        <row r="891">
          <cell r="A891" t="str">
            <v>626-A73827-001</v>
          </cell>
          <cell r="B891" t="str">
            <v>XSTR,SMD,MOSFET,N-CHAN,40V,100A,TDSON-8</v>
          </cell>
          <cell r="C891" t="str">
            <v>XSTR</v>
          </cell>
          <cell r="D891">
            <v>25</v>
          </cell>
          <cell r="E891">
            <v>1</v>
          </cell>
          <cell r="F891" t="str">
            <v>21 Weeks</v>
          </cell>
          <cell r="G891">
            <v>5000</v>
          </cell>
          <cell r="H891">
            <v>0.57108300000000001</v>
          </cell>
          <cell r="I891">
            <v>2855.415</v>
          </cell>
          <cell r="J891">
            <v>0.69644268292682932</v>
          </cell>
          <cell r="K891">
            <v>626.79841463414641</v>
          </cell>
          <cell r="L891">
            <v>3482.2134146341464</v>
          </cell>
          <cell r="O891"/>
          <cell r="Q891">
            <v>1</v>
          </cell>
          <cell r="R891" t="str">
            <v>IAUC100N04S6L014ATMA1</v>
          </cell>
          <cell r="S891" t="str">
            <v>Infineon Technologies</v>
          </cell>
          <cell r="T891" t="str">
            <v>Mouser</v>
          </cell>
          <cell r="U891">
            <v>0.56499999999999995</v>
          </cell>
          <cell r="V891">
            <v>5000</v>
          </cell>
          <cell r="W891">
            <v>0</v>
          </cell>
          <cell r="X891">
            <v>1</v>
          </cell>
          <cell r="Y891" t="str">
            <v>Y</v>
          </cell>
          <cell r="Z891">
            <v>2824.9999999999995</v>
          </cell>
          <cell r="AA891">
            <v>30.415000000000418</v>
          </cell>
          <cell r="AB891">
            <v>0.1887343871206113</v>
          </cell>
          <cell r="AD891">
            <v>1062721</v>
          </cell>
          <cell r="AE891" t="str">
            <v xml:space="preserve">POV0067240 </v>
          </cell>
          <cell r="AF891" t="str">
            <v>JH</v>
          </cell>
        </row>
        <row r="892">
          <cell r="A892" t="str">
            <v>615-053814-332</v>
          </cell>
          <cell r="B892" t="str">
            <v>RES,SMD,2512,TF,5%,1W,ROHS,3.3K OHM</v>
          </cell>
          <cell r="C892" t="str">
            <v>RES</v>
          </cell>
          <cell r="D892">
            <v>15</v>
          </cell>
          <cell r="E892">
            <v>1</v>
          </cell>
          <cell r="F892" t="str">
            <v>21 Weeks</v>
          </cell>
          <cell r="G892">
            <v>4000</v>
          </cell>
          <cell r="H892">
            <v>5.6372999999999999E-2</v>
          </cell>
          <cell r="I892">
            <v>225.49199999999999</v>
          </cell>
          <cell r="J892">
            <v>6.8747560975609759E-2</v>
          </cell>
          <cell r="K892">
            <v>49.498243902439043</v>
          </cell>
          <cell r="L892">
            <v>274.99024390243903</v>
          </cell>
          <cell r="O892"/>
          <cell r="Q892">
            <v>3</v>
          </cell>
          <cell r="R892" t="str">
            <v>RK73B3ATTE332J</v>
          </cell>
          <cell r="S892" t="str">
            <v>KOA Speer</v>
          </cell>
          <cell r="T892" t="str">
            <v>Mouser</v>
          </cell>
          <cell r="U892">
            <v>5.0999999999999997E-2</v>
          </cell>
          <cell r="V892">
            <v>4000</v>
          </cell>
          <cell r="W892">
            <v>0</v>
          </cell>
          <cell r="X892">
            <v>1</v>
          </cell>
          <cell r="Y892" t="str">
            <v>Y</v>
          </cell>
          <cell r="Z892">
            <v>204</v>
          </cell>
          <cell r="AA892">
            <v>21.49199999999999</v>
          </cell>
          <cell r="AB892">
            <v>0.25815549997339149</v>
          </cell>
          <cell r="AD892">
            <v>1062721</v>
          </cell>
          <cell r="AE892" t="str">
            <v xml:space="preserve">POV0067240 </v>
          </cell>
          <cell r="AF892" t="str">
            <v>JH</v>
          </cell>
        </row>
        <row r="893">
          <cell r="A893" t="str">
            <v>660-A23835-001</v>
          </cell>
          <cell r="B893" t="str">
            <v>PS,DC-DC CONV,HV,24V,4KV,ADJ</v>
          </cell>
          <cell r="C893" t="str">
            <v>PS</v>
          </cell>
          <cell r="D893">
            <v>25</v>
          </cell>
          <cell r="E893" t="str">
            <v>N/A</v>
          </cell>
          <cell r="F893" t="str">
            <v>23 Weeks</v>
          </cell>
          <cell r="G893">
            <v>51</v>
          </cell>
          <cell r="H893">
            <v>879.29</v>
          </cell>
          <cell r="I893">
            <v>44843.79</v>
          </cell>
          <cell r="J893">
            <v>1072.3048780487804</v>
          </cell>
          <cell r="K893">
            <v>9843.7587804878058</v>
          </cell>
          <cell r="L893">
            <v>54687.548780487799</v>
          </cell>
          <cell r="O893"/>
          <cell r="Q893">
            <v>1</v>
          </cell>
          <cell r="R893" t="str">
            <v>4AA24-N20-I10-M-K0065-Q4</v>
          </cell>
          <cell r="S893" t="str">
            <v>Advanced Energy Industries</v>
          </cell>
          <cell r="U893">
            <v>416</v>
          </cell>
          <cell r="V893">
            <v>51</v>
          </cell>
          <cell r="W893">
            <v>0</v>
          </cell>
          <cell r="X893">
            <v>10</v>
          </cell>
          <cell r="Y893" t="str">
            <v>Y</v>
          </cell>
          <cell r="Z893">
            <v>21216</v>
          </cell>
          <cell r="AA893">
            <v>23627.79</v>
          </cell>
          <cell r="AB893">
            <v>0.61205063175971519</v>
          </cell>
          <cell r="AD893">
            <v>1062721</v>
          </cell>
          <cell r="AE893" t="str">
            <v xml:space="preserve">POV0067392 </v>
          </cell>
          <cell r="AF893" t="str">
            <v>SH</v>
          </cell>
        </row>
        <row r="894">
          <cell r="A894" t="str">
            <v>668-313612-037</v>
          </cell>
          <cell r="B894" t="str">
            <v>CONN,DSUB,F-F,37PIN,30V,2A,HTM,DUAL PORT</v>
          </cell>
          <cell r="C894" t="str">
            <v>CONN</v>
          </cell>
          <cell r="D894">
            <v>15</v>
          </cell>
          <cell r="E894" t="str">
            <v>N/A</v>
          </cell>
          <cell r="F894" t="str">
            <v>27 Weeks</v>
          </cell>
          <cell r="G894">
            <v>1008</v>
          </cell>
          <cell r="H894">
            <v>18.690000000000001</v>
          </cell>
          <cell r="I894">
            <v>18839.52</v>
          </cell>
          <cell r="J894">
            <v>22.792682926829272</v>
          </cell>
          <cell r="K894">
            <v>4135.5043902439065</v>
          </cell>
          <cell r="L894">
            <v>22975.024390243907</v>
          </cell>
          <cell r="M894"/>
          <cell r="N894"/>
          <cell r="O894"/>
          <cell r="P894"/>
          <cell r="Q894">
            <v>1</v>
          </cell>
          <cell r="R894" t="str">
            <v>K42XHT-C37S/S-A4N</v>
          </cell>
          <cell r="S894" t="str">
            <v>KYCON, INC</v>
          </cell>
          <cell r="T894" t="str">
            <v>RS Hughes</v>
          </cell>
          <cell r="U894">
            <v>18.690000000000001</v>
          </cell>
          <cell r="V894">
            <v>1008</v>
          </cell>
          <cell r="W894">
            <v>0</v>
          </cell>
          <cell r="X894">
            <v>21</v>
          </cell>
          <cell r="Y894" t="str">
            <v>Y</v>
          </cell>
          <cell r="Z894">
            <v>18839.52</v>
          </cell>
          <cell r="AA894">
            <v>0</v>
          </cell>
          <cell r="AB894" t="str">
            <v/>
          </cell>
          <cell r="AC894"/>
          <cell r="AD894">
            <v>1062721</v>
          </cell>
          <cell r="AE894" t="str">
            <v>POV0067161</v>
          </cell>
          <cell r="AF894" t="str">
            <v>SH</v>
          </cell>
        </row>
        <row r="895">
          <cell r="A895" t="str">
            <v>630-099034-085</v>
          </cell>
          <cell r="B895" t="str">
            <v>IC,SMD,74HC85 4-BIT COMP SO16,ROHS</v>
          </cell>
          <cell r="C895" t="str">
            <v>IC</v>
          </cell>
          <cell r="D895">
            <v>15</v>
          </cell>
          <cell r="E895">
            <v>1</v>
          </cell>
          <cell r="F895" t="str">
            <v>9 Weeks</v>
          </cell>
          <cell r="G895">
            <v>2500</v>
          </cell>
          <cell r="H895">
            <v>0.19256000000000001</v>
          </cell>
          <cell r="I895">
            <v>481.40000000000003</v>
          </cell>
          <cell r="J895">
            <v>0.23482926829268294</v>
          </cell>
          <cell r="K895">
            <v>105.67317073170733</v>
          </cell>
          <cell r="L895">
            <v>587.07317073170736</v>
          </cell>
          <cell r="O895"/>
          <cell r="Q895">
            <v>2</v>
          </cell>
          <cell r="R895" t="str">
            <v>74HC85D,653</v>
          </cell>
          <cell r="S895" t="str">
            <v>NXP</v>
          </cell>
          <cell r="T895" t="str">
            <v>Arrow</v>
          </cell>
          <cell r="U895">
            <v>0.13350000000000001</v>
          </cell>
          <cell r="V895">
            <v>2500</v>
          </cell>
          <cell r="W895">
            <v>0</v>
          </cell>
          <cell r="X895">
            <v>1</v>
          </cell>
          <cell r="Y895" t="str">
            <v>Y</v>
          </cell>
          <cell r="Z895">
            <v>333.75</v>
          </cell>
          <cell r="AA895">
            <v>147.65000000000003</v>
          </cell>
          <cell r="AB895">
            <v>0.43150186954715419</v>
          </cell>
          <cell r="AC895" t="str">
            <v>JH</v>
          </cell>
          <cell r="AD895">
            <v>1062721</v>
          </cell>
          <cell r="AE895" t="str">
            <v>POV0067278</v>
          </cell>
          <cell r="AF895" t="str">
            <v>JH</v>
          </cell>
        </row>
        <row r="896">
          <cell r="A896" t="str">
            <v>628-072604-001</v>
          </cell>
          <cell r="B896" t="str">
            <v>XSTR,FIELD EFT,PWR MOSFET,N-CH</v>
          </cell>
          <cell r="C896" t="str">
            <v>XSTR</v>
          </cell>
          <cell r="D896">
            <v>25</v>
          </cell>
          <cell r="E896">
            <v>1</v>
          </cell>
          <cell r="F896" t="str">
            <v>13 Weeks</v>
          </cell>
          <cell r="G896">
            <v>800</v>
          </cell>
          <cell r="H896">
            <v>0.94486099999999995</v>
          </cell>
          <cell r="I896">
            <v>755.88879999999995</v>
          </cell>
          <cell r="J896">
            <v>1.1522695121951219</v>
          </cell>
          <cell r="K896">
            <v>165.92680975609755</v>
          </cell>
          <cell r="L896">
            <v>921.8156097560975</v>
          </cell>
          <cell r="O896"/>
          <cell r="Q896">
            <v>2</v>
          </cell>
          <cell r="R896" t="str">
            <v>IRF1310NSTRLPBF</v>
          </cell>
          <cell r="S896" t="str">
            <v>INFINEON TECHNOLOGIES AG</v>
          </cell>
          <cell r="T896" t="str">
            <v>Arrow</v>
          </cell>
          <cell r="U896">
            <v>0.90349999999999997</v>
          </cell>
          <cell r="V896">
            <v>800</v>
          </cell>
          <cell r="W896">
            <v>0</v>
          </cell>
          <cell r="Z896">
            <v>722.8</v>
          </cell>
          <cell r="AA896">
            <v>33.088799999999992</v>
          </cell>
          <cell r="AB896">
            <v>0.21589524808410976</v>
          </cell>
          <cell r="AC896" t="str">
            <v>JH</v>
          </cell>
          <cell r="AD896">
            <v>1062411</v>
          </cell>
          <cell r="AE896" t="str">
            <v>POV0067278</v>
          </cell>
          <cell r="AF896" t="str">
            <v>JH</v>
          </cell>
        </row>
        <row r="897">
          <cell r="A897" t="str">
            <v>630-344253-002</v>
          </cell>
          <cell r="B897" t="str">
            <v>IC,OPAMP,PRCN,DUAL,4MHZ,SOIC8,RAIL-RAIL</v>
          </cell>
          <cell r="C897" t="str">
            <v>IC</v>
          </cell>
          <cell r="D897">
            <v>25</v>
          </cell>
          <cell r="E897">
            <v>1</v>
          </cell>
          <cell r="F897" t="str">
            <v>13 Weeks</v>
          </cell>
          <cell r="G897">
            <v>100</v>
          </cell>
          <cell r="H897">
            <v>8.6152650000000008</v>
          </cell>
          <cell r="I897">
            <v>861.52650000000006</v>
          </cell>
          <cell r="J897">
            <v>10.506420731707319</v>
          </cell>
          <cell r="K897">
            <v>189.11557317073186</v>
          </cell>
          <cell r="L897">
            <v>1050.6420731707319</v>
          </cell>
          <cell r="O897"/>
          <cell r="Q897">
            <v>1</v>
          </cell>
          <cell r="R897" t="str">
            <v>OP284ESZ-REEL7</v>
          </cell>
          <cell r="S897" t="str">
            <v>ANALOG DEVICES</v>
          </cell>
          <cell r="T897" t="str">
            <v>IC360</v>
          </cell>
          <cell r="U897">
            <v>3.92</v>
          </cell>
          <cell r="V897">
            <v>100</v>
          </cell>
          <cell r="W897">
            <v>0</v>
          </cell>
          <cell r="X897" t="str">
            <v>2-3 wks</v>
          </cell>
          <cell r="Z897">
            <v>392</v>
          </cell>
          <cell r="AA897">
            <v>469.52650000000006</v>
          </cell>
          <cell r="AB897">
            <v>0.62689481983432904</v>
          </cell>
          <cell r="AD897">
            <v>1062721</v>
          </cell>
          <cell r="AE897" t="str">
            <v>POV0067383</v>
          </cell>
          <cell r="AF897" t="str">
            <v>TX</v>
          </cell>
        </row>
        <row r="898">
          <cell r="A898" t="str">
            <v>615-224835-014</v>
          </cell>
          <cell r="B898" t="str">
            <v>RES,0603,THIN FILM,0.1%,25 PPM,0.15W,20K</v>
          </cell>
          <cell r="C898" t="str">
            <v>RES</v>
          </cell>
          <cell r="D898">
            <v>15</v>
          </cell>
          <cell r="E898">
            <v>1</v>
          </cell>
          <cell r="F898" t="str">
            <v>70 Weeks</v>
          </cell>
          <cell r="G898">
            <v>1000</v>
          </cell>
          <cell r="H898">
            <v>0.52348499999999998</v>
          </cell>
          <cell r="I898">
            <v>523.48500000000001</v>
          </cell>
          <cell r="J898">
            <v>0.63839634146341462</v>
          </cell>
          <cell r="K898">
            <v>114.91134146341471</v>
          </cell>
          <cell r="L898">
            <v>638.39634146341461</v>
          </cell>
          <cell r="O898"/>
          <cell r="Q898">
            <v>1</v>
          </cell>
          <cell r="R898" t="str">
            <v>PATT0603E2002BGT1</v>
          </cell>
          <cell r="S898" t="str">
            <v>Vishay</v>
          </cell>
          <cell r="T898" t="str">
            <v>Arrow</v>
          </cell>
          <cell r="U898">
            <v>2.5</v>
          </cell>
          <cell r="V898">
            <v>974</v>
          </cell>
          <cell r="W898">
            <v>26</v>
          </cell>
          <cell r="X898">
            <v>39</v>
          </cell>
          <cell r="Z898">
            <v>2435</v>
          </cell>
          <cell r="AA898">
            <v>-1925.1256100000001</v>
          </cell>
          <cell r="AB898" t="str">
            <v/>
          </cell>
          <cell r="AE898" t="str">
            <v>POV0067449</v>
          </cell>
          <cell r="AF898" t="str">
            <v>DM</v>
          </cell>
        </row>
        <row r="899">
          <cell r="A899" t="str">
            <v>615-224835-006</v>
          </cell>
          <cell r="B899" t="str">
            <v>RES,0603,THIN FILM,0.1%,0.15W,49.9</v>
          </cell>
          <cell r="C899" t="str">
            <v>RES</v>
          </cell>
          <cell r="D899">
            <v>25</v>
          </cell>
          <cell r="E899">
            <v>1</v>
          </cell>
          <cell r="F899" t="str">
            <v>70 Weeks</v>
          </cell>
          <cell r="G899">
            <v>1000</v>
          </cell>
          <cell r="H899">
            <v>0.52348499999999998</v>
          </cell>
          <cell r="I899">
            <v>523.48500000000001</v>
          </cell>
          <cell r="J899">
            <v>0.63839634146341462</v>
          </cell>
          <cell r="K899">
            <v>114.91134146341471</v>
          </cell>
          <cell r="L899">
            <v>638.39634146341461</v>
          </cell>
          <cell r="O899"/>
          <cell r="Q899">
            <v>1</v>
          </cell>
          <cell r="R899" t="str">
            <v>PATT0603E49R9BGT1</v>
          </cell>
          <cell r="S899" t="str">
            <v>Vishay</v>
          </cell>
          <cell r="T899" t="str">
            <v>Arrow</v>
          </cell>
          <cell r="U899">
            <v>0.83</v>
          </cell>
          <cell r="V899">
            <v>778</v>
          </cell>
          <cell r="W899">
            <v>222</v>
          </cell>
          <cell r="X899">
            <v>39</v>
          </cell>
          <cell r="Z899">
            <v>645.74</v>
          </cell>
          <cell r="AA899">
            <v>-238.46867000000003</v>
          </cell>
          <cell r="AB899" t="str">
            <v/>
          </cell>
          <cell r="AE899" t="str">
            <v>POV0067449</v>
          </cell>
          <cell r="AF899" t="str">
            <v>DM</v>
          </cell>
        </row>
        <row r="900">
          <cell r="A900" t="str">
            <v>615-162505-007</v>
          </cell>
          <cell r="B900" t="str">
            <v>RES,0805,TF,0.25W,0.05%,25K ROHS</v>
          </cell>
          <cell r="C900" t="str">
            <v>RES</v>
          </cell>
          <cell r="D900">
            <v>15</v>
          </cell>
          <cell r="E900">
            <v>1</v>
          </cell>
          <cell r="F900" t="str">
            <v>129 Weeks</v>
          </cell>
          <cell r="G900">
            <v>500</v>
          </cell>
          <cell r="H900">
            <v>2.3774700000000002</v>
          </cell>
          <cell r="I900">
            <v>1188.7350000000001</v>
          </cell>
          <cell r="J900">
            <v>2.8993536585365858</v>
          </cell>
          <cell r="K900">
            <v>260.94182926829285</v>
          </cell>
          <cell r="L900">
            <v>1449.676829268293</v>
          </cell>
          <cell r="O900"/>
          <cell r="Q900">
            <v>1</v>
          </cell>
          <cell r="R900" t="str">
            <v>PLT0805Z2502AST5</v>
          </cell>
          <cell r="S900" t="str">
            <v>Vishay / Thin Film</v>
          </cell>
          <cell r="T900" t="str">
            <v>Arrow</v>
          </cell>
          <cell r="U900">
            <v>2.9</v>
          </cell>
          <cell r="V900">
            <v>474</v>
          </cell>
          <cell r="W900">
            <v>26</v>
          </cell>
          <cell r="X900">
            <v>39</v>
          </cell>
          <cell r="Z900">
            <v>1374.6</v>
          </cell>
          <cell r="AA900">
            <v>-247.67921999999976</v>
          </cell>
          <cell r="AB900" t="str">
            <v/>
          </cell>
          <cell r="AE900" t="str">
            <v>POV0067449</v>
          </cell>
          <cell r="AF900" t="str">
            <v>DM</v>
          </cell>
        </row>
        <row r="901">
          <cell r="A901" t="str">
            <v>615-B19099-001</v>
          </cell>
          <cell r="B901" t="str">
            <v>RES,SMD,THIN FILM,25KOHM,0.1%,.05W,0402</v>
          </cell>
          <cell r="C901" t="str">
            <v>RES</v>
          </cell>
          <cell r="D901">
            <v>15</v>
          </cell>
          <cell r="E901">
            <v>1</v>
          </cell>
          <cell r="F901" t="str">
            <v>70 Weeks</v>
          </cell>
          <cell r="G901">
            <v>5000</v>
          </cell>
          <cell r="H901">
            <v>0.40603299999999998</v>
          </cell>
          <cell r="I901">
            <v>2030.165</v>
          </cell>
          <cell r="J901">
            <v>0.4951621951219512</v>
          </cell>
          <cell r="K901">
            <v>445.64597560975608</v>
          </cell>
          <cell r="L901">
            <v>2475.810975609756</v>
          </cell>
          <cell r="O901"/>
          <cell r="Q901">
            <v>1</v>
          </cell>
          <cell r="R901" t="str">
            <v>PNM0402E2502BST1</v>
          </cell>
          <cell r="S901" t="str">
            <v>Vishay / Thin Film</v>
          </cell>
          <cell r="T901" t="str">
            <v>Arrow</v>
          </cell>
          <cell r="U901">
            <v>1.25</v>
          </cell>
          <cell r="V901">
            <v>1002</v>
          </cell>
          <cell r="W901">
            <v>3998</v>
          </cell>
          <cell r="X901">
            <v>39</v>
          </cell>
          <cell r="Z901">
            <v>1252.5</v>
          </cell>
          <cell r="AA901">
            <v>-845.65493400000003</v>
          </cell>
          <cell r="AB901" t="str">
            <v/>
          </cell>
          <cell r="AE901" t="str">
            <v>POV0067449</v>
          </cell>
          <cell r="AF901" t="str">
            <v>DM</v>
          </cell>
        </row>
        <row r="902">
          <cell r="A902" t="str">
            <v>668-311384-008</v>
          </cell>
          <cell r="B902" t="str">
            <v>CONN,HDR,VERTICAL,3POS,NO BRD LCK</v>
          </cell>
          <cell r="C902" t="str">
            <v>CONN</v>
          </cell>
          <cell r="D902">
            <v>15</v>
          </cell>
          <cell r="E902">
            <v>1</v>
          </cell>
          <cell r="F902" t="str">
            <v>3 Weeks</v>
          </cell>
          <cell r="G902">
            <v>385</v>
          </cell>
          <cell r="H902">
            <v>1.1911860000000001</v>
          </cell>
          <cell r="I902">
            <v>458.60661000000005</v>
          </cell>
          <cell r="J902">
            <v>1.4526658536585368</v>
          </cell>
          <cell r="K902">
            <v>100.66974365853662</v>
          </cell>
          <cell r="L902">
            <v>559.27635365853666</v>
          </cell>
          <cell r="O902"/>
          <cell r="Q902">
            <v>1</v>
          </cell>
          <cell r="R902">
            <v>1720420301</v>
          </cell>
          <cell r="S902" t="str">
            <v>MOLEX, LLC</v>
          </cell>
          <cell r="T902" t="str">
            <v>Infinitum</v>
          </cell>
          <cell r="U902">
            <v>0.58640000000000003</v>
          </cell>
          <cell r="V902">
            <v>385</v>
          </cell>
          <cell r="W902">
            <v>0</v>
          </cell>
          <cell r="X902">
            <v>1</v>
          </cell>
          <cell r="Y902" t="str">
            <v>Y</v>
          </cell>
          <cell r="Z902">
            <v>225.76400000000001</v>
          </cell>
          <cell r="AA902">
            <v>232.84261000000004</v>
          </cell>
          <cell r="AB902">
            <v>0.59632836517554777</v>
          </cell>
          <cell r="AE902" t="str">
            <v xml:space="preserve">POV0067452 </v>
          </cell>
          <cell r="AF902" t="str">
            <v>JH</v>
          </cell>
        </row>
        <row r="903">
          <cell r="A903" t="str">
            <v>660-345766-001</v>
          </cell>
          <cell r="B903" t="str">
            <v>PS,UMODULE,0.6-2.5V,±3A,DDR-QDR4,25-LGA</v>
          </cell>
          <cell r="C903" t="str">
            <v>PS</v>
          </cell>
          <cell r="D903">
            <v>25</v>
          </cell>
          <cell r="E903"/>
          <cell r="F903" t="str">
            <v>14 Weeks</v>
          </cell>
          <cell r="G903">
            <v>80</v>
          </cell>
          <cell r="H903">
            <v>12.0099</v>
          </cell>
          <cell r="I903">
            <v>960.79200000000003</v>
          </cell>
          <cell r="J903">
            <v>14.646219512195122</v>
          </cell>
          <cell r="K903">
            <v>210.90556097560977</v>
          </cell>
          <cell r="L903">
            <v>1171.6975609756098</v>
          </cell>
          <cell r="O903"/>
          <cell r="Q903">
            <v>1</v>
          </cell>
          <cell r="R903" t="str">
            <v>LTM4632EV#PBF</v>
          </cell>
          <cell r="S903" t="str">
            <v>ANALOG DEVICES</v>
          </cell>
          <cell r="T903" t="str">
            <v>Firststop</v>
          </cell>
          <cell r="U903">
            <v>7.94</v>
          </cell>
          <cell r="V903">
            <v>80</v>
          </cell>
          <cell r="W903">
            <v>0</v>
          </cell>
          <cell r="Y903" t="str">
            <v>Y</v>
          </cell>
          <cell r="Z903">
            <v>635.20000000000005</v>
          </cell>
          <cell r="AA903">
            <v>325.59199999999998</v>
          </cell>
          <cell r="AB903">
            <v>0.45788058185330438</v>
          </cell>
          <cell r="AC903" t="str">
            <v>TX</v>
          </cell>
          <cell r="AD903">
            <v>1062721</v>
          </cell>
          <cell r="AE903" t="str">
            <v>POV0067445</v>
          </cell>
          <cell r="AF903" t="str">
            <v>TX</v>
          </cell>
        </row>
        <row r="904">
          <cell r="A904" t="str">
            <v>671-219755-001</v>
          </cell>
          <cell r="B904" t="str">
            <v>TP,PCB,MINIATURE LOOP,RED</v>
          </cell>
          <cell r="C904" t="str">
            <v>TP</v>
          </cell>
          <cell r="D904">
            <v>25</v>
          </cell>
          <cell r="E904" t="str">
            <v>N/A</v>
          </cell>
          <cell r="F904" t="str">
            <v>3 Weeks</v>
          </cell>
          <cell r="G904">
            <v>100</v>
          </cell>
          <cell r="H904">
            <v>0.295346</v>
          </cell>
          <cell r="I904">
            <v>29.534600000000001</v>
          </cell>
          <cell r="J904">
            <v>0.36017804878048781</v>
          </cell>
          <cell r="K904">
            <v>6.4832048780487845</v>
          </cell>
          <cell r="L904">
            <v>36.017804878048779</v>
          </cell>
          <cell r="O904"/>
          <cell r="Q904">
            <v>1</v>
          </cell>
          <cell r="R904">
            <v>5000</v>
          </cell>
          <cell r="S904" t="str">
            <v>KEYSTONE ELECTRONICS CORP</v>
          </cell>
          <cell r="T904" t="str">
            <v>Digikey</v>
          </cell>
          <cell r="U904">
            <v>0.30149999999999999</v>
          </cell>
          <cell r="V904">
            <v>100</v>
          </cell>
          <cell r="W904">
            <v>0</v>
          </cell>
          <cell r="X904">
            <v>2</v>
          </cell>
          <cell r="Z904">
            <v>30.15</v>
          </cell>
          <cell r="AA904">
            <v>-0.6153999999999975</v>
          </cell>
          <cell r="AB904" t="str">
            <v/>
          </cell>
          <cell r="AD904">
            <v>1062721</v>
          </cell>
          <cell r="AE904" t="str">
            <v xml:space="preserve">POV0067472 </v>
          </cell>
          <cell r="AF904" t="str">
            <v>JH</v>
          </cell>
        </row>
        <row r="905">
          <cell r="A905" t="str">
            <v>615-116029-750</v>
          </cell>
          <cell r="B905" t="str">
            <v>RES,SMD,1206,75.0K,1%,1/4W,ROHS</v>
          </cell>
          <cell r="C905" t="str">
            <v>RES</v>
          </cell>
          <cell r="D905">
            <v>25</v>
          </cell>
          <cell r="E905">
            <v>1</v>
          </cell>
          <cell r="F905" t="str">
            <v>31 Weeks</v>
          </cell>
          <cell r="G905">
            <v>5000</v>
          </cell>
          <cell r="H905">
            <v>7.3530000000000002E-3</v>
          </cell>
          <cell r="I905">
            <v>36.765000000000001</v>
          </cell>
          <cell r="J905">
            <v>8.9670731707317073E-3</v>
          </cell>
          <cell r="K905">
            <v>8.0703658536585365</v>
          </cell>
          <cell r="L905">
            <v>44.835365853658537</v>
          </cell>
          <cell r="O905"/>
          <cell r="Q905">
            <v>3</v>
          </cell>
          <cell r="R905" t="str">
            <v>RC1206FR-0775KL</v>
          </cell>
          <cell r="S905" t="str">
            <v>YAGEO</v>
          </cell>
          <cell r="T905" t="str">
            <v>Digikey</v>
          </cell>
          <cell r="U905">
            <v>9.2899999999999996E-3</v>
          </cell>
          <cell r="V905">
            <v>5000</v>
          </cell>
          <cell r="W905">
            <v>0</v>
          </cell>
          <cell r="X905">
            <v>2</v>
          </cell>
          <cell r="Z905">
            <v>46.449999999999996</v>
          </cell>
          <cell r="AA905">
            <v>-9.6849999999999952</v>
          </cell>
          <cell r="AB905" t="str">
            <v/>
          </cell>
          <cell r="AD905">
            <v>1062721</v>
          </cell>
          <cell r="AE905" t="str">
            <v xml:space="preserve">POV0067472 </v>
          </cell>
          <cell r="AF905" t="str">
            <v>JH</v>
          </cell>
        </row>
        <row r="906">
          <cell r="A906" t="str">
            <v>615-123462-118</v>
          </cell>
          <cell r="B906" t="str">
            <v>RES,0402,THKF,1/16W,1%,11.8K,ROHS</v>
          </cell>
          <cell r="C906" t="str">
            <v>RES</v>
          </cell>
          <cell r="D906">
            <v>25</v>
          </cell>
          <cell r="E906">
            <v>1</v>
          </cell>
          <cell r="F906" t="str">
            <v>23 Weeks</v>
          </cell>
          <cell r="G906">
            <v>10000</v>
          </cell>
          <cell r="H906">
            <v>2.4510000000000001E-3</v>
          </cell>
          <cell r="I906">
            <v>24.51</v>
          </cell>
          <cell r="J906">
            <v>2.9890243902439026E-3</v>
          </cell>
          <cell r="K906">
            <v>5.3802439024390267</v>
          </cell>
          <cell r="L906">
            <v>29.890243902439025</v>
          </cell>
          <cell r="O906"/>
          <cell r="Q906">
            <v>1</v>
          </cell>
          <cell r="R906" t="str">
            <v>RC0402FR-0711K8L</v>
          </cell>
          <cell r="S906" t="str">
            <v>YAGEO</v>
          </cell>
          <cell r="T906" t="str">
            <v>Arrow</v>
          </cell>
          <cell r="U906">
            <v>8.0000000000000004E-4</v>
          </cell>
          <cell r="V906">
            <v>10000</v>
          </cell>
          <cell r="W906">
            <v>0</v>
          </cell>
          <cell r="X906">
            <v>2</v>
          </cell>
          <cell r="Y906" t="str">
            <v>Y</v>
          </cell>
          <cell r="Z906">
            <v>8</v>
          </cell>
          <cell r="AA906">
            <v>16.510000000000002</v>
          </cell>
          <cell r="AB906">
            <v>0.73235414116687059</v>
          </cell>
          <cell r="AC906" t="str">
            <v>JH</v>
          </cell>
          <cell r="AD906">
            <v>1062721</v>
          </cell>
          <cell r="AE906" t="str">
            <v>POV0067469</v>
          </cell>
          <cell r="AF906" t="str">
            <v>JH</v>
          </cell>
        </row>
        <row r="907">
          <cell r="A907" t="str">
            <v>615-A13386-001</v>
          </cell>
          <cell r="B907" t="str">
            <v>RES,SMD,THIN FILM,15KOHM,15PPM,±.1%,0603</v>
          </cell>
          <cell r="C907" t="str">
            <v>RES</v>
          </cell>
          <cell r="D907">
            <v>15</v>
          </cell>
          <cell r="E907">
            <v>1</v>
          </cell>
          <cell r="F907" t="str">
            <v>41 Weeks</v>
          </cell>
          <cell r="G907">
            <v>3000</v>
          </cell>
          <cell r="H907">
            <v>0.14583499999999999</v>
          </cell>
          <cell r="I907">
            <v>437.505</v>
          </cell>
          <cell r="J907">
            <v>0.17784756097560975</v>
          </cell>
          <cell r="K907">
            <v>96.037682926829348</v>
          </cell>
          <cell r="L907">
            <v>533.54268292682923</v>
          </cell>
          <cell r="O907"/>
          <cell r="Q907">
            <v>2</v>
          </cell>
          <cell r="R907" t="str">
            <v>ERA3VPB1502V</v>
          </cell>
          <cell r="S907" t="str">
            <v>Panasonic</v>
          </cell>
          <cell r="T907" t="str">
            <v>Digikey</v>
          </cell>
          <cell r="U907">
            <v>0.14385999999999999</v>
          </cell>
          <cell r="V907">
            <v>5000</v>
          </cell>
          <cell r="W907">
            <v>-2000</v>
          </cell>
          <cell r="X907">
            <v>13</v>
          </cell>
          <cell r="Z907">
            <v>719.3</v>
          </cell>
          <cell r="AA907">
            <v>-281.79499999999996</v>
          </cell>
          <cell r="AB907" t="str">
            <v/>
          </cell>
          <cell r="AC907" t="str">
            <v>JH</v>
          </cell>
          <cell r="AD907">
            <v>1062721</v>
          </cell>
          <cell r="AE907" t="str">
            <v xml:space="preserve">POV0067472 </v>
          </cell>
          <cell r="AF907" t="str">
            <v>JH</v>
          </cell>
        </row>
        <row r="908">
          <cell r="A908" t="str">
            <v>630-108123-001</v>
          </cell>
          <cell r="B908" t="str">
            <v>IC,SMD,INST AMP,PROG GAIN,PGA204AU</v>
          </cell>
          <cell r="C908" t="str">
            <v>IC</v>
          </cell>
          <cell r="D908">
            <v>15</v>
          </cell>
          <cell r="E908">
            <v>3</v>
          </cell>
          <cell r="F908" t="str">
            <v>21 Weeks</v>
          </cell>
          <cell r="G908">
            <v>200</v>
          </cell>
          <cell r="H908">
            <v>15.015537</v>
          </cell>
          <cell r="I908">
            <v>3003.1073999999999</v>
          </cell>
          <cell r="J908">
            <v>18.31163048780488</v>
          </cell>
          <cell r="K908">
            <v>659.21869756097567</v>
          </cell>
          <cell r="L908">
            <v>3662.326097560976</v>
          </cell>
          <cell r="O908"/>
          <cell r="Q908">
            <v>1</v>
          </cell>
          <cell r="R908" t="str">
            <v>PGA204AU</v>
          </cell>
          <cell r="S908" t="str">
            <v>Texas Instruments</v>
          </cell>
          <cell r="T908" t="str">
            <v>Mouser/Digikey via Amalfi</v>
          </cell>
          <cell r="U908">
            <v>15.9</v>
          </cell>
          <cell r="V908">
            <v>200</v>
          </cell>
          <cell r="W908">
            <v>0</v>
          </cell>
          <cell r="X908">
            <v>2</v>
          </cell>
          <cell r="Z908">
            <v>3180</v>
          </cell>
          <cell r="AA908">
            <v>-176.89260000000013</v>
          </cell>
          <cell r="AB908" t="str">
            <v/>
          </cell>
          <cell r="AE908" t="str">
            <v>POV0067471</v>
          </cell>
          <cell r="AF908" t="str">
            <v>JH</v>
          </cell>
        </row>
        <row r="909">
          <cell r="A909" t="str">
            <v>630-B14838-001</v>
          </cell>
          <cell r="B909" t="str">
            <v>IC,SMD,BFR,INVERTING,4.5-5.5V,SOIC-16</v>
          </cell>
          <cell r="C909" t="str">
            <v>IC</v>
          </cell>
          <cell r="D909">
            <v>25</v>
          </cell>
          <cell r="E909">
            <v>1</v>
          </cell>
          <cell r="F909" t="str">
            <v>3 Weeks</v>
          </cell>
          <cell r="G909">
            <v>2500</v>
          </cell>
          <cell r="H909">
            <v>0.32720900000000003</v>
          </cell>
          <cell r="I909">
            <v>818.02250000000004</v>
          </cell>
          <cell r="J909">
            <v>0.39903536585365862</v>
          </cell>
          <cell r="K909">
            <v>179.56591463414645</v>
          </cell>
          <cell r="L909">
            <v>997.5884146341466</v>
          </cell>
          <cell r="O909"/>
          <cell r="Q909">
            <v>1</v>
          </cell>
          <cell r="R909" t="str">
            <v>CD74HCT368M</v>
          </cell>
          <cell r="S909" t="str">
            <v>Texas Instruments</v>
          </cell>
          <cell r="T909" t="str">
            <v>Mouser/Digikey via Amalfi</v>
          </cell>
          <cell r="U909">
            <v>0.4</v>
          </cell>
          <cell r="V909">
            <v>2500</v>
          </cell>
          <cell r="W909">
            <v>0</v>
          </cell>
          <cell r="X909">
            <v>2</v>
          </cell>
          <cell r="Z909">
            <v>1000</v>
          </cell>
          <cell r="AA909">
            <v>-181.97749999999996</v>
          </cell>
          <cell r="AB909" t="str">
            <v/>
          </cell>
          <cell r="AE909" t="str">
            <v>POV0067471</v>
          </cell>
          <cell r="AF909" t="str">
            <v>JH</v>
          </cell>
        </row>
        <row r="910">
          <cell r="A910" t="str">
            <v>630-A57202-001</v>
          </cell>
          <cell r="B910" t="str">
            <v>IC,SMD,OPAMP,CFA,1CKT,280MHZ,SOT23-6</v>
          </cell>
          <cell r="C910" t="str">
            <v>IC</v>
          </cell>
          <cell r="D910">
            <v>15</v>
          </cell>
          <cell r="E910">
            <v>2</v>
          </cell>
          <cell r="F910" t="str">
            <v>15 Weeks</v>
          </cell>
          <cell r="G910">
            <v>250</v>
          </cell>
          <cell r="H910">
            <v>3.2720850000000001</v>
          </cell>
          <cell r="I910">
            <v>818.02125000000001</v>
          </cell>
          <cell r="J910">
            <v>3.9903475609756103</v>
          </cell>
          <cell r="K910">
            <v>179.56564024390252</v>
          </cell>
          <cell r="L910">
            <v>997.58689024390253</v>
          </cell>
          <cell r="O910"/>
          <cell r="Q910">
            <v>1</v>
          </cell>
          <cell r="R910" t="str">
            <v>OPA691IDBVT</v>
          </cell>
          <cell r="S910" t="str">
            <v>Texas Instruments</v>
          </cell>
          <cell r="T910" t="str">
            <v>Mouser/Digikey via Amalfi</v>
          </cell>
          <cell r="U910">
            <v>3.25</v>
          </cell>
          <cell r="V910">
            <v>250</v>
          </cell>
          <cell r="W910">
            <v>0</v>
          </cell>
          <cell r="X910">
            <v>2</v>
          </cell>
          <cell r="Z910">
            <v>812.5</v>
          </cell>
          <cell r="AA910">
            <v>5.5212500000000091</v>
          </cell>
          <cell r="AB910">
            <v>0.1855346056107956</v>
          </cell>
          <cell r="AE910" t="str">
            <v>POV0067471</v>
          </cell>
          <cell r="AF910" t="str">
            <v>JH</v>
          </cell>
        </row>
        <row r="911">
          <cell r="A911" t="str">
            <v>630-135494-001</v>
          </cell>
          <cell r="B911" t="str">
            <v>IC,SMD,DUAL SCHMITT INV</v>
          </cell>
          <cell r="C911" t="str">
            <v>IC</v>
          </cell>
          <cell r="D911">
            <v>25</v>
          </cell>
          <cell r="E911">
            <v>1</v>
          </cell>
          <cell r="F911" t="str">
            <v>9 Weeks</v>
          </cell>
          <cell r="G911">
            <v>3000</v>
          </cell>
          <cell r="H911">
            <v>7.7206999999999998E-2</v>
          </cell>
          <cell r="I911">
            <v>231.62099999999998</v>
          </cell>
          <cell r="J911">
            <v>9.4154878048780491E-2</v>
          </cell>
          <cell r="K911">
            <v>50.843634146341458</v>
          </cell>
          <cell r="L911">
            <v>282.4646341463415</v>
          </cell>
          <cell r="O911"/>
          <cell r="Q911">
            <v>1</v>
          </cell>
          <cell r="R911" t="str">
            <v>SN74LVC2G14DCK</v>
          </cell>
          <cell r="S911" t="str">
            <v>Texas Instruments</v>
          </cell>
          <cell r="T911" t="str">
            <v>Mouser/Digikey via Amalfi</v>
          </cell>
          <cell r="U911">
            <v>0.13</v>
          </cell>
          <cell r="V911">
            <v>3000</v>
          </cell>
          <cell r="W911">
            <v>0</v>
          </cell>
          <cell r="X911">
            <v>2</v>
          </cell>
          <cell r="Z911">
            <v>390</v>
          </cell>
          <cell r="AA911">
            <v>-158.37900000000002</v>
          </cell>
          <cell r="AB911" t="str">
            <v/>
          </cell>
          <cell r="AE911" t="str">
            <v>POV0067471</v>
          </cell>
          <cell r="AF911" t="str">
            <v>JH</v>
          </cell>
        </row>
        <row r="912">
          <cell r="A912" t="str">
            <v>630-A99428-001</v>
          </cell>
          <cell r="B912" t="str">
            <v>IC,SMD,GATE DRIVER,MOSFET,DUAL,4A,SOIC-8</v>
          </cell>
          <cell r="C912" t="str">
            <v>IC</v>
          </cell>
          <cell r="D912">
            <v>25</v>
          </cell>
          <cell r="E912">
            <v>1</v>
          </cell>
          <cell r="F912" t="str">
            <v>3 Weeks</v>
          </cell>
          <cell r="G912">
            <v>100</v>
          </cell>
          <cell r="H912">
            <v>9.4486050000000006</v>
          </cell>
          <cell r="I912">
            <v>944.8605</v>
          </cell>
          <cell r="J912">
            <v>11.522689024390246</v>
          </cell>
          <cell r="K912">
            <v>207.40840243902448</v>
          </cell>
          <cell r="L912">
            <v>1152.2689024390247</v>
          </cell>
          <cell r="O912"/>
          <cell r="Q912">
            <v>1</v>
          </cell>
          <cell r="R912" t="str">
            <v>UCC27423MDREP</v>
          </cell>
          <cell r="S912" t="str">
            <v>Texas Instruments</v>
          </cell>
          <cell r="T912" t="str">
            <v>Mouser/Digikey via Amalfi</v>
          </cell>
          <cell r="U912">
            <v>12.05</v>
          </cell>
          <cell r="V912">
            <v>100</v>
          </cell>
          <cell r="W912">
            <v>0</v>
          </cell>
          <cell r="X912">
            <v>2</v>
          </cell>
          <cell r="Z912">
            <v>1205</v>
          </cell>
          <cell r="AA912">
            <v>-260.1395</v>
          </cell>
          <cell r="AB912" t="str">
            <v/>
          </cell>
          <cell r="AE912" t="str">
            <v>POV0067471</v>
          </cell>
          <cell r="AF912" t="str">
            <v>JH</v>
          </cell>
        </row>
        <row r="913">
          <cell r="A913" t="str">
            <v>615-116027-301</v>
          </cell>
          <cell r="B913" t="str">
            <v>RES,1206,301 OHM,1%,1/4W,ROHS</v>
          </cell>
          <cell r="C913" t="str">
            <v>RES</v>
          </cell>
          <cell r="D913">
            <v>25</v>
          </cell>
          <cell r="E913">
            <v>1</v>
          </cell>
          <cell r="F913" t="str">
            <v>19 Weeks</v>
          </cell>
          <cell r="G913">
            <v>5000</v>
          </cell>
          <cell r="H913">
            <v>5.4780000000000002E-3</v>
          </cell>
          <cell r="I913">
            <v>27.39</v>
          </cell>
          <cell r="J913">
            <v>6.6804878048780493E-3</v>
          </cell>
          <cell r="K913">
            <v>6.0124390243902468</v>
          </cell>
          <cell r="L913">
            <v>33.402439024390247</v>
          </cell>
          <cell r="O913"/>
          <cell r="Q913">
            <v>3</v>
          </cell>
          <cell r="R913" t="str">
            <v>RC1206FR-07301RL</v>
          </cell>
          <cell r="S913" t="str">
            <v>Yageo</v>
          </cell>
          <cell r="T913" t="str">
            <v>Digikey</v>
          </cell>
          <cell r="U913">
            <v>9.2899999999999996E-3</v>
          </cell>
          <cell r="V913">
            <v>5000</v>
          </cell>
          <cell r="W913">
            <v>0</v>
          </cell>
          <cell r="X913">
            <v>1</v>
          </cell>
          <cell r="Z913">
            <v>46.449999999999996</v>
          </cell>
          <cell r="AA913">
            <v>-19.059999999999995</v>
          </cell>
          <cell r="AB913" t="str">
            <v/>
          </cell>
          <cell r="AC913" t="str">
            <v>JH</v>
          </cell>
          <cell r="AE913" t="str">
            <v>POV0067466</v>
          </cell>
          <cell r="AF913" t="str">
            <v>JH</v>
          </cell>
        </row>
        <row r="914">
          <cell r="A914" t="str">
            <v>609-004010-075</v>
          </cell>
          <cell r="B914" t="str">
            <v>DIO,SMD,ZENER,225MW,MMBZ,7.5V ROHS</v>
          </cell>
          <cell r="C914" t="str">
            <v>DIO</v>
          </cell>
          <cell r="D914">
            <v>25</v>
          </cell>
          <cell r="E914">
            <v>1</v>
          </cell>
          <cell r="F914" t="str">
            <v>29 Weeks</v>
          </cell>
          <cell r="G914">
            <v>200</v>
          </cell>
          <cell r="H914">
            <v>4.4117999999999997E-2</v>
          </cell>
          <cell r="I914">
            <v>8.823599999999999</v>
          </cell>
          <cell r="J914">
            <v>5.3802439024390247E-2</v>
          </cell>
          <cell r="K914">
            <v>1.9368878048780491</v>
          </cell>
          <cell r="L914">
            <v>10.76048780487805</v>
          </cell>
          <cell r="M914" t="str">
            <v>CHINA</v>
          </cell>
          <cell r="N914">
            <v>8532240020</v>
          </cell>
          <cell r="O914">
            <v>0.35</v>
          </cell>
          <cell r="P914">
            <v>3.0882599999999996</v>
          </cell>
          <cell r="Q914">
            <v>1</v>
          </cell>
          <cell r="R914" t="str">
            <v>MMBZ5236BLT1G</v>
          </cell>
          <cell r="S914" t="str">
            <v>ONSEMI</v>
          </cell>
          <cell r="T914" t="str">
            <v>Digikey</v>
          </cell>
          <cell r="U914">
            <v>5.67E-2</v>
          </cell>
          <cell r="V914">
            <v>200</v>
          </cell>
          <cell r="W914">
            <v>0</v>
          </cell>
          <cell r="X914">
            <v>1</v>
          </cell>
          <cell r="Z914">
            <v>11.34</v>
          </cell>
          <cell r="AA914">
            <v>-2.5164000000000009</v>
          </cell>
          <cell r="AB914" t="str">
            <v/>
          </cell>
          <cell r="AC914" t="str">
            <v>JH</v>
          </cell>
          <cell r="AD914">
            <v>1062721</v>
          </cell>
          <cell r="AE914" t="str">
            <v>POV0067466</v>
          </cell>
          <cell r="AF914" t="str">
            <v>JH</v>
          </cell>
        </row>
        <row r="915">
          <cell r="A915" t="str">
            <v>630-135493-001</v>
          </cell>
          <cell r="B915" t="str">
            <v>IC,SMD,SINGLE SCHMITT INV</v>
          </cell>
          <cell r="C915" t="str">
            <v>IC</v>
          </cell>
          <cell r="D915">
            <v>25</v>
          </cell>
          <cell r="E915">
            <v>1</v>
          </cell>
          <cell r="F915" t="str">
            <v>12 Weeks</v>
          </cell>
          <cell r="G915">
            <v>3000</v>
          </cell>
          <cell r="H915">
            <v>3.0637999999999999E-2</v>
          </cell>
          <cell r="I915">
            <v>91.914000000000001</v>
          </cell>
          <cell r="J915">
            <v>3.7363414634146344E-2</v>
          </cell>
          <cell r="K915">
            <v>20.176243902439026</v>
          </cell>
          <cell r="L915">
            <v>112.09024390243903</v>
          </cell>
          <cell r="O915"/>
          <cell r="Q915">
            <v>1</v>
          </cell>
          <cell r="R915" t="str">
            <v>SN74LVC1G14DCK</v>
          </cell>
          <cell r="S915" t="str">
            <v>Texas Instruments</v>
          </cell>
          <cell r="T915" t="str">
            <v>Mouser/Digikey via Amalfi</v>
          </cell>
          <cell r="U915">
            <v>0.05</v>
          </cell>
          <cell r="V915">
            <v>3000</v>
          </cell>
          <cell r="W915">
            <v>0</v>
          </cell>
          <cell r="X915">
            <v>2</v>
          </cell>
          <cell r="Z915">
            <v>150</v>
          </cell>
          <cell r="AA915">
            <v>-58.085999999999999</v>
          </cell>
          <cell r="AB915" t="str">
            <v/>
          </cell>
          <cell r="AE915" t="str">
            <v>POV0067471</v>
          </cell>
          <cell r="AF915" t="str">
            <v>JH</v>
          </cell>
        </row>
        <row r="916">
          <cell r="A916" t="str">
            <v>630-219764-001</v>
          </cell>
          <cell r="B916" t="str">
            <v>IC,SMD,OPAMP,GP,20MHZ,RRO,8SOIC</v>
          </cell>
          <cell r="C916" t="str">
            <v>IC</v>
          </cell>
          <cell r="D916">
            <v>15</v>
          </cell>
          <cell r="E916">
            <v>1</v>
          </cell>
          <cell r="F916" t="str">
            <v>23 Weeks</v>
          </cell>
          <cell r="G916">
            <v>200</v>
          </cell>
          <cell r="H916">
            <v>1.9328590000000001</v>
          </cell>
          <cell r="I916">
            <v>386.5718</v>
          </cell>
          <cell r="J916">
            <v>2.3571451219512198</v>
          </cell>
          <cell r="K916">
            <v>84.857224390243914</v>
          </cell>
          <cell r="L916">
            <v>471.42902439024397</v>
          </cell>
          <cell r="O916"/>
          <cell r="Q916">
            <v>1</v>
          </cell>
          <cell r="R916" t="str">
            <v>LM7321MAX/NOPB</v>
          </cell>
          <cell r="S916" t="str">
            <v>TEXAS INSTRUMENTS</v>
          </cell>
          <cell r="T916" t="str">
            <v>TI Store</v>
          </cell>
          <cell r="U916">
            <v>1.7330000000000001</v>
          </cell>
          <cell r="V916">
            <v>200</v>
          </cell>
          <cell r="W916">
            <v>0</v>
          </cell>
          <cell r="X916">
            <v>2</v>
          </cell>
          <cell r="Z916">
            <v>346.6</v>
          </cell>
          <cell r="AA916">
            <v>39.971799999999973</v>
          </cell>
          <cell r="AB916">
            <v>0.26478858519943782</v>
          </cell>
          <cell r="AC916" t="str">
            <v>JH</v>
          </cell>
          <cell r="AE916" t="str">
            <v>POV0067468</v>
          </cell>
          <cell r="AF916" t="str">
            <v>JH</v>
          </cell>
        </row>
        <row r="917">
          <cell r="A917" t="str">
            <v>609-A97224-001</v>
          </cell>
          <cell r="B917" t="str">
            <v>DIO,SMD,SCHOTTKY,40V,0.5A,SOD-123</v>
          </cell>
          <cell r="C917" t="str">
            <v>DIO</v>
          </cell>
          <cell r="D917">
            <v>25</v>
          </cell>
          <cell r="E917">
            <v>1</v>
          </cell>
          <cell r="F917" t="str">
            <v>28 Weeks</v>
          </cell>
          <cell r="G917">
            <v>3000</v>
          </cell>
          <cell r="H917">
            <v>7.4705999999999995E-2</v>
          </cell>
          <cell r="I917">
            <v>224.11799999999999</v>
          </cell>
          <cell r="J917">
            <v>9.110487804878048E-2</v>
          </cell>
          <cell r="K917">
            <v>49.196634146341466</v>
          </cell>
          <cell r="L917">
            <v>273.31463414634146</v>
          </cell>
          <cell r="O917"/>
          <cell r="Q917">
            <v>1</v>
          </cell>
          <cell r="R917" t="str">
            <v>STPS0540ZY</v>
          </cell>
          <cell r="S917" t="str">
            <v>STMicroelectronics</v>
          </cell>
          <cell r="T917" t="str">
            <v xml:space="preserve">Newark </v>
          </cell>
          <cell r="U917">
            <v>8.6999999999999994E-2</v>
          </cell>
          <cell r="V917">
            <v>3000</v>
          </cell>
          <cell r="W917">
            <v>0</v>
          </cell>
          <cell r="X917">
            <v>3</v>
          </cell>
          <cell r="Z917">
            <v>261</v>
          </cell>
          <cell r="AA917">
            <v>-36.882000000000005</v>
          </cell>
          <cell r="AB917" t="str">
            <v/>
          </cell>
          <cell r="AD917">
            <v>1062721</v>
          </cell>
          <cell r="AE917" t="str">
            <v>POV0067467</v>
          </cell>
          <cell r="AF917" t="str">
            <v>JH</v>
          </cell>
        </row>
        <row r="918">
          <cell r="A918" t="str">
            <v>630-A74812-001</v>
          </cell>
          <cell r="B918" t="str">
            <v>IC,SMD,BFR,NON-INVERTING,2 CHAN,SOT23-6</v>
          </cell>
          <cell r="C918" t="str">
            <v>IC</v>
          </cell>
          <cell r="D918">
            <v>25</v>
          </cell>
          <cell r="E918">
            <v>1</v>
          </cell>
          <cell r="F918" t="str">
            <v>9 Weeks</v>
          </cell>
          <cell r="G918">
            <v>200</v>
          </cell>
          <cell r="H918">
            <v>0.116423</v>
          </cell>
          <cell r="I918">
            <v>23.284600000000001</v>
          </cell>
          <cell r="J918">
            <v>0.14197926829268293</v>
          </cell>
          <cell r="K918">
            <v>5.1112536585365866</v>
          </cell>
          <cell r="L918">
            <v>28.395853658536584</v>
          </cell>
          <cell r="O918"/>
          <cell r="Q918">
            <v>2</v>
          </cell>
          <cell r="R918" t="str">
            <v>SN74LVC2G17DBVR</v>
          </cell>
          <cell r="S918" t="str">
            <v>Texas Instruments</v>
          </cell>
          <cell r="T918" t="str">
            <v>Mouser/Digikey via Amalfi</v>
          </cell>
          <cell r="U918">
            <v>0.22</v>
          </cell>
          <cell r="V918">
            <v>200</v>
          </cell>
          <cell r="W918">
            <v>0</v>
          </cell>
          <cell r="X918">
            <v>2</v>
          </cell>
          <cell r="Z918">
            <v>44</v>
          </cell>
          <cell r="AA918">
            <v>-20.715399999999999</v>
          </cell>
          <cell r="AB918" t="str">
            <v/>
          </cell>
          <cell r="AE918" t="str">
            <v>POV0067471</v>
          </cell>
          <cell r="AF918" t="str">
            <v>JH</v>
          </cell>
        </row>
        <row r="919">
          <cell r="A919" t="str">
            <v>615-A00424-120</v>
          </cell>
          <cell r="B919" t="str">
            <v>RES,SMD,12.0KOHM,0.1%,1/16W,0402</v>
          </cell>
          <cell r="C919" t="str">
            <v>RES</v>
          </cell>
          <cell r="D919">
            <v>15</v>
          </cell>
          <cell r="E919">
            <v>1</v>
          </cell>
          <cell r="F919" t="str">
            <v>21 Weeks</v>
          </cell>
          <cell r="G919">
            <v>10000</v>
          </cell>
          <cell r="H919">
            <v>4.2255000000000001E-2</v>
          </cell>
          <cell r="I919">
            <v>422.55</v>
          </cell>
          <cell r="J919">
            <v>5.1530487804878053E-2</v>
          </cell>
          <cell r="K919">
            <v>92.75487804878054</v>
          </cell>
          <cell r="L919">
            <v>515.30487804878055</v>
          </cell>
          <cell r="O919"/>
          <cell r="Q919">
            <v>2</v>
          </cell>
          <cell r="R919" t="str">
            <v>RT0402BRD0712KL</v>
          </cell>
          <cell r="S919" t="str">
            <v>Yageo</v>
          </cell>
          <cell r="T919" t="str">
            <v>Avnet</v>
          </cell>
          <cell r="U919">
            <v>1.9699999999999999E-2</v>
          </cell>
          <cell r="V919">
            <v>10000</v>
          </cell>
          <cell r="W919">
            <v>0</v>
          </cell>
          <cell r="X919">
            <v>1</v>
          </cell>
          <cell r="Z919">
            <v>197</v>
          </cell>
          <cell r="AA919">
            <v>225.55</v>
          </cell>
          <cell r="AB919">
            <v>0.61770204709501841</v>
          </cell>
          <cell r="AC919" t="str">
            <v>JH</v>
          </cell>
          <cell r="AD919">
            <v>1062721</v>
          </cell>
          <cell r="AE919" t="str">
            <v xml:space="preserve">POV0067470 </v>
          </cell>
          <cell r="AF919" t="str">
            <v>JH</v>
          </cell>
        </row>
        <row r="920">
          <cell r="A920" t="str">
            <v>615-901302-301</v>
          </cell>
          <cell r="B920" t="str">
            <v>RES,0805,30.1K,1%,1/10W,ROHS</v>
          </cell>
          <cell r="C920" t="str">
            <v>RES</v>
          </cell>
          <cell r="D920">
            <v>15</v>
          </cell>
          <cell r="E920">
            <v>1</v>
          </cell>
          <cell r="F920" t="str">
            <v>23 Weeks</v>
          </cell>
          <cell r="G920">
            <v>5000</v>
          </cell>
          <cell r="H920">
            <v>9.4800000000000006E-3</v>
          </cell>
          <cell r="I920">
            <v>47.400000000000006</v>
          </cell>
          <cell r="J920">
            <v>1.1560975609756099E-2</v>
          </cell>
          <cell r="K920">
            <v>10.404878048780489</v>
          </cell>
          <cell r="L920">
            <v>57.804878048780495</v>
          </cell>
          <cell r="O920"/>
          <cell r="Q920">
            <v>3</v>
          </cell>
          <cell r="R920" t="str">
            <v>RC0805FR-0730K1L</v>
          </cell>
          <cell r="S920" t="str">
            <v>YAGEO</v>
          </cell>
          <cell r="T920" t="str">
            <v>Avnet</v>
          </cell>
          <cell r="U920">
            <v>1.92E-3</v>
          </cell>
          <cell r="V920">
            <v>5000</v>
          </cell>
          <cell r="W920">
            <v>0</v>
          </cell>
          <cell r="X920">
            <v>1</v>
          </cell>
          <cell r="Z920">
            <v>9.6</v>
          </cell>
          <cell r="AA920">
            <v>37.800000000000004</v>
          </cell>
          <cell r="AB920">
            <v>0.83392405063291142</v>
          </cell>
          <cell r="AC920" t="str">
            <v>JH</v>
          </cell>
          <cell r="AD920">
            <v>1062721</v>
          </cell>
          <cell r="AE920" t="str">
            <v xml:space="preserve">POV0067470 </v>
          </cell>
          <cell r="AF920" t="str">
            <v>JH</v>
          </cell>
        </row>
        <row r="921">
          <cell r="A921" t="str">
            <v>615-901301-127</v>
          </cell>
          <cell r="B921" t="str">
            <v>RES,SMD,0805,1.27K,1%,1/10W,ROHS</v>
          </cell>
          <cell r="C921" t="str">
            <v>RES</v>
          </cell>
          <cell r="D921">
            <v>15</v>
          </cell>
          <cell r="E921">
            <v>1</v>
          </cell>
          <cell r="F921" t="str">
            <v>31 Weeks</v>
          </cell>
          <cell r="G921">
            <v>50000</v>
          </cell>
          <cell r="H921">
            <v>6.6179999999999998E-3</v>
          </cell>
          <cell r="I921">
            <v>330.9</v>
          </cell>
          <cell r="J921">
            <v>8.0707317073170741E-3</v>
          </cell>
          <cell r="K921">
            <v>72.636585365853705</v>
          </cell>
          <cell r="L921">
            <v>403.53658536585368</v>
          </cell>
          <cell r="O921"/>
          <cell r="Q921">
            <v>3</v>
          </cell>
          <cell r="R921" t="str">
            <v>RC0805FR-071K27L</v>
          </cell>
          <cell r="S921" t="str">
            <v>YAGEO</v>
          </cell>
          <cell r="T921" t="str">
            <v>Digikey</v>
          </cell>
          <cell r="U921">
            <v>4.0000000000000001E-3</v>
          </cell>
          <cell r="V921">
            <v>50000</v>
          </cell>
          <cell r="W921">
            <v>0</v>
          </cell>
          <cell r="X921">
            <v>2</v>
          </cell>
          <cell r="Z921">
            <v>200</v>
          </cell>
          <cell r="AA921">
            <v>130.89999999999998</v>
          </cell>
          <cell r="AB921">
            <v>0.504381988516168</v>
          </cell>
          <cell r="AD921">
            <v>1062721</v>
          </cell>
          <cell r="AE921" t="str">
            <v>POV0067482</v>
          </cell>
          <cell r="AF921" t="str">
            <v>JH</v>
          </cell>
        </row>
        <row r="922">
          <cell r="A922" t="str">
            <v>648-346027-103</v>
          </cell>
          <cell r="B922" t="str">
            <v>CAP,SMD,CER,0.01UF,±10% TOL,25VDC,0603</v>
          </cell>
          <cell r="C922" t="str">
            <v>CAP</v>
          </cell>
          <cell r="D922">
            <v>25</v>
          </cell>
          <cell r="E922">
            <v>1</v>
          </cell>
          <cell r="F922" t="str">
            <v>4 Weeks</v>
          </cell>
          <cell r="G922">
            <v>4000</v>
          </cell>
          <cell r="H922">
            <v>2.2000000000000001E-3</v>
          </cell>
          <cell r="I922">
            <v>8.8000000000000007</v>
          </cell>
          <cell r="J922">
            <v>2.6829268292682929E-3</v>
          </cell>
          <cell r="K922">
            <v>1.9317073170731707</v>
          </cell>
          <cell r="L922">
            <v>10.731707317073171</v>
          </cell>
          <cell r="M922" t="str">
            <v>CHINA</v>
          </cell>
          <cell r="N922" t="str">
            <v xml:space="preserve">	
8532240020</v>
          </cell>
          <cell r="O922">
            <v>0.35</v>
          </cell>
          <cell r="P922">
            <v>3.08</v>
          </cell>
          <cell r="Q922">
            <v>1</v>
          </cell>
          <cell r="R922" t="str">
            <v>CL10B103KA8NNNC</v>
          </cell>
          <cell r="S922" t="str">
            <v>SAMSUNGEM</v>
          </cell>
          <cell r="T922" t="str">
            <v>Arrow</v>
          </cell>
          <cell r="U922">
            <v>3.0999999999999999E-3</v>
          </cell>
          <cell r="V922">
            <v>4000</v>
          </cell>
          <cell r="W922">
            <v>0</v>
          </cell>
          <cell r="X922">
            <v>1</v>
          </cell>
          <cell r="Z922">
            <v>12.4</v>
          </cell>
          <cell r="AA922">
            <v>-3.5999999999999996</v>
          </cell>
          <cell r="AB922" t="str">
            <v/>
          </cell>
          <cell r="AD922">
            <v>1062721</v>
          </cell>
          <cell r="AE922" t="str">
            <v>POV0067484</v>
          </cell>
          <cell r="AF922" t="str">
            <v>JH</v>
          </cell>
        </row>
        <row r="923">
          <cell r="A923" t="str">
            <v>668-109164-001</v>
          </cell>
          <cell r="B923" t="str">
            <v>CONN,PLUG,DSUB,5 PIN,20 AMP</v>
          </cell>
          <cell r="C923" t="str">
            <v>CONN</v>
          </cell>
          <cell r="D923">
            <v>15</v>
          </cell>
          <cell r="E923">
            <v>1</v>
          </cell>
          <cell r="F923" t="str">
            <v>29 Weeks</v>
          </cell>
          <cell r="G923">
            <v>30</v>
          </cell>
          <cell r="H923">
            <v>15.877174</v>
          </cell>
          <cell r="I923">
            <v>476.31522000000001</v>
          </cell>
          <cell r="J923">
            <v>19.362407317073171</v>
          </cell>
          <cell r="K923">
            <v>104.5569995121952</v>
          </cell>
          <cell r="L923">
            <v>580.8722195121951</v>
          </cell>
          <cell r="O923"/>
          <cell r="Q923">
            <v>1</v>
          </cell>
          <cell r="R923" t="str">
            <v>3005W5PXX49E40X</v>
          </cell>
          <cell r="S923" t="str">
            <v>Conec</v>
          </cell>
          <cell r="T923" t="str">
            <v>Heilind</v>
          </cell>
          <cell r="U923">
            <v>12.671200000000001</v>
          </cell>
          <cell r="V923">
            <v>60</v>
          </cell>
          <cell r="W923">
            <v>-30</v>
          </cell>
          <cell r="X923">
            <v>10</v>
          </cell>
          <cell r="Z923">
            <v>760.27200000000005</v>
          </cell>
          <cell r="AA923">
            <v>-283.95678000000004</v>
          </cell>
          <cell r="AB923" t="str">
            <v/>
          </cell>
          <cell r="AE923" t="str">
            <v xml:space="preserve">POV0067483 </v>
          </cell>
          <cell r="AF923" t="str">
            <v>JH</v>
          </cell>
        </row>
        <row r="924">
          <cell r="A924" t="str">
            <v>630-900405-001</v>
          </cell>
          <cell r="B924" t="str">
            <v>IC,LM339,QUAD COMP,SO14,ROHS</v>
          </cell>
          <cell r="C924" t="str">
            <v>IC</v>
          </cell>
          <cell r="D924">
            <v>25</v>
          </cell>
          <cell r="E924">
            <v>1</v>
          </cell>
          <cell r="F924" t="str">
            <v>19 Weeks</v>
          </cell>
          <cell r="G924">
            <v>2500</v>
          </cell>
          <cell r="H924">
            <v>0.48218</v>
          </cell>
          <cell r="I924">
            <v>1205.45</v>
          </cell>
          <cell r="J924">
            <v>0.58802439024390252</v>
          </cell>
          <cell r="K924">
            <v>264.61097560975622</v>
          </cell>
          <cell r="L924">
            <v>1470.0609756097563</v>
          </cell>
          <cell r="O924"/>
          <cell r="Q924">
            <v>2</v>
          </cell>
          <cell r="R924" t="str">
            <v>LM339MX/NOPB</v>
          </cell>
          <cell r="S924" t="str">
            <v>Texas Instruments</v>
          </cell>
          <cell r="T924" t="str">
            <v>TI Store</v>
          </cell>
          <cell r="U924">
            <v>0.34100000000000003</v>
          </cell>
          <cell r="V924">
            <v>2500</v>
          </cell>
          <cell r="W924">
            <v>0</v>
          </cell>
          <cell r="X924">
            <v>2</v>
          </cell>
          <cell r="Z924">
            <v>852.50000000000011</v>
          </cell>
          <cell r="AA924">
            <v>352.94999999999993</v>
          </cell>
          <cell r="AB924">
            <v>0.42009208179518021</v>
          </cell>
          <cell r="AC924" t="str">
            <v>JH</v>
          </cell>
          <cell r="AE924" t="str">
            <v>POV0068218</v>
          </cell>
          <cell r="AF924" t="str">
            <v>JH</v>
          </cell>
        </row>
        <row r="925">
          <cell r="A925" t="str">
            <v>615-224835-001</v>
          </cell>
          <cell r="B925" t="str">
            <v>RES,0603,THIN FILM,0.1%,25 PPM,0.15W,2K</v>
          </cell>
          <cell r="C925" t="str">
            <v>RES</v>
          </cell>
          <cell r="D925">
            <v>25</v>
          </cell>
          <cell r="E925">
            <v>1</v>
          </cell>
          <cell r="F925" t="str">
            <v>70 Weeks</v>
          </cell>
          <cell r="G925">
            <v>1000</v>
          </cell>
          <cell r="H925">
            <v>0.52348499999999998</v>
          </cell>
          <cell r="I925">
            <v>523.48500000000001</v>
          </cell>
          <cell r="J925">
            <v>0.63839634146341462</v>
          </cell>
          <cell r="K925">
            <v>114.91134146341471</v>
          </cell>
          <cell r="L925">
            <v>638.39634146341461</v>
          </cell>
          <cell r="O925"/>
          <cell r="Q925">
            <v>1</v>
          </cell>
          <cell r="R925" t="str">
            <v>PATT0603E2001BGT1</v>
          </cell>
          <cell r="S925" t="str">
            <v>Vishay</v>
          </cell>
          <cell r="T925" t="str">
            <v>Mouser</v>
          </cell>
          <cell r="U925">
            <v>0.51200000000000001</v>
          </cell>
          <cell r="V925">
            <v>1000</v>
          </cell>
          <cell r="W925">
            <v>0</v>
          </cell>
          <cell r="X925">
            <v>39</v>
          </cell>
          <cell r="Z925">
            <v>512</v>
          </cell>
          <cell r="AA925">
            <v>11.485000000000014</v>
          </cell>
          <cell r="AB925">
            <v>0.19799039131971308</v>
          </cell>
          <cell r="AE925" t="str">
            <v>POV0067495</v>
          </cell>
          <cell r="AF925" t="str">
            <v>DM</v>
          </cell>
        </row>
        <row r="926">
          <cell r="A926" t="str">
            <v>619-000387-471</v>
          </cell>
          <cell r="B926" t="str">
            <v>RES 1/2W 5% 470 CF, ROHS</v>
          </cell>
          <cell r="D926">
            <v>25</v>
          </cell>
          <cell r="E926">
            <v>1</v>
          </cell>
          <cell r="F926" t="str">
            <v>3 Weeks</v>
          </cell>
          <cell r="G926">
            <v>4000</v>
          </cell>
          <cell r="H926">
            <v>0.15160000000000001</v>
          </cell>
          <cell r="I926">
            <v>606.40000000000009</v>
          </cell>
          <cell r="J926">
            <v>0.18487804878048783</v>
          </cell>
          <cell r="K926">
            <v>133.11219512195123</v>
          </cell>
          <cell r="L926">
            <v>739.51219512195132</v>
          </cell>
          <cell r="O926"/>
          <cell r="Q926">
            <v>3</v>
          </cell>
          <cell r="R926" t="str">
            <v>CF1/2CT52R471J</v>
          </cell>
          <cell r="S926" t="str">
            <v>KOA Speer</v>
          </cell>
          <cell r="T926" t="str">
            <v>Digikey</v>
          </cell>
          <cell r="U926">
            <v>1.0659999999999999E-2</v>
          </cell>
          <cell r="V926">
            <v>4000</v>
          </cell>
          <cell r="W926">
            <v>0</v>
          </cell>
          <cell r="X926">
            <v>1</v>
          </cell>
          <cell r="Z926">
            <v>42.64</v>
          </cell>
          <cell r="AA926">
            <v>563.7600000000001</v>
          </cell>
          <cell r="AB926">
            <v>0.94234036939313981</v>
          </cell>
          <cell r="AE926" t="str">
            <v>POV0067492</v>
          </cell>
          <cell r="AF926" t="str">
            <v>JH</v>
          </cell>
        </row>
        <row r="927">
          <cell r="A927" t="str">
            <v>20-056427-00</v>
          </cell>
          <cell r="B927" t="str">
            <v>JACK SCRW,1/4L,3/16H</v>
          </cell>
          <cell r="C927" t="str">
            <v>JACK SCRW</v>
          </cell>
          <cell r="D927">
            <v>25</v>
          </cell>
          <cell r="E927" t="str">
            <v>N/A</v>
          </cell>
          <cell r="F927" t="str">
            <v>12 Weeks</v>
          </cell>
          <cell r="G927">
            <v>100</v>
          </cell>
          <cell r="H927">
            <v>0.38</v>
          </cell>
          <cell r="I927">
            <v>38</v>
          </cell>
          <cell r="J927">
            <v>0.46341463414634149</v>
          </cell>
          <cell r="K927">
            <v>8.3414634146341484</v>
          </cell>
          <cell r="L927">
            <v>46.341463414634148</v>
          </cell>
          <cell r="O927"/>
          <cell r="Q927">
            <v>1</v>
          </cell>
          <cell r="R927" t="str">
            <v>4750-2-28</v>
          </cell>
          <cell r="S927" t="str">
            <v>RAF Hardware</v>
          </cell>
          <cell r="T927" t="str">
            <v>Heilind</v>
          </cell>
          <cell r="U927">
            <v>0.27942</v>
          </cell>
          <cell r="V927">
            <v>100</v>
          </cell>
          <cell r="W927">
            <v>0</v>
          </cell>
          <cell r="X927">
            <v>1</v>
          </cell>
          <cell r="Z927">
            <v>27.942</v>
          </cell>
          <cell r="AA927">
            <v>10.058</v>
          </cell>
          <cell r="AB927">
            <v>0.39704105263157896</v>
          </cell>
          <cell r="AC927" t="str">
            <v>JH</v>
          </cell>
          <cell r="AE927" t="str">
            <v>POV0067491</v>
          </cell>
          <cell r="AF927" t="str">
            <v>JH</v>
          </cell>
        </row>
        <row r="928">
          <cell r="A928" t="str">
            <v>660-229191-001</v>
          </cell>
          <cell r="B928" t="str">
            <v>PS,36VIN,8.5V BUCK-BOOST UMODULE,ROHS</v>
          </cell>
          <cell r="C928" t="str">
            <v>PS</v>
          </cell>
          <cell r="D928">
            <v>15</v>
          </cell>
          <cell r="E928" t="str">
            <v>N/A</v>
          </cell>
          <cell r="F928" t="str">
            <v>16 Weeks</v>
          </cell>
          <cell r="G928">
            <v>60</v>
          </cell>
          <cell r="H928">
            <v>39.706200000000003</v>
          </cell>
          <cell r="I928">
            <v>2382.3720000000003</v>
          </cell>
          <cell r="J928">
            <v>48.422195121951226</v>
          </cell>
          <cell r="K928">
            <v>522.95970731707348</v>
          </cell>
          <cell r="L928">
            <v>2905.3317073170738</v>
          </cell>
          <cell r="O928"/>
          <cell r="Q928">
            <v>1</v>
          </cell>
          <cell r="R928" t="str">
            <v>LTM8055EY#PBF</v>
          </cell>
          <cell r="S928" t="str">
            <v>ANALOG DEVICES</v>
          </cell>
          <cell r="T928" t="str">
            <v>Mouser via Amalfi</v>
          </cell>
          <cell r="U928">
            <v>57.5</v>
          </cell>
          <cell r="V928">
            <v>60</v>
          </cell>
          <cell r="W928">
            <v>0</v>
          </cell>
          <cell r="X928">
            <v>13</v>
          </cell>
          <cell r="Z928">
            <v>3450</v>
          </cell>
          <cell r="AA928">
            <v>-1067.6279999999997</v>
          </cell>
          <cell r="AB928" t="str">
            <v/>
          </cell>
          <cell r="AE928" t="str">
            <v>POV0067494</v>
          </cell>
          <cell r="AF928" t="str">
            <v>JH</v>
          </cell>
        </row>
        <row r="929">
          <cell r="A929" t="str">
            <v>641-B10665-001</v>
          </cell>
          <cell r="B929" t="str">
            <v>IDCTR,RF,.1UH,.025OHM,10%TOL</v>
          </cell>
          <cell r="C929" t="str">
            <v>IDCTR</v>
          </cell>
          <cell r="D929">
            <v>15</v>
          </cell>
          <cell r="E929" t="str">
            <v>N/A</v>
          </cell>
          <cell r="F929" t="str">
            <v>16 Weeks</v>
          </cell>
          <cell r="G929">
            <v>60</v>
          </cell>
          <cell r="H929">
            <v>16.254052000000001</v>
          </cell>
          <cell r="I929">
            <v>975.24312000000009</v>
          </cell>
          <cell r="J929">
            <v>19.822014634146345</v>
          </cell>
          <cell r="K929">
            <v>214.07775804878065</v>
          </cell>
          <cell r="L929">
            <v>1189.3208780487807</v>
          </cell>
          <cell r="O929"/>
          <cell r="Q929">
            <v>1</v>
          </cell>
          <cell r="R929" t="str">
            <v>ER1641-101KM</v>
          </cell>
          <cell r="S929" t="str">
            <v>Delevan</v>
          </cell>
          <cell r="T929" t="str">
            <v>Mouser</v>
          </cell>
          <cell r="U929">
            <v>7.61</v>
          </cell>
          <cell r="V929">
            <v>60</v>
          </cell>
          <cell r="W929">
            <v>0</v>
          </cell>
          <cell r="X929">
            <v>17</v>
          </cell>
          <cell r="Z929">
            <v>456.6</v>
          </cell>
          <cell r="AA929">
            <v>518.64312000000007</v>
          </cell>
          <cell r="AB929">
            <v>0.61608342338267419</v>
          </cell>
          <cell r="AD929">
            <v>1062721</v>
          </cell>
          <cell r="AE929" t="str">
            <v>POV0067510</v>
          </cell>
          <cell r="AF929" t="str">
            <v>JH</v>
          </cell>
        </row>
        <row r="930">
          <cell r="A930" t="str">
            <v>723-308078-031</v>
          </cell>
          <cell r="B930" t="str">
            <v>STDF,RND,SWAGE1/4 5/16" 6-32,0.105",ROHS</v>
          </cell>
          <cell r="C930" t="str">
            <v>STDF</v>
          </cell>
          <cell r="D930">
            <v>15</v>
          </cell>
          <cell r="E930" t="str">
            <v>N/A</v>
          </cell>
          <cell r="F930" t="str">
            <v>TBD</v>
          </cell>
          <cell r="G930">
            <v>200</v>
          </cell>
          <cell r="H930">
            <v>0.57799999999999996</v>
          </cell>
          <cell r="I930">
            <v>115.6</v>
          </cell>
          <cell r="J930">
            <v>0.70487804878048776</v>
          </cell>
          <cell r="K930">
            <v>25.37560975609756</v>
          </cell>
          <cell r="L930">
            <v>140.97560975609755</v>
          </cell>
          <cell r="O930"/>
          <cell r="Q930">
            <v>2</v>
          </cell>
          <cell r="R930" t="str">
            <v>3048-B-632-B-16</v>
          </cell>
          <cell r="S930" t="str">
            <v>RAF</v>
          </cell>
          <cell r="T930" t="str">
            <v>Hardware Specialty</v>
          </cell>
          <cell r="U930">
            <v>1.5</v>
          </cell>
          <cell r="V930">
            <v>174</v>
          </cell>
          <cell r="W930">
            <v>26</v>
          </cell>
          <cell r="X930">
            <v>5</v>
          </cell>
          <cell r="Y930" t="str">
            <v>Y</v>
          </cell>
          <cell r="Z930">
            <v>261</v>
          </cell>
          <cell r="AA930">
            <v>-160.428</v>
          </cell>
          <cell r="AB930" t="str">
            <v/>
          </cell>
          <cell r="AD930">
            <v>1062721</v>
          </cell>
          <cell r="AE930" t="str">
            <v>POV0067511</v>
          </cell>
          <cell r="AF930" t="str">
            <v>JH</v>
          </cell>
        </row>
        <row r="931">
          <cell r="A931" t="str">
            <v>609-326174-001</v>
          </cell>
          <cell r="B931" t="str">
            <v>DIO,SMD,RECT,35V,10MA,15KV REV V</v>
          </cell>
          <cell r="C931" t="str">
            <v>DIO</v>
          </cell>
          <cell r="D931">
            <v>25</v>
          </cell>
          <cell r="E931" t="str">
            <v>N/A</v>
          </cell>
          <cell r="F931" t="str">
            <v>3 Weeks</v>
          </cell>
          <cell r="G931">
            <v>50</v>
          </cell>
          <cell r="H931">
            <v>11.49</v>
          </cell>
          <cell r="I931">
            <v>574.5</v>
          </cell>
          <cell r="J931">
            <v>14.012195121951221</v>
          </cell>
          <cell r="K931">
            <v>126.10975609756099</v>
          </cell>
          <cell r="L931">
            <v>700.60975609756099</v>
          </cell>
          <cell r="O931"/>
          <cell r="Q931">
            <v>1</v>
          </cell>
          <cell r="R931" t="str">
            <v>SMF150</v>
          </cell>
          <cell r="S931" t="str">
            <v>Voltage Multiplier</v>
          </cell>
          <cell r="T931" t="str">
            <v>Voltage Multipler</v>
          </cell>
          <cell r="U931">
            <v>11.34</v>
          </cell>
          <cell r="V931">
            <v>50</v>
          </cell>
          <cell r="W931">
            <v>0</v>
          </cell>
          <cell r="Z931">
            <v>567</v>
          </cell>
          <cell r="AA931">
            <v>7.5</v>
          </cell>
          <cell r="AB931">
            <v>0.19070496083550914</v>
          </cell>
          <cell r="AE931" t="str">
            <v>POV0067641</v>
          </cell>
          <cell r="AF931" t="str">
            <v>DM</v>
          </cell>
        </row>
        <row r="932">
          <cell r="A932" t="str">
            <v>668-293080-012</v>
          </cell>
          <cell r="B932" t="str">
            <v>CONN,HDR,RTANG,2 ROWS,12 CKT,PCB MT</v>
          </cell>
          <cell r="C932" t="str">
            <v>CONN</v>
          </cell>
          <cell r="D932">
            <v>15</v>
          </cell>
          <cell r="E932">
            <v>1</v>
          </cell>
          <cell r="F932" t="str">
            <v>10 Weeks</v>
          </cell>
          <cell r="G932">
            <v>1000</v>
          </cell>
          <cell r="H932">
            <v>1.94017</v>
          </cell>
          <cell r="I932">
            <v>1940.1699999999998</v>
          </cell>
          <cell r="J932">
            <v>2.3660609756097561</v>
          </cell>
          <cell r="K932">
            <v>425.8909756097562</v>
          </cell>
          <cell r="L932">
            <v>2366.060975609756</v>
          </cell>
          <cell r="M932"/>
          <cell r="N932"/>
          <cell r="O932"/>
          <cell r="P932"/>
          <cell r="Q932">
            <v>1</v>
          </cell>
          <cell r="R932" t="str">
            <v>43045-1200</v>
          </cell>
          <cell r="S932" t="str">
            <v>MOLEX, LLC</v>
          </cell>
          <cell r="T932" t="str">
            <v>Waldom</v>
          </cell>
          <cell r="U932">
            <v>0.89</v>
          </cell>
          <cell r="V932">
            <v>1008</v>
          </cell>
          <cell r="W932">
            <v>-8</v>
          </cell>
          <cell r="X932">
            <v>1</v>
          </cell>
          <cell r="Y932" t="str">
            <v>Y</v>
          </cell>
          <cell r="Z932">
            <v>897.12</v>
          </cell>
          <cell r="AA932">
            <v>1043.0499999999997</v>
          </cell>
          <cell r="AB932">
            <v>0.62083817397444552</v>
          </cell>
          <cell r="AC932" t="str">
            <v>JH</v>
          </cell>
          <cell r="AD932">
            <v>1062721</v>
          </cell>
          <cell r="AE932" t="str">
            <v>POV0067718</v>
          </cell>
          <cell r="AF932" t="str">
            <v>JH</v>
          </cell>
        </row>
        <row r="933">
          <cell r="A933" t="str">
            <v>682-020656-012</v>
          </cell>
          <cell r="B933" t="str">
            <v>FUSE,SMD,1812,8V,2.0A,ROHS</v>
          </cell>
          <cell r="C933" t="str">
            <v>FUSE</v>
          </cell>
          <cell r="D933">
            <v>15</v>
          </cell>
          <cell r="E933">
            <v>1</v>
          </cell>
          <cell r="F933" t="str">
            <v>18 Weeks</v>
          </cell>
          <cell r="G933">
            <v>2000</v>
          </cell>
          <cell r="H933">
            <v>0.23180300000000001</v>
          </cell>
          <cell r="I933">
            <v>463.60599999999999</v>
          </cell>
          <cell r="J933">
            <v>0.28268658536585367</v>
          </cell>
          <cell r="K933">
            <v>101.76717073170732</v>
          </cell>
          <cell r="L933">
            <v>565.37317073170732</v>
          </cell>
          <cell r="M933"/>
          <cell r="N933"/>
          <cell r="O933"/>
          <cell r="P933"/>
          <cell r="Q933">
            <v>1</v>
          </cell>
          <cell r="R933" t="str">
            <v>1812L200THPR</v>
          </cell>
          <cell r="S933" t="str">
            <v>Littelfuse</v>
          </cell>
          <cell r="T933" t="str">
            <v>Digikey</v>
          </cell>
          <cell r="U933">
            <v>0.21199999999999999</v>
          </cell>
          <cell r="V933">
            <v>2000</v>
          </cell>
          <cell r="W933">
            <v>0</v>
          </cell>
          <cell r="X933">
            <v>1</v>
          </cell>
          <cell r="Y933" t="str">
            <v>Y</v>
          </cell>
          <cell r="Z933">
            <v>424</v>
          </cell>
          <cell r="AA933">
            <v>39.605999999999995</v>
          </cell>
          <cell r="AB933">
            <v>0.25005284659818894</v>
          </cell>
          <cell r="AC933" t="str">
            <v>JH</v>
          </cell>
          <cell r="AD933">
            <v>1062721</v>
          </cell>
          <cell r="AE933" t="str">
            <v>POV0067719</v>
          </cell>
          <cell r="AF933" t="str">
            <v>JH</v>
          </cell>
        </row>
        <row r="934">
          <cell r="A934" t="str">
            <v>626-B55941-001</v>
          </cell>
          <cell r="B934" t="str">
            <v>XSTR,SMD,FIELD EFT,N-CHAN,40V,50A,TO-252</v>
          </cell>
          <cell r="C934" t="str">
            <v>XSTR</v>
          </cell>
          <cell r="D934">
            <v>50</v>
          </cell>
          <cell r="E934">
            <v>1</v>
          </cell>
          <cell r="F934" t="str">
            <v>6 Weeks</v>
          </cell>
          <cell r="G934">
            <v>2500</v>
          </cell>
          <cell r="H934">
            <v>0.42099999999999999</v>
          </cell>
          <cell r="I934">
            <v>1052.5</v>
          </cell>
          <cell r="J934">
            <v>0.51341463414634148</v>
          </cell>
          <cell r="K934">
            <v>0.49677999999999994</v>
          </cell>
          <cell r="L934">
            <v>1283.5365853658536</v>
          </cell>
          <cell r="O934"/>
          <cell r="Q934">
            <v>1</v>
          </cell>
          <cell r="R934" t="str">
            <v>FDD8447L</v>
          </cell>
          <cell r="S934" t="str">
            <v>On Semiconductor</v>
          </cell>
          <cell r="T934" t="str">
            <v>Master</v>
          </cell>
          <cell r="U934">
            <v>0.34150000000000003</v>
          </cell>
          <cell r="V934">
            <v>2500</v>
          </cell>
          <cell r="W934">
            <v>0</v>
          </cell>
          <cell r="X934" t="str">
            <v>1-2 wks</v>
          </cell>
          <cell r="Y934" t="str">
            <v>Y</v>
          </cell>
          <cell r="Z934">
            <v>853.75000000000011</v>
          </cell>
          <cell r="AA934">
            <v>198.74999999999989</v>
          </cell>
          <cell r="AB934">
            <v>0.33484560570071253</v>
          </cell>
          <cell r="AD934">
            <v>1108274</v>
          </cell>
          <cell r="AE934" t="str">
            <v>POV0069116</v>
          </cell>
          <cell r="AF934" t="str">
            <v>SH</v>
          </cell>
        </row>
        <row r="935">
          <cell r="A935" t="str">
            <v>615-116028-191</v>
          </cell>
          <cell r="B935" t="str">
            <v>RES,SMD,1206,1.91K,1%,1/4W,ROHS</v>
          </cell>
          <cell r="C935" t="str">
            <v>RES</v>
          </cell>
          <cell r="D935">
            <v>25</v>
          </cell>
          <cell r="E935">
            <v>1</v>
          </cell>
          <cell r="F935" t="str">
            <v>6 Weeks</v>
          </cell>
          <cell r="G935">
            <v>5000</v>
          </cell>
          <cell r="H935">
            <v>1.205E-2</v>
          </cell>
          <cell r="I935">
            <v>60.25</v>
          </cell>
          <cell r="J935">
            <v>1.4695121951219513E-2</v>
          </cell>
          <cell r="K935">
            <v>71.094999999999999</v>
          </cell>
          <cell r="L935">
            <v>73.475609756097569</v>
          </cell>
          <cell r="O935"/>
          <cell r="Q935">
            <v>1</v>
          </cell>
          <cell r="R935" t="str">
            <v>CRCW12061K91FKEA</v>
          </cell>
          <cell r="S935" t="str">
            <v>Vishay Dale</v>
          </cell>
          <cell r="T935" t="str">
            <v>TTI</v>
          </cell>
          <cell r="U935">
            <v>8.7399999999999995E-3</v>
          </cell>
          <cell r="V935">
            <v>5000</v>
          </cell>
          <cell r="W935">
            <v>0</v>
          </cell>
          <cell r="X935" t="str">
            <v>1-2 wks</v>
          </cell>
          <cell r="Y935" t="str">
            <v>Y</v>
          </cell>
          <cell r="Z935">
            <v>43.699999999999996</v>
          </cell>
          <cell r="AA935">
            <v>16.550000000000004</v>
          </cell>
          <cell r="AB935">
            <v>0.40524481327800843</v>
          </cell>
          <cell r="AD935">
            <v>1108274</v>
          </cell>
          <cell r="AE935" t="str">
            <v>POV0069117</v>
          </cell>
          <cell r="AF935" t="str">
            <v>SH</v>
          </cell>
        </row>
        <row r="936">
          <cell r="A936" t="str">
            <v>615-116028-249</v>
          </cell>
          <cell r="B936" t="str">
            <v>RES,SMD,1206,2.49K,1%,1/4W,ROHS</v>
          </cell>
          <cell r="C936" t="str">
            <v>RES</v>
          </cell>
          <cell r="D936">
            <v>25</v>
          </cell>
          <cell r="E936">
            <v>1</v>
          </cell>
          <cell r="F936" t="str">
            <v>6 Weeks</v>
          </cell>
          <cell r="G936">
            <v>5000</v>
          </cell>
          <cell r="H936">
            <v>1.205E-2</v>
          </cell>
          <cell r="I936">
            <v>60.25</v>
          </cell>
          <cell r="J936">
            <v>1.4695121951219513E-2</v>
          </cell>
          <cell r="K936">
            <v>71.094999999999999</v>
          </cell>
          <cell r="L936">
            <v>73.475609756097569</v>
          </cell>
          <cell r="O936"/>
          <cell r="Q936">
            <v>1</v>
          </cell>
          <cell r="R936" t="str">
            <v>CRCW12062K49FKEA</v>
          </cell>
          <cell r="S936" t="str">
            <v>Vishay Dale</v>
          </cell>
          <cell r="T936" t="str">
            <v>Avnet</v>
          </cell>
          <cell r="U936">
            <v>5.2500000000000003E-3</v>
          </cell>
          <cell r="V936">
            <v>5000</v>
          </cell>
          <cell r="W936">
            <v>0</v>
          </cell>
          <cell r="X936" t="str">
            <v>1-2 wks</v>
          </cell>
          <cell r="Y936" t="str">
            <v>Y</v>
          </cell>
          <cell r="Z936">
            <v>26.25</v>
          </cell>
          <cell r="AA936">
            <v>34</v>
          </cell>
          <cell r="AB936">
            <v>0.64273858921161831</v>
          </cell>
          <cell r="AD936">
            <v>1108274</v>
          </cell>
          <cell r="AE936" t="str">
            <v>POV0069126</v>
          </cell>
          <cell r="AF936" t="str">
            <v>SH</v>
          </cell>
        </row>
        <row r="937">
          <cell r="A937" t="str">
            <v>630-337692-002</v>
          </cell>
          <cell r="B937" t="str">
            <v>IC,SMD,DUAL-ARM,CORTEX-A53,1.8MB,SFVC784</v>
          </cell>
          <cell r="C937" t="str">
            <v>IC</v>
          </cell>
          <cell r="D937">
            <v>25</v>
          </cell>
          <cell r="E937">
            <v>4</v>
          </cell>
          <cell r="F937" t="str">
            <v>26 Weeks</v>
          </cell>
          <cell r="G937">
            <v>50</v>
          </cell>
          <cell r="H937">
            <v>472.72437000000002</v>
          </cell>
          <cell r="I937">
            <v>23636.218500000003</v>
          </cell>
          <cell r="J937">
            <v>576.4931341463415</v>
          </cell>
          <cell r="K937">
            <v>5188.4382073170746</v>
          </cell>
          <cell r="L937">
            <v>28824.656707317074</v>
          </cell>
          <cell r="O937"/>
          <cell r="Q937">
            <v>1</v>
          </cell>
          <cell r="R937" t="str">
            <v>XCZU3CG-1SFVC784E</v>
          </cell>
          <cell r="S937" t="str">
            <v>XILINX</v>
          </cell>
          <cell r="T937" t="str">
            <v>Digikey</v>
          </cell>
          <cell r="U937">
            <v>482.3</v>
          </cell>
          <cell r="V937">
            <v>50</v>
          </cell>
          <cell r="W937">
            <v>0</v>
          </cell>
          <cell r="X937">
            <v>1</v>
          </cell>
          <cell r="Y937" t="str">
            <v>Y</v>
          </cell>
          <cell r="Z937">
            <v>24115</v>
          </cell>
          <cell r="AA937">
            <v>-478.78149999999732</v>
          </cell>
          <cell r="AB937" t="str">
            <v/>
          </cell>
          <cell r="AC937" t="str">
            <v>JH</v>
          </cell>
          <cell r="AD937">
            <v>1062411</v>
          </cell>
          <cell r="AE937" t="str">
            <v>POV0066722 / POV0067001</v>
          </cell>
          <cell r="AF937" t="str">
            <v>JH</v>
          </cell>
        </row>
        <row r="938">
          <cell r="A938" t="str">
            <v>621-095110-505</v>
          </cell>
          <cell r="B938" t="str">
            <v>POT TRIM,5MEG,25T,PCMT,ROHS</v>
          </cell>
          <cell r="C938" t="str">
            <v>POT</v>
          </cell>
          <cell r="D938">
            <v>15</v>
          </cell>
          <cell r="E938" t="str">
            <v>N/A</v>
          </cell>
          <cell r="F938" t="str">
            <v>10 Weeks</v>
          </cell>
          <cell r="G938">
            <v>2000</v>
          </cell>
          <cell r="H938">
            <v>1.0747640000000001</v>
          </cell>
          <cell r="I938">
            <v>2149.5280000000002</v>
          </cell>
          <cell r="J938">
            <v>1.3106878048780488</v>
          </cell>
          <cell r="K938">
            <v>471.84760975609788</v>
          </cell>
          <cell r="L938">
            <v>2621.3756097560977</v>
          </cell>
          <cell r="O938"/>
          <cell r="Q938">
            <v>1</v>
          </cell>
          <cell r="R938" t="str">
            <v>3296W-1-505LF</v>
          </cell>
          <cell r="S938" t="str">
            <v>Bourns</v>
          </cell>
          <cell r="T938" t="str">
            <v>Master Electronics / TTI</v>
          </cell>
          <cell r="U938">
            <v>0.98375000000000001</v>
          </cell>
          <cell r="V938">
            <v>2000</v>
          </cell>
          <cell r="W938">
            <v>0</v>
          </cell>
          <cell r="Y938" t="str">
            <v>Y</v>
          </cell>
          <cell r="Z938">
            <v>1967.5</v>
          </cell>
          <cell r="AA938">
            <v>182.02800000000025</v>
          </cell>
          <cell r="AB938">
            <v>0.2494398770334697</v>
          </cell>
          <cell r="AC938" t="str">
            <v>JH</v>
          </cell>
          <cell r="AD938">
            <v>1062721</v>
          </cell>
          <cell r="AE938" t="str">
            <v>POV0067121 / POV0067477</v>
          </cell>
          <cell r="AF938" t="str">
            <v>JH</v>
          </cell>
        </row>
        <row r="939">
          <cell r="A939" t="str">
            <v>630-B10043-001</v>
          </cell>
          <cell r="B939" t="str">
            <v>IC,SMD,GATE DRIVER,2CHAN,10-20V,SOIC-8</v>
          </cell>
          <cell r="C939" t="str">
            <v>IC</v>
          </cell>
          <cell r="D939">
            <v>15</v>
          </cell>
          <cell r="E939">
            <v>3</v>
          </cell>
          <cell r="F939" t="str">
            <v>27 Weeks</v>
          </cell>
          <cell r="G939">
            <v>200</v>
          </cell>
          <cell r="H939">
            <v>0.843144</v>
          </cell>
          <cell r="I939">
            <v>168.62880000000001</v>
          </cell>
          <cell r="J939">
            <v>1.0282243902439026</v>
          </cell>
          <cell r="K939">
            <v>37.016078048780514</v>
          </cell>
          <cell r="L939">
            <v>205.6448780487805</v>
          </cell>
          <cell r="O939"/>
          <cell r="Q939">
            <v>1</v>
          </cell>
          <cell r="R939" t="str">
            <v>747-LF2104NTR</v>
          </cell>
          <cell r="S939" t="str">
            <v>IXYS</v>
          </cell>
          <cell r="T939" t="str">
            <v>Digi-Key</v>
          </cell>
          <cell r="U939">
            <v>0.78979999999999995</v>
          </cell>
          <cell r="V939">
            <v>200</v>
          </cell>
          <cell r="W939">
            <v>0</v>
          </cell>
          <cell r="X939">
            <v>1</v>
          </cell>
          <cell r="Y939" t="str">
            <v>Y</v>
          </cell>
          <cell r="Z939">
            <v>157.95999999999998</v>
          </cell>
          <cell r="AA939">
            <v>10.668800000000033</v>
          </cell>
          <cell r="AB939">
            <v>0.23187972635753806</v>
          </cell>
          <cell r="AD939">
            <v>1062721</v>
          </cell>
          <cell r="AE939" t="str">
            <v>POV0067325</v>
          </cell>
          <cell r="AF939" t="str">
            <v>ES</v>
          </cell>
        </row>
        <row r="940">
          <cell r="A940" t="str">
            <v>626-291284-001</v>
          </cell>
          <cell r="B940" t="str">
            <v>XSTR,SMD,FIELD EFT,N CHAN,100V,45A</v>
          </cell>
          <cell r="C940" t="str">
            <v>XSTR</v>
          </cell>
          <cell r="D940">
            <v>15</v>
          </cell>
          <cell r="E940">
            <v>1</v>
          </cell>
          <cell r="F940" t="str">
            <v>3 Weeks</v>
          </cell>
          <cell r="G940">
            <v>60</v>
          </cell>
          <cell r="H940">
            <v>3.7255199999999999</v>
          </cell>
          <cell r="I940">
            <v>223.53119999999998</v>
          </cell>
          <cell r="J940">
            <v>4.5433170731707317</v>
          </cell>
          <cell r="K940">
            <v>49.067824390243942</v>
          </cell>
          <cell r="L940">
            <v>272.59902439024393</v>
          </cell>
          <cell r="O940"/>
          <cell r="Q940">
            <v>1</v>
          </cell>
          <cell r="R940" t="str">
            <v>FDMS86152</v>
          </cell>
          <cell r="S940" t="str">
            <v>On Semiconductor</v>
          </cell>
          <cell r="T940" t="str">
            <v>Rochester</v>
          </cell>
          <cell r="U940">
            <v>2.61</v>
          </cell>
          <cell r="V940">
            <v>60</v>
          </cell>
          <cell r="W940">
            <v>0</v>
          </cell>
          <cell r="X940">
            <v>1</v>
          </cell>
          <cell r="Y940" t="str">
            <v>Y</v>
          </cell>
          <cell r="Z940">
            <v>156.6</v>
          </cell>
          <cell r="AA940">
            <v>66.93119999999999</v>
          </cell>
          <cell r="AB940">
            <v>0.42552985891902351</v>
          </cell>
          <cell r="AD940">
            <v>1062721</v>
          </cell>
          <cell r="AE940" t="str">
            <v>POV0067303</v>
          </cell>
          <cell r="AF940" t="str">
            <v>JH</v>
          </cell>
        </row>
        <row r="941">
          <cell r="A941" t="str">
            <v>609-066834-030</v>
          </cell>
          <cell r="B941" t="str">
            <v>DIO,SMD,SCHOTTKY,30V,2A</v>
          </cell>
          <cell r="C941" t="str">
            <v>DIO</v>
          </cell>
          <cell r="D941">
            <v>15</v>
          </cell>
          <cell r="E941">
            <v>1</v>
          </cell>
          <cell r="F941" t="str">
            <v>11 Weeks</v>
          </cell>
          <cell r="G941">
            <v>750</v>
          </cell>
          <cell r="H941">
            <v>0.14599999999999999</v>
          </cell>
          <cell r="I941">
            <v>109.5</v>
          </cell>
          <cell r="J941">
            <v>0.17804878048780487</v>
          </cell>
          <cell r="K941">
            <v>24.036585365853654</v>
          </cell>
          <cell r="L941">
            <v>133.53658536585365</v>
          </cell>
          <cell r="O941"/>
          <cell r="Q941">
            <v>2</v>
          </cell>
          <cell r="R941" t="str">
            <v>SS23</v>
          </cell>
          <cell r="S941" t="str">
            <v>ONSEMI</v>
          </cell>
          <cell r="T941" t="str">
            <v>Rochester</v>
          </cell>
          <cell r="U941">
            <v>0.123</v>
          </cell>
          <cell r="V941">
            <v>750</v>
          </cell>
          <cell r="W941">
            <v>0</v>
          </cell>
          <cell r="X941">
            <v>1</v>
          </cell>
          <cell r="Y941" t="str">
            <v>Y</v>
          </cell>
          <cell r="Z941">
            <v>92.25</v>
          </cell>
          <cell r="AA941">
            <v>17.25</v>
          </cell>
          <cell r="AB941">
            <v>0.30917808219178078</v>
          </cell>
          <cell r="AD941">
            <v>1062721</v>
          </cell>
          <cell r="AE941" t="str">
            <v>POV0067303</v>
          </cell>
          <cell r="AF941" t="str">
            <v>JH</v>
          </cell>
        </row>
        <row r="942">
          <cell r="A942" t="str">
            <v>Total Liability</v>
          </cell>
          <cell r="H942"/>
        </row>
        <row r="943">
          <cell r="A943"/>
        </row>
      </sheetData>
      <sheetData sheetId="1">
        <row r="1">
          <cell r="A1" t="str">
            <v>CPC</v>
          </cell>
          <cell r="B1" t="str">
            <v>MPN</v>
          </cell>
          <cell r="C1" t="str">
            <v>Part Family</v>
          </cell>
          <cell r="D1" t="str">
            <v>Note</v>
          </cell>
          <cell r="E1" t="str">
            <v>MPN6</v>
          </cell>
          <cell r="F1" t="str">
            <v>Part Description</v>
          </cell>
        </row>
        <row r="2">
          <cell r="A2" t="str">
            <v>668-064180-001</v>
          </cell>
          <cell r="B2">
            <v>23.5076</v>
          </cell>
          <cell r="C2" t="str">
            <v>CONN</v>
          </cell>
          <cell r="F2" t="str">
            <v>CONN,MULTILAM,B4-E-M3,SOCKET ROHS</v>
          </cell>
        </row>
        <row r="3">
          <cell r="A3" t="str">
            <v>34-00131-00</v>
          </cell>
          <cell r="B3">
            <v>3116</v>
          </cell>
          <cell r="C3" t="str">
            <v>WASHER</v>
          </cell>
          <cell r="D3" t="str">
            <v>Hardware</v>
          </cell>
          <cell r="F3" t="str">
            <v>WASHER,INSUL,FIBRE</v>
          </cell>
        </row>
        <row r="4">
          <cell r="A4" t="str">
            <v>723-B11534-003</v>
          </cell>
          <cell r="B4">
            <v>4857</v>
          </cell>
          <cell r="C4" t="str">
            <v>SPCR</v>
          </cell>
          <cell r="D4" t="str">
            <v>Hardware</v>
          </cell>
          <cell r="F4" t="str">
            <v>SPCR,FORCE FIT,#6 SCR SIZE,.250IN LG,SST</v>
          </cell>
        </row>
        <row r="5">
          <cell r="A5" t="str">
            <v>671-219755-001</v>
          </cell>
          <cell r="B5">
            <v>5000</v>
          </cell>
          <cell r="C5" t="str">
            <v>TP</v>
          </cell>
          <cell r="F5" t="str">
            <v>TP,PCB,MINIATURE LOOP,RED</v>
          </cell>
        </row>
        <row r="6">
          <cell r="A6" t="str">
            <v>671-219755-004</v>
          </cell>
          <cell r="B6">
            <v>5003</v>
          </cell>
          <cell r="C6" t="str">
            <v>TP</v>
          </cell>
          <cell r="F6" t="str">
            <v>TP,PCB,MINIATURE LOOP,ORANGE</v>
          </cell>
        </row>
        <row r="7">
          <cell r="A7" t="str">
            <v>669-B08291-001</v>
          </cell>
          <cell r="B7">
            <v>5026</v>
          </cell>
          <cell r="C7" t="str">
            <v>CONT</v>
          </cell>
          <cell r="F7" t="str">
            <v>CONT,JUMPER,0.200 PITCH</v>
          </cell>
        </row>
        <row r="8">
          <cell r="A8" t="str">
            <v>671-A96800-001</v>
          </cell>
          <cell r="B8">
            <v>7779</v>
          </cell>
          <cell r="C8" t="str">
            <v>TERM</v>
          </cell>
          <cell r="F8" t="str">
            <v>TERM,PCB,6-32THD,15A,THM,HORIZ MT</v>
          </cell>
        </row>
        <row r="9">
          <cell r="A9" t="str">
            <v>671-119709-001</v>
          </cell>
          <cell r="B9">
            <v>7786</v>
          </cell>
          <cell r="C9" t="str">
            <v>TERM</v>
          </cell>
          <cell r="F9" t="str">
            <v>TERM,PCB,6-32,30A</v>
          </cell>
        </row>
        <row r="10">
          <cell r="A10" t="str">
            <v>723-082900-011</v>
          </cell>
          <cell r="B10">
            <v>8321</v>
          </cell>
          <cell r="C10" t="str">
            <v>SPCR</v>
          </cell>
          <cell r="D10" t="str">
            <v>Hardware</v>
          </cell>
          <cell r="F10" t="str">
            <v>SPCR,NYL,LED,T-1 3/4,BI-LEAD,0.30 IN LG</v>
          </cell>
        </row>
        <row r="11">
          <cell r="A11" t="str">
            <v>669-047358-001</v>
          </cell>
          <cell r="B11">
            <v>50865</v>
          </cell>
          <cell r="C11" t="str">
            <v>CONT</v>
          </cell>
          <cell r="F11" t="str">
            <v>CONT,SKT,MINIATURE SPRING SOCKET</v>
          </cell>
        </row>
        <row r="12">
          <cell r="A12" t="str">
            <v>668-290744-001</v>
          </cell>
          <cell r="B12">
            <v>132291</v>
          </cell>
          <cell r="C12" t="str">
            <v>CONN</v>
          </cell>
          <cell r="F12" t="str">
            <v>CONN,SMA,JACK,STR,50 OHM,PCB</v>
          </cell>
        </row>
        <row r="13">
          <cell r="A13" t="str">
            <v>667-072912-025</v>
          </cell>
          <cell r="B13">
            <v>154196</v>
          </cell>
          <cell r="C13" t="str">
            <v>CONN</v>
          </cell>
          <cell r="F13" t="str">
            <v>CONN,SMD,D-SUB,MR,7.3MM,25P ROHS</v>
          </cell>
        </row>
        <row r="14">
          <cell r="A14" t="str">
            <v>667-072912-037</v>
          </cell>
          <cell r="B14">
            <v>154200</v>
          </cell>
          <cell r="C14" t="str">
            <v>CONN</v>
          </cell>
          <cell r="F14" t="str">
            <v>CONN,SMD,D-SUB,MR,7.3MM,37P ROHS</v>
          </cell>
        </row>
        <row r="15">
          <cell r="A15" t="str">
            <v>667-072911-025</v>
          </cell>
          <cell r="B15">
            <v>154244</v>
          </cell>
          <cell r="C15" t="str">
            <v>CONN</v>
          </cell>
          <cell r="F15" t="str">
            <v>CONN,SMD,D-SUB,FR,7.3MM,25P ROHS</v>
          </cell>
        </row>
        <row r="16">
          <cell r="A16" t="str">
            <v>667-072911-037</v>
          </cell>
          <cell r="B16">
            <v>154248</v>
          </cell>
          <cell r="C16" t="str">
            <v>CONN</v>
          </cell>
          <cell r="F16" t="str">
            <v>CONN,SMD,D-SUB,FR,7.3MM,37P ROHS</v>
          </cell>
        </row>
        <row r="17">
          <cell r="A17" t="str">
            <v>670-006780-037</v>
          </cell>
          <cell r="B17">
            <v>314010</v>
          </cell>
          <cell r="C17" t="str">
            <v>FUSE</v>
          </cell>
          <cell r="F17" t="str">
            <v>FUSE .25x1.25 10A 250VAC,ROHS</v>
          </cell>
        </row>
        <row r="18">
          <cell r="A18" t="str">
            <v>20-056427-00</v>
          </cell>
          <cell r="B18" t="str">
            <v>4750-2-28</v>
          </cell>
          <cell r="C18" t="str">
            <v>JACK SCRW</v>
          </cell>
          <cell r="F18" t="str">
            <v>JACK SCRW,1/4L,3/16H</v>
          </cell>
        </row>
        <row r="19">
          <cell r="A19" t="str">
            <v>668-322137-001</v>
          </cell>
          <cell r="B19">
            <v>1424241</v>
          </cell>
          <cell r="C19" t="str">
            <v>CONN</v>
          </cell>
          <cell r="F19" t="str">
            <v>CONN,RCPT,M8,B,5P,STRAIGHT,THRU HOLE</v>
          </cell>
        </row>
        <row r="20">
          <cell r="A20" t="str">
            <v>668-234157-002</v>
          </cell>
          <cell r="B20">
            <v>1843224</v>
          </cell>
          <cell r="C20" t="str">
            <v>CONN</v>
          </cell>
          <cell r="F20" t="str">
            <v>CONN,HDR,PCB,2POSN,8A,160V,3.5MM,GRN</v>
          </cell>
        </row>
        <row r="21">
          <cell r="A21" t="str">
            <v>668-234157-001</v>
          </cell>
          <cell r="B21">
            <v>1843237</v>
          </cell>
          <cell r="C21" t="str">
            <v>CONN</v>
          </cell>
          <cell r="F21" t="str">
            <v>CONN,HDR,PCB,3POSN,8A,160V,3.5MM,GRN</v>
          </cell>
        </row>
        <row r="22">
          <cell r="A22" t="str">
            <v>666-A51363-001</v>
          </cell>
          <cell r="B22">
            <v>32208550</v>
          </cell>
          <cell r="C22" t="str">
            <v>SNSR</v>
          </cell>
          <cell r="F22" t="str">
            <v>SNSR,TEMP,PT100,M222,-50 TO 300DEG C,PT</v>
          </cell>
        </row>
        <row r="23">
          <cell r="A23" t="str">
            <v>668-248128-001</v>
          </cell>
          <cell r="B23">
            <v>731385033</v>
          </cell>
          <cell r="C23" t="str">
            <v>CONN</v>
          </cell>
          <cell r="F23" t="str">
            <v>CONN,RCPT,BNC,50 OHM,PCB R/A,BH MT,GRND</v>
          </cell>
        </row>
        <row r="24">
          <cell r="A24" t="str">
            <v>668-266373-001</v>
          </cell>
          <cell r="B24">
            <v>732055033</v>
          </cell>
          <cell r="C24" t="str">
            <v>CONN</v>
          </cell>
          <cell r="F24" t="str">
            <v>CONN,RCPT,TNC,50 OHM,RT ANGLE</v>
          </cell>
        </row>
        <row r="25">
          <cell r="A25" t="str">
            <v>667-272524-001</v>
          </cell>
          <cell r="B25">
            <v>734152063</v>
          </cell>
          <cell r="C25" t="str">
            <v>CONN</v>
          </cell>
          <cell r="F25" t="str">
            <v>CONN,SMD,MMCX,JACK,STR,50 OHM</v>
          </cell>
        </row>
        <row r="26">
          <cell r="A26" t="str">
            <v>668-311384-008</v>
          </cell>
          <cell r="B26">
            <v>1720420301</v>
          </cell>
          <cell r="C26" t="str">
            <v>CONN</v>
          </cell>
          <cell r="F26" t="str">
            <v>CONN,HDR,VERTICAL,3POS,NO BRD LCK</v>
          </cell>
        </row>
        <row r="27">
          <cell r="A27" t="str">
            <v>668-311384-002</v>
          </cell>
          <cell r="B27">
            <v>1720420302</v>
          </cell>
          <cell r="C27" t="str">
            <v>CONN</v>
          </cell>
          <cell r="F27" t="str">
            <v>CONN,HDR,VERTICAL,3POS,</v>
          </cell>
        </row>
        <row r="28">
          <cell r="A28" t="str">
            <v>668-311384-009</v>
          </cell>
          <cell r="B28">
            <v>1720420401</v>
          </cell>
          <cell r="C28" t="str">
            <v>CONN</v>
          </cell>
          <cell r="F28" t="str">
            <v>CONN,HDR,VERTICAL,4POS,NO BRD LCK</v>
          </cell>
        </row>
        <row r="29">
          <cell r="A29" t="str">
            <v>668-311384-007</v>
          </cell>
          <cell r="B29">
            <v>1720420601</v>
          </cell>
          <cell r="C29" t="str">
            <v>CONN</v>
          </cell>
          <cell r="F29" t="str">
            <v>CONN,HDR,VERTICAL,6POS,NO BRD LCK</v>
          </cell>
        </row>
        <row r="30">
          <cell r="A30" t="str">
            <v>667-A56052-001</v>
          </cell>
          <cell r="B30">
            <v>2005280040</v>
          </cell>
          <cell r="C30" t="str">
            <v>CONN</v>
          </cell>
          <cell r="F30" t="str">
            <v>CONN,SMD,FFC/FPC,4CKT,1A,125V,BOT,RTANG</v>
          </cell>
        </row>
        <row r="31">
          <cell r="A31" t="str">
            <v>667-A73672-003</v>
          </cell>
          <cell r="B31">
            <v>5019530307</v>
          </cell>
          <cell r="C31" t="str">
            <v>CONN</v>
          </cell>
          <cell r="F31" t="str">
            <v>CONN,SMD,HDR,3PIN,1MM PITCH,SN PLD,RTANG</v>
          </cell>
        </row>
        <row r="32">
          <cell r="A32" t="str">
            <v>668-A75034-005</v>
          </cell>
          <cell r="B32">
            <v>5031590600</v>
          </cell>
          <cell r="C32" t="str">
            <v>CONN</v>
          </cell>
          <cell r="F32" t="str">
            <v>CONN,RCPT,6POSN,1.5MM PITCH,BEIGE</v>
          </cell>
        </row>
        <row r="33">
          <cell r="A33" t="str">
            <v>667-A00288-001</v>
          </cell>
          <cell r="B33" t="str">
            <v>503398-1892</v>
          </cell>
          <cell r="C33" t="str">
            <v>CONN</v>
          </cell>
          <cell r="F33" t="str">
            <v>CONN,SMD,MICRO SD,8PIN,PUSH-PUSH,.5A,10V</v>
          </cell>
        </row>
        <row r="34">
          <cell r="A34" t="str">
            <v>668-A40315-040</v>
          </cell>
          <cell r="B34">
            <v>5051104091</v>
          </cell>
          <cell r="C34" t="str">
            <v>CONN</v>
          </cell>
          <cell r="F34" t="str">
            <v>CONN,FFC/FPC,BOT CONT,.5MM,40CKT,.5A,50V</v>
          </cell>
        </row>
        <row r="35">
          <cell r="A35" t="str">
            <v>639-A20790-001</v>
          </cell>
          <cell r="B35">
            <v>7443551130</v>
          </cell>
          <cell r="C35" t="str">
            <v>IDCTR</v>
          </cell>
          <cell r="F35" t="str">
            <v>IDCTR,SMD,WW,H CUR,1.3UH,±20%,25A,59MHZ</v>
          </cell>
        </row>
        <row r="36">
          <cell r="A36" t="str">
            <v>639-A66354-001</v>
          </cell>
          <cell r="B36">
            <v>7443551370</v>
          </cell>
          <cell r="C36" t="str">
            <v>IDCTR</v>
          </cell>
          <cell r="F36" t="str">
            <v>IDCTR,SMD,WW,3.7UH,±20%,17A,SHLD,1365</v>
          </cell>
        </row>
        <row r="37">
          <cell r="A37" t="str">
            <v>641-254722-001</v>
          </cell>
          <cell r="B37">
            <v>7447480102</v>
          </cell>
          <cell r="C37" t="str">
            <v>IDCTR</v>
          </cell>
          <cell r="F37" t="str">
            <v>IDCTR,WOUND,RDL,1MH,800MA,1.15 OHM,THT</v>
          </cell>
        </row>
        <row r="38">
          <cell r="A38" t="str">
            <v>668-117019-062</v>
          </cell>
          <cell r="B38">
            <v>9564517512</v>
          </cell>
          <cell r="C38" t="str">
            <v>CONN</v>
          </cell>
          <cell r="F38" t="str">
            <v>CONN,RCPT,DSUB,HD,ST,FEM,62P,ROHS</v>
          </cell>
        </row>
        <row r="39">
          <cell r="A39" t="str">
            <v>39-433734-00</v>
          </cell>
          <cell r="B39">
            <v>65100516121</v>
          </cell>
          <cell r="C39" t="str">
            <v>CONN</v>
          </cell>
          <cell r="F39" t="str">
            <v>CONN,USB,MINI-B TYPE SKT,5POS,SMT,30VAC,</v>
          </cell>
        </row>
        <row r="40">
          <cell r="A40" t="str">
            <v>648-B09166-001</v>
          </cell>
          <cell r="B40">
            <v>865060653010</v>
          </cell>
          <cell r="C40" t="str">
            <v>CAP</v>
          </cell>
          <cell r="F40" t="str">
            <v>CAP,SMD,ELCTLT,AL,100UF,20%,50VDC</v>
          </cell>
        </row>
        <row r="41">
          <cell r="A41" t="str">
            <v>668-A09548-009</v>
          </cell>
          <cell r="B41">
            <v>9551156612741</v>
          </cell>
          <cell r="C41" t="str">
            <v>CONN</v>
          </cell>
          <cell r="F41" t="str">
            <v>CONN,RCPT,D-SUB,SIZE 1,9POSN,5A,STR,SMD</v>
          </cell>
        </row>
        <row r="42">
          <cell r="A42" t="str">
            <v>667-072911-009</v>
          </cell>
          <cell r="B42">
            <v>9551566616741</v>
          </cell>
          <cell r="C42" t="str">
            <v>CONN</v>
          </cell>
          <cell r="F42" t="str">
            <v>CONN,SMD,D-SUB,FR,7.3MM,9P ROHS</v>
          </cell>
        </row>
        <row r="43">
          <cell r="A43" t="str">
            <v>667-072912-009</v>
          </cell>
          <cell r="B43">
            <v>9551666816741</v>
          </cell>
          <cell r="C43" t="str">
            <v>CONN</v>
          </cell>
          <cell r="F43" t="str">
            <v>CONN,SMD,D-SUB,MR,7.3MM,9P ROHS</v>
          </cell>
        </row>
        <row r="44">
          <cell r="A44" t="str">
            <v>668-A09548-015</v>
          </cell>
          <cell r="B44">
            <v>9552156612741</v>
          </cell>
          <cell r="C44" t="str">
            <v>CONN</v>
          </cell>
          <cell r="F44" t="str">
            <v>CONN,RCPT,D-SUB,SIZE 2,15POSN,5A,STR,SMD</v>
          </cell>
        </row>
        <row r="45">
          <cell r="A45" t="str">
            <v>667-072911-015</v>
          </cell>
          <cell r="B45">
            <v>9552566616741</v>
          </cell>
          <cell r="C45" t="str">
            <v>CONN</v>
          </cell>
          <cell r="D45"/>
          <cell r="F45" t="str">
            <v>CONN,SMD,D-SUB,FR,7.3MM,15P ROHS</v>
          </cell>
        </row>
        <row r="46">
          <cell r="A46" t="str">
            <v>667-072912-015</v>
          </cell>
          <cell r="B46">
            <v>9552666816741</v>
          </cell>
          <cell r="C46" t="str">
            <v>CONN</v>
          </cell>
          <cell r="D46"/>
          <cell r="F46" t="str">
            <v>CONN,SMD,D-SUB,MR,7.3MM,15P ROHS</v>
          </cell>
        </row>
        <row r="47">
          <cell r="A47" t="str">
            <v>668-A09548-025</v>
          </cell>
          <cell r="B47">
            <v>9553156612741</v>
          </cell>
          <cell r="C47" t="str">
            <v>CONN</v>
          </cell>
          <cell r="F47" t="str">
            <v>CONN,RCPT,D-SUB,SIZE 3,25POSN,5A,STR,SMD</v>
          </cell>
        </row>
        <row r="48">
          <cell r="A48" t="str">
            <v>628-072604-001</v>
          </cell>
          <cell r="B48" t="str">
            <v>IRF1310NSTRLPBF</v>
          </cell>
          <cell r="C48" t="str">
            <v>XSTR</v>
          </cell>
          <cell r="F48" t="str">
            <v>XSTR,FIELD EFT,PWR MOSFET,N-CH</v>
          </cell>
        </row>
        <row r="49">
          <cell r="A49" t="str">
            <v>670-006780-037</v>
          </cell>
          <cell r="B49" t="str">
            <v>#ABC-10</v>
          </cell>
          <cell r="C49" t="str">
            <v>FUSE</v>
          </cell>
          <cell r="F49" t="str">
            <v>FUSE .25x1.25 10A 250VAC,ROHS</v>
          </cell>
        </row>
        <row r="50">
          <cell r="A50" t="str">
            <v>648-228694-005</v>
          </cell>
          <cell r="B50" t="str">
            <v>04025A180JAT2A</v>
          </cell>
          <cell r="C50" t="str">
            <v>CAP</v>
          </cell>
          <cell r="F50" t="str">
            <v>CAP,SMD,CER,18PF,50V,5%,NP0,0402</v>
          </cell>
        </row>
        <row r="51">
          <cell r="A51" t="str">
            <v>648-124321-333</v>
          </cell>
          <cell r="B51" t="str">
            <v>04025C333KAT2A</v>
          </cell>
          <cell r="C51" t="str">
            <v>CAP</v>
          </cell>
          <cell r="F51" t="str">
            <v>CAP,SMD,0402,CER,X7R,10%,50V,33NF ROHS</v>
          </cell>
        </row>
        <row r="52">
          <cell r="A52" t="str">
            <v>648-124321-681</v>
          </cell>
          <cell r="B52" t="str">
            <v>04025C681KAT2A</v>
          </cell>
          <cell r="C52" t="str">
            <v>CAP</v>
          </cell>
          <cell r="F52" t="str">
            <v>CAP,SMD,0402,CER,X7R,10%,50V,680PF ROHS</v>
          </cell>
        </row>
        <row r="53">
          <cell r="A53" t="str">
            <v>682-138807-003</v>
          </cell>
          <cell r="B53" t="str">
            <v>0452002.MRL</v>
          </cell>
          <cell r="C53" t="str">
            <v>FUSE</v>
          </cell>
          <cell r="D53" t="str">
            <v>AC Box</v>
          </cell>
          <cell r="F53" t="str">
            <v>FUSE,SMD,2A,125V,SLOBLO,NANO2</v>
          </cell>
        </row>
        <row r="54">
          <cell r="A54" t="str">
            <v>670-338640-100</v>
          </cell>
          <cell r="B54" t="str">
            <v>0477001.MX6P</v>
          </cell>
          <cell r="C54" t="str">
            <v>FUSE</v>
          </cell>
          <cell r="D54" t="str">
            <v>AC Box</v>
          </cell>
          <cell r="F54" t="str">
            <v>FUSE,CRTG,1A,600VAC/400DC,5X20MM</v>
          </cell>
        </row>
        <row r="55">
          <cell r="A55" t="str">
            <v>670-338640-200</v>
          </cell>
          <cell r="B55" t="str">
            <v>0477002.MX6P</v>
          </cell>
          <cell r="C55" t="str">
            <v>FUSE</v>
          </cell>
          <cell r="F55" t="str">
            <v>FUSE,CRTG,2A,600VAC/400DC,5X20MM</v>
          </cell>
        </row>
        <row r="56">
          <cell r="A56" t="str">
            <v>670-338640-400</v>
          </cell>
          <cell r="B56" t="str">
            <v>0477004.MX6P</v>
          </cell>
          <cell r="C56" t="str">
            <v>FUSE</v>
          </cell>
          <cell r="F56" t="str">
            <v>FUSE,CRTG,4A,600VAC/400DC,5X20MM</v>
          </cell>
        </row>
        <row r="57">
          <cell r="A57" t="str">
            <v>670-338640-500</v>
          </cell>
          <cell r="B57" t="str">
            <v>0477005.MX6P</v>
          </cell>
          <cell r="C57" t="str">
            <v>FUSE</v>
          </cell>
          <cell r="D57" t="str">
            <v>AC Box</v>
          </cell>
          <cell r="F57" t="str">
            <v>FUSE,CRTG,5A,600VAC/400DC,5X20MM</v>
          </cell>
        </row>
        <row r="58">
          <cell r="A58" t="str">
            <v>670-338640-800</v>
          </cell>
          <cell r="B58" t="str">
            <v>0477008.MX6P</v>
          </cell>
          <cell r="C58" t="str">
            <v>FUSE</v>
          </cell>
          <cell r="F58" t="str">
            <v>FUSE,CRTG,8A,600VAC/400DC,5X20MM</v>
          </cell>
        </row>
        <row r="59">
          <cell r="A59" t="str">
            <v>670-338640-630</v>
          </cell>
          <cell r="B59" t="str">
            <v>047706.3MX6P</v>
          </cell>
          <cell r="C59" t="str">
            <v>FUSE</v>
          </cell>
          <cell r="D59" t="str">
            <v>AC Box</v>
          </cell>
          <cell r="F59" t="str">
            <v>FUSE,CRTG,6.3A,600VAC/400DC,5X20MM</v>
          </cell>
        </row>
        <row r="60">
          <cell r="A60" t="str">
            <v>682-336597-020</v>
          </cell>
          <cell r="B60" t="str">
            <v>0501020.WR</v>
          </cell>
          <cell r="C60" t="str">
            <v>FUSE</v>
          </cell>
          <cell r="F60" t="str">
            <v>FUSE,SMD,20A,1206,ROHS</v>
          </cell>
        </row>
        <row r="61">
          <cell r="A61" t="str">
            <v>29-409701-00</v>
          </cell>
          <cell r="B61" t="str">
            <v>06035C104JAT2A</v>
          </cell>
          <cell r="C61" t="str">
            <v>CAP</v>
          </cell>
          <cell r="F61" t="str">
            <v>CAP,CERAMIC,100NF,50V,5%,SMT,0603,X7R</v>
          </cell>
        </row>
        <row r="62">
          <cell r="A62" t="str">
            <v>670-A07635-022</v>
          </cell>
          <cell r="B62" t="str">
            <v>0650R9120-13</v>
          </cell>
          <cell r="C62" t="str">
            <v>FUSE</v>
          </cell>
          <cell r="D62" t="str">
            <v>AC Box</v>
          </cell>
          <cell r="F62" t="str">
            <v>FUSE,AXIAL LEAD,12A,250V,5X20,FAST-ACT</v>
          </cell>
        </row>
        <row r="63">
          <cell r="A63" t="str">
            <v>682-343485-200</v>
          </cell>
          <cell r="B63" t="str">
            <v>0686F2000-01</v>
          </cell>
          <cell r="C63" t="str">
            <v>FUSE</v>
          </cell>
          <cell r="D63" t="str">
            <v>AC Box</v>
          </cell>
          <cell r="F63" t="str">
            <v>FUSE,SMD,2A,32VAC/63VDC,FAST ACT,0603</v>
          </cell>
        </row>
        <row r="64">
          <cell r="A64" t="str">
            <v>682-343485-500</v>
          </cell>
          <cell r="B64" t="str">
            <v>0686F5000-01</v>
          </cell>
          <cell r="C64" t="str">
            <v>FUSE</v>
          </cell>
          <cell r="D64" t="str">
            <v>AC Box</v>
          </cell>
          <cell r="F64" t="str">
            <v>FUSE,SMD,5A,32VAC/63VDC,FAST ACT,0603</v>
          </cell>
        </row>
        <row r="65">
          <cell r="A65" t="str">
            <v>648-082229-151</v>
          </cell>
          <cell r="B65" t="str">
            <v>08051A151JAT2A</v>
          </cell>
          <cell r="C65" t="str">
            <v>CAP</v>
          </cell>
          <cell r="F65" t="str">
            <v>CAP,SMD,0805,COG,5%,100V,150PF ROHS</v>
          </cell>
        </row>
        <row r="66">
          <cell r="A66" t="str">
            <v>648-157397-220</v>
          </cell>
          <cell r="B66" t="str">
            <v>08051A220FAT2A</v>
          </cell>
          <cell r="C66" t="str">
            <v>CAP</v>
          </cell>
          <cell r="F66" t="str">
            <v>CAP,0805,CER,C0G,1%,100V,22PF ROHS</v>
          </cell>
        </row>
        <row r="67">
          <cell r="A67" t="str">
            <v>648-325822-007</v>
          </cell>
          <cell r="B67" t="str">
            <v>08055A820FAT2A</v>
          </cell>
          <cell r="C67" t="str">
            <v>CAP</v>
          </cell>
          <cell r="F67" t="str">
            <v>CAP,SMD,CER,82PF,1% TOL,50V,C0G,0805</v>
          </cell>
        </row>
        <row r="68">
          <cell r="A68" t="str">
            <v>645-A87739-001</v>
          </cell>
          <cell r="B68" t="str">
            <v>09.03290.01</v>
          </cell>
          <cell r="C68" t="str">
            <v>SW</v>
          </cell>
          <cell r="F68" t="str">
            <v>SW,PCB,SLIDE ACTR,0.5A,12V,AXIAL PIN,BLK</v>
          </cell>
        </row>
        <row r="69">
          <cell r="A69" t="str">
            <v>609-099412-180</v>
          </cell>
          <cell r="B69" t="str">
            <v>1.5SMC18 ATR</v>
          </cell>
          <cell r="C69" t="str">
            <v>DIO</v>
          </cell>
          <cell r="F69" t="str">
            <v>DIODE,TVS,18V ,1.5KW,SMC,ROHS</v>
          </cell>
        </row>
        <row r="70">
          <cell r="A70" t="str">
            <v>609-099412-180</v>
          </cell>
          <cell r="B70" t="str">
            <v>1.5SMC18A</v>
          </cell>
          <cell r="C70" t="str">
            <v>DIO</v>
          </cell>
          <cell r="F70" t="str">
            <v>DIODE,TVS,18V ,1.5KW,SMC,ROHS</v>
          </cell>
        </row>
        <row r="71">
          <cell r="A71" t="str">
            <v>609-099412-300</v>
          </cell>
          <cell r="B71" t="str">
            <v>1.5SMC30A</v>
          </cell>
          <cell r="C71" t="str">
            <v>DIO</v>
          </cell>
          <cell r="F71" t="e">
            <v>#N/A</v>
          </cell>
        </row>
        <row r="72">
          <cell r="A72" t="str">
            <v>609-099412-300</v>
          </cell>
          <cell r="B72" t="str">
            <v>1.5SMC30ATR</v>
          </cell>
          <cell r="C72" t="str">
            <v>DIO</v>
          </cell>
          <cell r="D72" t="str">
            <v>SIG</v>
          </cell>
          <cell r="F72" t="e">
            <v>#N/A</v>
          </cell>
        </row>
        <row r="73">
          <cell r="A73" t="str">
            <v>609-099412-360</v>
          </cell>
          <cell r="B73" t="str">
            <v>‎1.5SMC36A‎</v>
          </cell>
          <cell r="C73" t="str">
            <v>DIO</v>
          </cell>
          <cell r="F73" t="str">
            <v>DIODE,TVS,36V ,1.5KW,SMC,ROHS</v>
          </cell>
        </row>
        <row r="74">
          <cell r="A74" t="str">
            <v>609-099412-360</v>
          </cell>
          <cell r="B74" t="str">
            <v>1.5SMC36ATR</v>
          </cell>
          <cell r="C74" t="str">
            <v>DIO</v>
          </cell>
          <cell r="F74" t="str">
            <v>DIODE,TVS,36V ,1.5KW,SMC,ROHS</v>
          </cell>
        </row>
        <row r="75">
          <cell r="A75" t="str">
            <v>668-130332-001</v>
          </cell>
          <cell r="B75" t="str">
            <v>10080054-079LF</v>
          </cell>
          <cell r="C75" t="str">
            <v>CONN</v>
          </cell>
          <cell r="F75" t="str">
            <v>CONN,PLUG,HEADER,20 PIN,VERT,ROHS</v>
          </cell>
        </row>
        <row r="76">
          <cell r="A76" t="str">
            <v>668-A20995-044</v>
          </cell>
          <cell r="B76" t="str">
            <v>10090926-P444VLF</v>
          </cell>
          <cell r="C76" t="str">
            <v>CONN</v>
          </cell>
          <cell r="F76" t="str">
            <v>CONN,D-SUB,H-DENSITY,MALE,44POSN,RTANG</v>
          </cell>
        </row>
        <row r="77">
          <cell r="A77" t="str">
            <v>668-335595-002</v>
          </cell>
          <cell r="B77" t="str">
            <v>10090929-S154XLF</v>
          </cell>
          <cell r="C77" t="str">
            <v>CONN</v>
          </cell>
          <cell r="F77" t="str">
            <v>CONN,RCPT,DSUB HD,15 POSN,2.5A,W/BD LOCK</v>
          </cell>
        </row>
        <row r="78">
          <cell r="A78" t="str">
            <v>668-335595-001</v>
          </cell>
          <cell r="B78" t="str">
            <v>10090929-S264XLF</v>
          </cell>
          <cell r="C78" t="str">
            <v>CONN</v>
          </cell>
          <cell r="F78" t="str">
            <v>CONN,RCPT,DSUB HD,26 POSN,2.5A,W/BD LOCK</v>
          </cell>
        </row>
        <row r="79">
          <cell r="A79" t="str">
            <v>668-335595-003</v>
          </cell>
          <cell r="B79" t="str">
            <v>10090929-S444XLF</v>
          </cell>
          <cell r="C79" t="str">
            <v>CONN</v>
          </cell>
          <cell r="F79" t="str">
            <v>CONN,RCPT,DSUB HD,44 POSN,2.5A,W/BD LOCK</v>
          </cell>
        </row>
        <row r="80">
          <cell r="A80" t="str">
            <v>669-238096-001</v>
          </cell>
          <cell r="B80" t="str">
            <v>101247-001</v>
          </cell>
          <cell r="C80" t="str">
            <v>CONT</v>
          </cell>
          <cell r="F80" t="str">
            <v>CONT,SPR PROBE,20A,17.93MM OA LG</v>
          </cell>
        </row>
        <row r="81">
          <cell r="A81" t="str">
            <v>667-A20844-002</v>
          </cell>
          <cell r="B81" t="str">
            <v>10139085-124402LF</v>
          </cell>
          <cell r="C81" t="str">
            <v>CONN</v>
          </cell>
          <cell r="F81" t="str">
            <v>CONN,SMD,PLUG,MEZZ,0.8MM,120P,7.7MM HGT</v>
          </cell>
        </row>
        <row r="82">
          <cell r="A82" t="str">
            <v>669-116934-001</v>
          </cell>
          <cell r="B82" t="str">
            <v>101628-000</v>
          </cell>
          <cell r="C82" t="str">
            <v>CONT</v>
          </cell>
          <cell r="F82" t="str">
            <v>CONT,PIN,SPRING PROBE</v>
          </cell>
        </row>
        <row r="83">
          <cell r="A83" t="str">
            <v>648-108237-001</v>
          </cell>
          <cell r="B83" t="str">
            <v>101X15N220MV4E</v>
          </cell>
          <cell r="C83" t="str">
            <v>CAP</v>
          </cell>
          <cell r="F83" t="str">
            <v>CAP,SMD,X2Y,22PF,20%,100V,0805</v>
          </cell>
        </row>
        <row r="84">
          <cell r="A84" t="str">
            <v>668-092917-036</v>
          </cell>
          <cell r="B84" t="str">
            <v>10236-6212PC</v>
          </cell>
          <cell r="C84" t="str">
            <v>CONN</v>
          </cell>
          <cell r="F84" t="str">
            <v>CONN,MINI-D,STR PCB MT 36 PINS,ROHS</v>
          </cell>
        </row>
        <row r="85">
          <cell r="A85" t="str">
            <v>668-B24466-001</v>
          </cell>
          <cell r="B85" t="str">
            <v>10582-01</v>
          </cell>
          <cell r="C85" t="str">
            <v>CONN</v>
          </cell>
          <cell r="F85" t="str">
            <v>CONN,RCPT ASSY,15KVDC,7.5A,PC BD MT</v>
          </cell>
        </row>
        <row r="86">
          <cell r="A86" t="str">
            <v>668-900417-001</v>
          </cell>
          <cell r="B86" t="str">
            <v>10654-01</v>
          </cell>
          <cell r="C86" t="str">
            <v>CONN</v>
          </cell>
          <cell r="F86" t="str">
            <v>CONN,RECPT,12KVDC/3AMP PCB MT</v>
          </cell>
        </row>
        <row r="87">
          <cell r="A87" t="str">
            <v>668-005463-006</v>
          </cell>
          <cell r="B87" t="str">
            <v>10-89-7060</v>
          </cell>
          <cell r="C87" t="str">
            <v>HEADER</v>
          </cell>
          <cell r="F87" t="str">
            <v>HEADER,STR,DBL ROW,6 CKT,ROHS</v>
          </cell>
        </row>
        <row r="88">
          <cell r="A88" t="str">
            <v>668-005463-010</v>
          </cell>
          <cell r="B88" t="str">
            <v>10-89-7100</v>
          </cell>
          <cell r="C88" t="str">
            <v>HEADER</v>
          </cell>
          <cell r="F88" t="str">
            <v>HEADER,STRAIGHT,DOUBLE ROW,10C,ROHS</v>
          </cell>
        </row>
        <row r="89">
          <cell r="A89" t="str">
            <v>667-072911-009</v>
          </cell>
          <cell r="B89" t="str">
            <v>1-1740194-2</v>
          </cell>
          <cell r="C89" t="str">
            <v>CONN</v>
          </cell>
          <cell r="F89" t="str">
            <v>CONN,SMD,D-SUB,FR,7.3MM,9P ROHS</v>
          </cell>
        </row>
        <row r="90">
          <cell r="A90" t="str">
            <v>667-072912-009</v>
          </cell>
          <cell r="B90" t="str">
            <v>1-1740195-2</v>
          </cell>
          <cell r="C90" t="str">
            <v>CONN</v>
          </cell>
          <cell r="F90" t="str">
            <v>CONN,SMD,D-SUB,MR,7.3MM,9P ROHS</v>
          </cell>
        </row>
        <row r="91">
          <cell r="A91" t="str">
            <v>667-072911-015</v>
          </cell>
          <cell r="B91" t="str">
            <v>1-1740196-2</v>
          </cell>
          <cell r="C91" t="str">
            <v>CONN</v>
          </cell>
          <cell r="D91"/>
          <cell r="F91" t="str">
            <v>CONN,SMD,D-SUB,FR,7.3MM,15P ROHS</v>
          </cell>
        </row>
        <row r="92">
          <cell r="A92" t="str">
            <v>667-072912-015</v>
          </cell>
          <cell r="B92" t="str">
            <v>1-1740197-2</v>
          </cell>
          <cell r="C92" t="str">
            <v>CONN</v>
          </cell>
          <cell r="D92"/>
          <cell r="F92" t="str">
            <v>CONN,SMD,D-SUB,MR,7.3MM,15P ROHS</v>
          </cell>
        </row>
        <row r="93">
          <cell r="A93" t="str">
            <v>648-097891-473</v>
          </cell>
          <cell r="B93" t="str">
            <v>12065C473KAT2A</v>
          </cell>
          <cell r="C93" t="str">
            <v>CAP</v>
          </cell>
          <cell r="F93" t="str">
            <v>CAP,1206,.047UF,10%,50V,X7R,ROHS</v>
          </cell>
        </row>
        <row r="94">
          <cell r="A94" t="str">
            <v>673-060116-001</v>
          </cell>
          <cell r="B94" t="str">
            <v>121-14204-01-260</v>
          </cell>
          <cell r="C94" t="str">
            <v>TERM</v>
          </cell>
          <cell r="F94" t="str">
            <v>TERM,PCB,PWR,W-INSULATOR,6-32,10P ROHS</v>
          </cell>
        </row>
        <row r="95">
          <cell r="A95" t="str">
            <v>39-164229-07</v>
          </cell>
          <cell r="B95" t="str">
            <v>13-000121</v>
          </cell>
          <cell r="C95" t="str">
            <v>CONN</v>
          </cell>
          <cell r="F95" t="str">
            <v>CONN, DSUB,7W2_M,PCB STRT,4-40</v>
          </cell>
        </row>
        <row r="96">
          <cell r="A96" t="str">
            <v>670-265857-007</v>
          </cell>
          <cell r="B96" t="str">
            <v>1410-G110-L2F1-S01-4A</v>
          </cell>
          <cell r="C96" t="str">
            <v>CB</v>
          </cell>
          <cell r="D96" t="str">
            <v>AC Box</v>
          </cell>
          <cell r="F96" t="str">
            <v>CB,THRM,1P,4A,28 VDC,240 VAC,PCB MTG</v>
          </cell>
        </row>
        <row r="97">
          <cell r="A97" t="str">
            <v>34-295469-00</v>
          </cell>
          <cell r="B97" t="str">
            <v>1410-G110-L2F1-S01-6.3A</v>
          </cell>
          <cell r="C97" t="str">
            <v>CB</v>
          </cell>
          <cell r="D97" t="str">
            <v>AC Box</v>
          </cell>
          <cell r="F97" t="str">
            <v>CB,PC MT,6.3A</v>
          </cell>
        </row>
        <row r="98">
          <cell r="A98" t="str">
            <v>34-267566-00</v>
          </cell>
          <cell r="B98" t="str">
            <v>1410-L110-L1F1-S01-6.3A</v>
          </cell>
          <cell r="C98" t="str">
            <v>CB</v>
          </cell>
          <cell r="F98" t="str">
            <v>CB,6.3A,1P,24V,2,PC MOUNT,THERMAL</v>
          </cell>
        </row>
        <row r="99">
          <cell r="A99" t="str">
            <v>34-143740-08</v>
          </cell>
          <cell r="B99" t="str">
            <v>1410-L110-L1F1-S01-8A</v>
          </cell>
          <cell r="C99" t="str">
            <v>CB</v>
          </cell>
          <cell r="F99" t="str">
            <v>CB,8A,PC MOUNT</v>
          </cell>
        </row>
        <row r="100">
          <cell r="A100" t="str">
            <v>668-339894-001</v>
          </cell>
          <cell r="B100" t="str">
            <v>142-0701-501</v>
          </cell>
          <cell r="C100" t="str">
            <v>CONN</v>
          </cell>
          <cell r="F100" t="str">
            <v>CONN,COAX,SMA,RTANG,18GHZ,PCB MT, GOLD</v>
          </cell>
        </row>
        <row r="101">
          <cell r="A101" t="str">
            <v>669-007340-001</v>
          </cell>
          <cell r="B101" t="str">
            <v>15-29-1025</v>
          </cell>
          <cell r="C101" t="str">
            <v>JMP</v>
          </cell>
          <cell r="F101" t="str">
            <v>JUMPER  FEMALE .100 CENTERS,ROHS</v>
          </cell>
        </row>
        <row r="102">
          <cell r="A102" t="str">
            <v>660-B26903-001</v>
          </cell>
          <cell r="B102" t="str">
            <v>15A24-N15-I10-1</v>
          </cell>
          <cell r="C102" t="str">
            <v>PS</v>
          </cell>
          <cell r="F102" t="str">
            <v>PS,HV,DC-DC CONV,15W,24V,0TO -15KVDC,I10</v>
          </cell>
        </row>
        <row r="103">
          <cell r="A103" t="str">
            <v>660-B26902-001</v>
          </cell>
          <cell r="B103" t="str">
            <v>15A24-P15-I10-1</v>
          </cell>
          <cell r="C103" t="str">
            <v>PS</v>
          </cell>
          <cell r="F103" t="str">
            <v>PS,HV,DC-DC CONV,15W,24V,0TO +15KVDC,I10</v>
          </cell>
        </row>
        <row r="104">
          <cell r="A104" t="str">
            <v>668-277308-003</v>
          </cell>
          <cell r="B104" t="str">
            <v>163A16169X</v>
          </cell>
          <cell r="C104" t="str">
            <v>CONN</v>
          </cell>
          <cell r="F104" t="str">
            <v>CONN,PLUG,DSUB,15POS,VERT,7.5A,125V</v>
          </cell>
        </row>
        <row r="105">
          <cell r="A105" t="str">
            <v>668-132368-025</v>
          </cell>
          <cell r="B105" t="str">
            <v>164A16589X</v>
          </cell>
          <cell r="C105" t="str">
            <v>CONN</v>
          </cell>
          <cell r="F105" t="str">
            <v>CONN,DSUB,RCPT,VERT PCB,SOLDER,25P,ROHS</v>
          </cell>
        </row>
        <row r="106">
          <cell r="A106" t="str">
            <v>668-A51501-015</v>
          </cell>
          <cell r="B106" t="str">
            <v>164A17359X</v>
          </cell>
          <cell r="C106" t="str">
            <v>CONN</v>
          </cell>
          <cell r="F106" t="str">
            <v>CONN,RCPT,D-SUB,H DENSITY,15POSN,3A,60V</v>
          </cell>
        </row>
        <row r="107">
          <cell r="A107" t="str">
            <v>668-A51501-026</v>
          </cell>
          <cell r="B107" t="str">
            <v>164A17369X</v>
          </cell>
          <cell r="C107" t="str">
            <v>CONN</v>
          </cell>
          <cell r="F107" t="str">
            <v>CONN,RCPT,D-SUB,H DENSITY,26POSN,3A,60V</v>
          </cell>
        </row>
        <row r="108">
          <cell r="A108" t="str">
            <v>668-A51501-044</v>
          </cell>
          <cell r="B108" t="str">
            <v>164A17379X</v>
          </cell>
          <cell r="C108" t="str">
            <v>CONN</v>
          </cell>
          <cell r="F108" t="str">
            <v>CONN,RCPT,D-SUB,H DENSITY,44POSN,3A,60V</v>
          </cell>
        </row>
        <row r="109">
          <cell r="A109" t="str">
            <v>668-134704-009</v>
          </cell>
          <cell r="B109" t="str">
            <v>171-009-213R051</v>
          </cell>
          <cell r="C109" t="str">
            <v>CONN</v>
          </cell>
          <cell r="F109" t="str">
            <v>CONN,RCPT,D-SUB,9POSN,5A,W/BD LOCK</v>
          </cell>
        </row>
        <row r="110">
          <cell r="A110" t="str">
            <v>668-134704-015</v>
          </cell>
          <cell r="B110" t="str">
            <v>171-015-213R051</v>
          </cell>
          <cell r="C110" t="str">
            <v>CONN</v>
          </cell>
          <cell r="F110" t="str">
            <v>CONN,RCPT,D-SUB,15POSN,5A,W/BD LOCK</v>
          </cell>
        </row>
        <row r="111">
          <cell r="A111" t="str">
            <v>668-334356-002</v>
          </cell>
          <cell r="B111" t="str">
            <v>172043-0206</v>
          </cell>
          <cell r="C111" t="str">
            <v>CONN</v>
          </cell>
          <cell r="F111" t="str">
            <v>CONN,HDR,RTANG,2POSN,30A,600V,W/BD LOCK</v>
          </cell>
        </row>
        <row r="112">
          <cell r="A112" t="str">
            <v>668-307551-026</v>
          </cell>
          <cell r="B112" t="str">
            <v>173113-0154</v>
          </cell>
          <cell r="C112" t="str">
            <v>CONN</v>
          </cell>
          <cell r="F112" t="str">
            <v>CONN,PLUG,D-SUB,PCB,26 PIN,RTANG,5A MAX</v>
          </cell>
        </row>
        <row r="113">
          <cell r="A113" t="str">
            <v>668-307568-026</v>
          </cell>
          <cell r="B113" t="str">
            <v>173113-0157</v>
          </cell>
          <cell r="C113" t="str">
            <v>CONN</v>
          </cell>
          <cell r="F113" t="str">
            <v>CONN,RCPT,D-SUB,PCB,26 PIN,RTANG,5A MAX</v>
          </cell>
        </row>
        <row r="114">
          <cell r="A114" t="str">
            <v>668-061260-004</v>
          </cell>
          <cell r="B114" t="str">
            <v>1-770174-1</v>
          </cell>
          <cell r="C114" t="str">
            <v>CONN</v>
          </cell>
          <cell r="F114" t="str">
            <v>CONN,HDR,PCB,ST,MINI-U M-N-LOK,4P,ROHS</v>
          </cell>
        </row>
        <row r="115">
          <cell r="A115" t="str">
            <v>668-061260-006</v>
          </cell>
          <cell r="B115" t="str">
            <v>1-770178-1</v>
          </cell>
          <cell r="C115" t="str">
            <v>CONN</v>
          </cell>
          <cell r="F115" t="str">
            <v>CONN,HDR,PCB,ST,MINI-U M-N-LOK,6P,ROHS</v>
          </cell>
        </row>
        <row r="116">
          <cell r="A116" t="str">
            <v>668-061260-009</v>
          </cell>
          <cell r="B116" t="str">
            <v>1-770182-1</v>
          </cell>
          <cell r="C116" t="str">
            <v>CONN</v>
          </cell>
          <cell r="F116" t="str">
            <v>CONN,HDR,PCB,ST,MINI-U M-N-LOK,9P,ROHS</v>
          </cell>
        </row>
        <row r="117">
          <cell r="A117" t="str">
            <v>668-097964-002</v>
          </cell>
          <cell r="B117" t="str">
            <v>1-770966-0</v>
          </cell>
          <cell r="C117" t="str">
            <v>CONN</v>
          </cell>
          <cell r="F117" t="str">
            <v>CONN,HDR 2P R/A MINI M-N-L</v>
          </cell>
        </row>
        <row r="118">
          <cell r="A118" t="str">
            <v>668-097964-002</v>
          </cell>
          <cell r="B118" t="str">
            <v>1-770966-1</v>
          </cell>
          <cell r="C118" t="str">
            <v>CONN</v>
          </cell>
          <cell r="F118" t="str">
            <v>CONN,HDR 2P R/A MINI M-N-L</v>
          </cell>
        </row>
        <row r="119">
          <cell r="A119" t="str">
            <v>668-097964-004</v>
          </cell>
          <cell r="B119" t="str">
            <v>1-770968-0</v>
          </cell>
          <cell r="C119" t="str">
            <v>CONN</v>
          </cell>
          <cell r="F119" t="str">
            <v>CONN,HDR 4P R/A MINI M-N-L</v>
          </cell>
        </row>
        <row r="120">
          <cell r="A120" t="str">
            <v>668-097964-004</v>
          </cell>
          <cell r="B120" t="str">
            <v>1-770968-1</v>
          </cell>
          <cell r="C120" t="str">
            <v>CONN</v>
          </cell>
          <cell r="F120" t="str">
            <v>CONN,HDR 4P R/A MINI M-N-L</v>
          </cell>
        </row>
        <row r="121">
          <cell r="A121" t="str">
            <v>668-097964-006</v>
          </cell>
          <cell r="B121" t="str">
            <v>1-770969-0</v>
          </cell>
          <cell r="C121" t="str">
            <v>CONN</v>
          </cell>
          <cell r="F121" t="str">
            <v>CONN,HDR 6P R/A MINI M-N-L</v>
          </cell>
        </row>
        <row r="122">
          <cell r="A122" t="str">
            <v>668-097964-006</v>
          </cell>
          <cell r="B122" t="str">
            <v>1-770969-1</v>
          </cell>
          <cell r="C122" t="str">
            <v>CONN</v>
          </cell>
          <cell r="F122" t="str">
            <v>CONN,HDR 6P R/A MINI M-N-L</v>
          </cell>
        </row>
        <row r="123">
          <cell r="A123" t="str">
            <v>668-024901-004</v>
          </cell>
          <cell r="B123" t="str">
            <v>178-009-313R571</v>
          </cell>
          <cell r="C123" t="str">
            <v>CONN</v>
          </cell>
          <cell r="F123" t="str">
            <v>CONN,DSUB,DUAL PORT,F/M,9P/9P ROHS</v>
          </cell>
        </row>
        <row r="124">
          <cell r="A124" t="str">
            <v>668-034058-004</v>
          </cell>
          <cell r="B124" t="str">
            <v>178-015-313R571</v>
          </cell>
          <cell r="C124" t="str">
            <v>CONN</v>
          </cell>
          <cell r="F124" t="str">
            <v>CONN,DSUB,DUAL PORT,15P/15P,F/M ROHS</v>
          </cell>
        </row>
        <row r="125">
          <cell r="A125" t="str">
            <v>668-024902-004</v>
          </cell>
          <cell r="B125" t="str">
            <v>178-025-313R571</v>
          </cell>
          <cell r="C125" t="str">
            <v>CONN</v>
          </cell>
          <cell r="F125" t="str">
            <v>CONN,DSUB,DUAL PORT,F/M,25P/25P ROHS</v>
          </cell>
        </row>
        <row r="126">
          <cell r="A126" t="str">
            <v>668-061260-008</v>
          </cell>
          <cell r="B126" t="str">
            <v>1-794065-1</v>
          </cell>
          <cell r="C126" t="str">
            <v>CONN</v>
          </cell>
          <cell r="F126" t="str">
            <v>CONN,HDR,PCB,ST,MINI-U M-N-LOK,8P,ROHS</v>
          </cell>
        </row>
        <row r="127">
          <cell r="A127" t="str">
            <v>668-061260-112</v>
          </cell>
          <cell r="B127" t="str">
            <v>1-794066-1</v>
          </cell>
          <cell r="C127" t="str">
            <v>CONN</v>
          </cell>
          <cell r="F127" t="str">
            <v>CONN,HDR,PCB,ST,MINI-U M-N-LOK,12P,ROHS</v>
          </cell>
        </row>
        <row r="128">
          <cell r="A128" t="str">
            <v>668-A26900-078</v>
          </cell>
          <cell r="B128" t="str">
            <v>180-078-113R001</v>
          </cell>
          <cell r="C128" t="str">
            <v>CONN</v>
          </cell>
          <cell r="F128" t="str">
            <v>CONN,PLUG,D-SUB,HD,78POSN,STR,3A,SLDR</v>
          </cell>
        </row>
        <row r="129">
          <cell r="A129" t="str">
            <v>668-A26901-078</v>
          </cell>
          <cell r="B129" t="str">
            <v>180-078-213R001</v>
          </cell>
          <cell r="C129" t="str">
            <v>CONN</v>
          </cell>
          <cell r="F129" t="str">
            <v>CONN,RCPT,D-SUB,HD,78POSN,STR,3A,SLDR</v>
          </cell>
        </row>
        <row r="130">
          <cell r="A130" t="str">
            <v>668-A26896-015</v>
          </cell>
          <cell r="B130" t="str">
            <v>181-015-113R531</v>
          </cell>
          <cell r="C130" t="str">
            <v>CONN</v>
          </cell>
          <cell r="F130" t="str">
            <v>CONN,PLUG,D-SUB,HD,15POSN,RTANG,4-40INSR</v>
          </cell>
        </row>
        <row r="131">
          <cell r="A131" t="str">
            <v>668-A26902-062</v>
          </cell>
          <cell r="B131" t="str">
            <v>181-062-113R561</v>
          </cell>
          <cell r="C131" t="str">
            <v>CONN</v>
          </cell>
          <cell r="F131" t="str">
            <v>CONN,PLUG,D-SUB,HD,62POSN,RTANG,4-40SCR</v>
          </cell>
        </row>
        <row r="132">
          <cell r="A132" t="str">
            <v>682-020656-015</v>
          </cell>
          <cell r="B132" t="str">
            <v>1812L075/33DR</v>
          </cell>
          <cell r="C132" t="str">
            <v>FUSE</v>
          </cell>
          <cell r="D132" t="str">
            <v>AC Box</v>
          </cell>
          <cell r="F132" t="str">
            <v>FUSE,SMD,1812,33V,750MA,ROHS</v>
          </cell>
        </row>
        <row r="133">
          <cell r="A133" t="str">
            <v>682-020656-007</v>
          </cell>
          <cell r="B133" t="str">
            <v>1812L110PR</v>
          </cell>
          <cell r="C133" t="str">
            <v>FUSE</v>
          </cell>
          <cell r="D133" t="str">
            <v>AC Box</v>
          </cell>
          <cell r="F133" t="str">
            <v>FUSE,SMD,1812,6V-30V,XXX,ROHS</v>
          </cell>
        </row>
        <row r="134">
          <cell r="A134" t="str">
            <v>682-020656-011</v>
          </cell>
          <cell r="B134" t="str">
            <v>1812L160PR</v>
          </cell>
          <cell r="C134" t="str">
            <v>FUSE</v>
          </cell>
          <cell r="D134" t="str">
            <v>AC Box</v>
          </cell>
          <cell r="F134" t="str">
            <v>FUSE,SMD,1812,8V,1.6A,ROHS</v>
          </cell>
        </row>
        <row r="135">
          <cell r="A135" t="str">
            <v>682-020656-012</v>
          </cell>
          <cell r="B135" t="str">
            <v>1812L200THPR</v>
          </cell>
          <cell r="C135" t="str">
            <v>FUSE</v>
          </cell>
          <cell r="D135" t="str">
            <v>AC Box</v>
          </cell>
          <cell r="F135" t="str">
            <v>FUSE,SMD,1812,8V,2.0A,ROHS</v>
          </cell>
        </row>
        <row r="136">
          <cell r="A136" t="str">
            <v>723-097621-068</v>
          </cell>
          <cell r="B136" t="str">
            <v>18130B-S-0632-28</v>
          </cell>
          <cell r="C136" t="str">
            <v>STDF</v>
          </cell>
          <cell r="F136" t="str">
            <v>STDF,SWG,9/32 RND,F,6-32,.687</v>
          </cell>
        </row>
        <row r="137">
          <cell r="A137" t="str">
            <v>645-182367-006</v>
          </cell>
          <cell r="B137" t="str">
            <v>1825910-6</v>
          </cell>
          <cell r="C137" t="str">
            <v>SW</v>
          </cell>
          <cell r="F137" t="str">
            <v>SWITCH,PUSH BUT,SPST,50MA,24V,1.40MM HT</v>
          </cell>
        </row>
        <row r="138">
          <cell r="A138" t="str">
            <v>609-049039-001</v>
          </cell>
          <cell r="B138" t="str">
            <v>1N4148W-TP</v>
          </cell>
          <cell r="C138" t="str">
            <v>DIO</v>
          </cell>
          <cell r="F138" t="str">
            <v>DIO,SMD,1N4148W,FASTSW,200MW,SOD123,ROHS</v>
          </cell>
        </row>
        <row r="139">
          <cell r="A139" t="str">
            <v>610-208000-001</v>
          </cell>
          <cell r="B139" t="str">
            <v>1N914ATR</v>
          </cell>
          <cell r="C139" t="str">
            <v>DIO</v>
          </cell>
          <cell r="F139" t="str">
            <v>DIO,SIG,GEN PURP, 100V, DO-35</v>
          </cell>
        </row>
        <row r="140">
          <cell r="A140" t="str">
            <v>609-273843-001</v>
          </cell>
          <cell r="B140" t="str">
            <v>1SMB5914BT3G</v>
          </cell>
          <cell r="C140" t="str">
            <v>DIO</v>
          </cell>
          <cell r="F140" t="str">
            <v>DIODE,SMD,ZENER,3.6V,3W,SMB</v>
          </cell>
        </row>
        <row r="141">
          <cell r="A141" t="str">
            <v>667-A26335-015</v>
          </cell>
          <cell r="B141" t="str">
            <v>200-015-263R001</v>
          </cell>
          <cell r="C141" t="str">
            <v>CONN</v>
          </cell>
          <cell r="F141" t="str">
            <v>CONN,SMD,DSUB,HD,RCPT,15POSN,RTANG,2A</v>
          </cell>
        </row>
        <row r="142">
          <cell r="A142" t="str">
            <v>31-10099-00</v>
          </cell>
          <cell r="B142" t="str">
            <v>206509-1</v>
          </cell>
          <cell r="C142" t="str">
            <v>KEYING PLUG</v>
          </cell>
          <cell r="F142" t="str">
            <v>KEYING PLUG,D CONN</v>
          </cell>
        </row>
        <row r="143">
          <cell r="A143" t="str">
            <v>648-A35848-056</v>
          </cell>
          <cell r="B143" t="str">
            <v>20SVPF56MX</v>
          </cell>
          <cell r="C143" t="str">
            <v>CAP</v>
          </cell>
          <cell r="F143" t="str">
            <v>CAP,SMD,AL POLYMER,56UF,20V,±20%,B6</v>
          </cell>
        </row>
        <row r="144">
          <cell r="A144" t="str">
            <v>648-237639-001</v>
          </cell>
          <cell r="B144" t="str">
            <v>20TQC100MYF</v>
          </cell>
          <cell r="C144" t="str">
            <v>CAP</v>
          </cell>
          <cell r="F144" t="str">
            <v>CAP,SMD,TANTALUM,100UF,+/-20%,20V</v>
          </cell>
        </row>
        <row r="145">
          <cell r="A145" t="str">
            <v>668-007385-011</v>
          </cell>
          <cell r="B145" t="str">
            <v>22-28-4110</v>
          </cell>
          <cell r="C145" t="str">
            <v>CONN</v>
          </cell>
          <cell r="F145" t="str">
            <v>CONN,HDR,11POSN,1ROW,VERT,2.54MM PITCH</v>
          </cell>
        </row>
        <row r="146">
          <cell r="A146" t="str">
            <v>630-231505-001</v>
          </cell>
          <cell r="B146" t="str">
            <v>24FC512-I/SN</v>
          </cell>
          <cell r="C146" t="str">
            <v>IC</v>
          </cell>
          <cell r="F146" t="str">
            <v>IC,SMD,EEPROM,512KBIT,1MHZ,8SOIC</v>
          </cell>
        </row>
        <row r="147">
          <cell r="A147" t="str">
            <v>648-304520-001</v>
          </cell>
          <cell r="B147" t="str">
            <v>251R14S3R3BV4T</v>
          </cell>
          <cell r="C147" t="str">
            <v>CAP</v>
          </cell>
          <cell r="F147" t="str">
            <v>CAP,SMD,CER,3.3PF,250V,C0G/NP0,0603</v>
          </cell>
        </row>
        <row r="148">
          <cell r="A148" t="str">
            <v>648-082038-101</v>
          </cell>
          <cell r="B148" t="str">
            <v>251R15S101JV4E</v>
          </cell>
          <cell r="C148" t="str">
            <v>CAP</v>
          </cell>
          <cell r="F148" t="str">
            <v>CAP,SMD,0805,NPO,5%,250V,100PF ROHS</v>
          </cell>
        </row>
        <row r="149">
          <cell r="A149" t="str">
            <v>648-082038-300</v>
          </cell>
          <cell r="B149" t="str">
            <v>251R15S300JV4E</v>
          </cell>
          <cell r="C149" t="str">
            <v>CAP</v>
          </cell>
          <cell r="F149" t="str">
            <v>CAP,SMD,0805,NPO,5%,250V,30PF,ROHS</v>
          </cell>
        </row>
        <row r="150">
          <cell r="A150" t="str">
            <v>39-164230-09</v>
          </cell>
          <cell r="B150" t="str">
            <v>2-5747706-0</v>
          </cell>
          <cell r="C150" t="str">
            <v>CONN</v>
          </cell>
          <cell r="F150" t="str">
            <v>CONN,D-SUB,9,F,PCB STRT,BRD LOCK,4-40 IN</v>
          </cell>
        </row>
        <row r="151">
          <cell r="A151" t="str">
            <v>39-164230-15</v>
          </cell>
          <cell r="B151" t="str">
            <v>2-5747707-0</v>
          </cell>
          <cell r="C151" t="str">
            <v>CONN</v>
          </cell>
          <cell r="F151" t="str">
            <v>CONN,D-SUB,15,F,PCB STRT,BRD LOCK,4-40 I</v>
          </cell>
        </row>
        <row r="152">
          <cell r="A152" t="str">
            <v>39-130655-25</v>
          </cell>
          <cell r="B152" t="str">
            <v>2-747708-0</v>
          </cell>
          <cell r="C152" t="str">
            <v>CONN</v>
          </cell>
          <cell r="F152" t="str">
            <v>CONN,DSUB,25F,PCB STRT,0.25"</v>
          </cell>
        </row>
        <row r="153">
          <cell r="A153" t="str">
            <v>673-348843-002</v>
          </cell>
          <cell r="B153" t="str">
            <v>282834-2</v>
          </cell>
          <cell r="C153" t="str">
            <v>TERM BLK</v>
          </cell>
          <cell r="F153" t="str">
            <v>TERM BLK,2 CKT,16-30AWG,2.54MM,10A,THT</v>
          </cell>
        </row>
        <row r="154">
          <cell r="A154" t="str">
            <v>673-348843-003</v>
          </cell>
          <cell r="B154" t="str">
            <v>282834-3</v>
          </cell>
          <cell r="C154" t="str">
            <v>TERM BLK</v>
          </cell>
          <cell r="F154" t="str">
            <v>TERM BLK,3 CKT,16-30AWG,2.54MM,10A,THT</v>
          </cell>
        </row>
        <row r="155">
          <cell r="A155" t="str">
            <v>673-348843-005</v>
          </cell>
          <cell r="B155" t="str">
            <v>282834-5</v>
          </cell>
          <cell r="C155" t="str">
            <v>TERM BLK</v>
          </cell>
          <cell r="F155" t="str">
            <v>TERM BLK,5 CKT,16-30AWG,2.54MM,10A,THT</v>
          </cell>
        </row>
        <row r="156">
          <cell r="A156" t="str">
            <v>682-117131-002</v>
          </cell>
          <cell r="B156" t="str">
            <v>2920L050DR</v>
          </cell>
          <cell r="C156" t="str">
            <v>FUSE</v>
          </cell>
          <cell r="D156" t="str">
            <v>AC Box</v>
          </cell>
          <cell r="F156" t="str">
            <v>FUSE,SMD,2920,RESETABLE,60V,0.5A,ROHS</v>
          </cell>
        </row>
        <row r="157">
          <cell r="A157" t="str">
            <v>682-117131-003</v>
          </cell>
          <cell r="B157" t="str">
            <v>2920L075DR</v>
          </cell>
          <cell r="C157" t="str">
            <v>FUSE</v>
          </cell>
          <cell r="D157" t="str">
            <v>AC Box</v>
          </cell>
          <cell r="F157" t="str">
            <v>FUSE,SMD,2920,RESETABLE,30V,0.75A,ROHS</v>
          </cell>
        </row>
        <row r="158">
          <cell r="A158" t="str">
            <v>682-A91737-005</v>
          </cell>
          <cell r="B158" t="str">
            <v>2920L500/24SLDR</v>
          </cell>
          <cell r="C158" t="str">
            <v>FUSE</v>
          </cell>
          <cell r="D158" t="str">
            <v>AC Box</v>
          </cell>
          <cell r="F158" t="str">
            <v>FUSE,SMD,PPTC,24V,5A,2920,ROHS</v>
          </cell>
        </row>
        <row r="159">
          <cell r="A159" t="str">
            <v>682-A91737-006</v>
          </cell>
          <cell r="B159" t="str">
            <v>2920L600/24SLER</v>
          </cell>
          <cell r="C159" t="str">
            <v>FUSE</v>
          </cell>
          <cell r="D159" t="str">
            <v>AC Box</v>
          </cell>
          <cell r="F159" t="str">
            <v>FUSE,SMD,PPTC,24V,6A,2920,ROHS</v>
          </cell>
        </row>
        <row r="160">
          <cell r="A160" t="str">
            <v>648-098106-104</v>
          </cell>
          <cell r="B160" t="str">
            <v>293D104X9050A2WE3</v>
          </cell>
          <cell r="C160" t="str">
            <v>CAP</v>
          </cell>
          <cell r="F160" t="str">
            <v>CAP,3216,0.1UF,10%,50V,TANT,ROHS</v>
          </cell>
        </row>
        <row r="161">
          <cell r="A161" t="str">
            <v>648-096579-225</v>
          </cell>
          <cell r="B161" t="str">
            <v>293D225X9035C2WE3</v>
          </cell>
          <cell r="C161" t="str">
            <v>CAP</v>
          </cell>
          <cell r="F161" t="str">
            <v>CAP,SMD,6032,TANT,10%,35V,2.2UF ROHS</v>
          </cell>
        </row>
        <row r="162">
          <cell r="A162" t="str">
            <v>626-B25312-001</v>
          </cell>
          <cell r="B162" t="str">
            <v>2SA1416S-TD-E</v>
          </cell>
          <cell r="C162" t="str">
            <v>XSTR</v>
          </cell>
          <cell r="F162" t="str">
            <v>XSTR,SMD,PNP,100V,1A,500MW,SOT-89,ROHS</v>
          </cell>
        </row>
        <row r="163">
          <cell r="A163" t="str">
            <v>668-B07818-001</v>
          </cell>
          <cell r="B163" t="str">
            <v>3003W3SXX56N40X</v>
          </cell>
          <cell r="C163" t="str">
            <v>CONN</v>
          </cell>
          <cell r="F163" t="str">
            <v>CONN,DSUB,FEMALE,R/A,3W3,20A</v>
          </cell>
        </row>
        <row r="164">
          <cell r="A164" t="str">
            <v>668-111554-003</v>
          </cell>
          <cell r="B164" t="str">
            <v>3003W3SXX69E40X</v>
          </cell>
          <cell r="C164" t="str">
            <v>CONN</v>
          </cell>
          <cell r="F164" t="str">
            <v>CONN,RCPT,D-SUB,POWER,3P,ROHS</v>
          </cell>
        </row>
        <row r="165">
          <cell r="A165" t="str">
            <v>668-109164-001</v>
          </cell>
          <cell r="B165" t="str">
            <v>3005W5PXX49E40X</v>
          </cell>
          <cell r="C165" t="str">
            <v>CONN</v>
          </cell>
          <cell r="F165" t="str">
            <v>CONN,PLUG,DSUB,5 PIN,20 AMP</v>
          </cell>
        </row>
        <row r="166">
          <cell r="A166" t="str">
            <v>668-107631-001</v>
          </cell>
          <cell r="B166" t="str">
            <v>3005W5PXX55N40X</v>
          </cell>
          <cell r="C166" t="str">
            <v>CONN</v>
          </cell>
          <cell r="F166" t="str">
            <v>CONN,PLUG,DSUB,RA,5W5P,5P,15A,ROHS</v>
          </cell>
        </row>
        <row r="167">
          <cell r="A167" t="str">
            <v>668-111554-005</v>
          </cell>
          <cell r="B167" t="str">
            <v>3005W5SXX69E40X</v>
          </cell>
          <cell r="C167" t="str">
            <v>CONN</v>
          </cell>
          <cell r="F167" t="str">
            <v>CONN,RCPT,D-SUB,POWER,5P,ROHS</v>
          </cell>
        </row>
        <row r="168">
          <cell r="A168" t="str">
            <v>668-276715-001</v>
          </cell>
          <cell r="B168" t="str">
            <v>3007W2SCR50E20X</v>
          </cell>
          <cell r="C168" t="str">
            <v>CONN</v>
          </cell>
          <cell r="F168" t="str">
            <v>CONN,RCPT,DSUB,MINIATURE,7 POS,ST</v>
          </cell>
        </row>
        <row r="169">
          <cell r="A169" t="str">
            <v>668-294939-001</v>
          </cell>
          <cell r="B169" t="str">
            <v>3007W2SCT56N40X</v>
          </cell>
          <cell r="C169" t="str">
            <v>CONN</v>
          </cell>
          <cell r="F169" t="str">
            <v>CONN,RCPT,FEM SKT,D-SUB,7W2,90DEG,20A</v>
          </cell>
        </row>
        <row r="170">
          <cell r="A170" t="str">
            <v>668-111554-008</v>
          </cell>
          <cell r="B170" t="str">
            <v>3008W8SXX69E40X</v>
          </cell>
          <cell r="C170" t="str">
            <v>CONN</v>
          </cell>
          <cell r="F170" t="str">
            <v>CONN,RCPT,D-SUB,POWER,8P,ROHS</v>
          </cell>
        </row>
        <row r="171">
          <cell r="A171" t="str">
            <v>667-335433-020</v>
          </cell>
          <cell r="B171" t="str">
            <v>3020-20-0300-00</v>
          </cell>
          <cell r="C171" t="str">
            <v>CONN</v>
          </cell>
          <cell r="F171" t="str">
            <v>CONN,SMD,IDC BOX HDR,2.54MM,20 CONT,500V</v>
          </cell>
        </row>
        <row r="172">
          <cell r="A172" t="str">
            <v>668-336426-001</v>
          </cell>
          <cell r="B172" t="str">
            <v>302W2CPXX51E40X</v>
          </cell>
          <cell r="C172" t="str">
            <v>CONN</v>
          </cell>
          <cell r="F172" t="str">
            <v>CONN,PLUG,COMBO-D,2W2C,30A,SHL SIZE 1</v>
          </cell>
        </row>
        <row r="173">
          <cell r="A173" t="str">
            <v>668-326042-001</v>
          </cell>
          <cell r="B173" t="str">
            <v>302W2CPXX71E40X</v>
          </cell>
          <cell r="C173" t="str">
            <v>CONN</v>
          </cell>
          <cell r="F173" t="str">
            <v>CONN, PLUG, COMBO DSUB, M/F 30A, ST</v>
          </cell>
        </row>
        <row r="174">
          <cell r="A174" t="str">
            <v>668-105495-007</v>
          </cell>
          <cell r="B174" t="str">
            <v>302W2CSXX55N40X</v>
          </cell>
          <cell r="C174" t="str">
            <v>CONN</v>
          </cell>
          <cell r="F174" t="str">
            <v>CONN,RCPT,DSUB,F/M,RA,2PIN,15A</v>
          </cell>
        </row>
        <row r="175">
          <cell r="A175" t="str">
            <v>668-105495-005</v>
          </cell>
          <cell r="B175" t="str">
            <v>302W2CSXX56N40X</v>
          </cell>
          <cell r="C175" t="str">
            <v>CONN</v>
          </cell>
          <cell r="F175" t="str">
            <v>CONN,RCPT,DSUB,F/M,RA,2 PIN,20A</v>
          </cell>
        </row>
        <row r="176">
          <cell r="A176" t="str">
            <v>668-320315-001</v>
          </cell>
          <cell r="B176" t="str">
            <v>302W2CSXX71E40X</v>
          </cell>
          <cell r="C176" t="str">
            <v>CONN</v>
          </cell>
          <cell r="F176" t="str">
            <v>CONN,RCPT,D-SUB,PWR,30A,2P,COMBO,ROHS</v>
          </cell>
        </row>
        <row r="177">
          <cell r="A177" t="str">
            <v>668-111553-003</v>
          </cell>
          <cell r="B177" t="str">
            <v>303W3CSXX69E40X</v>
          </cell>
          <cell r="C177" t="str">
            <v>CONN</v>
          </cell>
          <cell r="F177" t="str">
            <v>CONN,RCPT,D-SUB,POWER,3P,COMBO,ROHS</v>
          </cell>
        </row>
        <row r="178">
          <cell r="A178" t="str">
            <v>723-308078-031</v>
          </cell>
          <cell r="B178" t="str">
            <v>3048-B-632-B-16</v>
          </cell>
          <cell r="C178" t="str">
            <v>STDF</v>
          </cell>
          <cell r="D178" t="str">
            <v>Hardware</v>
          </cell>
          <cell r="F178" t="str">
            <v>STDF,RND,SWAGE1/4 5/16" 6-32,0.105",ROHS</v>
          </cell>
        </row>
        <row r="179">
          <cell r="A179" t="str">
            <v>723-308078-043</v>
          </cell>
          <cell r="B179" t="str">
            <v>3050-B-632-B-16</v>
          </cell>
          <cell r="C179" t="str">
            <v>STDF</v>
          </cell>
          <cell r="F179" t="str">
            <v>STDF,RND,SWAGE1/4 7/16" 6-32,0.105",ROHS</v>
          </cell>
        </row>
        <row r="180">
          <cell r="A180" t="str">
            <v>670-006780-022</v>
          </cell>
          <cell r="B180" t="str">
            <v>312001P</v>
          </cell>
          <cell r="C180" t="str">
            <v>FUSE</v>
          </cell>
          <cell r="F180" t="str">
            <v>FUSE .25x1.25 1A 250VAC,ROHS</v>
          </cell>
        </row>
        <row r="181">
          <cell r="A181" t="str">
            <v>670-006780-024</v>
          </cell>
          <cell r="B181" t="str">
            <v>31201.5P</v>
          </cell>
          <cell r="C181" t="str">
            <v>FUSE</v>
          </cell>
          <cell r="D181" t="str">
            <v>AC Box</v>
          </cell>
          <cell r="F181" t="str">
            <v>FUSE .25x1.25 1-1/2A 250VAC,ROHS</v>
          </cell>
        </row>
        <row r="182">
          <cell r="A182" t="str">
            <v>670-006780-036</v>
          </cell>
          <cell r="B182" t="str">
            <v>314008P</v>
          </cell>
          <cell r="C182" t="str">
            <v>FUSE</v>
          </cell>
          <cell r="F182" t="str">
            <v>FUSE .25x1.25 8A 250VAC,ROHS</v>
          </cell>
        </row>
        <row r="183">
          <cell r="A183" t="str">
            <v>632-A91703-001</v>
          </cell>
          <cell r="B183" t="str">
            <v>3-1462039-7</v>
          </cell>
          <cell r="C183" t="str">
            <v>RLY</v>
          </cell>
          <cell r="F183" t="str">
            <v>RLY,DPDT,24VDC,5A,SMT MTG,GULL WING</v>
          </cell>
        </row>
        <row r="184">
          <cell r="A184" t="str">
            <v>608-096583-202</v>
          </cell>
          <cell r="B184" t="str">
            <v>3269W-1-202LF</v>
          </cell>
          <cell r="C184" t="str">
            <v>RES</v>
          </cell>
          <cell r="F184" t="str">
            <v>RES,SMD,POT,12T,T-ADJ,0.25SQ,2K,ROHS</v>
          </cell>
        </row>
        <row r="185">
          <cell r="A185" t="str">
            <v>608-096583-203</v>
          </cell>
          <cell r="B185" t="str">
            <v>3269W-1-203LF</v>
          </cell>
          <cell r="C185" t="str">
            <v>RES</v>
          </cell>
          <cell r="F185" t="str">
            <v>RES,SMD,POT,12T,T-ADJ,0.25SQ,20K,ROHS</v>
          </cell>
        </row>
        <row r="186">
          <cell r="A186" t="str">
            <v>608-096583-204</v>
          </cell>
          <cell r="B186" t="str">
            <v>3269W-1-204LF</v>
          </cell>
          <cell r="C186" t="str">
            <v>RES</v>
          </cell>
          <cell r="F186" t="str">
            <v>RES,SMD,POT,12T,T-ADJ,0.25SQ,200K,ROHS</v>
          </cell>
        </row>
        <row r="187">
          <cell r="A187" t="str">
            <v>621-095110-104</v>
          </cell>
          <cell r="B187" t="str">
            <v>3296W-1-104LF</v>
          </cell>
          <cell r="C187" t="str">
            <v>POT</v>
          </cell>
          <cell r="F187" t="str">
            <v>POT TRIM,100K,25T,PCMT,ROHS</v>
          </cell>
        </row>
        <row r="188">
          <cell r="A188" t="str">
            <v>621-095110-254</v>
          </cell>
          <cell r="B188" t="str">
            <v>3296W-1-254LF</v>
          </cell>
          <cell r="C188" t="str">
            <v>POT</v>
          </cell>
          <cell r="F188" t="str">
            <v>POT TRIM,250K,25T,PCMT,ROHS</v>
          </cell>
        </row>
        <row r="189">
          <cell r="A189" t="str">
            <v>621-095110-302</v>
          </cell>
          <cell r="B189" t="str">
            <v>3296W-1-302LF</v>
          </cell>
          <cell r="C189" t="str">
            <v>POT</v>
          </cell>
          <cell r="F189" t="str">
            <v>POT TRIM,3K,25T,PCMT,ROHS</v>
          </cell>
        </row>
        <row r="190">
          <cell r="A190" t="str">
            <v>621-095110-505</v>
          </cell>
          <cell r="B190" t="str">
            <v>3296W-1-505LF</v>
          </cell>
          <cell r="C190" t="str">
            <v>POT</v>
          </cell>
          <cell r="F190" t="str">
            <v>POT TRIM,5MEG,25T,PCMT,ROHS</v>
          </cell>
        </row>
        <row r="191">
          <cell r="A191" t="str">
            <v>621-000682-100</v>
          </cell>
          <cell r="B191" t="str">
            <v>3299W-1-100LF</v>
          </cell>
          <cell r="C191" t="str">
            <v>POT</v>
          </cell>
          <cell r="F191" t="str">
            <v>POT,TRIM,CERMET,25 TURN,10 OHM, ROHS</v>
          </cell>
        </row>
        <row r="192">
          <cell r="A192" t="str">
            <v>621-000682-101</v>
          </cell>
          <cell r="B192" t="str">
            <v>3299W-1-101LF</v>
          </cell>
          <cell r="C192" t="str">
            <v>POT</v>
          </cell>
          <cell r="F192" t="str">
            <v>POT, TRIM, CERMET, 25 TURN, ROHS</v>
          </cell>
        </row>
        <row r="193">
          <cell r="A193" t="str">
            <v>621-000682-253</v>
          </cell>
          <cell r="B193" t="str">
            <v>3299W-1-253LF</v>
          </cell>
          <cell r="C193" t="str">
            <v>POT</v>
          </cell>
          <cell r="F193" t="str">
            <v>POT,TRIM,CERMET,25 TURN,25Kohm, ROHS</v>
          </cell>
        </row>
        <row r="194">
          <cell r="A194" t="str">
            <v>668-A97216-001</v>
          </cell>
          <cell r="B194" t="str">
            <v>32K101-400L5</v>
          </cell>
          <cell r="C194" t="str">
            <v>CONN</v>
          </cell>
          <cell r="F194" t="str">
            <v>CONN,RCPT,RF,SMA,480V,50 OHM,STR,PCB MT</v>
          </cell>
        </row>
        <row r="195">
          <cell r="A195" t="str">
            <v>644-347685-024</v>
          </cell>
          <cell r="B195" t="str">
            <v>34.81.7.024.9024</v>
          </cell>
          <cell r="C195" t="str">
            <v>RLY</v>
          </cell>
          <cell r="F195" t="str">
            <v>RLY,SSR,1 NO,24VDC INPUT,24VDC,6A,SIP-4</v>
          </cell>
        </row>
        <row r="196">
          <cell r="A196" t="str">
            <v>668-A96422-010</v>
          </cell>
          <cell r="B196" t="str">
            <v>345-010-521-201</v>
          </cell>
          <cell r="C196" t="str">
            <v>CONN</v>
          </cell>
          <cell r="F196" t="str">
            <v>CONN,RCPT,CARD EDGE,10POSN,1200VAC,3A</v>
          </cell>
        </row>
        <row r="197">
          <cell r="A197" t="str">
            <v>668-A96865-060</v>
          </cell>
          <cell r="B197" t="str">
            <v>345-060-521-202</v>
          </cell>
          <cell r="C197" t="str">
            <v>CONN</v>
          </cell>
          <cell r="F197" t="str">
            <v>CONN,RCPT,CARD EDGE,60POSN,1200VAC,3A</v>
          </cell>
        </row>
        <row r="198">
          <cell r="A198" t="str">
            <v>668-007087-006</v>
          </cell>
          <cell r="B198" t="str">
            <v>350711-4</v>
          </cell>
          <cell r="C198" t="str">
            <v>CONN</v>
          </cell>
          <cell r="F198" t="str">
            <v>CONN,HDR,PCB,M-ST,UNV M-N-LOK,6P,ROHS</v>
          </cell>
        </row>
        <row r="199">
          <cell r="A199" t="str">
            <v>668-133631-002</v>
          </cell>
          <cell r="B199" t="str">
            <v>350759-4</v>
          </cell>
          <cell r="C199" t="str">
            <v>CONN</v>
          </cell>
          <cell r="F199" t="str">
            <v>CONN,RCPT,PWR,2CKT,PRE-TIN,INLINE,UL94V2</v>
          </cell>
        </row>
        <row r="200">
          <cell r="A200" t="str">
            <v>668-161363-001</v>
          </cell>
          <cell r="B200" t="str">
            <v>350786-1</v>
          </cell>
          <cell r="C200" t="str">
            <v>CONN</v>
          </cell>
          <cell r="F200" t="str">
            <v>CONN,PLUG,2POSN,UNIV MATE-LOCK,600V,19A</v>
          </cell>
        </row>
        <row r="201">
          <cell r="A201" t="str">
            <v>668-007087-004</v>
          </cell>
          <cell r="B201" t="str">
            <v>350792-3</v>
          </cell>
          <cell r="C201" t="str">
            <v>CONN</v>
          </cell>
          <cell r="F201" t="str">
            <v>CONN,HDR,PCB,M-ST,UNV M-N-LOK,4P,ROHS</v>
          </cell>
        </row>
        <row r="202">
          <cell r="A202" t="str">
            <v>668-161365-001</v>
          </cell>
          <cell r="B202" t="str">
            <v>350824-1</v>
          </cell>
          <cell r="C202" t="str">
            <v>CONN</v>
          </cell>
          <cell r="F202" t="str">
            <v>CONN,RCPT,2POSN,UNIV MATE-LOCK,600V,19A</v>
          </cell>
        </row>
        <row r="203">
          <cell r="A203" t="str">
            <v>39-357073-00</v>
          </cell>
          <cell r="B203" t="str">
            <v>350825-1</v>
          </cell>
          <cell r="C203" t="str">
            <v>CONN</v>
          </cell>
          <cell r="F203" t="str">
            <v>CONN,MATE-N-LOK,3 POS,FEMALE</v>
          </cell>
        </row>
        <row r="204">
          <cell r="A204" t="str">
            <v>668-008858-004</v>
          </cell>
          <cell r="B204" t="str">
            <v>3518-BLACK</v>
          </cell>
          <cell r="C204" t="str">
            <v>KEY</v>
          </cell>
          <cell r="F204" t="str">
            <v>KEY POLARIZING</v>
          </cell>
        </row>
        <row r="205">
          <cell r="A205" t="str">
            <v>639-076946-001</v>
          </cell>
          <cell r="B205" t="str">
            <v>35F0121-1SR-10</v>
          </cell>
          <cell r="C205" t="str">
            <v>IDCTR</v>
          </cell>
          <cell r="F205" t="str">
            <v>IDCTR,SMD,FERRITE,10A,90 OHM,ROHS</v>
          </cell>
        </row>
        <row r="206">
          <cell r="A206" t="str">
            <v>39-357513-00</v>
          </cell>
          <cell r="B206" t="str">
            <v>3-794620-6</v>
          </cell>
          <cell r="C206" t="str">
            <v>CONN</v>
          </cell>
          <cell r="F206" t="str">
            <v>CONN,MATE-N-LOK,MICTRO 6 POS RIGHT ANGLE</v>
          </cell>
        </row>
        <row r="207">
          <cell r="A207" t="str">
            <v>648-218817-001</v>
          </cell>
          <cell r="B207" t="str">
            <v>3838C2R0AP722X</v>
          </cell>
          <cell r="C207" t="str">
            <v>CAP</v>
          </cell>
          <cell r="F207" t="str">
            <v>CAP,SMD,+/-0.05PF,7200V,NPO,2PF</v>
          </cell>
        </row>
        <row r="208">
          <cell r="A208" t="str">
            <v>668-293080-002</v>
          </cell>
          <cell r="B208" t="str">
            <v>43045-0200</v>
          </cell>
          <cell r="C208" t="str">
            <v>CONN</v>
          </cell>
          <cell r="F208" t="str">
            <v>CONN,HDR,RTANG,2 ROWS,2 CKT,PCB MT</v>
          </cell>
        </row>
        <row r="209">
          <cell r="A209" t="str">
            <v>668-293080-006</v>
          </cell>
          <cell r="B209" t="str">
            <v>43045-0600</v>
          </cell>
          <cell r="C209" t="str">
            <v>CONN</v>
          </cell>
          <cell r="F209" t="str">
            <v>CONN,HDR,RTANG,2 ROWS,6 CKT,PCB MT</v>
          </cell>
        </row>
        <row r="210">
          <cell r="A210" t="str">
            <v>668-293080-010</v>
          </cell>
          <cell r="B210" t="str">
            <v>43045-1000</v>
          </cell>
          <cell r="C210" t="str">
            <v>CONN</v>
          </cell>
          <cell r="F210" t="str">
            <v>CONN,HDR,RTANG,2 ROWS,10 CKT,PCB MT</v>
          </cell>
        </row>
        <row r="211">
          <cell r="A211" t="str">
            <v>668-293080-012</v>
          </cell>
          <cell r="B211" t="str">
            <v>43045-1200</v>
          </cell>
          <cell r="C211" t="str">
            <v>CONN</v>
          </cell>
          <cell r="F211" t="str">
            <v>CONN,HDR,RTANG,2 ROWS,12 CKT,PCB MT</v>
          </cell>
        </row>
        <row r="212">
          <cell r="A212" t="str">
            <v>668-A66066-005</v>
          </cell>
          <cell r="B212" t="str">
            <v>43160-0105</v>
          </cell>
          <cell r="C212" t="str">
            <v>CONN</v>
          </cell>
          <cell r="F212" t="str">
            <v>CONN,HDR,5CKT,7.5MM PITCH,18A,600V,TH</v>
          </cell>
        </row>
        <row r="213">
          <cell r="A213" t="str">
            <v>668-A66066-006</v>
          </cell>
          <cell r="B213" t="str">
            <v>43160-0106</v>
          </cell>
          <cell r="C213" t="str">
            <v>CONN</v>
          </cell>
          <cell r="F213" t="str">
            <v>CONN,HDR,6CKT,7.5MM PITCH,18A,600V,TH</v>
          </cell>
        </row>
        <row r="214">
          <cell r="A214" t="str">
            <v>668-324407-004</v>
          </cell>
          <cell r="B214" t="str">
            <v>43160-6302</v>
          </cell>
          <cell r="C214" t="str">
            <v>CONN</v>
          </cell>
          <cell r="F214" t="str">
            <v>CONN,HDR,2CKT,18A,VERT MT,THROUGH-HOLE</v>
          </cell>
        </row>
        <row r="215">
          <cell r="A215" t="str">
            <v>607-098383-103</v>
          </cell>
          <cell r="B215" t="str">
            <v>4816P-1-103LF</v>
          </cell>
          <cell r="C215" t="str">
            <v>RNET</v>
          </cell>
          <cell r="F215" t="str">
            <v>RNET,ISOL 10K 8 RES SOM16,ROHS</v>
          </cell>
        </row>
        <row r="216">
          <cell r="A216" t="str">
            <v>660-A23835-001</v>
          </cell>
          <cell r="B216" t="str">
            <v>4AA24-N20-I10-M-K0065-Q4</v>
          </cell>
          <cell r="C216" t="str">
            <v>PS</v>
          </cell>
          <cell r="E216" t="str">
            <v>4AA24-N20-I10-M</v>
          </cell>
          <cell r="F216" t="str">
            <v>PS,DC-DC CONV,HV,24V,4KV,ADJ</v>
          </cell>
        </row>
        <row r="217">
          <cell r="A217" t="str">
            <v>660-165469-001</v>
          </cell>
          <cell r="B217" t="str">
            <v>4FLHV24-BP15-I10-25PPM</v>
          </cell>
          <cell r="C217" t="str">
            <v>PS</v>
          </cell>
          <cell r="F217" t="str">
            <v>PS,HV,DC-DC,8KV CT,15W</v>
          </cell>
        </row>
        <row r="218">
          <cell r="A218" t="str">
            <v>729-036913-002</v>
          </cell>
          <cell r="B218" t="str">
            <v>4NSLWPP</v>
          </cell>
          <cell r="C218" t="str">
            <v>WASHER</v>
          </cell>
          <cell r="D218" t="str">
            <v>Hardware</v>
          </cell>
          <cell r="F218" t="str">
            <v>WSHR,SPLTLK,PHOS BRNZ</v>
          </cell>
        </row>
        <row r="219">
          <cell r="A219" t="str">
            <v>668-342267-080</v>
          </cell>
          <cell r="B219" t="str">
            <v>501864-8090</v>
          </cell>
          <cell r="C219" t="str">
            <v>CONN</v>
          </cell>
          <cell r="F219" t="str">
            <v>CONN,RCPT,HSG,FFC,80POSN,0.5A,50V,PCB MT</v>
          </cell>
        </row>
        <row r="220">
          <cell r="A220" t="str">
            <v>669-047358-001</v>
          </cell>
          <cell r="B220" t="str">
            <v>50865-2</v>
          </cell>
          <cell r="C220" t="str">
            <v>CONT</v>
          </cell>
          <cell r="F220" t="str">
            <v>CONT,SKT,MINIATURE SPRING SOCKET</v>
          </cell>
        </row>
        <row r="221">
          <cell r="A221" t="str">
            <v>669-047358-001</v>
          </cell>
          <cell r="B221" t="str">
            <v>50865-5</v>
          </cell>
          <cell r="C221" t="str">
            <v>CONT</v>
          </cell>
          <cell r="F221" t="str">
            <v>CONT,SKT,MINIATURE SPRING SOCKET</v>
          </cell>
        </row>
        <row r="222">
          <cell r="A222" t="str">
            <v>648-A89447-120</v>
          </cell>
          <cell r="B222" t="str">
            <v>50SVPK120M</v>
          </cell>
          <cell r="C222" t="str">
            <v>CAP</v>
          </cell>
          <cell r="F222" t="str">
            <v>CAP,SMD,AL,ELCTLT,20%,50V,120UF,10MM DIA</v>
          </cell>
        </row>
        <row r="223">
          <cell r="A223" t="str">
            <v>668-092915-026</v>
          </cell>
          <cell r="B223" t="str">
            <v>5102321-6</v>
          </cell>
          <cell r="C223" t="str">
            <v>CONN</v>
          </cell>
          <cell r="F223" t="str">
            <v>CONN,HDR,PCB MT,.100 CTR 26P,ROHS</v>
          </cell>
        </row>
        <row r="224">
          <cell r="A224" t="str">
            <v>668-B30762-003</v>
          </cell>
          <cell r="B224" t="str">
            <v>5-103634-2</v>
          </cell>
          <cell r="C224" t="str">
            <v>CONN</v>
          </cell>
          <cell r="F224" t="str">
            <v>CONN,HDR,SHRD,3POSN,3A,600V,1ROW,TH</v>
          </cell>
        </row>
        <row r="225">
          <cell r="A225" t="str">
            <v>668-346844-001</v>
          </cell>
          <cell r="B225" t="str">
            <v>5-103635-1</v>
          </cell>
          <cell r="C225" t="str">
            <v>CONN</v>
          </cell>
          <cell r="F225" t="str">
            <v>CONN,HDR,MALE,2POS,3A,RTANG,SLDR,THT</v>
          </cell>
        </row>
        <row r="226">
          <cell r="A226" t="str">
            <v>668-346844-002</v>
          </cell>
          <cell r="B226" t="str">
            <v>5-103635-2</v>
          </cell>
          <cell r="C226" t="str">
            <v>CONN</v>
          </cell>
          <cell r="F226" t="str">
            <v>CONN,HDR,MALE,3POS,3A,RTANG,SLDR,THT</v>
          </cell>
        </row>
        <row r="227">
          <cell r="A227" t="str">
            <v>668-346844-004</v>
          </cell>
          <cell r="B227" t="str">
            <v>5-103635-4</v>
          </cell>
          <cell r="C227" t="str">
            <v>CONN</v>
          </cell>
          <cell r="F227" t="str">
            <v>CONN,HDR,MALE,5POS,3A,RTANG,SLDR,THT</v>
          </cell>
        </row>
        <row r="228">
          <cell r="A228" t="str">
            <v>668-098499-104</v>
          </cell>
          <cell r="B228" t="str">
            <v>5-103673-3</v>
          </cell>
          <cell r="C228" t="str">
            <v>CONN</v>
          </cell>
          <cell r="F228" t="str">
            <v>CONN,HDR,4P,RTANG,MTE</v>
          </cell>
        </row>
        <row r="229">
          <cell r="A229" t="str">
            <v>668-098496-003</v>
          </cell>
          <cell r="B229" t="str">
            <v>5-104363-2</v>
          </cell>
          <cell r="C229" t="str">
            <v>CONN</v>
          </cell>
          <cell r="F229" t="str">
            <v>CONN,HDR 3P VERT MTE,ROHS</v>
          </cell>
        </row>
        <row r="230">
          <cell r="A230" t="str">
            <v>668-B32821-008</v>
          </cell>
          <cell r="B230" t="str">
            <v>5-104935-2</v>
          </cell>
          <cell r="C230" t="str">
            <v>CONN</v>
          </cell>
          <cell r="F230" t="str">
            <v>CONN,HDR,SHRD,8POSN,600V,3A,RTANG,THT</v>
          </cell>
        </row>
        <row r="231">
          <cell r="A231" t="str">
            <v>668-B33354-002</v>
          </cell>
          <cell r="B231" t="str">
            <v>5-1375582-1</v>
          </cell>
          <cell r="C231" t="str">
            <v>CONN</v>
          </cell>
          <cell r="F231" t="str">
            <v>CONN,HDR,SHRD,PCB,VERT,1ROW,2POSN,3A</v>
          </cell>
        </row>
        <row r="232">
          <cell r="A232" t="str">
            <v>668-B33354-002</v>
          </cell>
          <cell r="B232" t="str">
            <v>5-1375583-1</v>
          </cell>
          <cell r="C232" t="str">
            <v>CONN</v>
          </cell>
          <cell r="F232" t="str">
            <v>CONN,HDR,SHRD,PCB,VERT,1ROW,2POSN,3A</v>
          </cell>
        </row>
        <row r="233">
          <cell r="A233" t="str">
            <v>668-188529-001</v>
          </cell>
          <cell r="B233" t="str">
            <v>5-146280-3</v>
          </cell>
          <cell r="C233" t="str">
            <v>CONN</v>
          </cell>
          <cell r="F233" t="str">
            <v>CONN,HDR,BREAKAWAY,SGL ROW,PCB MT,3POSN</v>
          </cell>
        </row>
        <row r="234">
          <cell r="A234" t="str">
            <v>667-123622-001</v>
          </cell>
          <cell r="B234" t="str">
            <v>5-147278-3</v>
          </cell>
          <cell r="C234" t="str">
            <v>CONN</v>
          </cell>
          <cell r="F234" t="str">
            <v>CONN,SMD,RT ANGL MTE,4 POS</v>
          </cell>
        </row>
        <row r="235">
          <cell r="A235" t="str">
            <v>668-262972-001</v>
          </cell>
          <cell r="B235" t="str">
            <v>5-1814832-2</v>
          </cell>
          <cell r="C235" t="str">
            <v>CONN</v>
          </cell>
          <cell r="F235" t="str">
            <v>CONN,SMD,HDR,40PIN,VERT,2ROW,2.54MM</v>
          </cell>
        </row>
        <row r="236">
          <cell r="A236" t="str">
            <v>668-B14968-001</v>
          </cell>
          <cell r="B236" t="str">
            <v>5227161-7</v>
          </cell>
          <cell r="C236" t="str">
            <v>CONN</v>
          </cell>
          <cell r="F236" t="str">
            <v>CONN,BNC,JACK,RF,1POSN,50OHM,WHT,RTANG</v>
          </cell>
        </row>
        <row r="237">
          <cell r="A237" t="str">
            <v>641-A66123-010</v>
          </cell>
          <cell r="B237" t="str">
            <v>5256-RC</v>
          </cell>
          <cell r="C237" t="str">
            <v>IDCTR</v>
          </cell>
          <cell r="F237" t="str">
            <v>IDCTR,FERRITE,CHOKE,500UH,20PCT,2A,AXL</v>
          </cell>
        </row>
        <row r="238">
          <cell r="A238" t="str">
            <v>668-338209-006</v>
          </cell>
          <cell r="B238" t="str">
            <v>53253-0670</v>
          </cell>
          <cell r="C238" t="str">
            <v>CONN</v>
          </cell>
          <cell r="F238" t="str">
            <v>CONN,HDR,PCB,6POSN,2A,125V,VERT MT,NYL</v>
          </cell>
        </row>
        <row r="239">
          <cell r="A239" t="str">
            <v>779-130536-001</v>
          </cell>
          <cell r="B239" t="str">
            <v>532602B02500G</v>
          </cell>
          <cell r="C239" t="str">
            <v>HTSK</v>
          </cell>
          <cell r="F239" t="str">
            <v>HTSK,TO-220,1.5IN</v>
          </cell>
        </row>
        <row r="240">
          <cell r="A240" t="str">
            <v>662-094083-001</v>
          </cell>
          <cell r="B240" t="str">
            <v>5380H5</v>
          </cell>
          <cell r="C240" t="str">
            <v>LED</v>
          </cell>
          <cell r="F240" t="str">
            <v>LED,PCB,RA,5MM,HIGH,EFF GRN ROHS</v>
          </cell>
        </row>
        <row r="241">
          <cell r="A241" t="str">
            <v>662-094083-001</v>
          </cell>
          <cell r="B241" t="str">
            <v>550-2205F</v>
          </cell>
          <cell r="C241" t="str">
            <v>LED</v>
          </cell>
          <cell r="E241"/>
          <cell r="F241" t="str">
            <v>LED,PCB,RA,5MM,HIGH,EFF GRN ROHS</v>
          </cell>
        </row>
        <row r="242">
          <cell r="A242" t="str">
            <v>668-099502-006</v>
          </cell>
          <cell r="B242" t="str">
            <v>5520258-3</v>
          </cell>
          <cell r="C242" t="str">
            <v>CONN</v>
          </cell>
          <cell r="F242" t="str">
            <v>CONN,MDLR JK,6P6,RJ11,VERT</v>
          </cell>
        </row>
        <row r="243">
          <cell r="A243" t="str">
            <v>668-129550-001</v>
          </cell>
          <cell r="B243" t="str">
            <v>5535097-5</v>
          </cell>
          <cell r="C243" t="str">
            <v>CONN</v>
          </cell>
          <cell r="F243" t="str">
            <v>CONN,RCPT,120P,TYPE C,VERT,3 X 40</v>
          </cell>
        </row>
        <row r="244">
          <cell r="A244" t="str">
            <v>662-060106-010</v>
          </cell>
          <cell r="B244" t="str">
            <v>555-2301F</v>
          </cell>
          <cell r="C244" t="str">
            <v>LED</v>
          </cell>
          <cell r="F244" t="str">
            <v>L.E.D., RT ANGLE, GRN, 2.4V,RoHS</v>
          </cell>
        </row>
        <row r="245">
          <cell r="A245" t="str">
            <v>668-099048-008</v>
          </cell>
          <cell r="B245" t="str">
            <v>5557969-1</v>
          </cell>
          <cell r="C245" t="str">
            <v>CONN</v>
          </cell>
          <cell r="F245" t="str">
            <v>CONN,MDLR JK,8P8,RJ45,VERT SH,ROHS</v>
          </cell>
        </row>
        <row r="246">
          <cell r="A246" t="str">
            <v>668-099048-008</v>
          </cell>
          <cell r="B246" t="str">
            <v>5557969-2</v>
          </cell>
          <cell r="C246" t="str">
            <v>CONN</v>
          </cell>
          <cell r="F246" t="str">
            <v>CONN,MDLR JK,8P8,RJ45,VERT SH,ROHS</v>
          </cell>
        </row>
        <row r="247">
          <cell r="A247" t="str">
            <v>649-094841-103</v>
          </cell>
          <cell r="B247" t="str">
            <v>564R30GAS10</v>
          </cell>
          <cell r="C247" t="str">
            <v>CAP</v>
          </cell>
          <cell r="F247" t="str">
            <v>CAP,CER DISC,3KV 20%,10000PF,ROHS</v>
          </cell>
        </row>
        <row r="248">
          <cell r="A248" t="str">
            <v>649-A29466-001</v>
          </cell>
          <cell r="B248" t="str">
            <v>564R60GAS10</v>
          </cell>
          <cell r="C248" t="str">
            <v>CAP</v>
          </cell>
          <cell r="F248" t="str">
            <v>CAP,CER,DISC,0.01UF,±20%,6KV,Z5U,RDL</v>
          </cell>
        </row>
        <row r="249">
          <cell r="A249" t="str">
            <v>668-129989-001</v>
          </cell>
          <cell r="B249" t="str">
            <v>5650919-5</v>
          </cell>
          <cell r="C249" t="str">
            <v>CONN</v>
          </cell>
          <cell r="F249" t="str">
            <v>CONN,PLUG,DIN,120 PIN,VERT,ROHS</v>
          </cell>
        </row>
        <row r="250">
          <cell r="A250" t="str">
            <v>668-098489-037</v>
          </cell>
          <cell r="B250" t="str">
            <v>5747843-4</v>
          </cell>
          <cell r="C250" t="str">
            <v>CONN</v>
          </cell>
          <cell r="F250" t="str">
            <v>CONN,PLUG,37P,D-SUB,RTANG,PCB</v>
          </cell>
        </row>
        <row r="251">
          <cell r="A251" t="str">
            <v>668-299108-001</v>
          </cell>
          <cell r="B251" t="str">
            <v>5747846-6</v>
          </cell>
          <cell r="C251" t="str">
            <v>CONN</v>
          </cell>
          <cell r="F251" t="str">
            <v>CONN,RCPT,RTANG,D-SUB,25POSN,2ROW,6A</v>
          </cell>
        </row>
        <row r="252">
          <cell r="A252" t="str">
            <v>668-099029-015</v>
          </cell>
          <cell r="B252" t="str">
            <v>5750489-1</v>
          </cell>
          <cell r="C252" t="str">
            <v>CONN</v>
          </cell>
          <cell r="F252" t="str">
            <v>CONN,PIN,15P,DSUB,HD,VERT,ROHS</v>
          </cell>
        </row>
        <row r="253">
          <cell r="A253" t="str">
            <v>39-164243-15</v>
          </cell>
          <cell r="B253" t="str">
            <v>5750638-1</v>
          </cell>
          <cell r="C253" t="str">
            <v>CONN</v>
          </cell>
          <cell r="F253" t="str">
            <v>CONN,D-SUB,15,M,PCB STRT,BRD LOCK,4-40 I</v>
          </cell>
        </row>
        <row r="254">
          <cell r="A254" t="str">
            <v>609-098296-002</v>
          </cell>
          <cell r="B254" t="str">
            <v>5818SMJE3</v>
          </cell>
          <cell r="C254" t="str">
            <v>DIO</v>
          </cell>
          <cell r="F254" t="str">
            <v>DIO,SMD,SCHOTTKY,1A,30V,SMB,ROHS</v>
          </cell>
        </row>
        <row r="255">
          <cell r="A255" t="str">
            <v>648-097893-106</v>
          </cell>
          <cell r="B255" t="str">
            <v>593D106X9035D2TE3</v>
          </cell>
          <cell r="C255" t="str">
            <v>CAP</v>
          </cell>
          <cell r="F255" t="str">
            <v>CAP,SMD,TANT L-ESR,35V,10%,10UF,ROHS</v>
          </cell>
        </row>
        <row r="256">
          <cell r="A256" t="str">
            <v>648-097892-107</v>
          </cell>
          <cell r="B256" t="str">
            <v>593D107X9010D2WE3</v>
          </cell>
          <cell r="C256" t="str">
            <v>CAP</v>
          </cell>
          <cell r="F256" t="str">
            <v>CAP,7343H,100UF,10V,10% L-ESR,ROHS</v>
          </cell>
        </row>
        <row r="257">
          <cell r="A257" t="str">
            <v>664-122320-001</v>
          </cell>
          <cell r="B257" t="str">
            <v>598-8610-307F</v>
          </cell>
          <cell r="C257" t="str">
            <v>LED</v>
          </cell>
          <cell r="F257" t="str">
            <v>LED,SMD,3 WAY ALINGAP/INGAN R/G/B 1210</v>
          </cell>
        </row>
        <row r="258">
          <cell r="A258" t="str">
            <v>648-225118-007</v>
          </cell>
          <cell r="B258" t="str">
            <v>600F220FT250XT</v>
          </cell>
          <cell r="C258" t="str">
            <v>CAP</v>
          </cell>
          <cell r="F258" t="str">
            <v>CAP,SMD,NPO,22PF,1%,250V,0805</v>
          </cell>
        </row>
        <row r="259">
          <cell r="A259" t="str">
            <v>668-B33497-015</v>
          </cell>
          <cell r="B259" t="str">
            <v>6-104910-4</v>
          </cell>
          <cell r="C259" t="str">
            <v>CONN</v>
          </cell>
          <cell r="F259" t="str">
            <v>CONN,HDR,PCB,3A,600V,15PIN,SHRD,VERT,BLK</v>
          </cell>
        </row>
        <row r="260">
          <cell r="A260" t="str">
            <v>669-188510-001</v>
          </cell>
          <cell r="B260" t="str">
            <v>61082-101400LF</v>
          </cell>
          <cell r="C260" t="str">
            <v>CONT</v>
          </cell>
          <cell r="F260" t="str">
            <v>CONT,SKT,100POS,0.8MM,DUAL,SMD</v>
          </cell>
        </row>
        <row r="261">
          <cell r="A261" t="str">
            <v>667-A53008-010</v>
          </cell>
          <cell r="B261" t="str">
            <v>61082-102400LF</v>
          </cell>
          <cell r="C261" t="str">
            <v>CONN</v>
          </cell>
          <cell r="F261" t="str">
            <v>CONN,SMD,RCPT,2ROW,100POSN,0.8MM PITCH</v>
          </cell>
        </row>
        <row r="262">
          <cell r="A262" t="str">
            <v>667-160101-002</v>
          </cell>
          <cell r="B262" t="str">
            <v>61083-124402LF</v>
          </cell>
          <cell r="C262" t="str">
            <v>CONN</v>
          </cell>
          <cell r="F262" t="str">
            <v>CONN,SMD,HDR,2 ROW,0.8MM,120POSN,7.7MM</v>
          </cell>
        </row>
        <row r="263">
          <cell r="A263" t="str">
            <v>34-357070-00</v>
          </cell>
          <cell r="B263" t="str">
            <v>6-1393144-8</v>
          </cell>
          <cell r="C263" t="str">
            <v>RLY</v>
          </cell>
          <cell r="F263" t="str">
            <v>RELAY,2 POLE,24V,INDUSTRIAL</v>
          </cell>
        </row>
        <row r="264">
          <cell r="A264" t="str">
            <v>644-A92192-002</v>
          </cell>
          <cell r="B264" t="str">
            <v>6-1419128-6</v>
          </cell>
          <cell r="C264" t="str">
            <v>RLY</v>
          </cell>
          <cell r="F264" t="str">
            <v>RLY,SPST-NO,24VDC,10A,STD TYPE,PCB MNT</v>
          </cell>
        </row>
        <row r="265">
          <cell r="A265" t="str">
            <v>668-161369-001</v>
          </cell>
          <cell r="B265" t="str">
            <v>640497-1</v>
          </cell>
          <cell r="C265" t="str">
            <v>CONN</v>
          </cell>
          <cell r="F265" t="str">
            <v>CONN,RCPT,2POSN,HDR,MR SER,250V,9A</v>
          </cell>
        </row>
        <row r="266">
          <cell r="A266" t="str">
            <v>669-007340-001</v>
          </cell>
          <cell r="B266" t="str">
            <v>65474-010LF</v>
          </cell>
          <cell r="C266" t="str">
            <v>JMP</v>
          </cell>
          <cell r="F266" t="str">
            <v>JUMPER  FEMALE .100 CENTERS,ROHS</v>
          </cell>
        </row>
        <row r="267">
          <cell r="A267" t="str">
            <v>668-092915-026</v>
          </cell>
          <cell r="B267" t="str">
            <v>65863-075LF</v>
          </cell>
          <cell r="C267" t="str">
            <v>CONN</v>
          </cell>
          <cell r="F267" t="str">
            <v>CONN,HDR,PCB MT,.100 CTR 26P,ROHS</v>
          </cell>
        </row>
        <row r="268">
          <cell r="A268" t="str">
            <v>668-005463-002</v>
          </cell>
          <cell r="B268" t="str">
            <v>67997-102HLF</v>
          </cell>
          <cell r="C268" t="str">
            <v>HEADER</v>
          </cell>
          <cell r="F268" t="str">
            <v>HEADER, STRAIGHT DBL ROW,2 PIN,ROHS</v>
          </cell>
        </row>
        <row r="269">
          <cell r="A269" t="str">
            <v>668-005463-006</v>
          </cell>
          <cell r="B269" t="str">
            <v>67997-106HLF</v>
          </cell>
          <cell r="C269" t="str">
            <v>HEADER</v>
          </cell>
          <cell r="F269" t="str">
            <v>HEADER,STR,DBL ROW,6 CKT,ROHS</v>
          </cell>
        </row>
        <row r="270">
          <cell r="A270" t="str">
            <v>668-005463-010</v>
          </cell>
          <cell r="B270" t="str">
            <v>67997-110HLF</v>
          </cell>
          <cell r="C270" t="str">
            <v>HEADER</v>
          </cell>
          <cell r="F270" t="str">
            <v>HEADER,STRAIGHT,DOUBLE ROW,10C,ROHS</v>
          </cell>
        </row>
        <row r="271">
          <cell r="A271" t="str">
            <v>668-007385-011</v>
          </cell>
          <cell r="B271" t="str">
            <v>68000-211HLF</v>
          </cell>
          <cell r="C271" t="str">
            <v>CONN</v>
          </cell>
          <cell r="F271" t="str">
            <v>CONN,HDR,11POSN,1ROW,VERT,2.54MM PITCH</v>
          </cell>
        </row>
        <row r="272">
          <cell r="A272" t="str">
            <v>668-B28242-001</v>
          </cell>
          <cell r="B272" t="str">
            <v>684S7W2103L461</v>
          </cell>
          <cell r="C272" t="str">
            <v>CONN</v>
          </cell>
          <cell r="F272" t="str">
            <v>CONN,COMBO-D,7W2,250V,RTANG,PCB MT</v>
          </cell>
        </row>
        <row r="273">
          <cell r="A273" t="str">
            <v>684-243305-004</v>
          </cell>
          <cell r="B273" t="str">
            <v>700586-057-057</v>
          </cell>
          <cell r="C273" t="str">
            <v>CAP</v>
          </cell>
          <cell r="F273" t="str">
            <v>CA,ASSY,DSUB,COMBO 2WK2,ST THMSC,57",57"</v>
          </cell>
        </row>
        <row r="274">
          <cell r="A274" t="str">
            <v>673-A81272-003</v>
          </cell>
          <cell r="B274" t="str">
            <v>739-103</v>
          </cell>
          <cell r="C274" t="str">
            <v>TERM BLK</v>
          </cell>
          <cell r="F274" t="str">
            <v>TERM BLK,3P,5MM PITCH,300V,10A,PCB MT</v>
          </cell>
        </row>
        <row r="275">
          <cell r="A275" t="str">
            <v>674-B39244-406</v>
          </cell>
          <cell r="B275" t="str">
            <v>7466004R</v>
          </cell>
          <cell r="C275" t="str">
            <v>TERM</v>
          </cell>
          <cell r="F275" t="str">
            <v>TERM,SMD,PCB,WIRE TO BD,M4 THD,50A,BRS</v>
          </cell>
        </row>
        <row r="276">
          <cell r="A276" t="str">
            <v>668-098490-009</v>
          </cell>
          <cell r="B276" t="str">
            <v>747844-4</v>
          </cell>
          <cell r="C276" t="str">
            <v>CONN</v>
          </cell>
          <cell r="F276" t="str">
            <v>CONN,RCPT 9P D-SUB RTANG</v>
          </cell>
        </row>
        <row r="277">
          <cell r="A277" t="str">
            <v>668-098490-025</v>
          </cell>
          <cell r="B277" t="str">
            <v>747846-4</v>
          </cell>
          <cell r="C277" t="str">
            <v>CONN</v>
          </cell>
          <cell r="F277" t="str">
            <v>CONN,RCPT 25P D-SUB RTANG</v>
          </cell>
        </row>
        <row r="278">
          <cell r="A278" t="str">
            <v>668-098490-037</v>
          </cell>
          <cell r="B278" t="str">
            <v>747847-4</v>
          </cell>
          <cell r="C278" t="str">
            <v>CONN</v>
          </cell>
          <cell r="F278" t="str">
            <v>CONN,RCPT 37P D-SUB RTANG</v>
          </cell>
        </row>
        <row r="279">
          <cell r="A279" t="str">
            <v>630-025511-001</v>
          </cell>
          <cell r="B279" t="str">
            <v>74AC14SC</v>
          </cell>
          <cell r="C279" t="str">
            <v>IC</v>
          </cell>
          <cell r="F279" t="str">
            <v>IC,SMD,74AC14,HEX INV,SOIC14</v>
          </cell>
        </row>
        <row r="280">
          <cell r="A280" t="str">
            <v>630-332743-001</v>
          </cell>
          <cell r="B280" t="str">
            <v>74ACT11030D</v>
          </cell>
          <cell r="C280" t="str">
            <v>IC</v>
          </cell>
          <cell r="F280" t="str">
            <v>IC,SMD,8 INPUT,NAND,14PIN,4.5-5.5V,SOIC</v>
          </cell>
        </row>
        <row r="281">
          <cell r="A281" t="str">
            <v>630-099034-011</v>
          </cell>
          <cell r="B281" t="str">
            <v>74HC11D</v>
          </cell>
          <cell r="C281" t="str">
            <v>IC</v>
          </cell>
          <cell r="F281" t="str">
            <v>IC,SMD,74HC11 3-IN AND SO14</v>
          </cell>
        </row>
        <row r="282">
          <cell r="A282" t="str">
            <v>630-099034-085</v>
          </cell>
          <cell r="B282" t="str">
            <v>74HC85D,653</v>
          </cell>
          <cell r="C282" t="str">
            <v>IC</v>
          </cell>
          <cell r="F282" t="str">
            <v>IC,SMD,74HC85 4-BIT COMP SO16,ROHS</v>
          </cell>
        </row>
        <row r="283">
          <cell r="A283" t="str">
            <v>630-A61701-125</v>
          </cell>
          <cell r="B283" t="str">
            <v>74LCX125MTC</v>
          </cell>
          <cell r="C283" t="str">
            <v>IC</v>
          </cell>
          <cell r="F283" t="str">
            <v>IC,SMD,QUAD BFR,NON INVERTING,TSSOP-14</v>
          </cell>
        </row>
        <row r="284">
          <cell r="A284" t="str">
            <v>648-B42870-001</v>
          </cell>
          <cell r="B284" t="str">
            <v>7676C103GP302X</v>
          </cell>
          <cell r="C284" t="str">
            <v>CAP</v>
          </cell>
          <cell r="F284" t="str">
            <v>CAP,SMD,CER,10NF,3KV,2% TOL,NPO</v>
          </cell>
        </row>
        <row r="285">
          <cell r="A285" t="str">
            <v>648-119852-103</v>
          </cell>
          <cell r="B285" t="str">
            <v>7676C103JP302X</v>
          </cell>
          <cell r="C285" t="str">
            <v>CAP</v>
          </cell>
          <cell r="F285" t="str">
            <v>CAP,SMD,CER,10NF,3KV,NPO,5%</v>
          </cell>
        </row>
        <row r="286">
          <cell r="A286" t="str">
            <v>648-B42279-001</v>
          </cell>
          <cell r="B286" t="str">
            <v>7676C512GP502X</v>
          </cell>
          <cell r="C286" t="str">
            <v>CAP</v>
          </cell>
          <cell r="F286" t="str">
            <v>CAP,SMD,CER,5.1NF,2%,5KV,NP0,7676</v>
          </cell>
        </row>
        <row r="287">
          <cell r="A287" t="str">
            <v>648-249226-033</v>
          </cell>
          <cell r="B287" t="str">
            <v>7676C512JW502X</v>
          </cell>
          <cell r="C287" t="str">
            <v>CAP</v>
          </cell>
          <cell r="F287" t="str">
            <v>CAP,SMD,PWR TRANSMITTER,5KV,5%,NP0,5.1NF</v>
          </cell>
        </row>
        <row r="288">
          <cell r="A288" t="str">
            <v>646-130453-002</v>
          </cell>
          <cell r="B288" t="str">
            <v>76HPSB02GWRT</v>
          </cell>
          <cell r="C288" t="str">
            <v>SW</v>
          </cell>
          <cell r="F288" t="str">
            <v>SW,SMD,DIP STRAIGHT 2 POLES,ROHS</v>
          </cell>
        </row>
        <row r="289">
          <cell r="A289" t="str">
            <v>646-130453-004</v>
          </cell>
          <cell r="B289" t="str">
            <v>76HPSB04GWRT</v>
          </cell>
          <cell r="C289" t="str">
            <v>SW</v>
          </cell>
          <cell r="F289" t="str">
            <v>SW,SMD,DIP STRAIGHT 4 POLES,ROHS</v>
          </cell>
        </row>
        <row r="290">
          <cell r="A290" t="str">
            <v>646-130453-006</v>
          </cell>
          <cell r="B290" t="str">
            <v>76HPSB06GWRT</v>
          </cell>
          <cell r="C290" t="str">
            <v>SW</v>
          </cell>
          <cell r="F290" t="str">
            <v>SW,SMD,DIP STRAIGHT 6 POLES,ROHS</v>
          </cell>
        </row>
        <row r="291">
          <cell r="A291" t="str">
            <v>646-130453-008</v>
          </cell>
          <cell r="B291" t="str">
            <v>76HPSB08GWRT</v>
          </cell>
          <cell r="C291" t="str">
            <v>SW</v>
          </cell>
          <cell r="F291" t="str">
            <v>SW,SMD,DIP STRAIGHT 8 POLES,ROHS</v>
          </cell>
        </row>
        <row r="292">
          <cell r="A292" t="str">
            <v>646-130453-010</v>
          </cell>
          <cell r="B292" t="str">
            <v>76HPSB10GWRT</v>
          </cell>
          <cell r="C292" t="str">
            <v>SW</v>
          </cell>
          <cell r="F292" t="str">
            <v>SW,SMD,DIP STRAIGHT 10 POLES,ROHS</v>
          </cell>
        </row>
        <row r="293">
          <cell r="A293" t="str">
            <v>645-000381-003</v>
          </cell>
          <cell r="B293" t="str">
            <v>76SB03ST</v>
          </cell>
          <cell r="C293" t="str">
            <v>SW</v>
          </cell>
          <cell r="F293" t="str">
            <v>SWITCH  DIP ROCKER SPST 2-POS3-POS,ROHS</v>
          </cell>
        </row>
        <row r="294">
          <cell r="A294" t="str">
            <v>645-000381-003</v>
          </cell>
          <cell r="B294" t="str">
            <v>76SB03T</v>
          </cell>
          <cell r="C294" t="str">
            <v>SW</v>
          </cell>
          <cell r="F294" t="str">
            <v>SWITCH  DIP ROCKER SPST 2-POS3-POS,ROHS</v>
          </cell>
        </row>
        <row r="295">
          <cell r="A295" t="str">
            <v>645-000381-008</v>
          </cell>
          <cell r="B295" t="str">
            <v>76SB08ST</v>
          </cell>
          <cell r="C295" t="str">
            <v>SW</v>
          </cell>
          <cell r="F295" t="str">
            <v>SWITCH  DIP ROCKER SPST 8-POS,ROHS</v>
          </cell>
        </row>
        <row r="296">
          <cell r="A296" t="str">
            <v>645-000381-008</v>
          </cell>
          <cell r="B296" t="str">
            <v>76SB08T</v>
          </cell>
          <cell r="C296" t="str">
            <v>SW</v>
          </cell>
          <cell r="F296" t="str">
            <v>SWITCH  DIP ROCKER SPST 8-POS,ROHS</v>
          </cell>
        </row>
        <row r="297">
          <cell r="A297" t="str">
            <v>608-096583-204</v>
          </cell>
          <cell r="B297" t="str">
            <v>84WR200KLF</v>
          </cell>
          <cell r="C297" t="str">
            <v>RES</v>
          </cell>
          <cell r="F297" t="str">
            <v>RES,SMD,POT,12T,T-ADJ,0.25SQ,200K,ROHS</v>
          </cell>
        </row>
        <row r="298">
          <cell r="A298" t="str">
            <v>608-096583-203</v>
          </cell>
          <cell r="B298" t="str">
            <v>84WR20KLF</v>
          </cell>
          <cell r="C298" t="str">
            <v>RES</v>
          </cell>
          <cell r="F298" t="str">
            <v>RES,SMD,POT,12T,T-ADJ,0.25SQ,20K,ROHS</v>
          </cell>
        </row>
        <row r="299">
          <cell r="A299" t="str">
            <v>608-096583-202</v>
          </cell>
          <cell r="B299" t="str">
            <v>84WR2KLF</v>
          </cell>
          <cell r="C299" t="str">
            <v>RES</v>
          </cell>
          <cell r="F299" t="str">
            <v>RES,SMD,POT,12T,T-ADJ,0.25SQ,2K,ROHS</v>
          </cell>
        </row>
        <row r="300">
          <cell r="A300" t="str">
            <v>668-238349-004</v>
          </cell>
          <cell r="B300" t="str">
            <v>87438-0443</v>
          </cell>
          <cell r="C300" t="str">
            <v>CONN</v>
          </cell>
          <cell r="F300" t="str">
            <v>CONN,HDR,SMD,RTANG,1.5MM PITCH,4CKT</v>
          </cell>
        </row>
        <row r="301">
          <cell r="A301" t="str">
            <v>668-122991-001</v>
          </cell>
          <cell r="B301" t="str">
            <v>87831-1420</v>
          </cell>
          <cell r="C301" t="str">
            <v>CONN</v>
          </cell>
          <cell r="F301" t="str">
            <v>CONN,HDR,</v>
          </cell>
        </row>
        <row r="302">
          <cell r="A302" t="str">
            <v>668-068181-001</v>
          </cell>
          <cell r="B302" t="str">
            <v>901-144</v>
          </cell>
          <cell r="C302" t="str">
            <v>CONN</v>
          </cell>
          <cell r="D302" t="str">
            <v>FF</v>
          </cell>
          <cell r="F302" t="str">
            <v>CONN,RCPT,SMA,STR,PCB,4 POST, ROHS</v>
          </cell>
        </row>
        <row r="303">
          <cell r="A303" t="str">
            <v>667-B29149-016</v>
          </cell>
          <cell r="B303" t="str">
            <v>91601-316LF</v>
          </cell>
          <cell r="C303" t="str">
            <v>CONN</v>
          </cell>
          <cell r="F303" t="str">
            <v>CONN,SMD,RCPT,16POSN,1ROW,.1IN PITCH</v>
          </cell>
        </row>
        <row r="304">
          <cell r="A304" t="str">
            <v>632-B14832-001</v>
          </cell>
          <cell r="B304" t="str">
            <v>9290-05-00</v>
          </cell>
          <cell r="C304" t="str">
            <v>RLY</v>
          </cell>
          <cell r="F304" t="str">
            <v>RLY,SMD,REED,SPST-NO,5VDC COIL V,GULLWG</v>
          </cell>
        </row>
        <row r="305">
          <cell r="A305" t="str">
            <v>630-121761-001</v>
          </cell>
          <cell r="B305" t="str">
            <v>93LC56BT-I/OT</v>
          </cell>
          <cell r="C305" t="str">
            <v>IC</v>
          </cell>
          <cell r="F305" t="str">
            <v>IC,SMD,EEPROM,2KBIT,3MHZ,SOT-23</v>
          </cell>
        </row>
        <row r="306">
          <cell r="A306" t="str">
            <v>723-308078-031</v>
          </cell>
          <cell r="B306" t="str">
            <v>9534B-B-0632-14</v>
          </cell>
          <cell r="C306" t="str">
            <v>STDF</v>
          </cell>
          <cell r="F306" t="str">
            <v>STDF,RND,SWAGE1/4 5/16" 6-32,0.105",ROHS</v>
          </cell>
        </row>
        <row r="307">
          <cell r="A307" t="str">
            <v>723-308078-043</v>
          </cell>
          <cell r="B307" t="str">
            <v>9536B-B-0632-14</v>
          </cell>
          <cell r="C307" t="str">
            <v>STDF</v>
          </cell>
          <cell r="D307" t="str">
            <v>Hardware</v>
          </cell>
          <cell r="F307" t="str">
            <v>STDF,RND,SWAGE1/4 7/16" 6-32,0.105",ROHS</v>
          </cell>
        </row>
        <row r="308">
          <cell r="A308" t="str">
            <v>615-116027-301</v>
          </cell>
          <cell r="B308" t="str">
            <v>9C12063A3010FK</v>
          </cell>
          <cell r="C308" t="str">
            <v>RES</v>
          </cell>
          <cell r="F308" t="str">
            <v>RES,1206,301 OHM,1%,1/4W,ROHS</v>
          </cell>
        </row>
        <row r="309">
          <cell r="A309" t="str">
            <v>615-116027-301</v>
          </cell>
          <cell r="B309" t="str">
            <v>RC1206FR-07301RL</v>
          </cell>
          <cell r="C309" t="str">
            <v>RES</v>
          </cell>
          <cell r="F309" t="str">
            <v>RES,1206,301 OHM,1%,1/4W,ROHS</v>
          </cell>
        </row>
        <row r="310">
          <cell r="A310" t="str">
            <v>670-006780-037</v>
          </cell>
          <cell r="B310" t="str">
            <v>ABC10</v>
          </cell>
          <cell r="C310" t="str">
            <v>FUSE</v>
          </cell>
          <cell r="D310" t="str">
            <v>AC Box</v>
          </cell>
          <cell r="F310" t="str">
            <v>FUSE .25x1.25 10A 250VAC,ROHS</v>
          </cell>
        </row>
        <row r="311">
          <cell r="A311" t="str">
            <v>670-006780-032</v>
          </cell>
          <cell r="B311" t="str">
            <v>BK/ABC-4-R</v>
          </cell>
          <cell r="C311" t="str">
            <v>FUSE</v>
          </cell>
          <cell r="D311" t="str">
            <v>AC Box</v>
          </cell>
          <cell r="F311" t="str">
            <v>FUSE .25x1.25 4A 250VAC,ROHS</v>
          </cell>
        </row>
        <row r="312">
          <cell r="A312" t="str">
            <v>670-006780-036</v>
          </cell>
          <cell r="B312" t="str">
            <v>ABC-8-R</v>
          </cell>
          <cell r="C312" t="str">
            <v>FUSE</v>
          </cell>
          <cell r="D312" t="str">
            <v>AC Box</v>
          </cell>
          <cell r="F312" t="str">
            <v>FUSE .25x1.25 8A 250VAC,ROHS</v>
          </cell>
        </row>
        <row r="313">
          <cell r="A313" t="str">
            <v>635-169211-001</v>
          </cell>
          <cell r="B313" t="str">
            <v>ABM8G-24.000MHZ-18-D2Y-T</v>
          </cell>
          <cell r="C313" t="str">
            <v>OSC</v>
          </cell>
          <cell r="F313" t="str">
            <v>OSC,SMD,XTAL,24MHZ,18PF,ROHS</v>
          </cell>
        </row>
        <row r="314">
          <cell r="A314" t="str">
            <v>615-188549-106</v>
          </cell>
          <cell r="B314" t="str">
            <v>AC0402FR-0712K1L</v>
          </cell>
          <cell r="C314" t="str">
            <v>RES</v>
          </cell>
          <cell r="F314" t="str">
            <v>RES,0402,1% 1/16W,12.1K ROHS</v>
          </cell>
        </row>
        <row r="315">
          <cell r="A315" t="str">
            <v>615-188549-130</v>
          </cell>
          <cell r="B315" t="str">
            <v>AC0402FR-0722K1L</v>
          </cell>
          <cell r="C315" t="str">
            <v>RES</v>
          </cell>
          <cell r="F315" t="str">
            <v>RES,0402,1% 1/16W,22.1K ROHS</v>
          </cell>
        </row>
        <row r="316">
          <cell r="A316" t="str">
            <v>615-188548-172</v>
          </cell>
          <cell r="B316" t="str">
            <v>AC0402FR-0733RL</v>
          </cell>
          <cell r="C316" t="str">
            <v>RES</v>
          </cell>
          <cell r="F316" t="str">
            <v>RES,0402,1% 1/16W,33.0 OHM ROHS</v>
          </cell>
        </row>
        <row r="317">
          <cell r="A317" t="str">
            <v>615-188548-194</v>
          </cell>
          <cell r="B317" t="str">
            <v>AC0402FR-0749R9L</v>
          </cell>
          <cell r="C317" t="str">
            <v>RES</v>
          </cell>
          <cell r="F317" t="str">
            <v>RES,0402,1% 1/16W,49.9 OHM ROHS</v>
          </cell>
        </row>
        <row r="318">
          <cell r="A318" t="str">
            <v>615-A34866-016</v>
          </cell>
          <cell r="B318" t="str">
            <v>AC0603FR-0710KL</v>
          </cell>
          <cell r="C318" t="str">
            <v>RES</v>
          </cell>
          <cell r="F318" t="str">
            <v>RES,SMD,10KOHM,±1% TOL,0.1W,0603</v>
          </cell>
        </row>
        <row r="319">
          <cell r="A319" t="str">
            <v>615-068559-200</v>
          </cell>
          <cell r="B319" t="str">
            <v>AC0603FR-072KL</v>
          </cell>
          <cell r="C319" t="str">
            <v>RES</v>
          </cell>
          <cell r="F319" t="str">
            <v>RES,0603,THKF,1%,1/10W,100PPM,2K ROHS</v>
          </cell>
        </row>
        <row r="320">
          <cell r="A320" t="str">
            <v>615-068558-365</v>
          </cell>
          <cell r="B320" t="str">
            <v>AC0603FR-07365RL</v>
          </cell>
          <cell r="C320" t="str">
            <v>RES</v>
          </cell>
          <cell r="F320" t="str">
            <v>RES,0603,THKF,1%,1/10W,100PPM,365 ROHS</v>
          </cell>
        </row>
        <row r="321">
          <cell r="A321" t="str">
            <v>615-068559-324</v>
          </cell>
          <cell r="B321" t="str">
            <v>AC0603FR-073K24L</v>
          </cell>
          <cell r="C321" t="str">
            <v>RES</v>
          </cell>
          <cell r="F321" t="str">
            <v>RES,SMD,THKF,1%,1/10W,100PPM,3.24K,ROHS</v>
          </cell>
        </row>
        <row r="322">
          <cell r="A322" t="str">
            <v>615-068560-499</v>
          </cell>
          <cell r="B322" t="str">
            <v>AC0603FR-0749K9L</v>
          </cell>
          <cell r="C322" t="str">
            <v>RES</v>
          </cell>
          <cell r="F322" t="str">
            <v>RES,0603,THKF,1%,1/10W,100PPM,49.9K ROHS</v>
          </cell>
        </row>
        <row r="323">
          <cell r="A323" t="str">
            <v>615-068559-412</v>
          </cell>
          <cell r="B323" t="str">
            <v>AC0603FR-074K12L</v>
          </cell>
          <cell r="C323" t="str">
            <v>RES</v>
          </cell>
          <cell r="F323" t="str">
            <v>RES,0603,THKF,1%,1/10W,100PPM,4.12K ROHS</v>
          </cell>
        </row>
        <row r="324">
          <cell r="A324" t="str">
            <v>615-041926-103</v>
          </cell>
          <cell r="B324" t="str">
            <v>AC0805FR-0710KL</v>
          </cell>
          <cell r="C324" t="str">
            <v>RES</v>
          </cell>
          <cell r="F324" t="str">
            <v>RES,SMD,0805,TF,1%,1/8W,10K,ROHS</v>
          </cell>
        </row>
        <row r="325">
          <cell r="A325" t="str">
            <v>615-053814-332</v>
          </cell>
          <cell r="B325" t="str">
            <v>AC2512JK-073K3L</v>
          </cell>
          <cell r="C325" t="str">
            <v>RES</v>
          </cell>
          <cell r="F325" t="str">
            <v>RES,SMD,2512,TF,5%,1W,ROHS,3.3K OHM</v>
          </cell>
        </row>
        <row r="326">
          <cell r="A326" t="str">
            <v>630-315158-001</v>
          </cell>
          <cell r="B326" t="str">
            <v>AD5689RARUZ</v>
          </cell>
          <cell r="C326" t="str">
            <v>IC</v>
          </cell>
          <cell r="F326" t="str">
            <v>IC,SMD,DAC,16BIT,SRL</v>
          </cell>
        </row>
        <row r="327">
          <cell r="A327" t="str">
            <v>630-098364-001</v>
          </cell>
          <cell r="B327" t="str">
            <v>AD587JRZ</v>
          </cell>
          <cell r="C327" t="str">
            <v>IC</v>
          </cell>
          <cell r="F327" t="str">
            <v>IC,AD587 VREF 10V SO8,ROHS</v>
          </cell>
        </row>
        <row r="328">
          <cell r="A328" t="str">
            <v>630-098364-001</v>
          </cell>
          <cell r="B328" t="str">
            <v>AD587KRZ</v>
          </cell>
          <cell r="C328" t="str">
            <v>IC</v>
          </cell>
          <cell r="F328" t="str">
            <v>IC,AD587 VREF 10V SO8,ROHS</v>
          </cell>
        </row>
        <row r="329">
          <cell r="A329" t="str">
            <v>630-129906-001</v>
          </cell>
          <cell r="B329" t="str">
            <v>AD8510ARMZ</v>
          </cell>
          <cell r="C329" t="str">
            <v>IC</v>
          </cell>
          <cell r="F329" t="str">
            <v>IC,SMD,JFET OPAMP,AD8510,ROHS</v>
          </cell>
        </row>
        <row r="330">
          <cell r="A330" t="str">
            <v>630-337825-001</v>
          </cell>
          <cell r="B330" t="str">
            <v>AD9467BCPZ-250</v>
          </cell>
          <cell r="C330" t="str">
            <v>IC</v>
          </cell>
          <cell r="F330" t="str">
            <v>IC,SMD,ADC,16BIT,250MSPS,72LFCSP</v>
          </cell>
        </row>
        <row r="331">
          <cell r="A331" t="str">
            <v>630-225105-001</v>
          </cell>
          <cell r="B331" t="str">
            <v>AD9518-4ABCPZ</v>
          </cell>
          <cell r="C331" t="str">
            <v>IC</v>
          </cell>
          <cell r="F331" t="str">
            <v>IC,SMD,CLK GEN,6-OUT,1.6GHZ VCO,LFCSP-48</v>
          </cell>
        </row>
        <row r="332">
          <cell r="A332" t="str">
            <v>630-A42310-001</v>
          </cell>
          <cell r="B332" t="str">
            <v>ADA4817-1ACPZ-R7</v>
          </cell>
          <cell r="C332" t="str">
            <v>IC</v>
          </cell>
          <cell r="F332" t="str">
            <v>IC,SMD,OPAMP,1 CKT,870V/US,LFCSP-8</v>
          </cell>
        </row>
        <row r="333">
          <cell r="A333" t="str">
            <v>630-119465-001</v>
          </cell>
          <cell r="B333" t="str">
            <v>ADG1419BRMZ</v>
          </cell>
          <cell r="C333" t="str">
            <v>IC</v>
          </cell>
          <cell r="F333" t="str">
            <v>IC,SMD,ANALOG SW,SPDT,MSOP,ADG1419BRMZ</v>
          </cell>
        </row>
        <row r="334">
          <cell r="A334" t="str">
            <v>630-270805-001</v>
          </cell>
          <cell r="B334" t="str">
            <v>ADS1015IDGSR</v>
          </cell>
          <cell r="C334" t="str">
            <v>IC</v>
          </cell>
          <cell r="F334" t="str">
            <v>IC,SMD,ADC,12BIT,I2C,W/REF,10-MSOP</v>
          </cell>
        </row>
        <row r="335">
          <cell r="A335" t="str">
            <v>630-A89300-001</v>
          </cell>
          <cell r="B335" t="str">
            <v>ADS7953SDBTR</v>
          </cell>
          <cell r="C335" t="str">
            <v>IC</v>
          </cell>
          <cell r="F335" t="str">
            <v>IC,SMD,ADC,12BIT,1-MSPS,16CHAN,TSSOP-38</v>
          </cell>
        </row>
        <row r="336">
          <cell r="A336" t="str">
            <v>630-311348-001</v>
          </cell>
          <cell r="B336" t="str">
            <v>ADS8688IDBTR</v>
          </cell>
          <cell r="C336" t="str">
            <v>IC</v>
          </cell>
          <cell r="F336" t="str">
            <v>IC,SMD,ADC,16 BIT,500 KSPS,8 CHAN MUX</v>
          </cell>
        </row>
        <row r="337">
          <cell r="A337" t="str">
            <v>668-244809-001</v>
          </cell>
          <cell r="B337" t="str">
            <v>AFBR-1539Z</v>
          </cell>
          <cell r="C337" t="str">
            <v>TRANSMITTER</v>
          </cell>
          <cell r="F337" t="str">
            <v>TRANSMITTER,FIBRE OPTIC CONN,685NM,10MBD</v>
          </cell>
        </row>
        <row r="338">
          <cell r="A338" t="str">
            <v>670-006780-024</v>
          </cell>
          <cell r="B338" t="str">
            <v>AGC-1-1/2-R</v>
          </cell>
          <cell r="C338" t="str">
            <v>FUSE</v>
          </cell>
          <cell r="F338" t="str">
            <v>FUSE .25x1.25 1-1/2A 250VAC,ROHS</v>
          </cell>
        </row>
        <row r="339">
          <cell r="A339" t="str">
            <v>670-006780-022</v>
          </cell>
          <cell r="B339" t="str">
            <v>AGC-1-R</v>
          </cell>
          <cell r="C339" t="str">
            <v>FUSE</v>
          </cell>
          <cell r="D339" t="str">
            <v>AC Box</v>
          </cell>
          <cell r="F339" t="str">
            <v>FUSE .25x1.25 1A 250VAC,ROHS</v>
          </cell>
        </row>
        <row r="340">
          <cell r="A340" t="str">
            <v>668-B08249-026</v>
          </cell>
          <cell r="B340" t="str">
            <v>A-HDF26PP/Z-UNC3</v>
          </cell>
          <cell r="C340" t="str">
            <v>CONN</v>
          </cell>
          <cell r="F340" t="str">
            <v>CONN,RCPT,D-SUB,26 POSN,3ROW,3A,THT</v>
          </cell>
        </row>
        <row r="341">
          <cell r="A341" t="str">
            <v>670-123073-001</v>
          </cell>
          <cell r="B341" t="str">
            <v>AHEF1000</v>
          </cell>
          <cell r="C341" t="str">
            <v>FUSE</v>
          </cell>
          <cell r="D341" t="str">
            <v>AC Box</v>
          </cell>
          <cell r="F341" t="str">
            <v>FUSE,PTC 10A AXIAL</v>
          </cell>
        </row>
        <row r="342">
          <cell r="A342" t="str">
            <v>615-B02863-001</v>
          </cell>
          <cell r="B342" t="str">
            <v>APC0603T4K99Z</v>
          </cell>
          <cell r="C342" t="str">
            <v>RES</v>
          </cell>
          <cell r="F342" t="str">
            <v>RES,SMD,THIN FILM,4.99K,.01%,1/16W,0603</v>
          </cell>
        </row>
        <row r="343">
          <cell r="A343" t="str">
            <v>664-343297-001</v>
          </cell>
          <cell r="B343" t="str">
            <v>APTD1608CGCK</v>
          </cell>
          <cell r="C343" t="str">
            <v>LED</v>
          </cell>
          <cell r="F343" t="str">
            <v>LED,SMD,570NM,190MCD,2.1V,GRN,1608</v>
          </cell>
        </row>
        <row r="344">
          <cell r="A344" t="str">
            <v>664-A92916-001</v>
          </cell>
          <cell r="B344" t="str">
            <v>APTD2012LCGCK</v>
          </cell>
          <cell r="C344" t="str">
            <v>LED</v>
          </cell>
          <cell r="D344" t="str">
            <v>Tfx</v>
          </cell>
          <cell r="F344" t="str">
            <v>LED,SMD,570NM,40MCD,1.9V,GRN,2X1.25MM</v>
          </cell>
        </row>
        <row r="345">
          <cell r="A345" t="str">
            <v>644-109029-001</v>
          </cell>
          <cell r="B345" t="str">
            <v>AQY272AX</v>
          </cell>
          <cell r="C345" t="str">
            <v>RLY</v>
          </cell>
          <cell r="F345" t="str">
            <v>RLY,PHOTO MOS,FLAT PWR,4 PIN,2A,ROHS</v>
          </cell>
        </row>
        <row r="346">
          <cell r="A346" t="str">
            <v>667-204367-001</v>
          </cell>
          <cell r="B346" t="str">
            <v>ASP-134604-01</v>
          </cell>
          <cell r="C346" t="str">
            <v>CONN</v>
          </cell>
          <cell r="F346" t="str">
            <v>CONN,SMD,VITA57.1 FMC MEZZ LPC, 160POS</v>
          </cell>
        </row>
        <row r="347">
          <cell r="A347" t="str">
            <v>667-A11760-160</v>
          </cell>
          <cell r="B347" t="str">
            <v>ASP-134604-04</v>
          </cell>
          <cell r="C347" t="str">
            <v>CONN</v>
          </cell>
          <cell r="F347" t="str">
            <v>CONN,SMD,VITA57.1 FMC MEZZ LPC,160POS,PB</v>
          </cell>
        </row>
        <row r="348">
          <cell r="A348" t="str">
            <v>670-037698-039</v>
          </cell>
          <cell r="B348" t="str">
            <v>ATQR12</v>
          </cell>
          <cell r="C348" t="str">
            <v>FUSE</v>
          </cell>
          <cell r="F348" t="str">
            <v>FUSE,CLASS CC,600V,TIME DLY,12 AMP</v>
          </cell>
        </row>
        <row r="349">
          <cell r="A349" t="str">
            <v>670-037698-040</v>
          </cell>
          <cell r="B349" t="str">
            <v>ATQR15</v>
          </cell>
          <cell r="C349" t="str">
            <v>FUSE</v>
          </cell>
          <cell r="F349" t="str">
            <v>FUSE,CLASS CC,600V,TIME DLY,15 AMP</v>
          </cell>
        </row>
        <row r="350">
          <cell r="A350" t="str">
            <v>779-B00545-001</v>
          </cell>
          <cell r="B350" t="str">
            <v>ATS-55230K-C1-R0</v>
          </cell>
          <cell r="C350" t="str">
            <v>HTSK</v>
          </cell>
          <cell r="F350" t="str">
            <v>HTSK,SQ,BGA,23X23X14.5MM,BLK-ANODIZED</v>
          </cell>
        </row>
        <row r="351">
          <cell r="A351" t="str">
            <v>668-A35830-002</v>
          </cell>
          <cell r="B351" t="str">
            <v>B2B-XH-AM(LF)(SN)</v>
          </cell>
          <cell r="C351" t="str">
            <v>CONN</v>
          </cell>
          <cell r="F351" t="str">
            <v>CONN,HDR,SHRD,TOPENTRY,2P,WHT,BD GDE,TH</v>
          </cell>
        </row>
        <row r="352">
          <cell r="A352" t="str">
            <v>668-A35830-005</v>
          </cell>
          <cell r="B352" t="str">
            <v>B5B-XH-AM(LF)(SN)</v>
          </cell>
          <cell r="C352" t="str">
            <v>CONN</v>
          </cell>
          <cell r="F352" t="str">
            <v>CONN,HDR,SHRD,TOPENTRY,5P,WHT,BD GDE,TH</v>
          </cell>
        </row>
        <row r="353">
          <cell r="A353" t="str">
            <v>609-235641-001</v>
          </cell>
          <cell r="B353" t="str">
            <v>BAT54ALT1G</v>
          </cell>
          <cell r="C353" t="str">
            <v>DIO</v>
          </cell>
          <cell r="F353" t="str">
            <v>DIO,SMD,SCHOTTKY BARR,0.52V,100MA,SOT-23</v>
          </cell>
        </row>
        <row r="354">
          <cell r="A354" t="str">
            <v>609-901596-001</v>
          </cell>
          <cell r="B354" t="str">
            <v>BAT54SWT1G</v>
          </cell>
          <cell r="C354" t="str">
            <v>DIO</v>
          </cell>
          <cell r="F354" t="str">
            <v>DIODE,SCHOTTKY,DUAL SERIES,SOT-323</v>
          </cell>
        </row>
        <row r="355">
          <cell r="A355" t="str">
            <v>609-901596-001</v>
          </cell>
          <cell r="B355" t="str">
            <v>BAT54SWT1G</v>
          </cell>
          <cell r="C355" t="str">
            <v>DIO</v>
          </cell>
          <cell r="F355" t="str">
            <v>DIODE,SCHOTTKY,DUAL SERIES,SOT-323</v>
          </cell>
        </row>
        <row r="356">
          <cell r="A356" t="str">
            <v>628-A20933-001</v>
          </cell>
          <cell r="B356" t="str">
            <v>BSC080N03LSGATMA1</v>
          </cell>
          <cell r="C356" t="str">
            <v>MOSFET</v>
          </cell>
          <cell r="F356" t="str">
            <v>MOSFET,SMD,N-CH,30V,53A,TDSON-8</v>
          </cell>
        </row>
        <row r="357">
          <cell r="A357" t="str">
            <v>624-000794-002</v>
          </cell>
          <cell r="B357" t="str">
            <v>BSR14</v>
          </cell>
          <cell r="C357" t="str">
            <v>XSTR</v>
          </cell>
          <cell r="F357" t="str">
            <v>XSTR,NPN,40V,800MA,SOT-23-3</v>
          </cell>
        </row>
        <row r="358">
          <cell r="A358" t="str">
            <v>626-A86953-001</v>
          </cell>
          <cell r="B358" t="str">
            <v>BSS84AK,215</v>
          </cell>
          <cell r="C358" t="str">
            <v>XSTR</v>
          </cell>
          <cell r="F358" t="str">
            <v>XSTR,SMD,MOSFET,P-CH,50V,0.180A,TO-236AB</v>
          </cell>
        </row>
        <row r="359">
          <cell r="A359" t="str">
            <v>645-B04805-001</v>
          </cell>
          <cell r="B359" t="str">
            <v>BST13T1ACR</v>
          </cell>
          <cell r="C359" t="str">
            <v>SW</v>
          </cell>
          <cell r="D359" t="str">
            <v>Tfx</v>
          </cell>
          <cell r="F359" t="str">
            <v>SW,TGL,SPDT,ON-OFF-ON,3A,120VAC,THT</v>
          </cell>
        </row>
        <row r="360">
          <cell r="A360" t="str">
            <v>660-B20622-001</v>
          </cell>
          <cell r="B360" t="str">
            <v>BWR-15/330-D48A-C</v>
          </cell>
          <cell r="C360" t="str">
            <v>PS</v>
          </cell>
          <cell r="F360" t="str">
            <v>PS,DC/DC,24/15V,ROHS</v>
          </cell>
        </row>
        <row r="361">
          <cell r="A361" t="str">
            <v>648-303723-042</v>
          </cell>
          <cell r="B361" t="str">
            <v>C0402C471J5GAC7867</v>
          </cell>
          <cell r="C361" t="str">
            <v>CAP</v>
          </cell>
          <cell r="F361" t="str">
            <v>CAP,SMD,CER,470PF,50V,NP0,0402,ROHS</v>
          </cell>
        </row>
        <row r="362">
          <cell r="A362" t="str">
            <v>648-124321-681</v>
          </cell>
          <cell r="B362" t="str">
            <v>C0402C681K5RACTU</v>
          </cell>
          <cell r="C362" t="str">
            <v>CAP</v>
          </cell>
          <cell r="F362" t="str">
            <v>CAP,SMD,0402,CER,X7R,10%,50V,680PF ROHS</v>
          </cell>
        </row>
        <row r="363">
          <cell r="A363" t="str">
            <v>648-250747-101</v>
          </cell>
          <cell r="B363" t="str">
            <v>C0603C101F5GAC</v>
          </cell>
          <cell r="C363" t="str">
            <v>CAP</v>
          </cell>
          <cell r="F363" t="str">
            <v>CAP,SMD,0603,CER,C0G,1%,50V,100PF</v>
          </cell>
        </row>
        <row r="364">
          <cell r="A364" t="str">
            <v>648-068442-101</v>
          </cell>
          <cell r="B364" t="str">
            <v>C0603C101J5GACTU</v>
          </cell>
          <cell r="C364" t="str">
            <v>CAP</v>
          </cell>
          <cell r="F364" t="str">
            <v>CAP,0603,CER,COG,5%,50V 100PF ROHS</v>
          </cell>
        </row>
        <row r="365">
          <cell r="A365" t="str">
            <v>648-A74701-123</v>
          </cell>
          <cell r="B365" t="str">
            <v>C0603C123J3GACTU</v>
          </cell>
          <cell r="C365" t="str">
            <v>CAP</v>
          </cell>
          <cell r="F365" t="str">
            <v>CAP,SMD,CER,0.012UF,5%,25V,C0G,0603</v>
          </cell>
        </row>
        <row r="366">
          <cell r="A366" t="str">
            <v>648-A74701-153</v>
          </cell>
          <cell r="B366" t="str">
            <v>C0603C153J3GACTU</v>
          </cell>
          <cell r="C366" t="str">
            <v>CAP</v>
          </cell>
          <cell r="F366" t="str">
            <v>CAP,SMD,CER,0.015UF,5%,25V,C0G,0603</v>
          </cell>
        </row>
        <row r="367">
          <cell r="A367" t="str">
            <v>648-068442-180</v>
          </cell>
          <cell r="B367" t="str">
            <v>C0603C180J5GACTU</v>
          </cell>
          <cell r="C367" t="str">
            <v>CAP</v>
          </cell>
          <cell r="F367" t="str">
            <v>CAP,0603,CER,COG,50V,18PF,ROHS</v>
          </cell>
        </row>
        <row r="368">
          <cell r="A368" t="str">
            <v>648-250747-221</v>
          </cell>
          <cell r="B368" t="str">
            <v>C0603C221F5GAC</v>
          </cell>
          <cell r="C368" t="str">
            <v>CAP</v>
          </cell>
          <cell r="F368" t="str">
            <v>CAP,SMD,0603,CER,C0G,1%,50V,220PF</v>
          </cell>
        </row>
        <row r="369">
          <cell r="A369" t="str">
            <v>648-051878-222</v>
          </cell>
          <cell r="B369" t="str">
            <v>C0603C222K5RAC,</v>
          </cell>
          <cell r="C369" t="str">
            <v>CAP</v>
          </cell>
          <cell r="F369" t="str">
            <v>CAP,SMD,0603,2200PF,50V,10%,X7R,ROHS</v>
          </cell>
        </row>
        <row r="370">
          <cell r="A370" t="str">
            <v>648-A42433-330</v>
          </cell>
          <cell r="B370" t="str">
            <v>C0603C330F1GACTU</v>
          </cell>
          <cell r="C370" t="str">
            <v>CAP</v>
          </cell>
          <cell r="F370" t="str">
            <v>CAP,SMD,CER,33PF,±1%,100V,C0G,0603</v>
          </cell>
        </row>
        <row r="371">
          <cell r="A371" t="str">
            <v>648-250747-470</v>
          </cell>
          <cell r="B371" t="str">
            <v>C0603C470F5GAC</v>
          </cell>
          <cell r="C371" t="str">
            <v>CAP</v>
          </cell>
          <cell r="D371" t="str">
            <v>FF</v>
          </cell>
          <cell r="F371" t="str">
            <v>CAP,SMD,0603,CER,C0G,1%,50V,47PF</v>
          </cell>
        </row>
        <row r="372">
          <cell r="A372" t="str">
            <v>648-224783-049</v>
          </cell>
          <cell r="B372" t="str">
            <v>C0603H103J3GACTU</v>
          </cell>
          <cell r="C372" t="str">
            <v>CAP</v>
          </cell>
          <cell r="F372" t="str">
            <v>CAP,SMD,0603,C0G,5%,25V,.01UF | CE!</v>
          </cell>
        </row>
        <row r="373">
          <cell r="A373" t="str">
            <v>648-224783-049</v>
          </cell>
          <cell r="B373" t="str">
            <v>C0603H103J3GAC7867</v>
          </cell>
          <cell r="C373" t="str">
            <v>CAP</v>
          </cell>
          <cell r="F373" t="str">
            <v>CAP,SMD,0603,C0G,5%,25V,.01UF | CE!</v>
          </cell>
        </row>
        <row r="374">
          <cell r="A374" t="str">
            <v>648-051878-222</v>
          </cell>
          <cell r="B374" t="str">
            <v>C0603T222K5RACTU</v>
          </cell>
          <cell r="C374" t="str">
            <v>CAP</v>
          </cell>
          <cell r="F374" t="str">
            <v>CAP,SMD,0603,2200PF,50V,10%,X7R,ROHS</v>
          </cell>
        </row>
        <row r="375">
          <cell r="A375" t="str">
            <v>648-B34360-008</v>
          </cell>
          <cell r="B375" t="str">
            <v>C0603X5R1A474M030BC</v>
          </cell>
          <cell r="C375" t="str">
            <v>CAP</v>
          </cell>
          <cell r="F375" t="str">
            <v>CAP,SMD,CER,470NF,20%,10V,X5R,0201</v>
          </cell>
        </row>
        <row r="376">
          <cell r="A376" t="str">
            <v>648-225119-025</v>
          </cell>
          <cell r="B376" t="str">
            <v>C0805C101F5GAC</v>
          </cell>
          <cell r="C376" t="str">
            <v>CAP</v>
          </cell>
          <cell r="F376" t="str">
            <v>CAP,SMD,C0G,100PF,1%,50V,0805</v>
          </cell>
        </row>
        <row r="377">
          <cell r="A377" t="str">
            <v>29-407195-00</v>
          </cell>
          <cell r="B377" t="str">
            <v>C0805C103F3GACTU</v>
          </cell>
          <cell r="C377" t="str">
            <v>CAP</v>
          </cell>
          <cell r="F377" t="str">
            <v>CAP,.01UF,25V,CERAMIC,+/-1%,SMT</v>
          </cell>
        </row>
        <row r="378">
          <cell r="A378" t="str">
            <v>648-099901-103</v>
          </cell>
          <cell r="B378" t="str">
            <v>C0805C103J5GAC</v>
          </cell>
          <cell r="C378" t="str">
            <v>CAP</v>
          </cell>
          <cell r="F378" t="str">
            <v>CAP,0805,COG,5%,50V,10000PF</v>
          </cell>
        </row>
        <row r="379">
          <cell r="A379" t="str">
            <v>648-082229-151</v>
          </cell>
          <cell r="B379" t="str">
            <v>C0805C151J1GACTU</v>
          </cell>
          <cell r="C379" t="str">
            <v>CAP</v>
          </cell>
          <cell r="F379" t="str">
            <v>CAP,SMD,0805,COG,5%,100V,150PF ROHS</v>
          </cell>
        </row>
        <row r="380">
          <cell r="A380" t="str">
            <v>648-347674-047</v>
          </cell>
          <cell r="B380" t="str">
            <v>C0805C474K3PACTU</v>
          </cell>
          <cell r="C380" t="str">
            <v>CAP</v>
          </cell>
          <cell r="F380" t="str">
            <v>CAP,SMD,CER,0.47UF,±10%TOL,25V,X5R,0805</v>
          </cell>
        </row>
        <row r="381">
          <cell r="A381" t="str">
            <v>648-325822-007</v>
          </cell>
          <cell r="B381" t="str">
            <v>C0805C820F5GACTU</v>
          </cell>
          <cell r="C381" t="str">
            <v>CAP</v>
          </cell>
          <cell r="F381" t="str">
            <v>CAP,SMD,CER,82PF,1% TOL,50V,C0G,0805</v>
          </cell>
        </row>
        <row r="382">
          <cell r="A382" t="str">
            <v>648-198983-011</v>
          </cell>
          <cell r="B382" t="str">
            <v>C1005X5R0J475K050</v>
          </cell>
          <cell r="C382" t="str">
            <v>CAP</v>
          </cell>
          <cell r="F382" t="str">
            <v>CAP,CER,0402,X5R,10%,6.3V,4.7UF ROHS</v>
          </cell>
        </row>
        <row r="383">
          <cell r="A383" t="str">
            <v>648-149178-225</v>
          </cell>
          <cell r="B383" t="str">
            <v>C1005X5R1C225K050BC</v>
          </cell>
          <cell r="C383" t="str">
            <v>CAP</v>
          </cell>
          <cell r="F383" t="str">
            <v>CAP,SMD,CER,2.2UF,16V,X5R,0402,ROHS</v>
          </cell>
        </row>
        <row r="384">
          <cell r="A384" t="str">
            <v>648-138818-123</v>
          </cell>
          <cell r="B384" t="str">
            <v>C1206C123K5RACTU</v>
          </cell>
          <cell r="C384" t="str">
            <v>CAP</v>
          </cell>
          <cell r="F384" t="str">
            <v>CAP,1206,CER,X7R,10%,50V,12NF ROHS</v>
          </cell>
        </row>
        <row r="385">
          <cell r="A385" t="str">
            <v>648-097891-473</v>
          </cell>
          <cell r="B385" t="str">
            <v>C1206C473K5RAC</v>
          </cell>
          <cell r="C385" t="str">
            <v>CAP</v>
          </cell>
          <cell r="F385" t="str">
            <v>CAP,1206,.047UF,10%,50V,X7R,ROHS</v>
          </cell>
        </row>
        <row r="386">
          <cell r="A386" t="str">
            <v>648-185803-001</v>
          </cell>
          <cell r="B386" t="str">
            <v>C1210C106K5RACTU</v>
          </cell>
          <cell r="C386" t="str">
            <v>CAP</v>
          </cell>
          <cell r="F386" t="str">
            <v>CAP,SMD,1210,CER,50V,10%,X7R,10UF,ROHS</v>
          </cell>
        </row>
        <row r="387">
          <cell r="A387" t="str">
            <v>648-068442-101</v>
          </cell>
          <cell r="B387" t="str">
            <v>C1608C0G1H101J080AA</v>
          </cell>
          <cell r="C387" t="str">
            <v>CAP</v>
          </cell>
          <cell r="F387" t="str">
            <v>CAP,0603,CER,COG,5%,50V 100PF ROHS</v>
          </cell>
        </row>
        <row r="388">
          <cell r="A388" t="str">
            <v>648-A92805-474</v>
          </cell>
          <cell r="B388" t="str">
            <v>C1608X5R1H474K080AB</v>
          </cell>
          <cell r="C388" t="str">
            <v>CAP</v>
          </cell>
          <cell r="F388" t="str">
            <v>CAP,SMD,MLCC,470NF,10%,50V,X5R,0603</v>
          </cell>
        </row>
        <row r="389">
          <cell r="A389" t="str">
            <v>648-A86847-106</v>
          </cell>
          <cell r="B389" t="str">
            <v>C3225X7R1H106K250AC</v>
          </cell>
          <cell r="C389" t="str">
            <v>CAP</v>
          </cell>
          <cell r="F389" t="str">
            <v>CAP,SMD,MLCC,10UF,10%,50VDC,X7R,1210</v>
          </cell>
        </row>
        <row r="390">
          <cell r="A390" t="str">
            <v>648-067455-101</v>
          </cell>
          <cell r="B390" t="str">
            <v>C4532C0G3F101K160KA</v>
          </cell>
          <cell r="C390" t="str">
            <v>CAP</v>
          </cell>
          <cell r="F390" t="str">
            <v>CAP,1812,COG,10%,3KV,100PF ROHS</v>
          </cell>
        </row>
        <row r="391">
          <cell r="A391" t="str">
            <v>648-100823-001</v>
          </cell>
          <cell r="B391" t="str">
            <v>C5750X7R1H106K</v>
          </cell>
          <cell r="C391" t="str">
            <v>CAP</v>
          </cell>
          <cell r="F391" t="str">
            <v>CAP,5750,CER,X7R,10%,50V,10UF</v>
          </cell>
        </row>
        <row r="392">
          <cell r="A392" t="str">
            <v>668-A24092-001</v>
          </cell>
          <cell r="B392" t="str">
            <v>CBD3W3F00000/AA</v>
          </cell>
          <cell r="C392" t="str">
            <v>CONN</v>
          </cell>
          <cell r="F392" t="str">
            <v>CONN,COMBO-D,FEM,3W3,SHELL SIZE 2,ROHS</v>
          </cell>
        </row>
        <row r="393">
          <cell r="A393" t="str">
            <v>668-A29545-001</v>
          </cell>
          <cell r="B393" t="str">
            <v>CBD7W2F37S00X/AA</v>
          </cell>
          <cell r="C393" t="str">
            <v>CONN</v>
          </cell>
          <cell r="F393" t="str">
            <v>CONN,RCPT,COMBO-D,7W2,SN PLD SHL,TH</v>
          </cell>
        </row>
        <row r="394">
          <cell r="A394" t="str">
            <v>668-282338-001</v>
          </cell>
          <cell r="B394" t="str">
            <v>CBD7W2F57R7N0X/AA</v>
          </cell>
          <cell r="C394" t="str">
            <v>CONN</v>
          </cell>
          <cell r="F394" t="str">
            <v>CONN,COMBO-D,7W2,FEM,PCB,RA</v>
          </cell>
        </row>
        <row r="395">
          <cell r="A395" t="str">
            <v>668-133361-001</v>
          </cell>
          <cell r="B395" t="str">
            <v>CBD7W2M37S600X/AA</v>
          </cell>
          <cell r="C395" t="str">
            <v>CONN</v>
          </cell>
          <cell r="F395" t="str">
            <v>CONN, PLUG HSG, DSUB 7W2, 30 A, ROHS</v>
          </cell>
        </row>
        <row r="396">
          <cell r="A396" t="str">
            <v>648-228694-005</v>
          </cell>
          <cell r="B396" t="str">
            <v>CC0402JRNPO9BN180</v>
          </cell>
          <cell r="C396" t="str">
            <v>CAP</v>
          </cell>
          <cell r="F396" t="str">
            <v>CAP,SMD,CER,18PF,50V,5%,NP0,0402</v>
          </cell>
        </row>
        <row r="397">
          <cell r="A397" t="str">
            <v>648-124321-333</v>
          </cell>
          <cell r="B397" t="str">
            <v>CC0402KRX7R9BB333</v>
          </cell>
          <cell r="C397" t="str">
            <v>CAP</v>
          </cell>
          <cell r="F397" t="str">
            <v>CAP,SMD,0402,CER,X7R,10%,50V,33NF ROHS</v>
          </cell>
        </row>
        <row r="398">
          <cell r="A398" t="str">
            <v>648-124321-681</v>
          </cell>
          <cell r="B398" t="str">
            <v>CC0402KRX7R9BB681</v>
          </cell>
          <cell r="C398" t="str">
            <v>CAP</v>
          </cell>
          <cell r="F398" t="str">
            <v>CAP,SMD,0402,CER,X7R,10%,50V,680PF ROHS</v>
          </cell>
        </row>
        <row r="399">
          <cell r="A399" t="str">
            <v>648-347511-101</v>
          </cell>
          <cell r="B399" t="str">
            <v>CC0603JRNPO8BN101</v>
          </cell>
          <cell r="C399" t="str">
            <v>CAP</v>
          </cell>
          <cell r="F399" t="str">
            <v>CAP,SMD,CER,100PF,±5% TOL,25V,C0G,0603</v>
          </cell>
        </row>
        <row r="400">
          <cell r="A400" t="str">
            <v>648-051878-222</v>
          </cell>
          <cell r="B400" t="str">
            <v>CC0603KRX7R9BB222</v>
          </cell>
          <cell r="C400" t="str">
            <v>CAP</v>
          </cell>
          <cell r="F400" t="str">
            <v>CAP,SMD,0603,2200PF,50V,10%,X7R,ROHS</v>
          </cell>
        </row>
        <row r="401">
          <cell r="A401" t="str">
            <v>648-325822-007</v>
          </cell>
          <cell r="B401" t="str">
            <v>CC0805FRNPO9BN820</v>
          </cell>
          <cell r="C401" t="str">
            <v>CAP</v>
          </cell>
          <cell r="F401" t="str">
            <v>CAP,SMD,CER,82PF,1% TOL,50V,C0G,0805</v>
          </cell>
        </row>
        <row r="402">
          <cell r="A402" t="str">
            <v>648-082229-151</v>
          </cell>
          <cell r="B402" t="str">
            <v>CC0805JRNPO0BN151</v>
          </cell>
          <cell r="C402" t="str">
            <v>CAP</v>
          </cell>
          <cell r="F402" t="str">
            <v>CAP,SMD,0805,COG,5%,100V,150PF ROHS</v>
          </cell>
        </row>
        <row r="403">
          <cell r="A403" t="str">
            <v>648-138818-123</v>
          </cell>
          <cell r="B403" t="str">
            <v>CC1206KRX7R9BB123</v>
          </cell>
          <cell r="C403" t="str">
            <v>CAP</v>
          </cell>
          <cell r="F403" t="str">
            <v>CAP,1206,CER,X7R,10%,50V,12NF ROHS</v>
          </cell>
        </row>
        <row r="404">
          <cell r="A404" t="str">
            <v>648-A86863-105</v>
          </cell>
          <cell r="B404" t="str">
            <v>CC1210KKX7R0BB105</v>
          </cell>
          <cell r="C404" t="str">
            <v>CAP</v>
          </cell>
          <cell r="F404" t="str">
            <v>CAP,SMD,MLCC,1UF,10%,100VDC,X7R,1210</v>
          </cell>
        </row>
        <row r="405">
          <cell r="A405" t="str">
            <v>648-A86866-476</v>
          </cell>
          <cell r="B405" t="str">
            <v>CC1210MKX5R7BB476</v>
          </cell>
          <cell r="C405" t="str">
            <v>CAP</v>
          </cell>
          <cell r="F405" t="str">
            <v>CAP,SMD,MLCC,47UF,20%,16VDC,X5R,1210</v>
          </cell>
        </row>
        <row r="406">
          <cell r="A406" t="str">
            <v>682-349233-019</v>
          </cell>
          <cell r="B406" t="str">
            <v>CC12H15A-TR</v>
          </cell>
          <cell r="C406" t="str">
            <v>FUSE</v>
          </cell>
          <cell r="D406" t="str">
            <v>AC Box</v>
          </cell>
          <cell r="F406" t="str">
            <v>FUSE,SMD,15A,32VDC,1206</v>
          </cell>
        </row>
        <row r="407">
          <cell r="A407" t="str">
            <v>682-349233-019</v>
          </cell>
          <cell r="B407" t="str">
            <v>CC12H1.5A-TR</v>
          </cell>
          <cell r="C407" t="str">
            <v>FUSE</v>
          </cell>
          <cell r="D407" t="str">
            <v>AC Box</v>
          </cell>
          <cell r="F407" t="str">
            <v>FUSE,SMD,15A,32VDC,1206</v>
          </cell>
        </row>
        <row r="408">
          <cell r="A408" t="str">
            <v>635-225114-007</v>
          </cell>
          <cell r="B408" t="str">
            <v>CCHD-957X-25-25.000</v>
          </cell>
          <cell r="C408" t="str">
            <v>OSC</v>
          </cell>
          <cell r="F408" t="str">
            <v>OSC,SMD,LO NOISE,25 MHZ,CMOS OUT</v>
          </cell>
        </row>
        <row r="409">
          <cell r="A409" t="str">
            <v>635-225114-001</v>
          </cell>
          <cell r="B409" t="str">
            <v>CCHD-957X-25-49.152</v>
          </cell>
          <cell r="C409" t="str">
            <v>OSC</v>
          </cell>
          <cell r="F409" t="str">
            <v>OSC,SMD,LO NOISE,49.152 MHZ,CMOS OUT</v>
          </cell>
        </row>
        <row r="410">
          <cell r="A410" t="str">
            <v>630-A93018-001</v>
          </cell>
          <cell r="B410" t="str">
            <v>CD74ACT109M96</v>
          </cell>
          <cell r="C410" t="str">
            <v>IC</v>
          </cell>
          <cell r="F410" t="str">
            <v>IC,SMD,DUAL JK FLIP-FLOP,4.5-5.5V,SOIC16</v>
          </cell>
        </row>
        <row r="411">
          <cell r="A411" t="str">
            <v>630-099034-011</v>
          </cell>
          <cell r="B411" t="str">
            <v>CD74HC11M</v>
          </cell>
          <cell r="C411" t="str">
            <v>IC</v>
          </cell>
          <cell r="F411" t="str">
            <v>IC,SMD,74HC11 3-IN AND SO14</v>
          </cell>
        </row>
        <row r="412">
          <cell r="A412" t="str">
            <v>630-099034-085</v>
          </cell>
          <cell r="B412" t="str">
            <v>CD74HC85M</v>
          </cell>
          <cell r="C412" t="str">
            <v>IC</v>
          </cell>
          <cell r="F412" t="str">
            <v>IC,SMD,74HC85 4-BIT COMP SO16,ROHS</v>
          </cell>
        </row>
        <row r="413">
          <cell r="A413" t="str">
            <v>630-B14838-001</v>
          </cell>
          <cell r="B413" t="str">
            <v>CD74HCT368M</v>
          </cell>
          <cell r="C413" t="str">
            <v>IC</v>
          </cell>
          <cell r="F413" t="str">
            <v>IC,SMD,BFR,INVERTING,4.5-5.5V,SOIC-16</v>
          </cell>
        </row>
        <row r="414">
          <cell r="A414" t="str">
            <v>609-270344-001</v>
          </cell>
          <cell r="B414" t="str">
            <v>CDSOD323-T12C</v>
          </cell>
          <cell r="C414" t="str">
            <v>DIO</v>
          </cell>
          <cell r="F414" t="str">
            <v>DIO,SMD,ZENER,TVS,12VWM,28.3VC,SOD323</v>
          </cell>
        </row>
        <row r="415">
          <cell r="A415" t="str">
            <v>619-000387-471</v>
          </cell>
          <cell r="B415" t="str">
            <v>CF1/24705%R</v>
          </cell>
          <cell r="C415" t="str">
            <v>RES</v>
          </cell>
          <cell r="F415" t="str">
            <v>RES 1/2W 5% 470 CF, ROHS</v>
          </cell>
        </row>
        <row r="416">
          <cell r="A416" t="str">
            <v>619-000387-471</v>
          </cell>
          <cell r="B416" t="str">
            <v>CF1/2CT52R471J</v>
          </cell>
          <cell r="C416" t="str">
            <v>RES</v>
          </cell>
          <cell r="F416" t="str">
            <v>RES 1/2W 5% 470 CF, ROHS</v>
          </cell>
        </row>
        <row r="417">
          <cell r="A417" t="str">
            <v>619-000387-471</v>
          </cell>
          <cell r="B417" t="str">
            <v>CF1/2CT52A471J</v>
          </cell>
          <cell r="C417" t="str">
            <v>RES</v>
          </cell>
          <cell r="F417" t="str">
            <v>RES 1/2W 5% 470 CF, ROHS</v>
          </cell>
        </row>
        <row r="418">
          <cell r="A418" t="str">
            <v>619-000390-104</v>
          </cell>
          <cell r="B418" t="str">
            <v>CF1/4CT52R104J</v>
          </cell>
          <cell r="C418" t="str">
            <v>RES</v>
          </cell>
          <cell r="F418" t="str">
            <v>RES 1/4W 5% 100K CF,ROHS</v>
          </cell>
        </row>
        <row r="419">
          <cell r="A419" t="str">
            <v>619-000390-104</v>
          </cell>
          <cell r="B419" t="str">
            <v>CF14JT100K</v>
          </cell>
          <cell r="C419" t="str">
            <v>RES</v>
          </cell>
          <cell r="F419" t="str">
            <v>RES 1/4W 5% 100K CF,ROHS</v>
          </cell>
        </row>
        <row r="420">
          <cell r="A420" t="str">
            <v>28-145613-00</v>
          </cell>
          <cell r="B420" t="str">
            <v>CFR-25JB-52-2K7</v>
          </cell>
          <cell r="C420" t="str">
            <v>RES</v>
          </cell>
          <cell r="F420" t="str">
            <v>RES,CARBON FILM,2.7K OHM,1/4W,+/-5%,250V</v>
          </cell>
        </row>
        <row r="421">
          <cell r="A421" t="str">
            <v>28-449032-00</v>
          </cell>
          <cell r="B421" t="str">
            <v>CFR-25JB-52-4K7</v>
          </cell>
          <cell r="C421" t="str">
            <v>RES</v>
          </cell>
          <cell r="F421" t="str">
            <v>RES,CARBON FILM,4.7K OHM,1/4W,+/-5%,250V</v>
          </cell>
        </row>
        <row r="422">
          <cell r="A422" t="str">
            <v>619-000387-471</v>
          </cell>
          <cell r="B422" t="str">
            <v>CFS1/2CT52A471J</v>
          </cell>
          <cell r="C422" t="str">
            <v>RES</v>
          </cell>
          <cell r="F422" t="str">
            <v>RES 1/2W 5% 470 CF, ROHS</v>
          </cell>
        </row>
        <row r="423">
          <cell r="A423" t="str">
            <v>648-B36944-476</v>
          </cell>
          <cell r="B423" t="str">
            <v>CGA9N1X7R1V476M230KC</v>
          </cell>
          <cell r="C423" t="str">
            <v>CAP</v>
          </cell>
          <cell r="F423" t="str">
            <v>CAP,SMD,MLCC,47UF,20%,35VDC,X7R,2220</v>
          </cell>
        </row>
        <row r="424">
          <cell r="A424" t="str">
            <v>668-131891-001</v>
          </cell>
          <cell r="B424" t="str">
            <v>CJT-T-P-HH-RA-BH1</v>
          </cell>
          <cell r="C424" t="str">
            <v>CONN</v>
          </cell>
          <cell r="F424" t="str">
            <v>CONN,JACK,RF,BULKHEAD,THRU HOLE</v>
          </cell>
        </row>
        <row r="425">
          <cell r="A425" t="str">
            <v>648-A60464-224</v>
          </cell>
          <cell r="B425" t="str">
            <v>CL05B224KO5NNNC</v>
          </cell>
          <cell r="C425" t="str">
            <v>CAP</v>
          </cell>
          <cell r="F425" t="str">
            <v>CAP,SMD,CER,0.22UF,±10%,16VDC,X7R,0402</v>
          </cell>
        </row>
        <row r="426">
          <cell r="A426" t="str">
            <v>648-346027-103</v>
          </cell>
          <cell r="B426" t="str">
            <v>CL10B103KA8NNNC</v>
          </cell>
          <cell r="C426" t="str">
            <v>CAP</v>
          </cell>
          <cell r="F426" t="str">
            <v>CAP,SMD,CER,0.01UF,±10% TOL,25VDC,0603</v>
          </cell>
        </row>
        <row r="427">
          <cell r="A427" t="str">
            <v>648-228099-001</v>
          </cell>
          <cell r="B427" t="str">
            <v>CL21A106KAYNNNE</v>
          </cell>
          <cell r="C427" t="str">
            <v>CAP</v>
          </cell>
          <cell r="F427" t="str">
            <v>CAP,SMD,10UF,25V,10% TOL,X5R,CER</v>
          </cell>
        </row>
        <row r="428">
          <cell r="A428" t="str">
            <v>648-B34301-001</v>
          </cell>
          <cell r="B428" t="str">
            <v>CL21A476MQYNNNE</v>
          </cell>
          <cell r="C428" t="str">
            <v>CAP</v>
          </cell>
          <cell r="F428" t="str">
            <v>CAP,SMD,MLCC,47UF,20%,6.3V,X5R,0805</v>
          </cell>
        </row>
        <row r="429">
          <cell r="A429" t="str">
            <v>648-B17749-001</v>
          </cell>
          <cell r="B429" t="str">
            <v>CL31B106KBHNNNE</v>
          </cell>
          <cell r="C429" t="str">
            <v>CAP</v>
          </cell>
          <cell r="D429" t="str">
            <v>FF</v>
          </cell>
          <cell r="F429" t="str">
            <v>CAP,SMD,CER,10UF,+/-10%,50VDC,X7R,1206</v>
          </cell>
        </row>
        <row r="430">
          <cell r="A430" t="str">
            <v>29-445233-00</v>
          </cell>
          <cell r="B430" t="str">
            <v>CL32A106KLULNNE</v>
          </cell>
          <cell r="C430" t="str">
            <v>CAP</v>
          </cell>
          <cell r="F430" t="str">
            <v>CAP,SMD,MLCC,10UF,35V,10%,X5R,1210</v>
          </cell>
        </row>
        <row r="431">
          <cell r="A431" t="str">
            <v>615-B08198-001</v>
          </cell>
          <cell r="B431" t="str">
            <v>CMP0603AFX-1000ELF</v>
          </cell>
          <cell r="C431" t="str">
            <v>RES</v>
          </cell>
          <cell r="F431" t="str">
            <v>RES,SMD,THK FILM,100 OHM,1%,0.25W,0603</v>
          </cell>
        </row>
        <row r="432">
          <cell r="A432" t="str">
            <v>631-B33254-001</v>
          </cell>
          <cell r="B432" t="str">
            <v>CNY17-2</v>
          </cell>
          <cell r="C432" t="str">
            <v>IC</v>
          </cell>
          <cell r="F432" t="str">
            <v>IC,OPTCPLR,PHOTO XSTR OUT,DIP-6</v>
          </cell>
        </row>
        <row r="433">
          <cell r="A433" t="str">
            <v>631-308696-001</v>
          </cell>
          <cell r="B433" t="str">
            <v>CNY17-4</v>
          </cell>
          <cell r="C433" t="str">
            <v>IC</v>
          </cell>
          <cell r="F433" t="str">
            <v>IC,OPTOCOUPLER,XSTR OUTPUT</v>
          </cell>
        </row>
        <row r="434">
          <cell r="A434" t="str">
            <v>630-080990-001</v>
          </cell>
          <cell r="B434" t="str">
            <v>CPC1303GR</v>
          </cell>
          <cell r="C434" t="str">
            <v>IC</v>
          </cell>
          <cell r="F434" t="str">
            <v>IC,SMD,SINGLE TRNSTOR OPTOCPL TTL COMP</v>
          </cell>
        </row>
        <row r="435">
          <cell r="A435" t="str">
            <v>615-A37741-002</v>
          </cell>
          <cell r="B435" t="str">
            <v>CPF0402B12RE1</v>
          </cell>
          <cell r="C435" t="str">
            <v>RES</v>
          </cell>
          <cell r="F435" t="str">
            <v>RES,SMD,12OHM,±0.1%,25PPM,1/16W,0402</v>
          </cell>
        </row>
        <row r="436">
          <cell r="A436" t="str">
            <v>648-225118-007</v>
          </cell>
          <cell r="B436" t="str">
            <v>CQ0805FRNPOYBN220</v>
          </cell>
          <cell r="C436" t="str">
            <v>CAP</v>
          </cell>
          <cell r="F436" t="str">
            <v>CAP,SMD,NPO,22PF,1%,250V,0805</v>
          </cell>
        </row>
        <row r="437">
          <cell r="A437" t="str">
            <v>615-123461-120</v>
          </cell>
          <cell r="B437" t="str">
            <v>CR0402-FX-1201GLF</v>
          </cell>
          <cell r="C437" t="str">
            <v>RES</v>
          </cell>
          <cell r="F437" t="str">
            <v>RES,0402,THKF,1/16W,1% 1.20K ROHS</v>
          </cell>
        </row>
        <row r="438">
          <cell r="A438" t="str">
            <v>615-123463-120</v>
          </cell>
          <cell r="B438" t="str">
            <v>CR0402-FX-1203GLF</v>
          </cell>
          <cell r="C438" t="str">
            <v>RES</v>
          </cell>
          <cell r="F438" t="str">
            <v>RES,0402,THKF,1/16W,1% 120K ROHS</v>
          </cell>
        </row>
        <row r="439">
          <cell r="A439" t="str">
            <v>615-123463-124</v>
          </cell>
          <cell r="B439" t="str">
            <v>CR0402-FX-1243GLF</v>
          </cell>
          <cell r="C439" t="str">
            <v>RES</v>
          </cell>
          <cell r="F439" t="str">
            <v>RES,0402,THKF,1/16W,1% 124K ROHS</v>
          </cell>
        </row>
        <row r="440">
          <cell r="A440" t="str">
            <v>615-123461-137</v>
          </cell>
          <cell r="B440" t="str">
            <v>CR0402-FX-1371GLF</v>
          </cell>
          <cell r="C440" t="str">
            <v>RES</v>
          </cell>
          <cell r="F440" t="str">
            <v>RES,0402,THKF,1/16W,1%,1.37K,ROHS</v>
          </cell>
        </row>
        <row r="441">
          <cell r="A441" t="str">
            <v>615-123461-402</v>
          </cell>
          <cell r="B441" t="str">
            <v>CR0402-FX-4021GLF</v>
          </cell>
          <cell r="C441" t="str">
            <v>RES</v>
          </cell>
          <cell r="F441" t="str">
            <v>RES,0402,THKF,1/16W,1% 4.02K ROHS</v>
          </cell>
        </row>
        <row r="442">
          <cell r="A442" t="str">
            <v>615-344247-059</v>
          </cell>
          <cell r="B442" t="str">
            <v>CR1206-4W-2700FT</v>
          </cell>
          <cell r="C442" t="str">
            <v>RES</v>
          </cell>
          <cell r="F442" t="str">
            <v>RES,SMD,THK,270 OHMS,1% TOL,1206</v>
          </cell>
        </row>
        <row r="443">
          <cell r="A443" t="str">
            <v>615-179931-002</v>
          </cell>
          <cell r="B443" t="str">
            <v>CR1206-FX-1001ELF</v>
          </cell>
          <cell r="C443" t="str">
            <v>RES</v>
          </cell>
          <cell r="F443" t="str">
            <v>RES,SMD,1K OHM,0.25W,1% TOL,THICK FILM</v>
          </cell>
        </row>
        <row r="444">
          <cell r="A444" t="str">
            <v>615-179931-004</v>
          </cell>
          <cell r="B444" t="str">
            <v>CR1206-FX-1003ELF</v>
          </cell>
          <cell r="C444" t="str">
            <v>RES</v>
          </cell>
          <cell r="D444" t="str">
            <v>SIG</v>
          </cell>
          <cell r="F444" t="str">
            <v>RES,SMD,THK FILM,100K OHM,1%,1/4W,1206</v>
          </cell>
        </row>
        <row r="445">
          <cell r="A445" t="str">
            <v>615-051883-220</v>
          </cell>
          <cell r="B445" t="str">
            <v>CR16220J</v>
          </cell>
          <cell r="C445" t="str">
            <v>RES</v>
          </cell>
          <cell r="F445" t="str">
            <v>RES, SMD,TF,0603,22 OHM, 5%, 1/10W, ROHS</v>
          </cell>
        </row>
        <row r="446">
          <cell r="A446" t="str">
            <v>615-228652-001</v>
          </cell>
          <cell r="B446" t="str">
            <v>CRCW04020000Z0EDHP</v>
          </cell>
          <cell r="C446" t="str">
            <v>RES</v>
          </cell>
          <cell r="F446" t="str">
            <v>RES,SMD,THK FILM,0OHM,1/5W,0402</v>
          </cell>
        </row>
        <row r="447">
          <cell r="A447" t="str">
            <v>615-188549-106</v>
          </cell>
          <cell r="B447" t="str">
            <v>CRCW040212K1FKED</v>
          </cell>
          <cell r="C447" t="str">
            <v>RES</v>
          </cell>
          <cell r="F447" t="str">
            <v>RES,0402,1% 1/16W,12.1K ROHS</v>
          </cell>
        </row>
        <row r="448">
          <cell r="A448" t="str">
            <v>615-123461-120</v>
          </cell>
          <cell r="B448" t="str">
            <v>CRCW04021K20FKEDC</v>
          </cell>
          <cell r="C448" t="str">
            <v>RES</v>
          </cell>
          <cell r="F448" t="str">
            <v>RES,0402,THKF,1/16W,1% 1.20K ROHS</v>
          </cell>
        </row>
        <row r="449">
          <cell r="A449" t="str">
            <v>615-123461-137</v>
          </cell>
          <cell r="B449" t="str">
            <v>CRCW04021K37FKEDC</v>
          </cell>
          <cell r="C449" t="str">
            <v>RES</v>
          </cell>
          <cell r="F449" t="str">
            <v>RES,0402,THKF,1/16W,1%,1.37K,ROHS</v>
          </cell>
        </row>
        <row r="450">
          <cell r="A450" t="str">
            <v>615-188548-001</v>
          </cell>
          <cell r="B450" t="str">
            <v>CRCW04021R00FKED</v>
          </cell>
          <cell r="C450" t="str">
            <v>RES</v>
          </cell>
          <cell r="F450" t="str">
            <v>RES,0402,1% 1/16W,1.00 OHM ROHS</v>
          </cell>
        </row>
        <row r="451">
          <cell r="A451" t="str">
            <v>615-123458-121</v>
          </cell>
          <cell r="B451" t="str">
            <v>CRCW04021R21FKED</v>
          </cell>
          <cell r="C451" t="str">
            <v>RES</v>
          </cell>
          <cell r="F451" t="str">
            <v>RES,0402,THKF,1/16W,1% 1.21 ROHS</v>
          </cell>
        </row>
        <row r="452">
          <cell r="A452" t="str">
            <v>615-123458-137</v>
          </cell>
          <cell r="B452" t="str">
            <v>CRCW04021R37FKED</v>
          </cell>
          <cell r="C452" t="str">
            <v>RES</v>
          </cell>
          <cell r="F452" t="str">
            <v>RES,0402,THKF,1/16W,1% 1.37 ROHS</v>
          </cell>
        </row>
        <row r="453">
          <cell r="A453" t="str">
            <v>615-188549-130</v>
          </cell>
          <cell r="B453" t="str">
            <v>CRCW040222K1FKED</v>
          </cell>
          <cell r="C453" t="str">
            <v>RES</v>
          </cell>
          <cell r="F453" t="str">
            <v>RES,0402,1% 1/16W,22.1K ROHS</v>
          </cell>
        </row>
        <row r="454">
          <cell r="A454" t="str">
            <v>615-123458-249</v>
          </cell>
          <cell r="B454" t="str">
            <v>CRCW04022R49FKED</v>
          </cell>
          <cell r="C454" t="str">
            <v>RES</v>
          </cell>
          <cell r="F454" t="str">
            <v>RES,0402,THKF,1/16W,1% 2.49 ROHS</v>
          </cell>
        </row>
        <row r="455">
          <cell r="A455" t="str">
            <v>615-188548-172</v>
          </cell>
          <cell r="B455" t="str">
            <v>CRCW040233R0FKED</v>
          </cell>
          <cell r="C455" t="str">
            <v>RES</v>
          </cell>
          <cell r="F455" t="str">
            <v>RES,0402,1% 1/16W,33.0 OHM ROHS</v>
          </cell>
        </row>
        <row r="456">
          <cell r="A456" t="str">
            <v>615-188548-194</v>
          </cell>
          <cell r="B456" t="str">
            <v>CRCW040249R9FKED</v>
          </cell>
          <cell r="C456" t="str">
            <v>RES</v>
          </cell>
          <cell r="F456" t="str">
            <v>RES,0402,1% 1/16W,49.9 OHM ROHS</v>
          </cell>
        </row>
        <row r="457">
          <cell r="A457" t="str">
            <v>615-123461-402</v>
          </cell>
          <cell r="B457" t="str">
            <v>CRCW04024K02FKEDC</v>
          </cell>
          <cell r="C457" t="str">
            <v>RES</v>
          </cell>
          <cell r="F457" t="str">
            <v>RES,0402,THKF,1/16W,1% 4.02K ROHS</v>
          </cell>
        </row>
        <row r="458">
          <cell r="A458" t="str">
            <v>615-123458-511</v>
          </cell>
          <cell r="B458" t="str">
            <v>CRCW04025R11FKED</v>
          </cell>
          <cell r="C458" t="str">
            <v>RES</v>
          </cell>
          <cell r="F458" t="str">
            <v>RES,0402,THKF,1/16W,1%,5.11,ROHS</v>
          </cell>
        </row>
        <row r="459">
          <cell r="A459" t="str">
            <v>615-123458-825</v>
          </cell>
          <cell r="B459" t="str">
            <v>CRCW04028R25FKED</v>
          </cell>
          <cell r="C459" t="str">
            <v>RES</v>
          </cell>
          <cell r="F459" t="str">
            <v>RES,0402,THKF,1/16W,1% 8.25 ROHS</v>
          </cell>
        </row>
        <row r="460">
          <cell r="A460" t="str">
            <v>615-221230-008</v>
          </cell>
          <cell r="B460" t="str">
            <v>CRCW0603100KFKEA</v>
          </cell>
          <cell r="C460" t="str">
            <v>RES</v>
          </cell>
          <cell r="F460" t="str">
            <v>RES,SMD, 100KOHM,TOL 1%,0603, 0.1W</v>
          </cell>
        </row>
        <row r="461">
          <cell r="A461" t="str">
            <v>615-221230-009</v>
          </cell>
          <cell r="B461" t="str">
            <v>CRCW0603102KFKEA</v>
          </cell>
          <cell r="C461" t="str">
            <v>RES</v>
          </cell>
          <cell r="F461" t="str">
            <v>RES,SMD,102KOHM,TOL 1%,0603, 0.1W</v>
          </cell>
        </row>
        <row r="462">
          <cell r="A462" t="str">
            <v>615-068559-200</v>
          </cell>
          <cell r="B462" t="str">
            <v>CRCW06032K00FKEA</v>
          </cell>
          <cell r="C462" t="str">
            <v>RES</v>
          </cell>
          <cell r="F462" t="str">
            <v>RES,0603,THKF,1%,1/10W,100PPM,2K ROHS</v>
          </cell>
        </row>
        <row r="463">
          <cell r="A463" t="str">
            <v>615-068558-365</v>
          </cell>
          <cell r="B463" t="str">
            <v>CRCW0603365RFKEA</v>
          </cell>
          <cell r="C463" t="str">
            <v>RES</v>
          </cell>
          <cell r="F463" t="str">
            <v>RES,0603,THKF,1%,1/10W,100PPM,365 ROHS</v>
          </cell>
        </row>
        <row r="464">
          <cell r="A464" t="str">
            <v>615-068559-324</v>
          </cell>
          <cell r="B464" t="str">
            <v>CRCW06033K24FKEA</v>
          </cell>
          <cell r="C464" t="str">
            <v>RES</v>
          </cell>
          <cell r="F464" t="str">
            <v>RES,SMD,THKF,1%,1/10W,100PPM,3.24K,ROHS</v>
          </cell>
        </row>
        <row r="465">
          <cell r="A465" t="str">
            <v>615-221230-010</v>
          </cell>
          <cell r="B465" t="str">
            <v>CRCW0603432KFKEA</v>
          </cell>
          <cell r="C465" t="str">
            <v>RES</v>
          </cell>
          <cell r="F465" t="str">
            <v>RES,SMD,432KOHM,TOL 1%,0603, 0.1W</v>
          </cell>
        </row>
        <row r="466">
          <cell r="A466" t="str">
            <v>615-068560-499</v>
          </cell>
          <cell r="B466" t="str">
            <v>CRCW060349K9FKEA</v>
          </cell>
          <cell r="C466" t="str">
            <v>RES</v>
          </cell>
          <cell r="F466" t="str">
            <v>RES,0603,THKF,1%,1/10W,100PPM,49.9K ROHS</v>
          </cell>
        </row>
        <row r="467">
          <cell r="A467" t="str">
            <v>615-068559-412</v>
          </cell>
          <cell r="B467" t="str">
            <v>CRCW06034K12FKEA</v>
          </cell>
          <cell r="C467" t="str">
            <v>RES</v>
          </cell>
          <cell r="F467" t="str">
            <v>RES,0603,THKF,1%,1/10W,100PPM,4.12K ROHS</v>
          </cell>
        </row>
        <row r="468">
          <cell r="A468" t="str">
            <v>615-901294-104</v>
          </cell>
          <cell r="B468" t="str">
            <v>CRCW0805100KJNEA</v>
          </cell>
          <cell r="C468" t="str">
            <v>RES</v>
          </cell>
          <cell r="F468" t="str">
            <v>RES,SMD,0805,100K,5%,1/10W,ROHS</v>
          </cell>
        </row>
        <row r="469">
          <cell r="A469" t="str">
            <v>615-055211-100</v>
          </cell>
          <cell r="B469" t="str">
            <v>CRCW0805100RFKEB</v>
          </cell>
          <cell r="C469" t="str">
            <v>RES</v>
          </cell>
          <cell r="F469" t="str">
            <v>RES,SMD,0805,TF,100 OHM,1%,1/8W,ROHS</v>
          </cell>
        </row>
        <row r="470">
          <cell r="A470" t="str">
            <v>615-901300-105</v>
          </cell>
          <cell r="B470" t="str">
            <v>CRCW0805105RFKEA</v>
          </cell>
          <cell r="C470" t="str">
            <v>RES</v>
          </cell>
          <cell r="F470" t="str">
            <v>RES,SMD,0805,105,1%,1/10W,ROHS</v>
          </cell>
        </row>
        <row r="471">
          <cell r="A471" t="str">
            <v>615-041926-103</v>
          </cell>
          <cell r="B471" t="str">
            <v>CRCW080510K0FKEA</v>
          </cell>
          <cell r="C471" t="str">
            <v>RES</v>
          </cell>
          <cell r="F471" t="str">
            <v>RES,SMD,0805,TF,1%,1/8W,10K,ROHS</v>
          </cell>
        </row>
        <row r="472">
          <cell r="A472" t="str">
            <v>615-901300-150</v>
          </cell>
          <cell r="B472" t="str">
            <v>CRCW0805150RFKEA</v>
          </cell>
          <cell r="C472" t="str">
            <v>RES</v>
          </cell>
          <cell r="F472" t="str">
            <v>RES,SMD,0805,150,1%,1/10W,ROHS</v>
          </cell>
        </row>
        <row r="473">
          <cell r="A473" t="str">
            <v>615-901294-184</v>
          </cell>
          <cell r="B473" t="str">
            <v>CRCW0805180KJNEA</v>
          </cell>
          <cell r="C473" t="str">
            <v>RES</v>
          </cell>
          <cell r="F473" t="str">
            <v>RES,SMD,0805,180K,5%,1/10W,ROHS</v>
          </cell>
        </row>
        <row r="474">
          <cell r="A474" t="str">
            <v>615-901301-127</v>
          </cell>
          <cell r="B474" t="str">
            <v>CRCW08051K27FKEA</v>
          </cell>
          <cell r="C474" t="str">
            <v>RES</v>
          </cell>
          <cell r="F474" t="str">
            <v>RES,SMD,0805,1.27K,1%,1/10W,ROHS</v>
          </cell>
        </row>
        <row r="475">
          <cell r="A475" t="str">
            <v>615-901302-221</v>
          </cell>
          <cell r="B475" t="str">
            <v>CRCW080522K1FKEA</v>
          </cell>
          <cell r="C475" t="str">
            <v>RES</v>
          </cell>
          <cell r="F475" t="str">
            <v>RES,0805,22.1K,1%,1/10W,ROHS</v>
          </cell>
        </row>
        <row r="476">
          <cell r="A476" t="str">
            <v>615-901301-267</v>
          </cell>
          <cell r="B476" t="str">
            <v>CRCW08052K67FKEA</v>
          </cell>
          <cell r="C476" t="str">
            <v>RES</v>
          </cell>
          <cell r="F476" t="str">
            <v>RES,SMD,0805,2.67K,1%,1/10W,ROHS</v>
          </cell>
        </row>
        <row r="477">
          <cell r="A477" t="str">
            <v>615-901302-301</v>
          </cell>
          <cell r="B477" t="str">
            <v>CRCW080530K1FKEA</v>
          </cell>
          <cell r="C477" t="str">
            <v>RES</v>
          </cell>
          <cell r="F477" t="str">
            <v>RES,0805,30.1K,1%,1/10W,ROHS</v>
          </cell>
        </row>
        <row r="478">
          <cell r="A478" t="str">
            <v>615-901303-357</v>
          </cell>
          <cell r="B478" t="str">
            <v>CRCW0805357KFKEA</v>
          </cell>
          <cell r="C478" t="str">
            <v>RES</v>
          </cell>
          <cell r="F478" t="str">
            <v>RES,0805,357K,1%,1/10W,ROHS</v>
          </cell>
        </row>
        <row r="479">
          <cell r="A479" t="str">
            <v>615-055211-470</v>
          </cell>
          <cell r="B479" t="str">
            <v>CRCW0805470RFKEB</v>
          </cell>
          <cell r="C479" t="str">
            <v>RES</v>
          </cell>
          <cell r="F479" t="str">
            <v>RES,SMD,0805,TF,470 OHM,1%,1/8W,ROHS</v>
          </cell>
        </row>
        <row r="480">
          <cell r="A480" t="str">
            <v>615-901301-464</v>
          </cell>
          <cell r="B480" t="str">
            <v>CRCW08054K64FKEA</v>
          </cell>
          <cell r="C480" t="str">
            <v>RES</v>
          </cell>
          <cell r="F480" t="str">
            <v>RES,SMD,0805,4.64K,1%,1/10W,ROHS</v>
          </cell>
        </row>
        <row r="481">
          <cell r="A481" t="str">
            <v>615-901301-487</v>
          </cell>
          <cell r="B481" t="str">
            <v>CRCW08054K87FKEA</v>
          </cell>
          <cell r="C481" t="str">
            <v>RES</v>
          </cell>
          <cell r="F481" t="str">
            <v>RES,SMD,0805,4.87K,1%,1/10W,ROHS</v>
          </cell>
        </row>
        <row r="482">
          <cell r="A482" t="str">
            <v>615-B14225-001</v>
          </cell>
          <cell r="B482" t="str">
            <v>CRCW080551R0FKEAHP</v>
          </cell>
          <cell r="C482" t="str">
            <v>RES</v>
          </cell>
          <cell r="D482" t="str">
            <v>FF</v>
          </cell>
          <cell r="F482" t="str">
            <v>RES,SMD,THK FILM,51OHM,+/-1%,0.5W,0805</v>
          </cell>
        </row>
        <row r="483">
          <cell r="A483" t="str">
            <v>615-901294-681</v>
          </cell>
          <cell r="B483" t="str">
            <v>CRCW0805680RJNEA</v>
          </cell>
          <cell r="C483" t="str">
            <v>RES</v>
          </cell>
          <cell r="F483" t="str">
            <v>RES,SMD,0805,680 OHM,5%,1/10W,ROHS</v>
          </cell>
        </row>
        <row r="484">
          <cell r="A484" t="str">
            <v>615-901300-887</v>
          </cell>
          <cell r="B484" t="str">
            <v>CRCW0805887RFKEA</v>
          </cell>
          <cell r="C484" t="str">
            <v>RES</v>
          </cell>
          <cell r="F484" t="str">
            <v>RES,SMD,0805,887,1%,1/10W,ROHS</v>
          </cell>
        </row>
        <row r="485">
          <cell r="A485" t="str">
            <v>615-901301-931</v>
          </cell>
          <cell r="B485" t="str">
            <v>CRCW08059K31FKEA</v>
          </cell>
          <cell r="C485" t="str">
            <v>RES</v>
          </cell>
          <cell r="F485" t="str">
            <v>RES,SMD,0805,9.31K,1%,1/10W,ROHS</v>
          </cell>
        </row>
        <row r="486">
          <cell r="A486" t="str">
            <v>615-326252-001</v>
          </cell>
          <cell r="B486" t="str">
            <v>CRCW12060000Z0EBC</v>
          </cell>
          <cell r="C486" t="str">
            <v>RES</v>
          </cell>
          <cell r="F486" t="str">
            <v>RES,SMD,JMPR,1/4W,THK FILM,1206</v>
          </cell>
        </row>
        <row r="487">
          <cell r="A487" t="str">
            <v>615-032231-040</v>
          </cell>
          <cell r="B487" t="str">
            <v>CRCW12060R00JNEA</v>
          </cell>
          <cell r="C487" t="str">
            <v>RES</v>
          </cell>
          <cell r="F487" t="str">
            <v>RES,SMD,THKF,1206,0 OHM,5%,1/4W,ROHS</v>
          </cell>
        </row>
        <row r="488">
          <cell r="A488" t="str">
            <v>615-179931-004</v>
          </cell>
          <cell r="B488" t="str">
            <v>CRCW1206100KFKEAC</v>
          </cell>
          <cell r="C488" t="str">
            <v>RES</v>
          </cell>
          <cell r="F488" t="str">
            <v>RES,SMD,THK FILM,100K OHM,1%,1/4W,1206</v>
          </cell>
        </row>
        <row r="489">
          <cell r="A489" t="str">
            <v>615-116029-191</v>
          </cell>
          <cell r="B489" t="str">
            <v>CRCW120619K1FKEA</v>
          </cell>
          <cell r="C489" t="str">
            <v>RES</v>
          </cell>
          <cell r="F489" t="str">
            <v>RES,SMD,1206,1%,1/4W,19.1K ROHS</v>
          </cell>
        </row>
        <row r="490">
          <cell r="A490" t="str">
            <v>615-179931-002</v>
          </cell>
          <cell r="B490" t="str">
            <v>CRCW12061K00FKEBC</v>
          </cell>
          <cell r="C490" t="str">
            <v>RES</v>
          </cell>
          <cell r="F490" t="str">
            <v>RES,SMD,1K OHM,0.25W,1% TOL,THICK FILM</v>
          </cell>
        </row>
        <row r="491">
          <cell r="A491" t="str">
            <v>615-306231-191</v>
          </cell>
          <cell r="B491" t="str">
            <v>CRCW12061K91FKEA</v>
          </cell>
          <cell r="C491" t="str">
            <v>RES</v>
          </cell>
          <cell r="F491" t="str">
            <v>RES,SMD,1206,1%,1/4W,1.91K,ROHS</v>
          </cell>
        </row>
        <row r="492">
          <cell r="A492" t="str">
            <v>615-098001-191</v>
          </cell>
          <cell r="B492" t="str">
            <v>CRCW12061K91FKEA</v>
          </cell>
          <cell r="C492" t="str">
            <v>RES</v>
          </cell>
          <cell r="F492" t="str">
            <v>RES,1206,1% 1/4W,1.91K ROHS</v>
          </cell>
        </row>
        <row r="493">
          <cell r="A493" t="str">
            <v>615-A80550-001</v>
          </cell>
          <cell r="B493" t="str">
            <v>CRCW12061M00FKEAC</v>
          </cell>
          <cell r="C493" t="str">
            <v>RES</v>
          </cell>
          <cell r="F493" t="str">
            <v>RES,SMD,1M OHM,1%,100PPM,0.25W,1206</v>
          </cell>
        </row>
        <row r="494">
          <cell r="A494" t="str">
            <v>615-116031-102</v>
          </cell>
          <cell r="B494" t="str">
            <v>CRCW12061M02FKEA</v>
          </cell>
          <cell r="C494" t="str">
            <v>RES</v>
          </cell>
          <cell r="F494" t="str">
            <v>RES,SMD,1206,1.02M OHM,1%,1/4W,ROHS</v>
          </cell>
        </row>
        <row r="495">
          <cell r="A495" t="str">
            <v>615-116030-200</v>
          </cell>
          <cell r="B495" t="str">
            <v>CRCW1206200KFKEA</v>
          </cell>
          <cell r="C495" t="str">
            <v>RES</v>
          </cell>
          <cell r="F495" t="str">
            <v>RES,SMD,1206,200K,1%,1/4W,ROHS</v>
          </cell>
        </row>
        <row r="496">
          <cell r="A496" t="str">
            <v>615-097890-201</v>
          </cell>
          <cell r="B496" t="str">
            <v>CRCW1206200RJNEA</v>
          </cell>
          <cell r="C496" t="str">
            <v>RES</v>
          </cell>
          <cell r="F496" t="str">
            <v>RES,SMD,1206,200,5% 1/8W,ROHS</v>
          </cell>
        </row>
        <row r="497">
          <cell r="A497" t="str">
            <v>615-116029-200</v>
          </cell>
          <cell r="B497" t="str">
            <v>CRCW120620K0FKEA</v>
          </cell>
          <cell r="C497" t="str">
            <v>RES</v>
          </cell>
          <cell r="F497" t="str">
            <v>RES,SMD,1206,20.0K,1%,1/4W,ROHS</v>
          </cell>
        </row>
        <row r="498">
          <cell r="A498" t="str">
            <v>615-116030-215</v>
          </cell>
          <cell r="B498" t="str">
            <v>CRCW1206215KFKEA</v>
          </cell>
          <cell r="C498" t="str">
            <v>RES</v>
          </cell>
          <cell r="F498" t="str">
            <v>RES,1206,1%,1/4W,100PPM,215K,ROHS</v>
          </cell>
        </row>
        <row r="499">
          <cell r="A499" t="str">
            <v>615-032231-243</v>
          </cell>
          <cell r="B499" t="str">
            <v>CRCW120624K0JNEA</v>
          </cell>
          <cell r="C499" t="str">
            <v>RES</v>
          </cell>
          <cell r="F499" t="str">
            <v>RES,SMD,THKF,1206,24.0K OHM,5%,1/4W,ROHS</v>
          </cell>
        </row>
        <row r="500">
          <cell r="A500" t="str">
            <v>615-116029-261</v>
          </cell>
          <cell r="B500" t="str">
            <v>CRCW120626K1FKEA</v>
          </cell>
          <cell r="C500" t="str">
            <v>RES</v>
          </cell>
          <cell r="F500" t="str">
            <v>RES,SMD,1206,1%,1/4W,26.1K ROHS</v>
          </cell>
        </row>
        <row r="501">
          <cell r="A501" t="str">
            <v>615-116027-301</v>
          </cell>
          <cell r="B501" t="str">
            <v>CRCW1206-3010FRT1</v>
          </cell>
          <cell r="C501" t="str">
            <v>RES</v>
          </cell>
          <cell r="F501" t="str">
            <v>RES,1206,301 OHM,1%,1/4W,ROHS</v>
          </cell>
        </row>
        <row r="502">
          <cell r="A502" t="str">
            <v>615-097890-300</v>
          </cell>
          <cell r="B502" t="str">
            <v>CRCW120630R0JNEA</v>
          </cell>
          <cell r="C502" t="str">
            <v>RES</v>
          </cell>
          <cell r="F502" t="str">
            <v>RES,SMD THKF,30 OHM,5%,1206,1/8W,ROHS</v>
          </cell>
        </row>
        <row r="503">
          <cell r="A503" t="str">
            <v>615-116029-392</v>
          </cell>
          <cell r="B503" t="str">
            <v>CRCW120639K2FKEA</v>
          </cell>
          <cell r="C503" t="str">
            <v>RES</v>
          </cell>
          <cell r="F503" t="str">
            <v>RES,SMD,1206,1%,1/4W,39.2K ROHS</v>
          </cell>
        </row>
        <row r="504">
          <cell r="A504" t="str">
            <v>615-116028-324</v>
          </cell>
          <cell r="B504" t="str">
            <v>CRCW12063K24FKEA</v>
          </cell>
          <cell r="C504" t="str">
            <v>RES</v>
          </cell>
          <cell r="F504" t="str">
            <v>RES,1206,1% 1/4W,3.24K ROHS</v>
          </cell>
        </row>
        <row r="505">
          <cell r="A505" t="str">
            <v>615-032231-017</v>
          </cell>
          <cell r="B505" t="str">
            <v>CRCW12063K30JNEA</v>
          </cell>
          <cell r="C505" t="str">
            <v>RES</v>
          </cell>
          <cell r="F505" t="str">
            <v>RES,SMD,THKF,1206,3.3K OHM,5%,1/4W,ROHS</v>
          </cell>
        </row>
        <row r="506">
          <cell r="A506" t="str">
            <v>615-116027-402</v>
          </cell>
          <cell r="B506" t="str">
            <v>CRCW1206402RFKEA</v>
          </cell>
          <cell r="C506" t="str">
            <v>RES</v>
          </cell>
          <cell r="F506" t="str">
            <v>RES,SMD,1206,402,1% 1/4W,ROHS</v>
          </cell>
        </row>
        <row r="507">
          <cell r="A507" t="str">
            <v>615-098001-487</v>
          </cell>
          <cell r="B507" t="str">
            <v>CRCW12064K87FKEA</v>
          </cell>
          <cell r="C507" t="str">
            <v>RES</v>
          </cell>
          <cell r="F507" t="str">
            <v>RES,1206,1% 1/4W,4.87K ROHS</v>
          </cell>
        </row>
        <row r="508">
          <cell r="A508" t="str">
            <v>615-032231-569</v>
          </cell>
          <cell r="B508" t="str">
            <v>CRCW12065R60JNEA</v>
          </cell>
          <cell r="C508" t="str">
            <v>RES</v>
          </cell>
          <cell r="F508" t="str">
            <v>RES,SMD,THKF,1206,5%,1/4W,5.6,ROHS</v>
          </cell>
        </row>
        <row r="509">
          <cell r="A509" t="str">
            <v>615-116029-750</v>
          </cell>
          <cell r="B509" t="str">
            <v>CRCW120675K0FKEA</v>
          </cell>
          <cell r="C509" t="str">
            <v>RES</v>
          </cell>
          <cell r="F509" t="str">
            <v>RES,SMD,1206,75.0K,1%,1/4W,ROHS</v>
          </cell>
        </row>
        <row r="510">
          <cell r="A510" t="str">
            <v>615-116028-715</v>
          </cell>
          <cell r="B510" t="str">
            <v>CRCW12067K15FKEA</v>
          </cell>
          <cell r="C510" t="str">
            <v>RES</v>
          </cell>
          <cell r="F510" t="str">
            <v>RES,1206,1% 1/4W,7.15K ROHS</v>
          </cell>
        </row>
        <row r="511">
          <cell r="A511" t="str">
            <v>615-116028-787</v>
          </cell>
          <cell r="B511" t="str">
            <v>CRCW12067K87FKEA</v>
          </cell>
          <cell r="C511" t="str">
            <v>RES</v>
          </cell>
          <cell r="F511" t="str">
            <v>RES,1206,1% 1/4W,7.87K ROHS</v>
          </cell>
        </row>
        <row r="512">
          <cell r="A512" t="str">
            <v>615-116029-845</v>
          </cell>
          <cell r="B512" t="str">
            <v>CRCW120684K5FKEA</v>
          </cell>
          <cell r="C512" t="str">
            <v>RES</v>
          </cell>
          <cell r="F512" t="str">
            <v>RES,SMD,1206,1%,1/4W,84.5K ROHS</v>
          </cell>
        </row>
        <row r="513">
          <cell r="A513" t="str">
            <v>615-097890-822</v>
          </cell>
          <cell r="B513" t="str">
            <v>CRCW12068K20JNEA</v>
          </cell>
          <cell r="C513" t="str">
            <v>RES</v>
          </cell>
          <cell r="F513" t="str">
            <v>RES,1206 8.2K 5% 1/8W,ROHS</v>
          </cell>
        </row>
        <row r="514">
          <cell r="A514" t="str">
            <v>615-116028-845</v>
          </cell>
          <cell r="B514" t="str">
            <v>CRCW12068K45FKEA</v>
          </cell>
          <cell r="C514" t="str">
            <v>RES</v>
          </cell>
          <cell r="F514" t="str">
            <v>RES,SMD,1206,8.45K,1%,1/4W,ROHS</v>
          </cell>
        </row>
        <row r="515">
          <cell r="A515" t="str">
            <v>615-032231-012</v>
          </cell>
          <cell r="B515" t="str">
            <v>CRCW1206910RJNEA</v>
          </cell>
          <cell r="C515" t="str">
            <v>RES</v>
          </cell>
          <cell r="F515" t="str">
            <v>RES,SMD,THKF,1206,910 OHM,5%,1/4W,ROHS</v>
          </cell>
        </row>
        <row r="516">
          <cell r="A516" t="str">
            <v>615-116029-976</v>
          </cell>
          <cell r="B516" t="str">
            <v>CRCW120697K6FKEA</v>
          </cell>
          <cell r="C516" t="str">
            <v>RES</v>
          </cell>
          <cell r="F516" t="str">
            <v>RES,SMD,1206,1%,1/4W,97.6K ROHS</v>
          </cell>
        </row>
        <row r="517">
          <cell r="A517" t="str">
            <v>615-098001-931</v>
          </cell>
          <cell r="B517" t="str">
            <v>CRCW12069K31FKEA</v>
          </cell>
          <cell r="C517" t="str">
            <v>RES</v>
          </cell>
          <cell r="F517" t="str">
            <v>RES,1206,1% 1/4W,9.31K ROHS</v>
          </cell>
        </row>
        <row r="518">
          <cell r="A518" t="str">
            <v>615-047233-470</v>
          </cell>
          <cell r="B518" t="str">
            <v>CRCW121047R0FKEA</v>
          </cell>
          <cell r="C518" t="str">
            <v>RES</v>
          </cell>
          <cell r="F518" t="str">
            <v>RES,SMD,1210,10-100 OHMS,1%,0.33W,ROHS</v>
          </cell>
        </row>
        <row r="519">
          <cell r="A519" t="str">
            <v>615-098743-222</v>
          </cell>
          <cell r="B519" t="str">
            <v>CRCW20102K20JNEF</v>
          </cell>
          <cell r="C519" t="str">
            <v>RES</v>
          </cell>
          <cell r="F519" t="str">
            <v>RESISTOR,SMD,2010,2.2K OHM,5% 1/2W,ROHS</v>
          </cell>
        </row>
        <row r="520">
          <cell r="A520" t="str">
            <v>615-098743-272</v>
          </cell>
          <cell r="B520" t="str">
            <v>CRCW20102K70JNEF</v>
          </cell>
          <cell r="C520" t="str">
            <v>RES</v>
          </cell>
          <cell r="F520" t="str">
            <v>RES,SMD,THKF,2.7K,2010 5% 1/2W</v>
          </cell>
        </row>
        <row r="521">
          <cell r="A521" t="str">
            <v>615-098743-390</v>
          </cell>
          <cell r="B521" t="str">
            <v>CRCW201039R0JNEF</v>
          </cell>
          <cell r="C521" t="str">
            <v>RES</v>
          </cell>
          <cell r="F521" t="str">
            <v>RESISTOR,SMD,2010,39 OHM,5% 1/2W,ROHS</v>
          </cell>
        </row>
        <row r="522">
          <cell r="A522" t="str">
            <v>615-098743-302</v>
          </cell>
          <cell r="B522" t="str">
            <v>CRCW20103K00JNEF</v>
          </cell>
          <cell r="C522" t="str">
            <v>RES</v>
          </cell>
          <cell r="F522" t="str">
            <v>RESISTOR,SMD,2010,3K OHM,5% 1/2W,ROHS</v>
          </cell>
        </row>
        <row r="523">
          <cell r="A523" t="str">
            <v>615-267478-050</v>
          </cell>
          <cell r="B523" t="str">
            <v>CRCW25121K00FKEG</v>
          </cell>
          <cell r="C523" t="str">
            <v>RES</v>
          </cell>
          <cell r="F523" t="str">
            <v>RES,SMD,2512,THKF,1%,1W,1K OHM ROHS</v>
          </cell>
        </row>
        <row r="524">
          <cell r="A524" t="str">
            <v>615-067318-102</v>
          </cell>
          <cell r="B524" t="str">
            <v>CRCW25121K00JNEG</v>
          </cell>
          <cell r="C524" t="str">
            <v>RES</v>
          </cell>
          <cell r="F524" t="str">
            <v>RES,SMD,2512,THKF,5%,1W,1K,ROHS</v>
          </cell>
        </row>
        <row r="525">
          <cell r="A525" t="str">
            <v>615-900298-112</v>
          </cell>
          <cell r="B525" t="str">
            <v>CRCW25121K10JNEG</v>
          </cell>
          <cell r="C525" t="str">
            <v>RES</v>
          </cell>
          <cell r="F525" t="str">
            <v>RES,2512,1.1K,5%,1W</v>
          </cell>
        </row>
        <row r="526">
          <cell r="A526" t="str">
            <v>615-041926-103</v>
          </cell>
          <cell r="B526" t="str">
            <v>CRGCQ0805F10K</v>
          </cell>
          <cell r="C526" t="str">
            <v>RES</v>
          </cell>
          <cell r="F526" t="str">
            <v>RES,SMD,0805,TF,1%,1/8W,10K,ROHS</v>
          </cell>
        </row>
        <row r="527">
          <cell r="A527" t="str">
            <v>615-A35815-001</v>
          </cell>
          <cell r="B527" t="str">
            <v>CRGP0603F1M0</v>
          </cell>
          <cell r="C527" t="str">
            <v>RES</v>
          </cell>
          <cell r="F527" t="str">
            <v>RES,SMD,1MOHM,+/-1%,200PPM,1/4W,0603</v>
          </cell>
        </row>
        <row r="528">
          <cell r="A528" t="str">
            <v>630-A73909-001</v>
          </cell>
          <cell r="B528" t="str">
            <v>CY8C5468AXI-LP106</v>
          </cell>
          <cell r="C528" t="str">
            <v>IC</v>
          </cell>
          <cell r="F528" t="str">
            <v>IC,SMD,MCU,32BIT,256KB,FLASH,67MHZ,TQFP</v>
          </cell>
        </row>
        <row r="529">
          <cell r="A529" t="str">
            <v>668-325823-001</v>
          </cell>
          <cell r="B529" t="str">
            <v>D3W3P36A6GX08LF</v>
          </cell>
          <cell r="C529" t="str">
            <v>CONN</v>
          </cell>
          <cell r="F529" t="str">
            <v>CONN,PLUG,DSUB,RT. ANGLE,3 PIN,30A</v>
          </cell>
        </row>
        <row r="530">
          <cell r="A530" t="str">
            <v>630-B14808-001</v>
          </cell>
          <cell r="B530" t="str">
            <v>DAC60501ZDGSR</v>
          </cell>
          <cell r="C530" t="str">
            <v>IC</v>
          </cell>
          <cell r="F530" t="str">
            <v>IC,SMD,DAC,12BIT,I2C/SPI,VOUT</v>
          </cell>
        </row>
        <row r="531">
          <cell r="A531" t="str">
            <v>630-A87681-001</v>
          </cell>
          <cell r="B531" t="str">
            <v>dac7718SRGZR</v>
          </cell>
          <cell r="C531" t="str">
            <v>IC</v>
          </cell>
          <cell r="F531" t="str">
            <v>IC,SMD,DAC,LO PWR,HV OUT,12BIT,VQFN-48</v>
          </cell>
        </row>
        <row r="532">
          <cell r="A532" t="str">
            <v>39-193848-00</v>
          </cell>
          <cell r="B532" t="str">
            <v>DAMC3H3PJK87</v>
          </cell>
          <cell r="C532" t="str">
            <v>CONN</v>
          </cell>
          <cell r="F532" t="str">
            <v>CONN,COMBO-D,PLUG,3PIN,R/A,THROUGH HOLE</v>
          </cell>
        </row>
        <row r="533">
          <cell r="A533" t="str">
            <v>39-158111-00</v>
          </cell>
          <cell r="B533" t="str">
            <v>DAMN3H3PNK87</v>
          </cell>
          <cell r="C533" t="str">
            <v>CONN</v>
          </cell>
          <cell r="F533" t="str">
            <v>CONN,D-SUB,3M,PCB STRT,W/STOFF</v>
          </cell>
        </row>
        <row r="534">
          <cell r="A534" t="str">
            <v>39-130654-15</v>
          </cell>
          <cell r="B534" t="str">
            <v>DAMZ15PNK87</v>
          </cell>
          <cell r="C534" t="str">
            <v>CONN</v>
          </cell>
          <cell r="F534" t="str">
            <v>CONN,DSUB,15M,PCB STRT,0.25"</v>
          </cell>
        </row>
        <row r="535">
          <cell r="A535" t="str">
            <v>668-342826-015</v>
          </cell>
          <cell r="B535" t="str">
            <v>DAMZ-15S-N-A197</v>
          </cell>
          <cell r="C535" t="str">
            <v>CONN</v>
          </cell>
          <cell r="F535" t="str">
            <v>CONN,D-SUB,SKT,15PIN,7.5A,PCB MT,BD LOCK</v>
          </cell>
        </row>
        <row r="536">
          <cell r="A536" t="str">
            <v>39-267683-00</v>
          </cell>
          <cell r="B536" t="str">
            <v>DAMZ7H2SNA197</v>
          </cell>
          <cell r="C536" t="str">
            <v>CONN</v>
          </cell>
          <cell r="F536" t="str">
            <v>CONN,COMBO-D,7W2,FEM,PCB,STRT,NO JACKS</v>
          </cell>
        </row>
        <row r="537">
          <cell r="A537" t="str">
            <v>668-A54180-001</v>
          </cell>
          <cell r="B537" t="str">
            <v>DAO7W2P300H30LF</v>
          </cell>
          <cell r="C537" t="str">
            <v>CONN</v>
          </cell>
          <cell r="F537" t="str">
            <v>CONN,COMBO D-SUB,PIN,DA,7W2,30A,THD INSR</v>
          </cell>
        </row>
        <row r="538">
          <cell r="A538" t="str">
            <v>668-A75508-002</v>
          </cell>
          <cell r="B538" t="str">
            <v>DAO7W2S300G40LF</v>
          </cell>
          <cell r="C538" t="str">
            <v>CONN</v>
          </cell>
          <cell r="F538" t="str">
            <v>CONN,RCPT,COMBO-D,7W2,40A PWR,UNC 4-40</v>
          </cell>
        </row>
        <row r="539">
          <cell r="A539" t="str">
            <v>644-B18976-001</v>
          </cell>
          <cell r="B539" t="str">
            <v>DAT72415-HR</v>
          </cell>
          <cell r="C539" t="str">
            <v>RLY</v>
          </cell>
          <cell r="F539" t="str">
            <v>RLY,REED SW,SPNO,2A,1000VAC/DC,5VDC,TH</v>
          </cell>
        </row>
        <row r="540">
          <cell r="A540" t="str">
            <v>609-311183-001</v>
          </cell>
          <cell r="B540" t="str">
            <v>DB2W40300L</v>
          </cell>
          <cell r="C540" t="str">
            <v>DIO</v>
          </cell>
          <cell r="F540" t="str">
            <v>DIO,SMD,SCHOTTKY,40V,3A,MINI2,ROHS</v>
          </cell>
        </row>
        <row r="541">
          <cell r="A541" t="str">
            <v>668-111554-005</v>
          </cell>
          <cell r="B541" t="str">
            <v>DB5W5S300A30LF</v>
          </cell>
          <cell r="C541" t="str">
            <v>CONN</v>
          </cell>
          <cell r="F541" t="str">
            <v>CONN,RCPT,D-SUB,POWER,5P,ROHS</v>
          </cell>
        </row>
        <row r="542">
          <cell r="A542" t="str">
            <v>39-149057-25</v>
          </cell>
          <cell r="B542" t="str">
            <v>DBMN25PNK87</v>
          </cell>
          <cell r="C542" t="str">
            <v>CONN</v>
          </cell>
          <cell r="F542" t="str">
            <v>CONN,DSUB,25M,PCB STRT,W/STOFF</v>
          </cell>
        </row>
        <row r="543">
          <cell r="A543" t="str">
            <v>39-130655-25</v>
          </cell>
          <cell r="B543" t="str">
            <v>DBMZ25SNA197</v>
          </cell>
          <cell r="C543" t="str">
            <v>CONN</v>
          </cell>
          <cell r="F543" t="str">
            <v>CONN,DSUB,25F,PCB STRT,0.25"</v>
          </cell>
        </row>
        <row r="544">
          <cell r="A544" t="str">
            <v>609-A58376-001</v>
          </cell>
          <cell r="B544" t="str">
            <v>DFLS130L-7</v>
          </cell>
          <cell r="C544" t="str">
            <v>DIO</v>
          </cell>
          <cell r="F544" t="str">
            <v>DIO,SMD,SCHOTTKY,30V,1A,POWERDI123</v>
          </cell>
        </row>
        <row r="545">
          <cell r="A545" t="str">
            <v>609-068289-001</v>
          </cell>
          <cell r="B545" t="str">
            <v>DFLT5V0A-7</v>
          </cell>
          <cell r="C545" t="str">
            <v>DIO</v>
          </cell>
          <cell r="F545" t="str">
            <v>DIO,SMD,PWR,TVS,255W,5V  ROHS</v>
          </cell>
        </row>
        <row r="546">
          <cell r="A546" t="str">
            <v>630-A42452-001</v>
          </cell>
          <cell r="B546" t="str">
            <v>DG4051EEQ-T1-GE3</v>
          </cell>
          <cell r="C546" t="str">
            <v>IC</v>
          </cell>
          <cell r="F546" t="str">
            <v>IC,SMD,ANALOG MUX,1CKT,8CH,78OHM,TSSOP16</v>
          </cell>
        </row>
        <row r="547">
          <cell r="A547" t="str">
            <v>668-096777-009</v>
          </cell>
          <cell r="B547" t="str">
            <v>DLS1XP4AA35X</v>
          </cell>
          <cell r="C547" t="str">
            <v>CONN</v>
          </cell>
          <cell r="F547" t="str">
            <v>CONN,DSUB,9P,M,STR,BRD LCK,ROHS</v>
          </cell>
        </row>
        <row r="548">
          <cell r="A548" t="str">
            <v>39-425128-00</v>
          </cell>
          <cell r="B548" t="str">
            <v>DM53744-25</v>
          </cell>
          <cell r="C548" t="str">
            <v>CONT</v>
          </cell>
          <cell r="F548" t="str">
            <v>CONTACT,D-SUB POWER,RCPT,FEMALE,20A,12AW</v>
          </cell>
        </row>
        <row r="549">
          <cell r="A549" t="str">
            <v>626-122409-001</v>
          </cell>
          <cell r="B549" t="str">
            <v>DMC564040R</v>
          </cell>
          <cell r="C549" t="str">
            <v>XSTR</v>
          </cell>
          <cell r="F549" t="str">
            <v>XSTR,SMD,NPN,W/RES 50V SMINI6</v>
          </cell>
        </row>
        <row r="550">
          <cell r="A550" t="str">
            <v>726-345188-001</v>
          </cell>
          <cell r="B550" t="str">
            <v>DRP-03</v>
          </cell>
          <cell r="C550" t="str">
            <v>BRKT</v>
          </cell>
          <cell r="F550" t="str">
            <v>BRKT,MOUNT,DIN RAIL,50X45 MM,AL. 6063-T5</v>
          </cell>
        </row>
        <row r="551">
          <cell r="A551" t="str">
            <v>32-441255-00</v>
          </cell>
          <cell r="B551" t="str">
            <v>DRV8825PWP</v>
          </cell>
          <cell r="C551" t="str">
            <v>IC</v>
          </cell>
          <cell r="F551" t="str">
            <v>IC,STEPPER MOTOR CNTRLR,2.5A,24V,HTSSOP-</v>
          </cell>
        </row>
        <row r="552">
          <cell r="A552" t="str">
            <v>32-441255-00</v>
          </cell>
          <cell r="B552" t="str">
            <v>DRV8825PWPR</v>
          </cell>
          <cell r="C552" t="str">
            <v>IC</v>
          </cell>
          <cell r="F552" t="str">
            <v>IC,STEPPER MOTOR CNTRLR,2.5A,24V,HTSSOP-</v>
          </cell>
        </row>
        <row r="553">
          <cell r="A553" t="str">
            <v>668-A93181-050</v>
          </cell>
          <cell r="B553" t="str">
            <v>DW-25-07-G-D-200</v>
          </cell>
          <cell r="C553" t="str">
            <v>CONN</v>
          </cell>
          <cell r="F553" t="str">
            <v>CONN,HDR,BD STACK,50PIN,VERT,2ROW,2.54MM</v>
          </cell>
        </row>
        <row r="554">
          <cell r="A554" t="str">
            <v>660-A96870-024</v>
          </cell>
          <cell r="B554" t="str">
            <v>ECE80US24</v>
          </cell>
          <cell r="C554" t="str">
            <v>PS</v>
          </cell>
          <cell r="F554" t="str">
            <v>PS,AC-DC,85-264V INPUT,24V,3.33A,TH</v>
          </cell>
        </row>
        <row r="555">
          <cell r="A555" t="str">
            <v>648-122562-001</v>
          </cell>
          <cell r="B555" t="str">
            <v>ECP-U1C104MA5</v>
          </cell>
          <cell r="C555" t="str">
            <v>CAP</v>
          </cell>
          <cell r="F555" t="str">
            <v>CAP,SMD,FILM 0.1UF 16V</v>
          </cell>
        </row>
        <row r="556">
          <cell r="A556" t="str">
            <v>635-121981-001</v>
          </cell>
          <cell r="B556" t="str">
            <v>ECS-120-20-30B-TR</v>
          </cell>
          <cell r="C556" t="str">
            <v>OSC</v>
          </cell>
          <cell r="F556" t="str">
            <v>OSC,SMD,XTAL,12MHZ,20PF</v>
          </cell>
        </row>
        <row r="557">
          <cell r="A557" t="str">
            <v>648-099503-106</v>
          </cell>
          <cell r="B557" t="str">
            <v>EEE-1VA100SR</v>
          </cell>
          <cell r="C557" t="str">
            <v>CAP</v>
          </cell>
          <cell r="F557" t="str">
            <v>CAP,SMD,10UF,20%,35V,ALUM,VERT,ROHS</v>
          </cell>
        </row>
        <row r="558">
          <cell r="A558" t="str">
            <v>648-054586-220</v>
          </cell>
          <cell r="B558" t="str">
            <v>EEE-1VA220WR</v>
          </cell>
          <cell r="C558" t="str">
            <v>CAP</v>
          </cell>
          <cell r="F558" t="str">
            <v>CAP,SMD,AL,ELCTLT,22UF,EEE1,20%,35V,ROHS</v>
          </cell>
        </row>
        <row r="559">
          <cell r="A559" t="str">
            <v>648-005168-220</v>
          </cell>
          <cell r="B559" t="str">
            <v>EEEFC1V221P</v>
          </cell>
          <cell r="C559" t="str">
            <v>CAP</v>
          </cell>
          <cell r="F559" t="str">
            <v>CAP,SMD,AL,ELECTROLYTIC,220UF,35VDC,ROHS</v>
          </cell>
        </row>
        <row r="560">
          <cell r="A560" t="str">
            <v>648-036367-221</v>
          </cell>
          <cell r="B560" t="str">
            <v>EEE-FK1V221P</v>
          </cell>
          <cell r="C560" t="str">
            <v>CAP</v>
          </cell>
          <cell r="F560" t="str">
            <v>CAP,SMD,AL,ELCTLT,FK,LESR,20%,35V,220UF</v>
          </cell>
        </row>
        <row r="561">
          <cell r="A561" t="str">
            <v>648-A97180-102</v>
          </cell>
          <cell r="B561" t="str">
            <v>EEEFT1C102AP</v>
          </cell>
          <cell r="C561" t="str">
            <v>CAP</v>
          </cell>
          <cell r="F561" t="str">
            <v>CAP,SMD,ELCTLT,AL,1000UF,20%,16V,HTM</v>
          </cell>
        </row>
        <row r="562">
          <cell r="A562" t="str">
            <v>648-A68176-100</v>
          </cell>
          <cell r="B562" t="str">
            <v>EEHZT1H101V</v>
          </cell>
          <cell r="C562" t="str">
            <v>CAP</v>
          </cell>
          <cell r="F562" t="str">
            <v>CAP,SMD,AL,ELCTLT,100UF,20%,50V,VIB PRF</v>
          </cell>
        </row>
        <row r="563">
          <cell r="A563" t="str">
            <v>648-A86832-001</v>
          </cell>
          <cell r="B563" t="str">
            <v>EEV107M035A9HAA</v>
          </cell>
          <cell r="C563" t="str">
            <v>CAP</v>
          </cell>
          <cell r="F563" t="str">
            <v>CAP,SMD,ELCTLT,20%,35V,100UF,6.3MM DIA</v>
          </cell>
        </row>
        <row r="564">
          <cell r="A564" t="str">
            <v>648-064017-102</v>
          </cell>
          <cell r="B564" t="str">
            <v>EEV-TG1H102M</v>
          </cell>
          <cell r="C564" t="str">
            <v>CAP</v>
          </cell>
          <cell r="F564" t="str">
            <v>CAP,SMD,AL,ELCTLT,TG,L-E,20%,50V,1000UF</v>
          </cell>
        </row>
        <row r="565">
          <cell r="A565" t="str">
            <v>649-346748-001</v>
          </cell>
          <cell r="B565" t="str">
            <v>EKY-500ELL222MMP1S</v>
          </cell>
          <cell r="C565" t="str">
            <v>CAP</v>
          </cell>
          <cell r="F565" t="str">
            <v>CAP,AL-ELCTLT,2200UF,50VDC,±20% TOL,ROHS</v>
          </cell>
        </row>
        <row r="566">
          <cell r="A566" t="str">
            <v>723-095904-006</v>
          </cell>
          <cell r="B566" t="str">
            <v>ELM1-6MM</v>
          </cell>
          <cell r="C566" t="str">
            <v>SPCR</v>
          </cell>
          <cell r="D566" t="str">
            <v>Hardware</v>
          </cell>
          <cell r="F566" t="str">
            <v>SPACER,LED T1-3/4 2P 6MM</v>
          </cell>
        </row>
        <row r="567">
          <cell r="A567" t="str">
            <v>641-B10665-001</v>
          </cell>
          <cell r="B567" t="str">
            <v>ER1641-101KM</v>
          </cell>
          <cell r="C567" t="str">
            <v>IDCTR</v>
          </cell>
          <cell r="E567" t="str">
            <v>M39010</v>
          </cell>
          <cell r="F567" t="str">
            <v>IDCTR,RF,.1UH,.025OHM,10%TOL</v>
          </cell>
        </row>
        <row r="568">
          <cell r="A568" t="str">
            <v>615-A00422-100</v>
          </cell>
          <cell r="B568" t="str">
            <v>ERA-2AEB101X</v>
          </cell>
          <cell r="C568" t="str">
            <v>RES</v>
          </cell>
          <cell r="F568" t="str">
            <v>RES SMD 100 OHM 0.1% 1/16W 0402</v>
          </cell>
        </row>
        <row r="569">
          <cell r="A569" t="str">
            <v>615-A00423-100</v>
          </cell>
          <cell r="B569" t="str">
            <v>ERA-2AEB102X</v>
          </cell>
          <cell r="C569" t="str">
            <v>RES</v>
          </cell>
          <cell r="F569" t="str">
            <v>RES SMD 1.00KOHM 0.1% 1/16W 0402</v>
          </cell>
        </row>
        <row r="570">
          <cell r="A570" t="str">
            <v>615-A00424-100</v>
          </cell>
          <cell r="B570" t="str">
            <v>ERA-2AEB103X</v>
          </cell>
          <cell r="C570" t="str">
            <v>RES</v>
          </cell>
          <cell r="F570" t="str">
            <v>RES,SMD,10.0KOHM,0.1%,1/16W,0402</v>
          </cell>
        </row>
        <row r="571">
          <cell r="A571" t="str">
            <v>615-303725-087</v>
          </cell>
          <cell r="B571" t="str">
            <v>ERA-2AEB1052X</v>
          </cell>
          <cell r="C571" t="str">
            <v>RES</v>
          </cell>
          <cell r="F571" t="str">
            <v>RES,SMD,10.5K,0.1%,1/16W,0402,ROHS</v>
          </cell>
        </row>
        <row r="572">
          <cell r="A572" t="str">
            <v>615-A00423-107</v>
          </cell>
          <cell r="B572" t="str">
            <v>ERA-2AEB1071X</v>
          </cell>
          <cell r="C572" t="str">
            <v>RES</v>
          </cell>
          <cell r="F572" t="str">
            <v>RES SMD 1.07KOHM 0.1% 1/16W 0402</v>
          </cell>
        </row>
        <row r="573">
          <cell r="A573" t="str">
            <v>615-303725-085</v>
          </cell>
          <cell r="B573" t="str">
            <v>ERA-2AEB1151X</v>
          </cell>
          <cell r="C573" t="str">
            <v>RES</v>
          </cell>
          <cell r="F573" t="str">
            <v>RES,SMD,1.15K,0.1%,1/16W,0402,ROHS</v>
          </cell>
        </row>
        <row r="574">
          <cell r="A574" t="str">
            <v>615-A00424-118</v>
          </cell>
          <cell r="B574" t="str">
            <v>ERA-2AEB1182X</v>
          </cell>
          <cell r="C574" t="str">
            <v>RES</v>
          </cell>
          <cell r="F574" t="str">
            <v>RES,SMD,11.8KOHM,0.1%,1/16W,0402</v>
          </cell>
        </row>
        <row r="575">
          <cell r="A575" t="str">
            <v>615-A00424-120</v>
          </cell>
          <cell r="B575" t="str">
            <v>ERA-2AEB123X</v>
          </cell>
          <cell r="C575" t="str">
            <v>RES</v>
          </cell>
          <cell r="F575" t="str">
            <v>RES,SMD,12.0KOHM,0.1%,1/16W,0402</v>
          </cell>
        </row>
        <row r="576">
          <cell r="A576" t="str">
            <v>615-A00423-133</v>
          </cell>
          <cell r="B576" t="str">
            <v>ERA-2AEB1331X</v>
          </cell>
          <cell r="C576" t="str">
            <v>RES</v>
          </cell>
          <cell r="F576" t="str">
            <v>RES SMD 1.33KOHM 0.1% 1/16W 0402</v>
          </cell>
        </row>
        <row r="577">
          <cell r="A577" t="str">
            <v>615-A00422-137</v>
          </cell>
          <cell r="B577" t="str">
            <v>ERA-2AEB1370X</v>
          </cell>
          <cell r="C577" t="str">
            <v>RES</v>
          </cell>
          <cell r="F577" t="str">
            <v>RES,SMD,0402,137 OHM,0.1%,1/16W,ROHS</v>
          </cell>
        </row>
        <row r="578">
          <cell r="A578" t="str">
            <v>615-A00422-160</v>
          </cell>
          <cell r="B578" t="str">
            <v>ERA-2AEB161X</v>
          </cell>
          <cell r="C578" t="str">
            <v>RES</v>
          </cell>
          <cell r="F578" t="str">
            <v>RES SMD 160 OHM 0.1% 1/16W 0402</v>
          </cell>
        </row>
        <row r="579">
          <cell r="A579" t="str">
            <v>615-A00424-182</v>
          </cell>
          <cell r="B579" t="str">
            <v>ERA-2AEB1822X</v>
          </cell>
          <cell r="C579" t="str">
            <v>RES</v>
          </cell>
          <cell r="F579" t="str">
            <v>RES,SMD,18.2KOHM,0.1%,1/16W,0402</v>
          </cell>
        </row>
        <row r="580">
          <cell r="A580" t="str">
            <v>615-A00424-191</v>
          </cell>
          <cell r="B580" t="str">
            <v>ERA-2AEB1912X</v>
          </cell>
          <cell r="C580" t="str">
            <v>RES</v>
          </cell>
          <cell r="F580" t="str">
            <v>RES,SMD,19.1KOHM,0.1%,1/16W,0402</v>
          </cell>
        </row>
        <row r="581">
          <cell r="A581" t="str">
            <v>615-A00423-226</v>
          </cell>
          <cell r="B581" t="str">
            <v>ERA-2AEB2261X</v>
          </cell>
          <cell r="C581" t="str">
            <v>RES</v>
          </cell>
          <cell r="F581" t="str">
            <v>RES SMD 2.26KOHM 0.1% 1/16W 0402</v>
          </cell>
        </row>
        <row r="582">
          <cell r="A582" t="str">
            <v>615-A00422-237</v>
          </cell>
          <cell r="B582" t="str">
            <v>ERA-2AEB2370X</v>
          </cell>
          <cell r="C582" t="str">
            <v>RES</v>
          </cell>
          <cell r="F582" t="str">
            <v>RES SMD 237 OHM 0.1% 1/16W 0402</v>
          </cell>
        </row>
        <row r="583">
          <cell r="A583" t="str">
            <v>615-A00424-243</v>
          </cell>
          <cell r="B583" t="str">
            <v>ERA-2AEB2432X</v>
          </cell>
          <cell r="C583" t="str">
            <v>RES</v>
          </cell>
          <cell r="F583" t="str">
            <v>RES,SMD,24.3KOHM,0.1%,1/16W,0402</v>
          </cell>
        </row>
        <row r="584">
          <cell r="A584" t="str">
            <v>615-A00422-267</v>
          </cell>
          <cell r="B584" t="str">
            <v>ERA-2AEB2670X</v>
          </cell>
          <cell r="C584" t="str">
            <v>RES</v>
          </cell>
          <cell r="F584" t="str">
            <v>RES SMD 267 OHM 0.1% 1/16W 0402</v>
          </cell>
        </row>
        <row r="585">
          <cell r="A585" t="str">
            <v>615-303725-020</v>
          </cell>
          <cell r="B585" t="str">
            <v>ERA-2AEB271X</v>
          </cell>
          <cell r="C585" t="str">
            <v>RES</v>
          </cell>
          <cell r="F585" t="str">
            <v>RES,SMD,270,0.1%,1/16W,0402,ROHS</v>
          </cell>
        </row>
        <row r="586">
          <cell r="A586" t="str">
            <v>615-A00424-274</v>
          </cell>
          <cell r="B586" t="str">
            <v>ERA-2AEB2742X</v>
          </cell>
          <cell r="C586" t="str">
            <v>RES</v>
          </cell>
          <cell r="F586" t="str">
            <v>RES,SMD,27.4KOHM,0.1%,1/16W,0402</v>
          </cell>
        </row>
        <row r="587">
          <cell r="A587" t="str">
            <v>615-A00422-280</v>
          </cell>
          <cell r="B587" t="str">
            <v>ERA-2AEB2800X</v>
          </cell>
          <cell r="C587" t="str">
            <v>RES</v>
          </cell>
          <cell r="F587" t="str">
            <v>RES SMD 280 OHM 0.1% 1/16W 0402</v>
          </cell>
        </row>
        <row r="588">
          <cell r="A588" t="str">
            <v>615-A00424-301</v>
          </cell>
          <cell r="B588" t="str">
            <v>ERA-2AEB3012X</v>
          </cell>
          <cell r="C588" t="str">
            <v>RES</v>
          </cell>
          <cell r="F588" t="str">
            <v>RES,SMD,30.1KOHM,0.1%,1/16W,0402</v>
          </cell>
        </row>
        <row r="589">
          <cell r="A589" t="str">
            <v>615-A00423-332</v>
          </cell>
          <cell r="B589" t="str">
            <v>ERA-2AEB3321X</v>
          </cell>
          <cell r="C589" t="str">
            <v>RES</v>
          </cell>
          <cell r="F589" t="str">
            <v>RES SMD 3.32KOHM 0.1% 1/16W 0402</v>
          </cell>
        </row>
        <row r="590">
          <cell r="A590" t="str">
            <v>615-A00424-348</v>
          </cell>
          <cell r="B590" t="str">
            <v>ERA-2AEB3482X</v>
          </cell>
          <cell r="C590" t="str">
            <v>RES</v>
          </cell>
          <cell r="F590" t="str">
            <v>RES,SMD,34.8KOHM,0.1%,1/16W,0402</v>
          </cell>
        </row>
        <row r="591">
          <cell r="A591" t="str">
            <v>615-303725-084</v>
          </cell>
          <cell r="B591" t="str">
            <v>ERA-2AEB3571X</v>
          </cell>
          <cell r="C591" t="str">
            <v>RES</v>
          </cell>
          <cell r="F591" t="str">
            <v>RES,SMD,3.57K,0.1%,1/16W,0402,ROHS</v>
          </cell>
        </row>
        <row r="592">
          <cell r="A592" t="str">
            <v>615-A00422-365</v>
          </cell>
          <cell r="B592" t="str">
            <v>ERA-2AEB3650X</v>
          </cell>
          <cell r="C592" t="str">
            <v>RES</v>
          </cell>
          <cell r="F592" t="str">
            <v>RES SMD 365 OHM 0.1% 1/16W 0402</v>
          </cell>
        </row>
        <row r="593">
          <cell r="A593" t="str">
            <v>615-A00422-412</v>
          </cell>
          <cell r="B593" t="str">
            <v>ERA-2AEB4120X</v>
          </cell>
          <cell r="C593" t="str">
            <v>RES</v>
          </cell>
          <cell r="F593" t="str">
            <v>RES SMD 412 OHM 0.1% 1/16W 0402</v>
          </cell>
        </row>
        <row r="594">
          <cell r="A594" t="str">
            <v>615-A00424-412</v>
          </cell>
          <cell r="B594" t="str">
            <v>ERA-2AEB4122X</v>
          </cell>
          <cell r="C594" t="str">
            <v>RES</v>
          </cell>
          <cell r="F594" t="str">
            <v>RES,SMD,41.2KOHM,0.1%,1/16W,0402</v>
          </cell>
        </row>
        <row r="595">
          <cell r="A595" t="str">
            <v>615-A00424-464</v>
          </cell>
          <cell r="B595" t="str">
            <v>ERA-2AEB4642X</v>
          </cell>
          <cell r="C595" t="str">
            <v>RES</v>
          </cell>
          <cell r="F595" t="str">
            <v>RES,SMD,46.4KOHM,0.1%,1/16W,0402</v>
          </cell>
        </row>
        <row r="596">
          <cell r="A596" t="str">
            <v>615-A00422-499</v>
          </cell>
          <cell r="B596" t="str">
            <v>ERA-2AEB4990X</v>
          </cell>
          <cell r="C596" t="str">
            <v>RES</v>
          </cell>
          <cell r="F596" t="str">
            <v>RES SMD 499 OHM 0.1% 1/16W 0402</v>
          </cell>
        </row>
        <row r="597">
          <cell r="A597" t="str">
            <v>615-A00422-523</v>
          </cell>
          <cell r="B597" t="str">
            <v>ERA-2AEB5230X</v>
          </cell>
          <cell r="C597" t="str">
            <v>RES</v>
          </cell>
          <cell r="F597" t="str">
            <v>RES,SMD,0402,523OHM,0.1%,1/16W,ROHS</v>
          </cell>
        </row>
        <row r="598">
          <cell r="A598" t="str">
            <v>615-303725-083</v>
          </cell>
          <cell r="B598" t="str">
            <v>ERA-2AEB5901X</v>
          </cell>
          <cell r="C598" t="str">
            <v>RES</v>
          </cell>
          <cell r="F598" t="str">
            <v>RES,SMD,5.9K,0.1%,1/16W,0402,ROHS</v>
          </cell>
        </row>
        <row r="599">
          <cell r="A599" t="str">
            <v>615-A00424-604</v>
          </cell>
          <cell r="B599" t="str">
            <v>ERA-2AEB6042X</v>
          </cell>
          <cell r="C599" t="str">
            <v>RES</v>
          </cell>
          <cell r="F599" t="str">
            <v>RES,SMD,60.4KOHM,0.1%,1/16W,0402</v>
          </cell>
        </row>
        <row r="600">
          <cell r="A600" t="str">
            <v>615-A00422-681</v>
          </cell>
          <cell r="B600" t="str">
            <v>ERA-2AEB6810X</v>
          </cell>
          <cell r="C600" t="str">
            <v>RES</v>
          </cell>
          <cell r="F600" t="str">
            <v>RES SMD 681 OHM 0.1% 1/16W 0402</v>
          </cell>
        </row>
        <row r="601">
          <cell r="A601" t="str">
            <v>615-A00422-806</v>
          </cell>
          <cell r="B601" t="str">
            <v>ERA-2AEB8060X</v>
          </cell>
          <cell r="C601" t="str">
            <v>RES</v>
          </cell>
          <cell r="F601" t="str">
            <v>RES SMD 806 OHM 0.1% 1/16W 0402</v>
          </cell>
        </row>
        <row r="602">
          <cell r="A602" t="str">
            <v>615-A00422-820</v>
          </cell>
          <cell r="B602" t="str">
            <v>ERA-2AEB821X</v>
          </cell>
          <cell r="C602" t="str">
            <v>RES</v>
          </cell>
          <cell r="F602" t="str">
            <v>RES SMD 820 OHM 0.1% 1/16W 0402</v>
          </cell>
        </row>
        <row r="603">
          <cell r="A603" t="str">
            <v>615-A00424-909</v>
          </cell>
          <cell r="B603" t="str">
            <v>ERA-2AEB9092X</v>
          </cell>
          <cell r="C603" t="str">
            <v>RES</v>
          </cell>
          <cell r="F603" t="str">
            <v>RES,SMD,90.9KOHM,0.1%,1/16W,0402</v>
          </cell>
        </row>
        <row r="604">
          <cell r="A604" t="str">
            <v>615-310567-274</v>
          </cell>
          <cell r="B604" t="str">
            <v>ERA-3AEB1182V</v>
          </cell>
          <cell r="C604" t="str">
            <v>RES</v>
          </cell>
          <cell r="F604" t="str">
            <v>RES,SMD,11.8K,0.1%,1/10W,0603,ROHS</v>
          </cell>
        </row>
        <row r="605">
          <cell r="A605" t="str">
            <v>615-310567-234</v>
          </cell>
          <cell r="B605" t="str">
            <v>ERA-3AEB512V</v>
          </cell>
          <cell r="C605" t="str">
            <v>RES</v>
          </cell>
          <cell r="F605" t="str">
            <v>RES,SMD,5.1K,0.1%,1/10W,0603,ROHS</v>
          </cell>
        </row>
        <row r="606">
          <cell r="A606" t="str">
            <v>615-A13386-001</v>
          </cell>
          <cell r="B606" t="str">
            <v>ERA3VPB1502V</v>
          </cell>
          <cell r="C606" t="str">
            <v>RES</v>
          </cell>
          <cell r="F606" t="str">
            <v>RES,SMD,THIN FILM,15KOHM,15PPM,±.1%,0603</v>
          </cell>
        </row>
        <row r="607">
          <cell r="A607" t="str">
            <v>615-052826-102</v>
          </cell>
          <cell r="B607" t="str">
            <v>ERA6AEB102V</v>
          </cell>
          <cell r="C607" t="str">
            <v>RES</v>
          </cell>
          <cell r="F607" t="str">
            <v>RES,0805,0.1%,1/8W,25PPM,1K ROHS</v>
          </cell>
        </row>
        <row r="608">
          <cell r="A608" t="str">
            <v>28-366204-00</v>
          </cell>
          <cell r="B608" t="str">
            <v>ERA-6AEB104V</v>
          </cell>
          <cell r="C608" t="str">
            <v>RES</v>
          </cell>
          <cell r="F608" t="str">
            <v>RES,MF,100K,1/8W,0.1%,SMD 0805</v>
          </cell>
        </row>
        <row r="609">
          <cell r="A609" t="str">
            <v>615-162861-275</v>
          </cell>
          <cell r="B609" t="str">
            <v>ERA-6AEB123V</v>
          </cell>
          <cell r="C609" t="str">
            <v>RES</v>
          </cell>
          <cell r="F609" t="str">
            <v>RES,0805,TF,1/8W,0.1%,25PPM,12K ROHS</v>
          </cell>
        </row>
        <row r="610">
          <cell r="A610" t="str">
            <v>615-162861-285</v>
          </cell>
          <cell r="B610" t="str">
            <v>ERA-6AEB153V</v>
          </cell>
          <cell r="C610" t="str">
            <v>RES</v>
          </cell>
          <cell r="F610" t="str">
            <v>RES,0805,TF,1/8W,0.1%,25PPM,15K ROHS</v>
          </cell>
        </row>
        <row r="611">
          <cell r="A611" t="str">
            <v>615-052828-150</v>
          </cell>
          <cell r="B611" t="str">
            <v>ERA6AEB154</v>
          </cell>
          <cell r="C611" t="str">
            <v>RES</v>
          </cell>
          <cell r="F611" t="str">
            <v>RES,SMD,0805,MF,1/8W,0.1%,150K ROHS</v>
          </cell>
        </row>
        <row r="612">
          <cell r="A612" t="str">
            <v>615-052825-220</v>
          </cell>
          <cell r="B612" t="str">
            <v>ERA-6AEB221V</v>
          </cell>
          <cell r="C612" t="str">
            <v>RES</v>
          </cell>
          <cell r="F612" t="str">
            <v>RES,SMD,0805,MF,1/10W,0.1%,220,ROHS</v>
          </cell>
        </row>
        <row r="613">
          <cell r="A613" t="str">
            <v>615-162861-079</v>
          </cell>
          <cell r="B613" t="str">
            <v>ERA-6AEB2370V</v>
          </cell>
          <cell r="C613" t="str">
            <v>RES</v>
          </cell>
          <cell r="F613" t="str">
            <v>RES,0805,TF,1/8W,0.1%,25PPM,237 ROHS</v>
          </cell>
        </row>
        <row r="614">
          <cell r="A614" t="str">
            <v>615-162861-080</v>
          </cell>
          <cell r="B614" t="str">
            <v>ERA-6AEB241V</v>
          </cell>
          <cell r="C614" t="str">
            <v>RES</v>
          </cell>
          <cell r="F614" t="str">
            <v>RES,0805,TF,1/8W,0.1%,25PPM,240 ROHS</v>
          </cell>
        </row>
        <row r="615">
          <cell r="A615" t="str">
            <v>615-052828-390</v>
          </cell>
          <cell r="B615" t="str">
            <v>ERA-6AEB394V</v>
          </cell>
          <cell r="C615" t="str">
            <v>RES</v>
          </cell>
          <cell r="F615" t="str">
            <v>RES,SMD,0805,MF,1/8W,0.1%,390K ROHS</v>
          </cell>
        </row>
        <row r="616">
          <cell r="A616" t="str">
            <v>615-052828-390</v>
          </cell>
          <cell r="B616" t="str">
            <v>ERA6AEB394</v>
          </cell>
          <cell r="C616" t="str">
            <v>RES</v>
          </cell>
          <cell r="F616" t="str">
            <v>RES,SMD,0805,MF,1/8W,0.1%,390K ROHS</v>
          </cell>
        </row>
        <row r="617">
          <cell r="A617" t="str">
            <v>615-052826-472</v>
          </cell>
          <cell r="B617" t="str">
            <v>ERA6AEB472V</v>
          </cell>
          <cell r="C617" t="str">
            <v>RES</v>
          </cell>
          <cell r="F617" t="str">
            <v>RES,0805,0.1%,1/8W,25PPM,4.7K ROHS</v>
          </cell>
        </row>
        <row r="618">
          <cell r="A618" t="str">
            <v>615-162861-118</v>
          </cell>
          <cell r="B618" t="str">
            <v>ERA-6AEB4990V</v>
          </cell>
          <cell r="C618" t="str">
            <v>RES</v>
          </cell>
          <cell r="F618" t="str">
            <v>RES,0805,TF,1/8W,0.1%,25PPM,499 ROHS</v>
          </cell>
        </row>
        <row r="619">
          <cell r="A619" t="str">
            <v>615-064170-536</v>
          </cell>
          <cell r="B619" t="str">
            <v>ERA6AEB5361V</v>
          </cell>
          <cell r="C619" t="str">
            <v>RES</v>
          </cell>
          <cell r="F619" t="str">
            <v>RES,SMD,0805,RG,MF,0.1%,1/10W,5.36K</v>
          </cell>
        </row>
        <row r="620">
          <cell r="A620" t="str">
            <v>615-052828-056</v>
          </cell>
          <cell r="B620" t="str">
            <v>ERA-6AEB563V</v>
          </cell>
          <cell r="C620" t="str">
            <v>RES</v>
          </cell>
          <cell r="F620" t="str">
            <v>RES,SMD,0805,MF,1/8W,0.1%,56K ROHS</v>
          </cell>
        </row>
        <row r="621">
          <cell r="A621" t="str">
            <v>615-052828-680</v>
          </cell>
          <cell r="B621" t="str">
            <v>ERA6AEB684</v>
          </cell>
          <cell r="C621" t="str">
            <v>RES</v>
          </cell>
          <cell r="F621" t="str">
            <v>RES,SMD,0805,MF,1/8W,0.1%,680K,ROHS</v>
          </cell>
        </row>
        <row r="622">
          <cell r="A622" t="str">
            <v>615-052826-752</v>
          </cell>
          <cell r="B622" t="str">
            <v>ERA-6AEB752V</v>
          </cell>
          <cell r="C622" t="str">
            <v>RES</v>
          </cell>
          <cell r="F622" t="str">
            <v>RES,0805,0.1%,1/8W,25PPM,7.5K ROHS</v>
          </cell>
        </row>
        <row r="623">
          <cell r="A623" t="str">
            <v>615-252481-033</v>
          </cell>
          <cell r="B623" t="str">
            <v>ERA-8AEB101V</v>
          </cell>
          <cell r="C623" t="str">
            <v>RES</v>
          </cell>
          <cell r="F623" t="str">
            <v>RES,SMD,100,0.1%,1/4W,1206,ROHS</v>
          </cell>
        </row>
        <row r="624">
          <cell r="A624" t="str">
            <v>615-080145-117</v>
          </cell>
          <cell r="B624" t="str">
            <v>ERA-8AEB4023V</v>
          </cell>
          <cell r="C624" t="str">
            <v>RES</v>
          </cell>
          <cell r="F624" t="str">
            <v>RES,1206,TF,0.1%,25 PPM,402K ROHS</v>
          </cell>
        </row>
        <row r="625">
          <cell r="A625" t="str">
            <v>615-252481-096</v>
          </cell>
          <cell r="B625" t="str">
            <v>ERA-8AEB4530V</v>
          </cell>
          <cell r="C625" t="str">
            <v>RES</v>
          </cell>
          <cell r="F625" t="str">
            <v>RES,SMD,453,0.1%,1/4W,1206,ROHS</v>
          </cell>
        </row>
        <row r="626">
          <cell r="A626" t="str">
            <v>615-312994-195</v>
          </cell>
          <cell r="B626" t="str">
            <v>ERJ-1GNF4990C</v>
          </cell>
          <cell r="C626" t="str">
            <v>RES</v>
          </cell>
          <cell r="F626" t="str">
            <v>RES,SMD,499,1%,1/20W,0201</v>
          </cell>
        </row>
        <row r="627">
          <cell r="A627" t="str">
            <v>615-312994-316</v>
          </cell>
          <cell r="B627" t="str">
            <v>ERJ-1GNF5761C</v>
          </cell>
          <cell r="C627" t="str">
            <v>RES</v>
          </cell>
          <cell r="F627" t="str">
            <v>RES,SMD,5.76K,1%,1/20W,0201</v>
          </cell>
        </row>
        <row r="628">
          <cell r="A628" t="str">
            <v>615-255080-036</v>
          </cell>
          <cell r="B628" t="str">
            <v>ERJ1TRQFR36U</v>
          </cell>
          <cell r="C628" t="str">
            <v>RES</v>
          </cell>
          <cell r="F628" t="str">
            <v>RES,SMD,1W,+/-1%TOL,0.36OHM,THK FILM</v>
          </cell>
        </row>
        <row r="629">
          <cell r="A629" t="str">
            <v>615-255080-043</v>
          </cell>
          <cell r="B629" t="str">
            <v>ERJ1TRQFR43U</v>
          </cell>
          <cell r="C629" t="str">
            <v>RES</v>
          </cell>
          <cell r="F629" t="str">
            <v>RES,SMD,1W,+/-1%TOL,0.43OHM,THK FILM</v>
          </cell>
        </row>
        <row r="630">
          <cell r="A630" t="str">
            <v>615-255080-056</v>
          </cell>
          <cell r="B630" t="str">
            <v>ERJ-1TRQFR56U</v>
          </cell>
          <cell r="C630" t="str">
            <v>RES</v>
          </cell>
          <cell r="F630" t="str">
            <v>RES,SMD,1W,+/-1%TOL,0.56OHM,THK FILM</v>
          </cell>
        </row>
        <row r="631">
          <cell r="A631" t="str">
            <v>615-121726-042</v>
          </cell>
          <cell r="B631" t="str">
            <v>ERJ-2RKF1201X</v>
          </cell>
          <cell r="C631" t="str">
            <v>RES</v>
          </cell>
          <cell r="F631" t="str">
            <v>RES,SMD,1.2K,1/10W,1%,0402</v>
          </cell>
        </row>
        <row r="632">
          <cell r="A632" t="str">
            <v>615-121726-050</v>
          </cell>
          <cell r="B632" t="str">
            <v>ERJ-2RKF1501X</v>
          </cell>
          <cell r="C632" t="str">
            <v>RES</v>
          </cell>
          <cell r="F632" t="str">
            <v>RES,SMD,1.5K,1/10W,1%,0402</v>
          </cell>
        </row>
        <row r="633">
          <cell r="A633" t="str">
            <v>615-121726-073</v>
          </cell>
          <cell r="B633" t="str">
            <v>ERJ-2RKF1502X</v>
          </cell>
          <cell r="C633" t="str">
            <v>RES</v>
          </cell>
          <cell r="F633" t="str">
            <v>RES,SMD,15K,1/10W,1%,0402</v>
          </cell>
        </row>
        <row r="634">
          <cell r="A634" t="str">
            <v>615-121726-161</v>
          </cell>
          <cell r="B634" t="str">
            <v>ERJ-2RKF1600X</v>
          </cell>
          <cell r="C634" t="str">
            <v>RES</v>
          </cell>
          <cell r="F634" t="str">
            <v>RES,SMD,1/10W,1%,0402</v>
          </cell>
        </row>
        <row r="635">
          <cell r="A635" t="str">
            <v>615-121726-008</v>
          </cell>
          <cell r="B635" t="str">
            <v>ERJ-2RKF20R0X</v>
          </cell>
          <cell r="C635" t="str">
            <v>RES</v>
          </cell>
          <cell r="F635" t="str">
            <v>RES,SMD,20 OHM,1/10W,1%,0402</v>
          </cell>
        </row>
        <row r="636">
          <cell r="A636" t="str">
            <v>615-121726-069</v>
          </cell>
          <cell r="B636" t="str">
            <v>ERJ-2RKF2703X</v>
          </cell>
          <cell r="C636" t="str">
            <v>RES</v>
          </cell>
          <cell r="F636" t="str">
            <v>RES,SMD,270K,1/10W,1%,0402</v>
          </cell>
        </row>
        <row r="637">
          <cell r="A637" t="str">
            <v>615-121726-322</v>
          </cell>
          <cell r="B637" t="str">
            <v>ERJ-2RKF3241X</v>
          </cell>
          <cell r="C637" t="str">
            <v>RES</v>
          </cell>
          <cell r="F637" t="str">
            <v>RES,SMD,3.24K,1/10W,1%,0402</v>
          </cell>
        </row>
        <row r="638">
          <cell r="A638" t="str">
            <v>615-121726-033</v>
          </cell>
          <cell r="B638" t="str">
            <v>ERJ-2RKF33R0X</v>
          </cell>
          <cell r="C638" t="str">
            <v>RES</v>
          </cell>
          <cell r="F638" t="str">
            <v>RES,SMD,33 OHM,1/10W,1%,0402</v>
          </cell>
        </row>
        <row r="639">
          <cell r="A639" t="str">
            <v>615-121726-059</v>
          </cell>
          <cell r="B639" t="str">
            <v>ERJ-2RKF3901X</v>
          </cell>
          <cell r="C639" t="str">
            <v>RES</v>
          </cell>
          <cell r="F639" t="str">
            <v>RES,SMD,3.9K,1/10W,1%,0402</v>
          </cell>
        </row>
        <row r="640">
          <cell r="A640" t="str">
            <v>615-121726-432</v>
          </cell>
          <cell r="B640" t="str">
            <v>ERJ-2RKF4323X</v>
          </cell>
          <cell r="C640" t="str">
            <v>RES</v>
          </cell>
          <cell r="F640" t="str">
            <v>RES,SMD,432K,1/10W,1%,0402</v>
          </cell>
        </row>
        <row r="641">
          <cell r="A641" t="str">
            <v>615-121726-121</v>
          </cell>
          <cell r="B641" t="str">
            <v>ERJ-2RKF4422X</v>
          </cell>
          <cell r="C641" t="str">
            <v>RES</v>
          </cell>
          <cell r="F641" t="str">
            <v>RES,SMD,44.2K,1/10W,1%,0402</v>
          </cell>
        </row>
        <row r="642">
          <cell r="A642" t="str">
            <v>615-121726-214</v>
          </cell>
          <cell r="B642" t="str">
            <v>ERJ-2RKF4873X</v>
          </cell>
          <cell r="C642" t="str">
            <v>RES</v>
          </cell>
          <cell r="F642" t="str">
            <v>RES,SMD,487K OHM,1/10W,1%,0402</v>
          </cell>
        </row>
        <row r="643">
          <cell r="A643" t="str">
            <v>615-121726-086</v>
          </cell>
          <cell r="B643" t="str">
            <v>ERJ-2RKF5102X</v>
          </cell>
          <cell r="C643" t="str">
            <v>RES</v>
          </cell>
          <cell r="F643" t="str">
            <v>RES,SMD,51K,1/10W,1%,0402</v>
          </cell>
        </row>
        <row r="644">
          <cell r="A644" t="str">
            <v>615-121726-207</v>
          </cell>
          <cell r="B644" t="str">
            <v>ERJ-2RKF5491X</v>
          </cell>
          <cell r="C644" t="str">
            <v>RES</v>
          </cell>
          <cell r="F644" t="str">
            <v>RES,SMD,5.49K,1/10W,1%,0402</v>
          </cell>
        </row>
        <row r="645">
          <cell r="A645" t="str">
            <v>615-121726-216</v>
          </cell>
          <cell r="B645" t="str">
            <v>ERJ-2RKF6042X</v>
          </cell>
          <cell r="C645" t="str">
            <v>RES</v>
          </cell>
          <cell r="F645" t="str">
            <v>RES,SMD,60.4K OHM,1/10W,1%,0402</v>
          </cell>
        </row>
        <row r="646">
          <cell r="A646" t="str">
            <v>615-068562-100</v>
          </cell>
          <cell r="B646" t="str">
            <v>ERJ-3EKF1004V</v>
          </cell>
          <cell r="C646" t="str">
            <v>RES</v>
          </cell>
          <cell r="F646" t="str">
            <v>RES,0603,THKF,1%,1/10W,100PPM,1M ROHS</v>
          </cell>
        </row>
        <row r="647">
          <cell r="A647" t="str">
            <v>615-068559-200</v>
          </cell>
          <cell r="B647" t="str">
            <v>ERJ3EKF2001V</v>
          </cell>
          <cell r="C647" t="str">
            <v>RES</v>
          </cell>
          <cell r="F647" t="str">
            <v>RES,0603,THKF,1%,1/10W,100PPM,2K ROHS</v>
          </cell>
        </row>
        <row r="648">
          <cell r="A648" t="str">
            <v>615-068559-324</v>
          </cell>
          <cell r="B648" t="str">
            <v>ERJ3EKF3241V</v>
          </cell>
          <cell r="C648" t="str">
            <v>RES</v>
          </cell>
          <cell r="F648" t="str">
            <v>RES,SMD,THKF,1%,1/10W,100PPM,3.24K,ROHS</v>
          </cell>
        </row>
        <row r="649">
          <cell r="A649" t="str">
            <v>615-068558-365</v>
          </cell>
          <cell r="B649" t="str">
            <v>ERJ-3EKF3650V</v>
          </cell>
          <cell r="C649" t="str">
            <v>RES</v>
          </cell>
          <cell r="F649" t="str">
            <v>RES,0603,THKF,1%,1/10W,100PPM,365 ROHS</v>
          </cell>
        </row>
        <row r="650">
          <cell r="A650" t="str">
            <v>615-068559-412</v>
          </cell>
          <cell r="B650" t="str">
            <v>ERJ3EKF4121V</v>
          </cell>
          <cell r="C650" t="str">
            <v>RES</v>
          </cell>
          <cell r="F650" t="str">
            <v>RES,0603,THKF,1%,1/10W,100PPM,4.12K ROHS</v>
          </cell>
        </row>
        <row r="651">
          <cell r="A651" t="str">
            <v>615-255712-047</v>
          </cell>
          <cell r="B651" t="str">
            <v>ERJ-3EKF4701V</v>
          </cell>
          <cell r="C651" t="str">
            <v>RES</v>
          </cell>
          <cell r="D651" t="str">
            <v>FF</v>
          </cell>
          <cell r="F651" t="str">
            <v>RES,SMD,1%TOL,0.1W,±100PPM,4.7KOHM,0603</v>
          </cell>
        </row>
        <row r="652">
          <cell r="A652" t="str">
            <v>615-255712-047</v>
          </cell>
          <cell r="B652" t="str">
            <v>ERJ-3EKF4701</v>
          </cell>
          <cell r="C652" t="str">
            <v>RES</v>
          </cell>
          <cell r="D652" t="str">
            <v>FF</v>
          </cell>
          <cell r="F652" t="str">
            <v>RES,SMD,1%TOL,0.1W,±100PPM,4.7KOHM,0603</v>
          </cell>
        </row>
        <row r="653">
          <cell r="A653" t="str">
            <v>615-068560-499</v>
          </cell>
          <cell r="B653" t="str">
            <v>ERJ3EKF4992V</v>
          </cell>
          <cell r="C653" t="str">
            <v>RES</v>
          </cell>
          <cell r="F653" t="str">
            <v>RES,0603,THKF,1%,1/10W,100PPM,49.9K ROHS</v>
          </cell>
        </row>
        <row r="654">
          <cell r="A654" t="str">
            <v>28-390234-00</v>
          </cell>
          <cell r="B654" t="str">
            <v>ERJ-6ENF1000V</v>
          </cell>
          <cell r="C654" t="str">
            <v>RES</v>
          </cell>
          <cell r="F654" t="str">
            <v>RES,THICK FILM,100 OHM,1/8W,1%,150V,SMT</v>
          </cell>
        </row>
        <row r="655">
          <cell r="A655" t="str">
            <v>615-041926-103</v>
          </cell>
          <cell r="B655" t="str">
            <v>ERJ6ENF1002V</v>
          </cell>
          <cell r="C655" t="str">
            <v>RES</v>
          </cell>
          <cell r="F655" t="str">
            <v>RES,SMD,0805,TF,1%,1/8W,10K,ROHS</v>
          </cell>
        </row>
        <row r="656">
          <cell r="A656" t="str">
            <v>615-325897-001</v>
          </cell>
          <cell r="B656" t="str">
            <v>ERJ-6ENF10R0V</v>
          </cell>
          <cell r="C656" t="str">
            <v>RES</v>
          </cell>
          <cell r="F656" t="str">
            <v>RES,SMD,0805,10OHM,±1%,1/8W,THK FILM</v>
          </cell>
        </row>
        <row r="657">
          <cell r="A657" t="str">
            <v>615-055213-470</v>
          </cell>
          <cell r="B657" t="str">
            <v>ERJ-6ENF4701V</v>
          </cell>
          <cell r="C657" t="str">
            <v>RES</v>
          </cell>
          <cell r="F657" t="str">
            <v>RES,SMD,TF,0805,4.70K OHM 1%,1/8W,ROHS</v>
          </cell>
        </row>
        <row r="658">
          <cell r="A658" t="str">
            <v>615-323023-010</v>
          </cell>
          <cell r="B658" t="str">
            <v>ERJ-8BQFR51V</v>
          </cell>
          <cell r="C658" t="str">
            <v>RES</v>
          </cell>
          <cell r="F658" t="str">
            <v>RES,SMD,0.5W,1%,0.510,1206,ROHS</v>
          </cell>
        </row>
        <row r="659">
          <cell r="A659" t="str">
            <v>615-323023-001</v>
          </cell>
          <cell r="B659" t="str">
            <v>ERJ-8BSFR16V</v>
          </cell>
          <cell r="C659" t="str">
            <v>RES</v>
          </cell>
          <cell r="F659" t="str">
            <v>RES,SMD,0.5W,1%,0.160,1206,ROHS</v>
          </cell>
        </row>
        <row r="660">
          <cell r="A660" t="str">
            <v>615-302942-005</v>
          </cell>
          <cell r="B660" t="str">
            <v>ERJ-PA3F6801V</v>
          </cell>
          <cell r="C660" t="str">
            <v>RES</v>
          </cell>
          <cell r="F660" t="str">
            <v>RES,SMD,6.8K OHM,TOL 1%,0603,0.25W</v>
          </cell>
        </row>
        <row r="661">
          <cell r="A661" t="str">
            <v>615-A79074-003</v>
          </cell>
          <cell r="B661" t="str">
            <v>ERJ-PB6D2701V</v>
          </cell>
          <cell r="C661" t="str">
            <v>RES</v>
          </cell>
          <cell r="F661" t="str">
            <v>RES,SMD,THK FILM,2.7KOHM,0.5%,1/4W,0805</v>
          </cell>
        </row>
        <row r="662">
          <cell r="A662" t="str">
            <v>615-B08197-001</v>
          </cell>
          <cell r="B662" t="str">
            <v>ERJUP3F2003V</v>
          </cell>
          <cell r="C662" t="str">
            <v>RES</v>
          </cell>
          <cell r="F662" t="str">
            <v>RES,SMD,THK FILM,200K OHM,1%,0.25W,0603</v>
          </cell>
        </row>
        <row r="663">
          <cell r="A663" t="str">
            <v>609-283113-001</v>
          </cell>
          <cell r="B663" t="str">
            <v>ESD7551N2T5G</v>
          </cell>
          <cell r="C663" t="str">
            <v>DIO</v>
          </cell>
          <cell r="F663" t="str">
            <v>DIO,SMD,3.3V,ESD CLAMP</v>
          </cell>
        </row>
        <row r="664">
          <cell r="A664" t="str">
            <v>615-A14987-002</v>
          </cell>
          <cell r="B664" t="str">
            <v>ESR03EZPF1004</v>
          </cell>
          <cell r="C664" t="str">
            <v>RES</v>
          </cell>
          <cell r="F664" t="str">
            <v>RES,SMD,1M OHM,±1%,1/4W,100PPM,0603</v>
          </cell>
        </row>
        <row r="665">
          <cell r="A665" t="str">
            <v>615-A14987-003</v>
          </cell>
          <cell r="B665" t="str">
            <v>ESR03EZPF2002</v>
          </cell>
          <cell r="C665" t="str">
            <v>RES</v>
          </cell>
          <cell r="F665" t="str">
            <v>RES,SMD,20K OHM,1%,1/4W,100PPM,0603</v>
          </cell>
        </row>
        <row r="666">
          <cell r="A666" t="str">
            <v>615-A14987-004</v>
          </cell>
          <cell r="B666" t="str">
            <v>ESR03EZPF7502</v>
          </cell>
          <cell r="C666" t="str">
            <v>RES</v>
          </cell>
          <cell r="F666" t="str">
            <v>RES,SMD,75K OHM,+/-1%,1/4W,100PPM,0603</v>
          </cell>
        </row>
        <row r="667">
          <cell r="A667" t="str">
            <v>668-B14839-001</v>
          </cell>
          <cell r="B667" t="str">
            <v>ESW-120-23-G-D</v>
          </cell>
          <cell r="C667" t="str">
            <v>CONN</v>
          </cell>
          <cell r="F667" t="str">
            <v>CONN,SKT,STP,40POSN,2ROW,2.54MM PITCH,TH</v>
          </cell>
        </row>
        <row r="668">
          <cell r="A668" t="str">
            <v>31-129331-00</v>
          </cell>
          <cell r="B668" t="str">
            <v>FC4016D/AA</v>
          </cell>
          <cell r="C668" t="str">
            <v>CONT</v>
          </cell>
          <cell r="F668" t="str">
            <v>CONTACT,D-PWR,FEM,16AWG</v>
          </cell>
        </row>
        <row r="669">
          <cell r="A669" t="str">
            <v>626-A76438-001</v>
          </cell>
          <cell r="B669" t="str">
            <v>FDD8453LZ</v>
          </cell>
          <cell r="C669" t="str">
            <v>XSTR</v>
          </cell>
          <cell r="F669" t="str">
            <v>XSTR,SMD,FIELD EFT,N-CHAN,40V,50A,D-PAK</v>
          </cell>
        </row>
        <row r="670">
          <cell r="A670" t="str">
            <v>630-A79567-001</v>
          </cell>
          <cell r="B670" t="str">
            <v>FDMF2011</v>
          </cell>
          <cell r="C670" t="str">
            <v>IC</v>
          </cell>
          <cell r="F670" t="str">
            <v>IC,SMD,PWR MDL,100V,20A,200KHZ,PQFN36</v>
          </cell>
        </row>
        <row r="671">
          <cell r="A671" t="str">
            <v>626-345771-001</v>
          </cell>
          <cell r="B671" t="str">
            <v>FDMS8460</v>
          </cell>
          <cell r="C671" t="str">
            <v>XSTR</v>
          </cell>
          <cell r="F671" t="str">
            <v>XSTR,SMD,FIELD EFT,N-CH,40V,49A,2.2M OHM</v>
          </cell>
        </row>
        <row r="672">
          <cell r="A672" t="str">
            <v>626-291284-001</v>
          </cell>
          <cell r="B672" t="str">
            <v>FDMS86152</v>
          </cell>
          <cell r="C672" t="str">
            <v>XSTR</v>
          </cell>
          <cell r="F672" t="str">
            <v>XSTR,SMD,FIELD EFT,N CHAN,100V,45A</v>
          </cell>
        </row>
        <row r="673">
          <cell r="A673" t="str">
            <v>670-037698-039</v>
          </cell>
          <cell r="B673" t="str">
            <v>FNQ-R12</v>
          </cell>
          <cell r="C673" t="str">
            <v>FUSE</v>
          </cell>
          <cell r="D673" t="str">
            <v>AC Box</v>
          </cell>
          <cell r="F673" t="str">
            <v>FUSE,CLASS CC,600V,TIME DLY,12 AMP</v>
          </cell>
        </row>
        <row r="674">
          <cell r="A674" t="str">
            <v>670-037698-040</v>
          </cell>
          <cell r="B674" t="str">
            <v>FNQ-R-15</v>
          </cell>
          <cell r="C674" t="str">
            <v>FUSE</v>
          </cell>
          <cell r="F674" t="str">
            <v>FUSE,CLASS CC,600V,TIME DLY,15 AMP</v>
          </cell>
        </row>
        <row r="675">
          <cell r="A675" t="str">
            <v>609-A71211-001</v>
          </cell>
          <cell r="B675" t="str">
            <v>FSV15120V</v>
          </cell>
          <cell r="C675" t="str">
            <v>DIO</v>
          </cell>
          <cell r="F675" t="str">
            <v>DIO,SMD,SCHOTTKY,790MV,15A,TO-277-3</v>
          </cell>
        </row>
        <row r="676">
          <cell r="A676" t="str">
            <v>609-A71211-001</v>
          </cell>
          <cell r="B676" t="str">
            <v>FSV1550V</v>
          </cell>
          <cell r="C676" t="str">
            <v>DIO</v>
          </cell>
          <cell r="F676" t="str">
            <v>DIO,SMD,SCHOTTKY,790MV,15A,TO-277-3</v>
          </cell>
        </row>
        <row r="677">
          <cell r="A677" t="str">
            <v>630-121758-001</v>
          </cell>
          <cell r="B677" t="str">
            <v>FT2232HL-REEL</v>
          </cell>
          <cell r="C677" t="str">
            <v>IC</v>
          </cell>
          <cell r="F677" t="str">
            <v>IC,SMD,USB,HS,DUAL UART/FIFO,64-LQFP</v>
          </cell>
        </row>
        <row r="678">
          <cell r="A678" t="str">
            <v>630-121758-001</v>
          </cell>
          <cell r="B678" t="str">
            <v>FT2232HL</v>
          </cell>
          <cell r="C678" t="str">
            <v>IC</v>
          </cell>
          <cell r="F678" t="str">
            <v>IC,SMD,USB,HS,DUAL UART/FIFO,64-LQFP</v>
          </cell>
        </row>
        <row r="679">
          <cell r="A679" t="str">
            <v>630-A42470-001</v>
          </cell>
          <cell r="B679" t="str">
            <v>FXWA9306L8X</v>
          </cell>
          <cell r="C679" t="str">
            <v>IC</v>
          </cell>
          <cell r="F679" t="str">
            <v>IC,SMD,V LVL TRANSLATOR,2CHAN,I2C,BI-DIR</v>
          </cell>
        </row>
        <row r="680">
          <cell r="A680" t="str">
            <v>644-A41296-024</v>
          </cell>
          <cell r="B680" t="str">
            <v>G2RL-1-DC24</v>
          </cell>
          <cell r="C680" t="str">
            <v>RLY</v>
          </cell>
          <cell r="F680" t="str">
            <v>RLY,PWR,1POLE,SPDT,24VDC,12A,FLUX PROT</v>
          </cell>
        </row>
        <row r="681">
          <cell r="A681" t="str">
            <v>644-A41296-024</v>
          </cell>
          <cell r="B681" t="str">
            <v>G2RL-1-HADC24</v>
          </cell>
          <cell r="C681" t="str">
            <v>RLY</v>
          </cell>
          <cell r="F681" t="str">
            <v>RLY,PWR,1POLE,SPDT,24VDC,12A,FLUX PROT</v>
          </cell>
        </row>
        <row r="682">
          <cell r="A682" t="str">
            <v>644-173006-001</v>
          </cell>
          <cell r="B682" t="str">
            <v>G2RL-24DC24</v>
          </cell>
          <cell r="C682" t="str">
            <v>RLY</v>
          </cell>
          <cell r="E682" t="str">
            <v>AR10</v>
          </cell>
          <cell r="F682" t="str">
            <v>RLY,PC MOUNT,DPDT,24VCOIL,8A,300VDC</v>
          </cell>
        </row>
        <row r="683">
          <cell r="A683" t="str">
            <v>644-041045-001</v>
          </cell>
          <cell r="B683" t="str">
            <v>G5V-1-DC24</v>
          </cell>
          <cell r="C683" t="str">
            <v>RLY</v>
          </cell>
          <cell r="F683" t="str">
            <v>RLY,SPDT,24VDC,150MW,PCB MT</v>
          </cell>
        </row>
        <row r="684">
          <cell r="A684" t="str">
            <v>34-148402-00</v>
          </cell>
          <cell r="B684" t="str">
            <v>G6D-1A-ASI-DC24</v>
          </cell>
          <cell r="C684" t="str">
            <v>RLY</v>
          </cell>
          <cell r="F684" t="str">
            <v>RELAY,SPST,24VDC,PWR PCB,OMRON</v>
          </cell>
        </row>
        <row r="685">
          <cell r="A685" t="str">
            <v>648-B08032-001</v>
          </cell>
          <cell r="B685" t="str">
            <v>GCM1555C1H681FA16D</v>
          </cell>
          <cell r="C685" t="str">
            <v>CAP</v>
          </cell>
          <cell r="F685" t="str">
            <v>CAP,SMD,CER,680PF,+/-1%,50V,C0G,0402</v>
          </cell>
        </row>
        <row r="686">
          <cell r="A686" t="str">
            <v>648-A80876-202</v>
          </cell>
          <cell r="B686" t="str">
            <v>GCM1885C1H202FA16J</v>
          </cell>
          <cell r="C686" t="str">
            <v>CAP</v>
          </cell>
          <cell r="F686" t="str">
            <v>CAP,SMD,CER,2000PF,+/-1%,50V,C0G,0603</v>
          </cell>
        </row>
        <row r="687">
          <cell r="A687" t="str">
            <v>648-A80876-332</v>
          </cell>
          <cell r="B687" t="str">
            <v>GCM1885C1H332FA16D</v>
          </cell>
          <cell r="C687" t="str">
            <v>CAP</v>
          </cell>
          <cell r="F687" t="str">
            <v>CAP,SMD,CER,3300PF,+/-1%,50V,C0G,0603</v>
          </cell>
        </row>
        <row r="688">
          <cell r="A688" t="str">
            <v>648-A80876-392</v>
          </cell>
          <cell r="B688" t="str">
            <v>GCM1885C1H392FA16J</v>
          </cell>
          <cell r="C688" t="str">
            <v>CAP</v>
          </cell>
          <cell r="F688" t="str">
            <v>CAP,SMD,CER,3900PF,+/-1%,50V,C0G,0603</v>
          </cell>
        </row>
        <row r="689">
          <cell r="A689" t="str">
            <v>648-A80876-392</v>
          </cell>
          <cell r="B689" t="str">
            <v>GCM1885C1H392FA16D</v>
          </cell>
          <cell r="C689" t="str">
            <v>CAP</v>
          </cell>
          <cell r="F689" t="str">
            <v>CAP,SMD,CER,3900PF,+/-1%,50V,C0G,0603</v>
          </cell>
        </row>
        <row r="690">
          <cell r="A690" t="str">
            <v>668-099502-006</v>
          </cell>
          <cell r="B690" t="str">
            <v>GDCX-PA-66-50</v>
          </cell>
          <cell r="C690" t="str">
            <v>CONN</v>
          </cell>
          <cell r="F690" t="str">
            <v>CONN,MDLR JK,6P6,RJ11,VERT</v>
          </cell>
        </row>
        <row r="691">
          <cell r="A691" t="str">
            <v>648-124321-333</v>
          </cell>
          <cell r="B691" t="str">
            <v>GMC04X7R333K50NT</v>
          </cell>
          <cell r="C691" t="str">
            <v>CAP</v>
          </cell>
          <cell r="F691" t="str">
            <v>CAP,SMD,0402,CER,X7R,10%,50V,33NF ROHS</v>
          </cell>
        </row>
        <row r="692">
          <cell r="A692" t="str">
            <v>648-A42571-001</v>
          </cell>
          <cell r="B692" t="str">
            <v>GMC04X7R474K10NT</v>
          </cell>
          <cell r="C692" t="str">
            <v>CAP</v>
          </cell>
          <cell r="F692" t="str">
            <v>CAP,SMD,CER,0.47UF,±10%,10VDC,X7R,0402</v>
          </cell>
        </row>
        <row r="693">
          <cell r="A693" t="str">
            <v>648-124321-681</v>
          </cell>
          <cell r="B693" t="str">
            <v>GMC04X7R681K50NT</v>
          </cell>
          <cell r="C693" t="str">
            <v>CAP</v>
          </cell>
          <cell r="F693" t="str">
            <v>CAP,SMD,0402,CER,X7R,10%,50V,680PF ROHS</v>
          </cell>
        </row>
        <row r="694">
          <cell r="A694" t="str">
            <v>648-A42433-330</v>
          </cell>
          <cell r="B694" t="str">
            <v>GMC10CG330F100NT</v>
          </cell>
          <cell r="C694" t="str">
            <v>CAP</v>
          </cell>
          <cell r="F694" t="str">
            <v>CAP,SMD,CER,33PF,±1%,100V,C0G,0603</v>
          </cell>
        </row>
        <row r="695">
          <cell r="A695" t="str">
            <v>648-082229-151</v>
          </cell>
          <cell r="B695" t="str">
            <v>GMC21CG151J100NT</v>
          </cell>
          <cell r="C695" t="str">
            <v>CAP</v>
          </cell>
          <cell r="F695" t="str">
            <v>CAP,SMD,0805,COG,5%,100V,150PF ROHS</v>
          </cell>
        </row>
        <row r="696">
          <cell r="A696" t="str">
            <v>648-325822-007</v>
          </cell>
          <cell r="B696" t="str">
            <v>GMC21CG820F50NT</v>
          </cell>
          <cell r="C696" t="str">
            <v>CAP</v>
          </cell>
          <cell r="F696" t="str">
            <v>CAP,SMD,CER,82PF,1% TOL,50V,C0G,0805</v>
          </cell>
        </row>
        <row r="697">
          <cell r="A697" t="str">
            <v>648-B08025-001</v>
          </cell>
          <cell r="B697" t="str">
            <v>GQM1875G2E100JB12D</v>
          </cell>
          <cell r="C697" t="str">
            <v>CAP</v>
          </cell>
          <cell r="F697" t="str">
            <v>CAP,SMD,CER,10PF,+/-5%TOL,250V,X8G,0603</v>
          </cell>
        </row>
        <row r="698">
          <cell r="A698" t="str">
            <v>668-244954-004</v>
          </cell>
          <cell r="B698" t="str">
            <v>GRF1-J-P-08-E-RA-TH1-E</v>
          </cell>
          <cell r="C698" t="str">
            <v>CONN</v>
          </cell>
          <cell r="F698" t="str">
            <v>CONN,RA,JACK,RF,8POS</v>
          </cell>
        </row>
        <row r="699">
          <cell r="A699" t="str">
            <v>648-228694-005</v>
          </cell>
          <cell r="B699" t="str">
            <v>GRM1555C1H180JA01D</v>
          </cell>
          <cell r="C699" t="str">
            <v>CAP</v>
          </cell>
          <cell r="F699" t="str">
            <v>CAP,SMD,CER,18PF,50V,5%,NP0,0402</v>
          </cell>
        </row>
        <row r="700">
          <cell r="A700" t="str">
            <v>648-A42571-001</v>
          </cell>
          <cell r="B700" t="str">
            <v>GRM155R71A474KE01D</v>
          </cell>
          <cell r="C700" t="str">
            <v>CAP</v>
          </cell>
          <cell r="F700" t="str">
            <v>CAP,SMD,CER,0.47UF,±10%,10VDC,X7R,0402</v>
          </cell>
        </row>
        <row r="701">
          <cell r="A701" t="str">
            <v>648-243935-001</v>
          </cell>
          <cell r="B701" t="str">
            <v>GRM2165C1H332GA01D</v>
          </cell>
          <cell r="C701" t="str">
            <v>CAP</v>
          </cell>
          <cell r="F701" t="str">
            <v>CAP,SMD,CER,0805,NP0,50V,+/-2%,3300PF</v>
          </cell>
        </row>
        <row r="702">
          <cell r="A702" t="str">
            <v>648-243935-002</v>
          </cell>
          <cell r="B702" t="str">
            <v>GRM2165C1H392GA01D</v>
          </cell>
          <cell r="C702" t="str">
            <v>CAP</v>
          </cell>
          <cell r="F702" t="str">
            <v>CAP,SMD,CER,0805,NP0,50V,+/-2%,3900PF</v>
          </cell>
        </row>
        <row r="703">
          <cell r="A703" t="str">
            <v>648-338947-106</v>
          </cell>
          <cell r="B703" t="str">
            <v>GRM21BR61H106KE43K</v>
          </cell>
          <cell r="C703" t="str">
            <v>CAP</v>
          </cell>
          <cell r="F703" t="str">
            <v>CAP,SMD,CER,10UF,+/-10%,50V,X5R,0805</v>
          </cell>
        </row>
        <row r="704">
          <cell r="A704" t="str">
            <v>648-A35911-002</v>
          </cell>
          <cell r="B704" t="str">
            <v>GRM3195C1H203JA01D</v>
          </cell>
          <cell r="C704" t="str">
            <v>CAP</v>
          </cell>
          <cell r="F704" t="str">
            <v>CAP,SMD,CER,0.02UF,+/-5%,50V,NP0,1206</v>
          </cell>
        </row>
        <row r="705">
          <cell r="A705" t="str">
            <v>648-269920-001</v>
          </cell>
          <cell r="B705" t="str">
            <v>GRM31C5C1H104JA01L</v>
          </cell>
          <cell r="C705" t="str">
            <v>CAP</v>
          </cell>
          <cell r="F705" t="str">
            <v>CAP,SMD,CER,0.1UF,50V,NP0,1206</v>
          </cell>
        </row>
        <row r="706">
          <cell r="A706" t="str">
            <v>648-A72845-002</v>
          </cell>
          <cell r="B706" t="str">
            <v>GRM32ER71A476KE15L</v>
          </cell>
          <cell r="C706" t="str">
            <v>CAP</v>
          </cell>
          <cell r="F706" t="str">
            <v>CAP,SMD,CER,47UF,10%,10VDC,X7R,1210</v>
          </cell>
        </row>
        <row r="707">
          <cell r="A707" t="str">
            <v>648-A72845-001</v>
          </cell>
          <cell r="B707" t="str">
            <v>GRM32ER71A476ME15L</v>
          </cell>
          <cell r="C707" t="str">
            <v>CAP</v>
          </cell>
          <cell r="F707" t="str">
            <v>CAP,SMD,CER,47UF,20%,10VDC,X7R,1210</v>
          </cell>
        </row>
        <row r="708">
          <cell r="A708" t="str">
            <v>648-185803-001</v>
          </cell>
          <cell r="B708" t="str">
            <v>GRM32ER71H106KA12L</v>
          </cell>
          <cell r="C708" t="str">
            <v>CAP</v>
          </cell>
          <cell r="F708" t="str">
            <v>CAP,SMD,1210,CER,50V,10%,X7R,10UF,ROHS</v>
          </cell>
        </row>
        <row r="709">
          <cell r="A709" t="str">
            <v>648-B07531-105</v>
          </cell>
          <cell r="B709" t="str">
            <v>GRT188R61H105KE13D</v>
          </cell>
          <cell r="C709" t="str">
            <v>CAP</v>
          </cell>
          <cell r="F709" t="str">
            <v>CAP,SMD,CER,1UF,+/-10%,50V,X5R,0603</v>
          </cell>
        </row>
        <row r="710">
          <cell r="A710" t="str">
            <v>668-106255-002</v>
          </cell>
          <cell r="B710" t="str">
            <v>GSGX-NS-2-88</v>
          </cell>
          <cell r="C710" t="str">
            <v>CONN</v>
          </cell>
          <cell r="F710" t="str">
            <v>CONN,MDLR,RJ45,RA,1X2,SH,ROHS</v>
          </cell>
        </row>
        <row r="711">
          <cell r="A711" t="str">
            <v>630-046170-001</v>
          </cell>
          <cell r="B711" t="str">
            <v>HCPL-2231-300E</v>
          </cell>
          <cell r="C711" t="str">
            <v>IC</v>
          </cell>
          <cell r="F711" t="str">
            <v>IC,SMD,HCPL-2231,DUAL OPTOCOUPLER, ROHS</v>
          </cell>
        </row>
        <row r="712">
          <cell r="A712" t="str">
            <v>667-B30869-003</v>
          </cell>
          <cell r="B712" t="str">
            <v>HLE-103-02-F-DV</v>
          </cell>
          <cell r="C712" t="str">
            <v>CONN</v>
          </cell>
          <cell r="F712" t="str">
            <v>CONN,SMD,RCPT,3POSN,2 ROW,2.54MM PITCH</v>
          </cell>
        </row>
        <row r="713">
          <cell r="A713" t="str">
            <v>39-130654-15</v>
          </cell>
          <cell r="B713" t="str">
            <v>HM15ST29J</v>
          </cell>
          <cell r="C713" t="str">
            <v>CONN</v>
          </cell>
          <cell r="F713" t="str">
            <v>CONN,DSUB,15M,PCB STRT,0.25"</v>
          </cell>
        </row>
        <row r="714">
          <cell r="A714" t="str">
            <v>630-307927-001</v>
          </cell>
          <cell r="B714" t="str">
            <v>HPP845E031R4</v>
          </cell>
          <cell r="C714" t="str">
            <v>IC</v>
          </cell>
          <cell r="F714" t="str">
            <v>IC,SENSOR HUMID/TEMP 3V I2C 2% SMD</v>
          </cell>
        </row>
        <row r="715">
          <cell r="A715" t="str">
            <v>664-039171-001</v>
          </cell>
          <cell r="B715" t="str">
            <v>HSMH-C110</v>
          </cell>
          <cell r="C715" t="str">
            <v>LED</v>
          </cell>
          <cell r="F715" t="str">
            <v>LED,SMD,RT,HSM-C110,RED,ROHS</v>
          </cell>
        </row>
        <row r="716">
          <cell r="A716" t="str">
            <v>609-041761-001</v>
          </cell>
          <cell r="B716" t="str">
            <v>HSMS-280L-BLKG</v>
          </cell>
          <cell r="C716" t="str">
            <v>DIO</v>
          </cell>
          <cell r="F716" t="str">
            <v>DIO,SMD,SCHOTTY,BARR,HSMS-280L,ROHS</v>
          </cell>
        </row>
        <row r="717">
          <cell r="A717" t="str">
            <v>609-041761-001</v>
          </cell>
          <cell r="B717" t="str">
            <v>HSMS-280L-TR1G</v>
          </cell>
          <cell r="C717" t="str">
            <v>DIO</v>
          </cell>
          <cell r="F717" t="str">
            <v>DIO,SMD,SCHOTTY,BARR,HSMS-280L,ROHS</v>
          </cell>
        </row>
        <row r="718">
          <cell r="A718" t="str">
            <v>609-041761-001</v>
          </cell>
          <cell r="B718" t="str">
            <v>HSMS-280L-TR2G</v>
          </cell>
          <cell r="C718" t="str">
            <v>DIO</v>
          </cell>
          <cell r="F718" t="str">
            <v>DIO,SMD,SCHOTTY,BARR,HSMS-280L,ROHS</v>
          </cell>
        </row>
        <row r="719">
          <cell r="A719" t="str">
            <v>615-B31543-001</v>
          </cell>
          <cell r="B719" t="str">
            <v>HVC4020E1006FT-1790</v>
          </cell>
          <cell r="C719" t="str">
            <v>RES</v>
          </cell>
          <cell r="F719" t="str">
            <v>RES,HV,100MEG,1%,2W,25PPM,VCR&lt;1PPM,4020</v>
          </cell>
        </row>
        <row r="720">
          <cell r="A720" t="str">
            <v>649-B19790-001</v>
          </cell>
          <cell r="B720" t="str">
            <v>HVCC153Y6P102KEAX</v>
          </cell>
          <cell r="C720" t="str">
            <v>CAP</v>
          </cell>
          <cell r="F720" t="str">
            <v>CAP,CER,DISC,1000PF,15KVDC,10% TOL,RDL</v>
          </cell>
        </row>
        <row r="721">
          <cell r="A721" t="str">
            <v>622-B27974-001</v>
          </cell>
          <cell r="B721" t="str">
            <v>HVD-W20-AE-1006-F-4</v>
          </cell>
          <cell r="C721" t="str">
            <v>RES</v>
          </cell>
          <cell r="F721" t="str">
            <v>RES,NTWK,HV DIVDR,100MOHM,1% TOL,25PPM</v>
          </cell>
        </row>
        <row r="722">
          <cell r="A722" t="str">
            <v>667-B30855-003</v>
          </cell>
          <cell r="B722" t="str">
            <v>HW-03-08-F-D-350-SM</v>
          </cell>
          <cell r="C722" t="str">
            <v>CONN</v>
          </cell>
          <cell r="F722" t="str">
            <v>CONN,SMD,HDR,3POSN,2 ROW,2.54MM PITCH</v>
          </cell>
        </row>
        <row r="723">
          <cell r="A723" t="str">
            <v>644-041045-001</v>
          </cell>
          <cell r="B723" t="str">
            <v>HY1-24V</v>
          </cell>
          <cell r="C723" t="str">
            <v>RLY</v>
          </cell>
          <cell r="F723" t="str">
            <v>RLY,SPDT,24VDC,150MW,PCB MT</v>
          </cell>
        </row>
        <row r="724">
          <cell r="A724" t="str">
            <v>626-A73827-001</v>
          </cell>
          <cell r="B724" t="str">
            <v>IAUC100N04S6L014ATMA1</v>
          </cell>
          <cell r="C724" t="str">
            <v>XSTR</v>
          </cell>
          <cell r="F724" t="str">
            <v>XSTR,SMD,MOSFET,N-CHAN,40V,100A,TDSON-8</v>
          </cell>
        </row>
        <row r="725">
          <cell r="A725" t="str">
            <v>626-A73824-001</v>
          </cell>
          <cell r="B725" t="str">
            <v>IAUC80N04S6L032ATMA1</v>
          </cell>
          <cell r="C725" t="str">
            <v>XSTR</v>
          </cell>
          <cell r="F725" t="str">
            <v>XSTR,SMD,MOSFET,N-CHAN,40V,80A,TDSON-8</v>
          </cell>
        </row>
        <row r="726">
          <cell r="A726" t="str">
            <v>668-327250-001</v>
          </cell>
          <cell r="B726" t="str">
            <v>ICD15S13E6GV00LF</v>
          </cell>
          <cell r="C726" t="str">
            <v>CONN</v>
          </cell>
          <cell r="F726" t="str">
            <v>CONN,RCPT,DSUB,HD,R/A,15P,3A</v>
          </cell>
        </row>
        <row r="727">
          <cell r="A727" t="str">
            <v>668-A20990-044</v>
          </cell>
          <cell r="B727" t="str">
            <v>ICD44S13E4GX00LF</v>
          </cell>
          <cell r="C727" t="str">
            <v>CONN</v>
          </cell>
          <cell r="F727" t="str">
            <v>CONN,D-SUB,H-DENSITY,FEM,44POSN,3A,RTANG</v>
          </cell>
        </row>
        <row r="728">
          <cell r="A728" t="str">
            <v>795-A93075-001</v>
          </cell>
          <cell r="B728" t="str">
            <v>IF-E98</v>
          </cell>
          <cell r="C728" t="str">
            <v>LED</v>
          </cell>
          <cell r="F728" t="str">
            <v>LED,FIBER OPT,50MBPS,650NM,1.9V FWD,RED</v>
          </cell>
        </row>
        <row r="729">
          <cell r="A729" t="str">
            <v>630-098848-001</v>
          </cell>
          <cell r="B729" t="str">
            <v>ILD207T</v>
          </cell>
          <cell r="C729" t="str">
            <v>IC</v>
          </cell>
          <cell r="F729" t="str">
            <v>IC,ILD207 DUAL OPTOCPLR SO8,ROHS</v>
          </cell>
        </row>
        <row r="730">
          <cell r="A730" t="str">
            <v>630-089742-001</v>
          </cell>
          <cell r="B730" t="str">
            <v>INA128U/2K5</v>
          </cell>
          <cell r="C730" t="str">
            <v>IC</v>
          </cell>
          <cell r="F730" t="str">
            <v>IC,SMD,INA128U</v>
          </cell>
        </row>
        <row r="731">
          <cell r="A731" t="str">
            <v>630-A60335-001</v>
          </cell>
          <cell r="B731" t="str">
            <v>INA188IDR</v>
          </cell>
          <cell r="C731" t="str">
            <v>IC</v>
          </cell>
          <cell r="F731" t="str">
            <v>IC,SMD,PRCN,OPAMP,ZERO-DRIFT,SOIC-8</v>
          </cell>
        </row>
        <row r="732">
          <cell r="A732" t="str">
            <v>630-122889-001</v>
          </cell>
          <cell r="B732" t="str">
            <v>INA826AIDGKR</v>
          </cell>
          <cell r="C732" t="str">
            <v>IC</v>
          </cell>
          <cell r="F732" t="str">
            <v>IC,SMD,OP AMP INSTR 1MHZ 8MSOP</v>
          </cell>
        </row>
        <row r="733">
          <cell r="A733" t="str">
            <v>667-281523-002</v>
          </cell>
          <cell r="B733" t="str">
            <v>IPL1-102-02-L-D-K</v>
          </cell>
          <cell r="C733" t="str">
            <v>CONN</v>
          </cell>
          <cell r="F733" t="str">
            <v>CONN,SMD,PWR,SHROUDED,4POS,ROHS</v>
          </cell>
        </row>
        <row r="734">
          <cell r="A734" t="str">
            <v>628-072604-001</v>
          </cell>
          <cell r="B734" t="str">
            <v>IRF1310NSPBF</v>
          </cell>
          <cell r="C734" t="str">
            <v>XSTR</v>
          </cell>
          <cell r="F734" t="str">
            <v>XSTR,FIELD EFT,PWR MOSFET,N-CH</v>
          </cell>
        </row>
        <row r="735">
          <cell r="A735" t="str">
            <v>626-A54785-001</v>
          </cell>
          <cell r="B735" t="str">
            <v>IRFR3710ZTRPBF</v>
          </cell>
          <cell r="C735" t="str">
            <v>XSTR</v>
          </cell>
          <cell r="F735" t="str">
            <v>XSTR,SMD,FIELD EFT,N-CHAN,100V,42A,TO252</v>
          </cell>
        </row>
        <row r="736">
          <cell r="A736" t="str">
            <v>626-232475-002</v>
          </cell>
          <cell r="B736" t="str">
            <v>ISC012N04LM6ATMA1</v>
          </cell>
          <cell r="C736" t="str">
            <v>XSTR</v>
          </cell>
          <cell r="F736" t="str">
            <v>XSTR,SMD,FIELD EFT,N-CH,40V,238A</v>
          </cell>
        </row>
        <row r="737">
          <cell r="A737" t="str">
            <v>628-A72178-001</v>
          </cell>
          <cell r="B737" t="str">
            <v>IXTA80N075L2</v>
          </cell>
          <cell r="C737" t="str">
            <v>XSTR</v>
          </cell>
          <cell r="F737" t="str">
            <v>XSTR,FIELD EFT,N-CHAN,80A,75V,TO-263AA</v>
          </cell>
        </row>
        <row r="738">
          <cell r="A738" t="str">
            <v>626-A87430-001</v>
          </cell>
          <cell r="B738" t="str">
            <v>IXTT120N15P</v>
          </cell>
          <cell r="C738" t="str">
            <v>XSTR</v>
          </cell>
          <cell r="F738" t="str">
            <v>XSTR,SMD,MOSFET,N-CH,150V,120A,TO-268</v>
          </cell>
        </row>
        <row r="739">
          <cell r="A739" t="str">
            <v>626-B09702-001</v>
          </cell>
          <cell r="B739" t="str">
            <v>IXTT220N20X4HV</v>
          </cell>
          <cell r="C739" t="str">
            <v>XSTR</v>
          </cell>
          <cell r="F739" t="str">
            <v>XSTR,SMD,FIELD EFT,N-CH,200V,TO-268HV</v>
          </cell>
        </row>
        <row r="740">
          <cell r="A740" t="str">
            <v>668-097179-216</v>
          </cell>
          <cell r="B740" t="str">
            <v>JSX-1055</v>
          </cell>
          <cell r="C740" t="str">
            <v>CONN</v>
          </cell>
          <cell r="F740" t="str">
            <v>CONN,DSUB,JCK SCRW,HEX,.216,ROHS</v>
          </cell>
        </row>
        <row r="741">
          <cell r="A741" t="str">
            <v>668-097179-217</v>
          </cell>
          <cell r="B741" t="str">
            <v>JSX-1055-5.9</v>
          </cell>
          <cell r="C741" t="str">
            <v>CONN</v>
          </cell>
          <cell r="F741" t="str">
            <v>CONN,DSUB,JCK SCRW,HEX,.217</v>
          </cell>
        </row>
        <row r="742">
          <cell r="A742" t="str">
            <v>644-A02502-024</v>
          </cell>
          <cell r="B742" t="str">
            <v>JW1FSN-DC24V</v>
          </cell>
          <cell r="C742" t="str">
            <v>RLY</v>
          </cell>
          <cell r="F742" t="str">
            <v>RLY,PWR,SPDT,24V,10A,SEALED,AG-NI,THT</v>
          </cell>
        </row>
        <row r="743">
          <cell r="A743" t="str">
            <v>34-357070-00</v>
          </cell>
          <cell r="B743" t="str">
            <v>K10P-11D55-24</v>
          </cell>
          <cell r="C743" t="str">
            <v>RLY</v>
          </cell>
          <cell r="F743" t="str">
            <v>RELAY,2 POLE,24V,INDUSTRIAL</v>
          </cell>
        </row>
        <row r="744">
          <cell r="A744" t="str">
            <v>667-215428-001</v>
          </cell>
          <cell r="B744" t="str">
            <v>K202XHT-E9P-N</v>
          </cell>
          <cell r="C744" t="str">
            <v>CONN</v>
          </cell>
          <cell r="F744" t="str">
            <v>CONN,SMD,D-SUB,PLUG,9POSN,RTANG,AU FLASH</v>
          </cell>
        </row>
        <row r="745">
          <cell r="A745" t="str">
            <v>668-098490-025</v>
          </cell>
          <cell r="B745" t="str">
            <v>K22X-B25S-N30</v>
          </cell>
          <cell r="C745" t="str">
            <v>CONN</v>
          </cell>
          <cell r="F745" t="str">
            <v>CONN,RCPT 25P D-SUB RTANG</v>
          </cell>
        </row>
        <row r="746">
          <cell r="A746" t="str">
            <v>668-098489-037</v>
          </cell>
          <cell r="B746" t="str">
            <v>K22X-C37P-N30</v>
          </cell>
          <cell r="C746" t="str">
            <v>CONN</v>
          </cell>
          <cell r="F746" t="str">
            <v>CONN,PLUG,37P,D-SUB,RTANG,PCB</v>
          </cell>
        </row>
        <row r="747">
          <cell r="A747" t="str">
            <v>668-098490-037</v>
          </cell>
          <cell r="B747" t="str">
            <v>K22X-C37S-N30</v>
          </cell>
          <cell r="C747" t="str">
            <v>CONN</v>
          </cell>
          <cell r="F747" t="str">
            <v>CONN,RCPT 37P D-SUB RTANG</v>
          </cell>
        </row>
        <row r="748">
          <cell r="A748" t="str">
            <v>668-098490-009</v>
          </cell>
          <cell r="B748" t="str">
            <v>K22X-E9S-N30</v>
          </cell>
          <cell r="C748" t="str">
            <v>CONN</v>
          </cell>
          <cell r="F748" t="str">
            <v>CONN,RCPT 9P D-SUB RTANG</v>
          </cell>
        </row>
        <row r="749">
          <cell r="A749" t="str">
            <v>668-082689-003</v>
          </cell>
          <cell r="B749" t="str">
            <v>K42X-A26S/S-A4N</v>
          </cell>
          <cell r="C749" t="str">
            <v>CONN</v>
          </cell>
          <cell r="F749" t="str">
            <v>CONN,HD DSUB,DP R/A,26P/26P,F/F,ROHS</v>
          </cell>
        </row>
        <row r="750">
          <cell r="A750" t="str">
            <v>668-259275-004</v>
          </cell>
          <cell r="B750" t="str">
            <v>K42X-E9S/P-A4N</v>
          </cell>
          <cell r="C750" t="str">
            <v>CONN</v>
          </cell>
          <cell r="D750" t="str">
            <v>SIG</v>
          </cell>
          <cell r="F750" t="str">
            <v>CONN,DSUB,DUAL PORT,9P/9P,F/M,ROHS</v>
          </cell>
        </row>
        <row r="751">
          <cell r="A751" t="str">
            <v>668-313612-037</v>
          </cell>
          <cell r="B751" t="str">
            <v>K42XHT-C37S/S-A4N</v>
          </cell>
          <cell r="C751" t="str">
            <v>CONN</v>
          </cell>
          <cell r="D751" t="str">
            <v>SIG</v>
          </cell>
          <cell r="E751" t="str">
            <v>K42X-C37S/S-A4N</v>
          </cell>
          <cell r="F751" t="str">
            <v>CONN,DSUB,F-F,37PIN,30V,2A,HTM,DUAL PORT</v>
          </cell>
        </row>
        <row r="752">
          <cell r="A752" t="str">
            <v>668-043863-044</v>
          </cell>
          <cell r="B752" t="str">
            <v>K66X-B44P-N</v>
          </cell>
          <cell r="C752" t="str">
            <v>CONN</v>
          </cell>
          <cell r="F752" t="str">
            <v>CONN,HD,D-SUB,RT ANGL,MALE,44 PIN,ROHS</v>
          </cell>
        </row>
        <row r="753">
          <cell r="A753" t="str">
            <v>668-064219-044</v>
          </cell>
          <cell r="B753" t="str">
            <v>K66X-B44S-N</v>
          </cell>
          <cell r="C753" t="str">
            <v>CONN</v>
          </cell>
          <cell r="F753" t="str">
            <v>CONN,RCPT,HD D-SUB, RA, FEMALE,ROHS,44P</v>
          </cell>
        </row>
        <row r="754">
          <cell r="A754" t="str">
            <v>644-270411-001</v>
          </cell>
          <cell r="B754" t="str">
            <v>K81C335</v>
          </cell>
          <cell r="C754" t="str">
            <v>RLY</v>
          </cell>
          <cell r="F754" t="str">
            <v>RLY,SPDT,10KV,5A, 26.5V, PCB</v>
          </cell>
        </row>
        <row r="755">
          <cell r="A755" t="str">
            <v>668-096777-009</v>
          </cell>
          <cell r="B755" t="str">
            <v>K85X-ED-9P-CBR</v>
          </cell>
          <cell r="C755" t="str">
            <v>CONN</v>
          </cell>
          <cell r="F755" t="str">
            <v>CONN,DSUB,9P,M,STR,BRD LCK,ROHS</v>
          </cell>
        </row>
        <row r="756">
          <cell r="A756" t="str">
            <v>668-014495-044</v>
          </cell>
          <cell r="B756" t="str">
            <v>K86X-BD-44S-BR</v>
          </cell>
          <cell r="C756" t="str">
            <v>CONN</v>
          </cell>
          <cell r="F756" t="str">
            <v>CONN,RCPT,HIGH DENSITY DSUB,44 ROHS</v>
          </cell>
        </row>
        <row r="757">
          <cell r="A757" t="str">
            <v>668-014495-044</v>
          </cell>
          <cell r="B757" t="str">
            <v>K86X-BD-44S-BR15</v>
          </cell>
          <cell r="C757" t="str">
            <v>CONN</v>
          </cell>
          <cell r="F757" t="str">
            <v>CONN,RCPT,HIGH DENSITY DSUB,44 ROHS</v>
          </cell>
        </row>
        <row r="758">
          <cell r="A758" t="str">
            <v>668-014495-044</v>
          </cell>
          <cell r="B758" t="str">
            <v>K86X-BD-44S-BR30</v>
          </cell>
          <cell r="C758" t="str">
            <v>CONN</v>
          </cell>
          <cell r="F758" t="str">
            <v>CONN,RCPT,HIGH DENSITY DSUB,44 ROHS</v>
          </cell>
        </row>
        <row r="759">
          <cell r="A759" t="str">
            <v>668-014495-044</v>
          </cell>
          <cell r="B759" t="str">
            <v>K86X-BD-44S-CBR</v>
          </cell>
          <cell r="C759" t="str">
            <v>CONN</v>
          </cell>
          <cell r="F759" t="str">
            <v>CONN,RCPT,HIGH DENSITY DSUB,44 ROHS</v>
          </cell>
        </row>
        <row r="760">
          <cell r="A760" t="str">
            <v>668-014495-044</v>
          </cell>
          <cell r="B760" t="str">
            <v>K86X-BD-44S-CBR15</v>
          </cell>
          <cell r="C760" t="str">
            <v>CONN</v>
          </cell>
          <cell r="F760" t="str">
            <v>CONN,RCPT,HIGH DENSITY DSUB,44 ROHS</v>
          </cell>
        </row>
        <row r="761">
          <cell r="A761" t="str">
            <v>668-014495-044</v>
          </cell>
          <cell r="B761" t="str">
            <v>K86X-BD-44S-CBR30</v>
          </cell>
          <cell r="C761" t="str">
            <v>CONN</v>
          </cell>
          <cell r="F761" t="str">
            <v>CONN,RCPT,HIGH DENSITY DSUB,44 ROHS</v>
          </cell>
        </row>
        <row r="762">
          <cell r="A762" t="str">
            <v>668-099029-015</v>
          </cell>
          <cell r="B762" t="str">
            <v>K86X-ED-15P-BR</v>
          </cell>
          <cell r="C762" t="str">
            <v>CONN</v>
          </cell>
          <cell r="F762" t="str">
            <v>CONN,PIN,15P,DSUB,HD,VERT,ROHS</v>
          </cell>
        </row>
        <row r="763">
          <cell r="A763" t="str">
            <v>668-099029-015</v>
          </cell>
          <cell r="B763" t="str">
            <v>K86X-ED-15P-BR15</v>
          </cell>
          <cell r="C763" t="str">
            <v>CONN</v>
          </cell>
          <cell r="F763" t="str">
            <v>CONN,PIN,15P,DSUB,HD,VERT,ROHS</v>
          </cell>
        </row>
        <row r="764">
          <cell r="A764" t="str">
            <v>668-099029-015</v>
          </cell>
          <cell r="B764" t="str">
            <v>K86X-ED-15P-BR30</v>
          </cell>
          <cell r="C764" t="str">
            <v>CONN</v>
          </cell>
          <cell r="F764" t="str">
            <v>CONN,PIN,15P,DSUB,HD,VERT,ROHS</v>
          </cell>
        </row>
        <row r="765">
          <cell r="A765" t="str">
            <v>668-099029-015</v>
          </cell>
          <cell r="B765" t="str">
            <v>K86X-ED-15P-CBR15</v>
          </cell>
          <cell r="C765" t="str">
            <v>CONN</v>
          </cell>
          <cell r="F765" t="str">
            <v>CONN,PIN,15P,DSUB,HD,VERT,ROHS</v>
          </cell>
        </row>
        <row r="766">
          <cell r="A766" t="str">
            <v>668-099029-015</v>
          </cell>
          <cell r="B766" t="str">
            <v>K86X-ED-15P-CBR30</v>
          </cell>
          <cell r="C766" t="str">
            <v>CONN</v>
          </cell>
          <cell r="F766" t="str">
            <v>CONN,PIN,15P,DSUB,HD,VERT,ROHS</v>
          </cell>
        </row>
        <row r="767">
          <cell r="A767" t="str">
            <v>646-243658-002</v>
          </cell>
          <cell r="B767" t="str">
            <v>KAN1104RT</v>
          </cell>
          <cell r="C767" t="str">
            <v>SW</v>
          </cell>
          <cell r="F767" t="str">
            <v>SW,SMD,DIP,SPST,4CKT,.025A/24VDC,1.27MM</v>
          </cell>
        </row>
        <row r="768">
          <cell r="A768" t="str">
            <v>648-B24495-226</v>
          </cell>
          <cell r="B768" t="str">
            <v>KCM55QR71H226KH13K</v>
          </cell>
          <cell r="C768" t="str">
            <v>CAP</v>
          </cell>
          <cell r="F768" t="str">
            <v>CAP,SMD,MLCC,22UF,+/-10%,50VDC,X7R</v>
          </cell>
        </row>
        <row r="769">
          <cell r="A769" t="str">
            <v>723-B34232-008</v>
          </cell>
          <cell r="B769" t="str">
            <v>KFB3-M3-8ET</v>
          </cell>
          <cell r="C769" t="str">
            <v>STDF</v>
          </cell>
          <cell r="D769" t="str">
            <v>Hardware</v>
          </cell>
          <cell r="F769" t="str">
            <v>STDF,RND,FLARE MT,M3X0.5 THD,8MM LG,BRS</v>
          </cell>
        </row>
        <row r="770">
          <cell r="A770" t="str">
            <v>723-A22202-001</v>
          </cell>
          <cell r="B770" t="str">
            <v>KFE-M3-12-ET</v>
          </cell>
          <cell r="C770" t="str">
            <v>STDF</v>
          </cell>
          <cell r="D770" t="str">
            <v>Hardware</v>
          </cell>
          <cell r="F770" t="str">
            <v>STDF,RND,PCB,M3,12MM LONG</v>
          </cell>
        </row>
        <row r="771">
          <cell r="A771" t="str">
            <v>723-036612-004</v>
          </cell>
          <cell r="B771" t="str">
            <v>KFS2-440</v>
          </cell>
          <cell r="C771" t="str">
            <v>STDF</v>
          </cell>
          <cell r="D771" t="str">
            <v>Hardware</v>
          </cell>
          <cell r="F771" t="str">
            <v>STDF,SST,PEMNUT,PC BOARD,4-40,KFS2</v>
          </cell>
        </row>
        <row r="772">
          <cell r="A772" t="str">
            <v>670-037698-039</v>
          </cell>
          <cell r="B772" t="str">
            <v>KLDR12</v>
          </cell>
          <cell r="C772" t="str">
            <v>FUSE</v>
          </cell>
          <cell r="F772" t="str">
            <v>FUSE,CLASS CC,600V,TIME DLY,12 AMP</v>
          </cell>
        </row>
        <row r="773">
          <cell r="A773" t="str">
            <v>670-037698-040</v>
          </cell>
          <cell r="B773" t="str">
            <v>KLDR15</v>
          </cell>
          <cell r="C773" t="str">
            <v>FUSE</v>
          </cell>
          <cell r="D773" t="str">
            <v>AC Box</v>
          </cell>
          <cell r="F773" t="str">
            <v>FUSE,CLASS CC,600V,TIME DLY,15 AMP</v>
          </cell>
        </row>
        <row r="774">
          <cell r="A774" t="str">
            <v>670-332664-016</v>
          </cell>
          <cell r="B774" t="str">
            <v>KLKR005.T</v>
          </cell>
          <cell r="C774" t="str">
            <v>FUSE</v>
          </cell>
          <cell r="D774" t="str">
            <v>AC Box</v>
          </cell>
          <cell r="F774" t="str">
            <v>FUSE,FAST-ACT,5A,600VAC/300VDC,5AG</v>
          </cell>
        </row>
        <row r="775">
          <cell r="A775" t="str">
            <v>670-332664-021</v>
          </cell>
          <cell r="B775" t="str">
            <v>KLKR010.T</v>
          </cell>
          <cell r="C775" t="str">
            <v>FUSE</v>
          </cell>
          <cell r="D775" t="str">
            <v>AC Box</v>
          </cell>
          <cell r="F775" t="str">
            <v>FUSE,FAST-ACT,10A,600VAC/300VDC,5AG</v>
          </cell>
        </row>
        <row r="776">
          <cell r="A776" t="str">
            <v>670-332664-023</v>
          </cell>
          <cell r="B776" t="str">
            <v>KLKR015.T</v>
          </cell>
          <cell r="C776" t="str">
            <v>FUSE</v>
          </cell>
          <cell r="D776" t="str">
            <v>AC Box</v>
          </cell>
          <cell r="F776" t="str">
            <v>FUSE,FAST-ACT,15A,600VAC/300VDC,5AG</v>
          </cell>
        </row>
        <row r="777">
          <cell r="A777" t="str">
            <v>39-149057-25</v>
          </cell>
          <cell r="B777" t="str">
            <v>L717SDBH25POL2RM8C309</v>
          </cell>
          <cell r="C777" t="str">
            <v>CONN</v>
          </cell>
          <cell r="F777" t="str">
            <v>CONN,DSUB,25M,PCB STRT,W/STOFF</v>
          </cell>
        </row>
        <row r="778">
          <cell r="A778" t="str">
            <v>668-A79668-015</v>
          </cell>
          <cell r="B778" t="str">
            <v>L77DA15SF179A</v>
          </cell>
          <cell r="C778" t="str">
            <v>CONN</v>
          </cell>
          <cell r="F778" t="str">
            <v>CONN,D-SUB,RCPT,15 POSN,WIRE-WRAP TERMN</v>
          </cell>
        </row>
        <row r="779">
          <cell r="A779" t="str">
            <v>39-108312-00</v>
          </cell>
          <cell r="B779" t="str">
            <v>L77TWA7W2S</v>
          </cell>
          <cell r="C779" t="str">
            <v>CONN</v>
          </cell>
          <cell r="F779" t="str">
            <v>CONN,DB15F,7W2,5SIG 2PWR</v>
          </cell>
        </row>
        <row r="780">
          <cell r="A780" t="str">
            <v>664-250155-001</v>
          </cell>
          <cell r="B780" t="str">
            <v>LBQ39G-L2OO-35-1</v>
          </cell>
          <cell r="C780" t="str">
            <v>LED</v>
          </cell>
          <cell r="F780" t="str">
            <v>LED,SMD,2.85V,5MA,470NM,BLU,0603</v>
          </cell>
        </row>
        <row r="781">
          <cell r="A781" t="str">
            <v>630-225109-001</v>
          </cell>
          <cell r="B781" t="str">
            <v>LC4064V-75TN48E</v>
          </cell>
          <cell r="C781" t="str">
            <v>IC</v>
          </cell>
          <cell r="F781" t="str">
            <v>IC,SMD,CPLD,32 I/O,5V TOLERNT,7.5NS,ROHS</v>
          </cell>
        </row>
        <row r="782">
          <cell r="A782" t="str">
            <v>630-B10043-001</v>
          </cell>
          <cell r="B782" t="str">
            <v>LF2104NTR</v>
          </cell>
          <cell r="C782" t="str">
            <v>IC</v>
          </cell>
          <cell r="F782" t="str">
            <v>IC,SMD,GATE DRIVER,2CHAN,10-20V,SOIC-8</v>
          </cell>
        </row>
        <row r="783">
          <cell r="A783" t="str">
            <v>630-B10043-001</v>
          </cell>
          <cell r="B783" t="str">
            <v>747-LF2104NTR</v>
          </cell>
          <cell r="C783" t="str">
            <v>IC</v>
          </cell>
          <cell r="F783" t="str">
            <v>IC,SMD,GATE DRIVER,2CHAN,10-20V,SOIC-8</v>
          </cell>
        </row>
        <row r="784">
          <cell r="A784" t="str">
            <v>630-A94433-001</v>
          </cell>
          <cell r="B784" t="str">
            <v>LM211QDREP</v>
          </cell>
          <cell r="C784" t="str">
            <v>IC</v>
          </cell>
          <cell r="F784" t="str">
            <v>IC,SMD,DIFF COMPARATOR,3.5-30V,SOIC-8</v>
          </cell>
        </row>
        <row r="785">
          <cell r="A785" t="str">
            <v>630-A32936-001</v>
          </cell>
          <cell r="B785" t="str">
            <v>LM25085QMYX/NOPB</v>
          </cell>
          <cell r="C785" t="str">
            <v>IC</v>
          </cell>
          <cell r="F785" t="str">
            <v>IC,SMD,BUCK SW CONT,4.5-42V IN,HVSSOP-8</v>
          </cell>
        </row>
        <row r="786">
          <cell r="A786" t="str">
            <v>630-148462-001</v>
          </cell>
          <cell r="B786" t="str">
            <v>LM2907MX-8/NOPB</v>
          </cell>
          <cell r="C786" t="str">
            <v>IC</v>
          </cell>
          <cell r="F786" t="str">
            <v>IC,SMD,F/V CONVERTOR</v>
          </cell>
        </row>
        <row r="787">
          <cell r="A787" t="str">
            <v>630-048331-001</v>
          </cell>
          <cell r="B787" t="str">
            <v>LM311MX/NOPB</v>
          </cell>
          <cell r="C787" t="str">
            <v>IC</v>
          </cell>
          <cell r="F787" t="str">
            <v>IC,SMD,LM311,VOLT COMPARATOR,8SOIC</v>
          </cell>
        </row>
        <row r="788">
          <cell r="A788" t="str">
            <v>630-900405-001</v>
          </cell>
          <cell r="B788" t="str">
            <v>LM339DG</v>
          </cell>
          <cell r="C788" t="str">
            <v>IC</v>
          </cell>
          <cell r="F788" t="str">
            <v>IC,LM339,QUAD COMP,SO14,ROHS</v>
          </cell>
        </row>
        <row r="789">
          <cell r="A789" t="str">
            <v>630-900405-001</v>
          </cell>
          <cell r="B789" t="str">
            <v>LM339MX/NOPB</v>
          </cell>
          <cell r="C789" t="str">
            <v>IC</v>
          </cell>
          <cell r="F789" t="str">
            <v>IC,LM339,QUAD COMP,SO14,ROHS</v>
          </cell>
        </row>
        <row r="790">
          <cell r="A790" t="str">
            <v>630-900405-001</v>
          </cell>
          <cell r="B790" t="str">
            <v>LM339M/NOPB</v>
          </cell>
          <cell r="C790" t="str">
            <v>IC</v>
          </cell>
          <cell r="F790" t="str">
            <v>IC,LM339,QUAD COMP,SO14,ROHS</v>
          </cell>
        </row>
        <row r="791">
          <cell r="A791" t="str">
            <v>630-900406-001</v>
          </cell>
          <cell r="B791" t="str">
            <v>LM358DG</v>
          </cell>
          <cell r="C791" t="str">
            <v>IC</v>
          </cell>
          <cell r="F791" t="str">
            <v>IC, LM358, DUAL OP AMP, SO8, ROHS</v>
          </cell>
        </row>
        <row r="792">
          <cell r="A792" t="str">
            <v>630-900406-001</v>
          </cell>
          <cell r="B792" t="str">
            <v>LM358MX/NOPB</v>
          </cell>
          <cell r="C792" t="str">
            <v>IC</v>
          </cell>
          <cell r="F792" t="str">
            <v>IC, LM358, DUAL OP AMP, SO8, ROHS</v>
          </cell>
        </row>
        <row r="793">
          <cell r="A793" t="str">
            <v>609-017889-025</v>
          </cell>
          <cell r="B793" t="str">
            <v>LM4040AIM3-2.5/NOPB</v>
          </cell>
          <cell r="C793" t="str">
            <v>DIO</v>
          </cell>
          <cell r="F793" t="str">
            <v>DIO,SMD,VOLT REF 2.5V,LM4040, SOT23,ROHS</v>
          </cell>
        </row>
        <row r="794">
          <cell r="A794" t="str">
            <v>630-032532-001</v>
          </cell>
          <cell r="B794" t="str">
            <v>LM555CMX/NOPB</v>
          </cell>
          <cell r="C794" t="str">
            <v>IC</v>
          </cell>
          <cell r="F794" t="str">
            <v>IC,SMD,LM555CM,TIMER,ROHS</v>
          </cell>
        </row>
        <row r="795">
          <cell r="A795" t="str">
            <v>630-219764-001</v>
          </cell>
          <cell r="B795" t="str">
            <v>LM7321MAX/NOPB</v>
          </cell>
          <cell r="C795" t="str">
            <v>IC</v>
          </cell>
          <cell r="F795" t="str">
            <v>IC,SMD,OPAMP,GP,20MHZ,RRO,8SOIC</v>
          </cell>
        </row>
        <row r="796">
          <cell r="A796" t="str">
            <v>630-129637-001</v>
          </cell>
          <cell r="B796" t="str">
            <v>LM7332MAX/NOPB</v>
          </cell>
          <cell r="C796" t="str">
            <v>IC</v>
          </cell>
          <cell r="F796" t="str">
            <v>IC,SMD,DUAL OPAMP,RTR IN/OUT</v>
          </cell>
        </row>
        <row r="797">
          <cell r="A797" t="str">
            <v>630-315857-001</v>
          </cell>
          <cell r="B797" t="str">
            <v>LM74CIMX-3/NOPB</v>
          </cell>
          <cell r="C797" t="str">
            <v>IC</v>
          </cell>
          <cell r="F797" t="str">
            <v>IC,SMD,TEMP SENSOR,SPI 8SOIC</v>
          </cell>
        </row>
        <row r="798">
          <cell r="A798" t="str">
            <v>630-B10796-001</v>
          </cell>
          <cell r="B798" t="str">
            <v>LM7812SX/NOPB</v>
          </cell>
          <cell r="C798" t="str">
            <v>IC</v>
          </cell>
          <cell r="F798" t="str">
            <v>IC,SMD,V RGLTR,FXD OUT,35V,TO-263-3</v>
          </cell>
        </row>
        <row r="799">
          <cell r="A799" t="str">
            <v>630-023134-001</v>
          </cell>
          <cell r="B799" t="str">
            <v>LM78M05CDTX/NOPB</v>
          </cell>
          <cell r="C799" t="str">
            <v>IC</v>
          </cell>
          <cell r="F799" t="str">
            <v>IC,SMD,VOLTAGE REGULATOR,78M05,ROHS</v>
          </cell>
        </row>
        <row r="800">
          <cell r="A800" t="str">
            <v>630-122314-001</v>
          </cell>
          <cell r="B800" t="str">
            <v>LM94022BIMGX/NOPB</v>
          </cell>
          <cell r="C800" t="str">
            <v>IC</v>
          </cell>
          <cell r="F800" t="str">
            <v>IC,SMD,TEMP SENSOR MULTI-GAIN SC70-5</v>
          </cell>
        </row>
        <row r="801">
          <cell r="A801" t="str">
            <v>630-122314-001</v>
          </cell>
          <cell r="B801" t="str">
            <v>LM94022QBIMGX/NOPB</v>
          </cell>
          <cell r="C801" t="str">
            <v>IC</v>
          </cell>
          <cell r="F801" t="str">
            <v>IC,SMD,TEMP SENSOR MULTI-GAIN SC70-5</v>
          </cell>
        </row>
        <row r="802">
          <cell r="A802" t="str">
            <v>648-A40023-474</v>
          </cell>
          <cell r="B802" t="str">
            <v>LMK063BBJ474MPLF</v>
          </cell>
          <cell r="C802" t="str">
            <v>CAP</v>
          </cell>
          <cell r="F802" t="str">
            <v>CAP,SMD,MLCC,0.47UF,±20%,10V,X5R,0201</v>
          </cell>
        </row>
        <row r="803">
          <cell r="A803" t="str">
            <v>648-144339-001</v>
          </cell>
          <cell r="B803" t="str">
            <v>LMK316BJ476ML-T</v>
          </cell>
          <cell r="C803" t="str">
            <v>CAP</v>
          </cell>
          <cell r="F803" t="str">
            <v>CAP,SMD,1206,CER,X5R,20%,10V,47UF ROHS</v>
          </cell>
        </row>
        <row r="804">
          <cell r="A804" t="str">
            <v>648-A72845-002</v>
          </cell>
          <cell r="B804" t="str">
            <v>LMK325B7476KM-PR</v>
          </cell>
          <cell r="C804" t="str">
            <v>CAP</v>
          </cell>
          <cell r="F804" t="str">
            <v>CAP,SMD,CER,47UF,10%,10VDC,X7R,1210</v>
          </cell>
        </row>
        <row r="805">
          <cell r="A805" t="str">
            <v>630-232888-001</v>
          </cell>
          <cell r="B805" t="str">
            <v>LMP8640MKX-T/NOPB</v>
          </cell>
          <cell r="C805" t="str">
            <v>IC</v>
          </cell>
          <cell r="F805" t="str">
            <v>IC,SMD,CURRENT SENSE OPAMP,6SOT</v>
          </cell>
        </row>
        <row r="806">
          <cell r="A806" t="str">
            <v>630-A70568-001</v>
          </cell>
          <cell r="B806" t="str">
            <v>LMV431BIMFX/NOPB</v>
          </cell>
          <cell r="C806" t="str">
            <v>IC</v>
          </cell>
          <cell r="F806" t="str">
            <v>IC,SMD,V REF,ADJ OUT,1.24V,SOT-23-3</v>
          </cell>
        </row>
        <row r="807">
          <cell r="A807" t="str">
            <v>630-144359-001</v>
          </cell>
          <cell r="B807" t="str">
            <v>LMZ14202TZ-ADJ/NOPB</v>
          </cell>
          <cell r="C807" t="str">
            <v>IC</v>
          </cell>
          <cell r="F807" t="str">
            <v>IC,SMD,DC-DC CONV,6V-42V,2A</v>
          </cell>
        </row>
        <row r="808">
          <cell r="A808" t="str">
            <v>779-256998-002</v>
          </cell>
          <cell r="B808" t="str">
            <v>LPD25-25B</v>
          </cell>
          <cell r="C808" t="str">
            <v>HTSK</v>
          </cell>
          <cell r="F808" t="str">
            <v>HTSK,LP DROP,25.4SQX25MM,ANODIZED,AL,BLK</v>
          </cell>
        </row>
        <row r="809">
          <cell r="A809" t="str">
            <v>630-049539-002</v>
          </cell>
          <cell r="B809" t="str">
            <v>LS7184NS</v>
          </cell>
          <cell r="C809" t="str">
            <v>IC</v>
          </cell>
          <cell r="F809" t="str">
            <v>IC,SMD,QUAD CLK CNVTR</v>
          </cell>
        </row>
        <row r="810">
          <cell r="A810" t="str">
            <v>664-A42466-001</v>
          </cell>
          <cell r="B810" t="str">
            <v>LSL29K-H1J2-1-Z</v>
          </cell>
          <cell r="C810" t="str">
            <v>LED</v>
          </cell>
          <cell r="F810" t="str">
            <v>LED,SMD,1.8V,7.1MCD,630NM,RED,0603</v>
          </cell>
        </row>
        <row r="811">
          <cell r="A811" t="str">
            <v>630-210849-001</v>
          </cell>
          <cell r="B811" t="str">
            <v>LT1491ACS#PBF</v>
          </cell>
          <cell r="C811" t="str">
            <v>IC</v>
          </cell>
          <cell r="F811" t="str">
            <v>IC,SMD, QUAD MPOWER RTR I/O OP-AMP,ROHS</v>
          </cell>
        </row>
        <row r="812">
          <cell r="A812" t="str">
            <v>630-210849-001</v>
          </cell>
          <cell r="B812" t="str">
            <v>LT1491AIS#PBF</v>
          </cell>
          <cell r="C812" t="str">
            <v>IC</v>
          </cell>
          <cell r="F812" t="str">
            <v>IC,SMD, QUAD MPOWER RTR I/O OP-AMP,ROHS</v>
          </cell>
        </row>
        <row r="813">
          <cell r="A813" t="str">
            <v>630-269922-001</v>
          </cell>
          <cell r="B813" t="str">
            <v>LT3065EDD#PBF</v>
          </cell>
          <cell r="C813" t="str">
            <v>IC</v>
          </cell>
          <cell r="F813" t="str">
            <v>IC,SMD,VOLT REG,POS ADJ,500MA,DFN10</v>
          </cell>
        </row>
        <row r="814">
          <cell r="A814" t="str">
            <v>630-270072-001</v>
          </cell>
          <cell r="B814" t="str">
            <v>LT3090EDD#PBF</v>
          </cell>
          <cell r="C814" t="str">
            <v>IC</v>
          </cell>
          <cell r="F814" t="str">
            <v>IC,SMD,REG,LDO,NEG ADJ,0.6A,10DFN</v>
          </cell>
        </row>
        <row r="815">
          <cell r="A815" t="str">
            <v>630-A20797-001</v>
          </cell>
          <cell r="B815" t="str">
            <v>LT3741EFE#PBF</v>
          </cell>
          <cell r="C815" t="str">
            <v>IC</v>
          </cell>
          <cell r="F815" t="str">
            <v>IC,SMD,DC-DC CONT,STEP DN,6-36V,TSSOP-20</v>
          </cell>
        </row>
        <row r="816">
          <cell r="A816" t="str">
            <v>630-B28359-001</v>
          </cell>
          <cell r="B816" t="str">
            <v>LT6654AHS6-3.3#TRMPBF</v>
          </cell>
          <cell r="C816" t="str">
            <v>IC</v>
          </cell>
          <cell r="F816" t="str">
            <v>IC,SMD,V REF,3.3VOUT,TSOT-23-6</v>
          </cell>
        </row>
        <row r="817">
          <cell r="A817" t="str">
            <v>630-311294-002</v>
          </cell>
          <cell r="B817" t="str">
            <v>LT8645SHV-2#PBF</v>
          </cell>
          <cell r="C817" t="str">
            <v>IC</v>
          </cell>
          <cell r="F817" t="str">
            <v>IC,SMD,REG,BUCK,ADJ,8A,65V OUT,32-LQFN</v>
          </cell>
        </row>
        <row r="818">
          <cell r="A818" t="str">
            <v>630-271124-001</v>
          </cell>
          <cell r="B818" t="str">
            <v>LTC1859CG#PBF</v>
          </cell>
          <cell r="C818" t="str">
            <v>IC</v>
          </cell>
          <cell r="F818" t="str">
            <v>IC,SMD,ADC,8CH,16BIT,100KSPS,28-SSOP</v>
          </cell>
        </row>
        <row r="819">
          <cell r="A819" t="str">
            <v>630-248785-001</v>
          </cell>
          <cell r="B819" t="str">
            <v>LTC2666CUH-16#PBF</v>
          </cell>
          <cell r="C819" t="str">
            <v>IC</v>
          </cell>
          <cell r="F819" t="str">
            <v>IC,SMD,DAC,16-BIT,8CHAN,QFN32,0-70DEG C</v>
          </cell>
        </row>
        <row r="820">
          <cell r="A820" t="str">
            <v>630-A61432-001</v>
          </cell>
          <cell r="B820" t="str">
            <v>LTC2666IUH-16#PBF</v>
          </cell>
          <cell r="C820" t="str">
            <v>IC</v>
          </cell>
          <cell r="F820" t="str">
            <v>IC,SMD,DAC,16-BIT,8-CHAN,32-QFN</v>
          </cell>
        </row>
        <row r="821">
          <cell r="A821" t="str">
            <v>630-213514-002</v>
          </cell>
          <cell r="B821" t="str">
            <v>LTC3260IDE#PBF</v>
          </cell>
          <cell r="C821" t="str">
            <v>IC</v>
          </cell>
          <cell r="F821" t="str">
            <v>IC,DUAL PWR SPLY,CH PMP,100MA,DFN,125C</v>
          </cell>
        </row>
        <row r="822">
          <cell r="A822" t="str">
            <v>630-A87473-001</v>
          </cell>
          <cell r="B822" t="str">
            <v>LTC4231IMS-2#PBF</v>
          </cell>
          <cell r="C822" t="str">
            <v>IC</v>
          </cell>
          <cell r="F822" t="str">
            <v>IC,SMD,LOW V CONT,2.7-36V,4UA,MSOP-12</v>
          </cell>
        </row>
        <row r="823">
          <cell r="A823" t="str">
            <v>630-345765-001</v>
          </cell>
          <cell r="B823" t="str">
            <v>LTC6752ISC6-1#TRPBF</v>
          </cell>
          <cell r="C823" t="str">
            <v>IC</v>
          </cell>
          <cell r="F823" t="str">
            <v>IC,SMD,COMPARATOR,280MHZ,2.9NS,SC70-6</v>
          </cell>
        </row>
        <row r="824">
          <cell r="A824" t="str">
            <v>32-08483-00</v>
          </cell>
          <cell r="B824" t="str">
            <v>LTL-4233</v>
          </cell>
          <cell r="C824" t="str">
            <v>LED</v>
          </cell>
          <cell r="F824" t="str">
            <v>LED,T-1 3/4,GREEN,LOW CURRENT</v>
          </cell>
        </row>
        <row r="825">
          <cell r="A825" t="str">
            <v>660-345766-001</v>
          </cell>
          <cell r="B825" t="str">
            <v>LTM4632EV#PBF</v>
          </cell>
          <cell r="C825" t="str">
            <v>PS</v>
          </cell>
          <cell r="F825" t="str">
            <v>PS,UMODULE,0.6-2.5V,±3A,DDR-QDR4,25-LGA</v>
          </cell>
        </row>
        <row r="826">
          <cell r="A826" t="str">
            <v>660-229191-001</v>
          </cell>
          <cell r="B826" t="str">
            <v>LTM8055EY#PBF</v>
          </cell>
          <cell r="C826" t="str">
            <v>PS</v>
          </cell>
          <cell r="F826" t="str">
            <v>PS,36VIN,8.5V BUCK-BOOST UMODULE,ROHS</v>
          </cell>
        </row>
        <row r="827">
          <cell r="A827" t="str">
            <v>660-345770-001</v>
          </cell>
          <cell r="B827" t="str">
            <v>LTM8074EY#PBF</v>
          </cell>
          <cell r="C827" t="str">
            <v>PS</v>
          </cell>
          <cell r="F827" t="str">
            <v>PS,DC-DC UMODULE,3.2-40VIN,1.2A,25-BGA</v>
          </cell>
        </row>
        <row r="828">
          <cell r="A828" t="str">
            <v>664-313477-001</v>
          </cell>
          <cell r="B828" t="str">
            <v>LTQ39G-Q1OO-25-1</v>
          </cell>
          <cell r="C828" t="str">
            <v>LED</v>
          </cell>
          <cell r="F828" t="str">
            <v>LED,SMD,CHIPLED 0603,2.85V,5MA,TRUE GRN</v>
          </cell>
        </row>
        <row r="829">
          <cell r="A829" t="str">
            <v>664-068184-002</v>
          </cell>
          <cell r="B829" t="str">
            <v>LTST-C190KDKT-10A</v>
          </cell>
          <cell r="C829" t="str">
            <v>LED</v>
          </cell>
          <cell r="F829" t="str">
            <v>LED,SMD,0603,ST,10MA,RED ROHS | CE!</v>
          </cell>
        </row>
        <row r="830">
          <cell r="A830" t="str">
            <v>664-068184-002</v>
          </cell>
          <cell r="B830" t="str">
            <v>LTST-C190KRKT</v>
          </cell>
          <cell r="C830" t="str">
            <v>LED</v>
          </cell>
          <cell r="F830" t="str">
            <v>LED,SMD,0603,ST,10MA,RED ROHS | CE!</v>
          </cell>
        </row>
        <row r="831">
          <cell r="A831" t="str">
            <v>631-318336-001</v>
          </cell>
          <cell r="B831" t="str">
            <v>LTV-845</v>
          </cell>
          <cell r="C831" t="str">
            <v>IC</v>
          </cell>
          <cell r="F831" t="str">
            <v>IC,PHOTOCOUPLER,4 CHAN,35V,50 MA,DIP16</v>
          </cell>
        </row>
        <row r="832">
          <cell r="A832" t="str">
            <v>615-A72231-005</v>
          </cell>
          <cell r="B832" t="str">
            <v>LVK12R050CER</v>
          </cell>
          <cell r="C832" t="str">
            <v>RES</v>
          </cell>
          <cell r="F832" t="str">
            <v>RES,SMD,CUR SNS,.05OHM,0.25%TOL,.5W,1206</v>
          </cell>
        </row>
        <row r="833">
          <cell r="A833" t="str">
            <v>639-257579-001</v>
          </cell>
          <cell r="B833" t="str">
            <v>M2022-ASL</v>
          </cell>
          <cell r="C833" t="str">
            <v>IDCTR</v>
          </cell>
          <cell r="F833" t="str">
            <v>IDCTR,SMD,COMM,MODE,EMI,FLTR,11.5UH</v>
          </cell>
        </row>
        <row r="834">
          <cell r="A834" t="str">
            <v>639-A57204-001</v>
          </cell>
          <cell r="B834" t="str">
            <v>M-542CT</v>
          </cell>
          <cell r="C834" t="str">
            <v>IDCTR</v>
          </cell>
          <cell r="F834" t="str">
            <v>IDCTR,SMD,200UH,50VDC,0.120 OHM,0.5A</v>
          </cell>
        </row>
        <row r="835">
          <cell r="A835" t="str">
            <v>621-000682-100</v>
          </cell>
          <cell r="B835" t="str">
            <v>M64W100KB40</v>
          </cell>
          <cell r="C835" t="str">
            <v>POT</v>
          </cell>
          <cell r="F835" t="str">
            <v>POT,TRIM,CERMET,25 TURN,10 OHM, ROHS</v>
          </cell>
        </row>
        <row r="836">
          <cell r="A836" t="str">
            <v>621-000682-101</v>
          </cell>
          <cell r="B836" t="str">
            <v>M64W101KB40</v>
          </cell>
          <cell r="C836" t="str">
            <v>POT</v>
          </cell>
          <cell r="F836" t="str">
            <v>POT, TRIM, CERMET, 25 TURN, ROHS</v>
          </cell>
        </row>
        <row r="837">
          <cell r="A837" t="str">
            <v>621-000682-253</v>
          </cell>
          <cell r="B837" t="str">
            <v>M64W253KB40</v>
          </cell>
          <cell r="C837" t="str">
            <v>POT</v>
          </cell>
          <cell r="F837" t="str">
            <v>POT,TRIM,CERMET,25 TURN,25Kohm, ROHS</v>
          </cell>
        </row>
        <row r="838">
          <cell r="A838" t="str">
            <v>630-099034-011</v>
          </cell>
          <cell r="B838" t="str">
            <v>M74HC11M1R</v>
          </cell>
          <cell r="C838" t="str">
            <v>IC</v>
          </cell>
          <cell r="F838" t="str">
            <v>IC,SMD,74HC11 3-IN AND SO14</v>
          </cell>
        </row>
        <row r="839">
          <cell r="A839" t="str">
            <v>630-251316-001</v>
          </cell>
          <cell r="B839" t="str">
            <v>MAX15062BATA+T</v>
          </cell>
          <cell r="C839" t="str">
            <v>IC</v>
          </cell>
          <cell r="F839" t="str">
            <v>IC,SMD,V RGLTR,.3A,5V OUT,-40TO 125DEG C</v>
          </cell>
        </row>
        <row r="840">
          <cell r="A840" t="str">
            <v>630-345769-001</v>
          </cell>
          <cell r="B840" t="str">
            <v>MAX16029TG+</v>
          </cell>
          <cell r="C840" t="str">
            <v>IC</v>
          </cell>
          <cell r="F840" t="str">
            <v>IC,SMD,QUAD-V MONITOR,2.2-28V,24-TQFN</v>
          </cell>
        </row>
        <row r="841">
          <cell r="A841" t="str">
            <v>630-320785-001</v>
          </cell>
          <cell r="B841" t="str">
            <v>MAX232ACSE+T</v>
          </cell>
          <cell r="C841" t="str">
            <v>IC</v>
          </cell>
          <cell r="F841" t="str">
            <v>IC,SMD,XCVR,CMOS-RS232,BI-DIR,SOIC-16</v>
          </cell>
        </row>
        <row r="842">
          <cell r="A842" t="str">
            <v>630-255637-001</v>
          </cell>
          <cell r="B842" t="str">
            <v>MAX4995BAUT+T</v>
          </cell>
          <cell r="C842" t="str">
            <v>IC</v>
          </cell>
          <cell r="F842" t="str">
            <v>IC,SMD,CURR LIMIT SWITCH,SOT23-6</v>
          </cell>
        </row>
        <row r="843">
          <cell r="A843" t="str">
            <v>630-323466-001</v>
          </cell>
          <cell r="B843" t="str">
            <v>MAX5901NNETT+T</v>
          </cell>
          <cell r="C843" t="str">
            <v>IC</v>
          </cell>
          <cell r="F843" t="str">
            <v>IC,SMD,HOT-SWAP CONTROLLER,6TDFN</v>
          </cell>
        </row>
        <row r="844">
          <cell r="A844" t="str">
            <v>630-072603-001</v>
          </cell>
          <cell r="B844" t="str">
            <v>MAX5901NNEUT+</v>
          </cell>
          <cell r="C844" t="str">
            <v>IC</v>
          </cell>
          <cell r="F844" t="str">
            <v>IC,SMD,-V HOT SWAP CNTLR,ROHS</v>
          </cell>
        </row>
        <row r="845">
          <cell r="A845" t="str">
            <v>630-042919-004</v>
          </cell>
          <cell r="B845" t="str">
            <v>MAX5903ACEUT+</v>
          </cell>
          <cell r="C845" t="str">
            <v>IC</v>
          </cell>
          <cell r="F845" t="str">
            <v>IC,SMD,HOT SWAP CNTLR,POS 72V,ROHS</v>
          </cell>
        </row>
        <row r="846">
          <cell r="A846" t="str">
            <v>630-042919-001</v>
          </cell>
          <cell r="B846" t="str">
            <v>MAX5903NNEUT+</v>
          </cell>
          <cell r="C846" t="str">
            <v>IC</v>
          </cell>
          <cell r="F846" t="str">
            <v>IC,SMD,HOT SWAP CNTLR,POS 72V,ROHS</v>
          </cell>
        </row>
        <row r="847">
          <cell r="A847" t="str">
            <v>630-140331-001</v>
          </cell>
          <cell r="B847" t="str">
            <v>MAX5976AETE+</v>
          </cell>
          <cell r="C847" t="str">
            <v>IC</v>
          </cell>
          <cell r="F847" t="str">
            <v>IC,SMD,HOT SWAP,+18V,7A,ROHS</v>
          </cell>
        </row>
        <row r="848">
          <cell r="A848" t="str">
            <v>630-A94155-001</v>
          </cell>
          <cell r="B848" t="str">
            <v>MAX6612MXK+T</v>
          </cell>
          <cell r="C848" t="str">
            <v>IC</v>
          </cell>
          <cell r="F848" t="str">
            <v>IC,SMD,TEMP SNSR,-55 TO 150 DEG C,SC70-5</v>
          </cell>
        </row>
        <row r="849">
          <cell r="A849" t="str">
            <v>630-043000-001</v>
          </cell>
          <cell r="B849" t="str">
            <v>MAX6665ASA40+</v>
          </cell>
          <cell r="C849" t="str">
            <v>IC</v>
          </cell>
          <cell r="F849" t="str">
            <v>IC,SMD,FAN CNTLR/DRVR</v>
          </cell>
        </row>
        <row r="850">
          <cell r="A850" t="str">
            <v>630-B27066-001</v>
          </cell>
          <cell r="B850" t="str">
            <v>MAX6818EAP+T</v>
          </cell>
          <cell r="C850" t="str">
            <v>IC</v>
          </cell>
          <cell r="F850" t="str">
            <v>IC,SMD,SW DEBOUNCER,CMOS,2.7-5.5V,SSOP20</v>
          </cell>
        </row>
        <row r="851">
          <cell r="A851" t="str">
            <v>630-A95543-001</v>
          </cell>
          <cell r="B851" t="str">
            <v>MAX7317ATE+T</v>
          </cell>
          <cell r="C851" t="str">
            <v>IC</v>
          </cell>
          <cell r="F851" t="str">
            <v>IC,SMD,I/O EXPANDER,10PORT,16PIN,TQFN-EP</v>
          </cell>
        </row>
        <row r="852">
          <cell r="A852" t="str">
            <v>609-068260-001</v>
          </cell>
          <cell r="B852" t="str">
            <v>MBR140SFT1G</v>
          </cell>
          <cell r="C852" t="str">
            <v>DIO</v>
          </cell>
          <cell r="F852" t="str">
            <v>DIO,SMD,PWR,MBR140SFT1G,40V,1A,ROHS</v>
          </cell>
        </row>
        <row r="853">
          <cell r="A853" t="str">
            <v>609-098296-002</v>
          </cell>
          <cell r="B853" t="str">
            <v>MBRS130T3G</v>
          </cell>
          <cell r="C853" t="str">
            <v>DIO</v>
          </cell>
          <cell r="F853" t="str">
            <v>DIO,SMD,SCHOTTKY,1A,30V,SMB,ROHS</v>
          </cell>
        </row>
        <row r="854">
          <cell r="A854" t="str">
            <v>609-026501-001</v>
          </cell>
          <cell r="B854" t="str">
            <v>MBRS240LT3G</v>
          </cell>
          <cell r="C854" t="str">
            <v>DIO</v>
          </cell>
          <cell r="F854" t="str">
            <v>DIO,SMD,SCHOTTKY RECTIFIER,2A,40V</v>
          </cell>
        </row>
        <row r="855">
          <cell r="A855" t="str">
            <v>609-088967-001</v>
          </cell>
          <cell r="B855" t="str">
            <v>MBRS540T3G</v>
          </cell>
          <cell r="C855" t="str">
            <v>DIO</v>
          </cell>
          <cell r="F855" t="str">
            <v>DIO,SMD,SCHOTTKY,5A,40V,ROHS</v>
          </cell>
        </row>
        <row r="856">
          <cell r="A856" t="str">
            <v>635-121978-001</v>
          </cell>
          <cell r="B856" t="str">
            <v>MC-30632.7680K-A:ROHS</v>
          </cell>
          <cell r="C856" t="str">
            <v>OSC</v>
          </cell>
          <cell r="F856" t="str">
            <v>OSC,SMD,XTAL,32.768KHZ</v>
          </cell>
        </row>
        <row r="857">
          <cell r="A857" t="str">
            <v>635-121978-001</v>
          </cell>
          <cell r="B857" t="str">
            <v>MC-306 32.7680K-A0: ROHS</v>
          </cell>
          <cell r="C857" t="str">
            <v>OSC</v>
          </cell>
          <cell r="F857" t="str">
            <v>OSC,SMD,XTAL,32.768KHZ</v>
          </cell>
        </row>
        <row r="858">
          <cell r="A858" t="str">
            <v>635-121978-001</v>
          </cell>
          <cell r="B858" t="str">
            <v>MC-30632.7680K-A3:ROHS</v>
          </cell>
          <cell r="C858" t="str">
            <v>OSC</v>
          </cell>
          <cell r="F858" t="str">
            <v>OSC,SMD,XTAL,32.768KHZ</v>
          </cell>
        </row>
        <row r="859">
          <cell r="A859" t="str">
            <v>635-121978-001</v>
          </cell>
          <cell r="B859" t="str">
            <v>MC-30632.7680K-A5:ROHS</v>
          </cell>
          <cell r="C859" t="str">
            <v>OSC</v>
          </cell>
          <cell r="F859" t="str">
            <v>OSC,SMD,XTAL,32.768KHZ</v>
          </cell>
        </row>
        <row r="860">
          <cell r="A860" t="str">
            <v>630-099034-011</v>
          </cell>
          <cell r="B860" t="str">
            <v>MC74HC11D</v>
          </cell>
          <cell r="C860" t="str">
            <v>IC</v>
          </cell>
          <cell r="F860" t="str">
            <v>IC,SMD,74HC11 3-IN AND SO14</v>
          </cell>
        </row>
        <row r="861">
          <cell r="A861" t="str">
            <v>630-A89170-001</v>
          </cell>
          <cell r="B861" t="str">
            <v>MCP23S18-E/SO</v>
          </cell>
          <cell r="C861" t="str">
            <v>IC</v>
          </cell>
          <cell r="F861" t="str">
            <v>IC,SMD,I/O EXPANDER,16BIT,W/SPI,SOIC-28</v>
          </cell>
        </row>
        <row r="862">
          <cell r="A862" t="str">
            <v>615-055213-470</v>
          </cell>
          <cell r="B862" t="str">
            <v>MCR10EZPF4701</v>
          </cell>
          <cell r="C862" t="str">
            <v>RES</v>
          </cell>
          <cell r="F862" t="str">
            <v>RES,SMD,TF,0805,4.70K OHM 1%,1/8W,ROHS</v>
          </cell>
        </row>
        <row r="863">
          <cell r="A863" t="str">
            <v>28-10031-00</v>
          </cell>
          <cell r="B863" t="str">
            <v>MCRC1/4G203JT-RH</v>
          </cell>
          <cell r="C863" t="str">
            <v>RES</v>
          </cell>
          <cell r="F863" t="str">
            <v>RES,CARBON CMPSN,20K OHM,1/4W,5%,THT</v>
          </cell>
        </row>
        <row r="864">
          <cell r="A864" t="str">
            <v>28-00078-00</v>
          </cell>
          <cell r="B864" t="str">
            <v>MCRC1/4G472JT-RH</v>
          </cell>
          <cell r="C864" t="str">
            <v>RES</v>
          </cell>
          <cell r="F864" t="str">
            <v>RES,CARBON CMPSN,4.7K OHM,1/4W,5%,THT</v>
          </cell>
        </row>
        <row r="865">
          <cell r="A865" t="str">
            <v>630-144729-001</v>
          </cell>
          <cell r="B865" t="str">
            <v>MCT62SD</v>
          </cell>
          <cell r="C865" t="str">
            <v>IC</v>
          </cell>
          <cell r="F865" t="str">
            <v>IC,SMD,DUAL PHOTOTRANSISTOR OPTOCOUPLER</v>
          </cell>
        </row>
        <row r="866">
          <cell r="A866" t="str">
            <v>618-152059-001</v>
          </cell>
          <cell r="B866" t="str">
            <v>MDN1365-2</v>
          </cell>
          <cell r="C866" t="str">
            <v>RES</v>
          </cell>
          <cell r="F866" t="str">
            <v>RES,METAL FILM,MATCHED SET,50M,0.01%</v>
          </cell>
        </row>
        <row r="867">
          <cell r="A867" t="str">
            <v>677-B14836-001</v>
          </cell>
          <cell r="B867" t="str">
            <v>MF40100V1-1000U-G99</v>
          </cell>
          <cell r="C867" t="str">
            <v>FAN</v>
          </cell>
          <cell r="D867" t="str">
            <v>AC Box</v>
          </cell>
          <cell r="F867" t="str">
            <v>FAN,5VDC,.136A,40X40X10MM,8CFM,VAPO BRG</v>
          </cell>
        </row>
        <row r="868">
          <cell r="A868" t="str">
            <v>682-341005-002</v>
          </cell>
          <cell r="B868" t="str">
            <v>MF-LSMF260X-2</v>
          </cell>
          <cell r="C868" t="str">
            <v>FUSE</v>
          </cell>
          <cell r="D868" t="str">
            <v>AC Box</v>
          </cell>
          <cell r="F868" t="str">
            <v>FUSE,SMD,RESETTABLE PTC,2.6A,24V,2920</v>
          </cell>
        </row>
        <row r="869">
          <cell r="A869" t="str">
            <v>618-082852-100</v>
          </cell>
          <cell r="B869" t="str">
            <v>MG735-100M-1%</v>
          </cell>
          <cell r="C869" t="str">
            <v>RES</v>
          </cell>
          <cell r="F869" t="str">
            <v>RES,HV,MG735,1%,3.6W,80PPM,100M OHM,ROHS</v>
          </cell>
        </row>
        <row r="870">
          <cell r="A870" t="str">
            <v>609-B31647-001</v>
          </cell>
          <cell r="B870" t="str">
            <v>MMBD452LT1G</v>
          </cell>
          <cell r="C870" t="str">
            <v>DIO</v>
          </cell>
          <cell r="F870" t="str">
            <v>DIO,SMD,SCHOTTKY,RF,SER,30V,SOT-23</v>
          </cell>
        </row>
        <row r="871">
          <cell r="A871" t="str">
            <v>626-A97841-001</v>
          </cell>
          <cell r="B871" t="str">
            <v>MMBT2222ALT3G</v>
          </cell>
          <cell r="C871" t="str">
            <v>XSTR</v>
          </cell>
          <cell r="F871" t="str">
            <v>XSTR,SMD,NPN,40V,0.6A,300MHZ,SOT-23</v>
          </cell>
        </row>
        <row r="872">
          <cell r="A872" t="str">
            <v>626-267696-001</v>
          </cell>
          <cell r="B872" t="str">
            <v>MMBT5087LT1G</v>
          </cell>
          <cell r="C872" t="str">
            <v>XSTR</v>
          </cell>
          <cell r="F872" t="str">
            <v>XSTR,SMD,PNP,50V,.05A,300MW,SOT-23</v>
          </cell>
        </row>
        <row r="873">
          <cell r="A873" t="str">
            <v>609-004010-075</v>
          </cell>
          <cell r="B873" t="str">
            <v>MMBZ5236BLT1G</v>
          </cell>
          <cell r="C873" t="str">
            <v>DIO</v>
          </cell>
          <cell r="F873" t="str">
            <v>DIO,SMD,ZENER,225MW,MMBZ,7.5V ROHS</v>
          </cell>
        </row>
        <row r="874">
          <cell r="A874" t="str">
            <v>609-004010-100</v>
          </cell>
          <cell r="B874" t="str">
            <v>MMBZ5240BLT1G</v>
          </cell>
          <cell r="C874" t="str">
            <v>DIO</v>
          </cell>
          <cell r="F874" t="str">
            <v>DIO,SMD,ZENER,225MW,MMBZ,10V,ROHS</v>
          </cell>
        </row>
        <row r="875">
          <cell r="A875" t="str">
            <v>626-A56166-001</v>
          </cell>
          <cell r="B875" t="str">
            <v>MMSTA56Q-7-F</v>
          </cell>
          <cell r="C875" t="str">
            <v>XSTR</v>
          </cell>
          <cell r="F875" t="str">
            <v>XSTR,SMD,PNP,80V,500MA,50MHZ,200MW</v>
          </cell>
        </row>
        <row r="876">
          <cell r="A876" t="str">
            <v>609-117540-002</v>
          </cell>
          <cell r="B876" t="str">
            <v>MMSZ11T1G</v>
          </cell>
          <cell r="C876" t="str">
            <v>DIO</v>
          </cell>
          <cell r="F876" t="str">
            <v>DIO,SMD,ZENER,11V,500MW,SOD-123,ROHS</v>
          </cell>
        </row>
        <row r="877">
          <cell r="A877" t="str">
            <v>618-213909-001</v>
          </cell>
          <cell r="B877" t="str">
            <v>MOX93021004FVE</v>
          </cell>
          <cell r="C877" t="str">
            <v>RES</v>
          </cell>
          <cell r="F877" t="str">
            <v>RES,METAL FILM,1M OHM</v>
          </cell>
        </row>
        <row r="878">
          <cell r="A878" t="str">
            <v>639-B11503-001</v>
          </cell>
          <cell r="B878" t="str">
            <v>MPZ1005F470ETD25</v>
          </cell>
          <cell r="C878" t="str">
            <v>FERRITE</v>
          </cell>
          <cell r="F878" t="str">
            <v>FERRITE BEAD,47OHM,100MHZ,25% TOL,.45A</v>
          </cell>
        </row>
        <row r="879">
          <cell r="A879" t="str">
            <v>615-121726-042</v>
          </cell>
          <cell r="B879" t="str">
            <v>MR04X1201FTL</v>
          </cell>
          <cell r="C879" t="str">
            <v>RES</v>
          </cell>
          <cell r="F879" t="str">
            <v>RES,SMD,1.2K,1/10W,1%,0402</v>
          </cell>
        </row>
        <row r="880">
          <cell r="A880" t="str">
            <v>615-121726-050</v>
          </cell>
          <cell r="B880" t="str">
            <v>MR04X1501FTL</v>
          </cell>
          <cell r="C880" t="str">
            <v>RES</v>
          </cell>
          <cell r="F880" t="str">
            <v>RES,SMD,1.5K,1/10W,1%,0402</v>
          </cell>
        </row>
        <row r="881">
          <cell r="A881" t="str">
            <v>615-121726-073</v>
          </cell>
          <cell r="B881" t="str">
            <v>MR04X1502FTL</v>
          </cell>
          <cell r="C881" t="str">
            <v>RES</v>
          </cell>
          <cell r="F881" t="str">
            <v>RES,SMD,15K,1/10W,1%,0402</v>
          </cell>
        </row>
        <row r="882">
          <cell r="A882" t="str">
            <v>615-121726-161</v>
          </cell>
          <cell r="B882" t="str">
            <v>MR04X1600FTL</v>
          </cell>
          <cell r="C882" t="str">
            <v>RES</v>
          </cell>
          <cell r="F882" t="str">
            <v>RES,SMD,1/10W,1%,0402</v>
          </cell>
        </row>
        <row r="883">
          <cell r="A883" t="str">
            <v>615-121726-008</v>
          </cell>
          <cell r="B883" t="str">
            <v>MR04X20R0FTL</v>
          </cell>
          <cell r="C883" t="str">
            <v>RES</v>
          </cell>
          <cell r="F883" t="str">
            <v>RES,SMD,20 OHM,1/10W,1%,0402</v>
          </cell>
        </row>
        <row r="884">
          <cell r="A884" t="str">
            <v>615-121726-069</v>
          </cell>
          <cell r="B884" t="str">
            <v>MR04X2703FTL</v>
          </cell>
          <cell r="C884" t="str">
            <v>RES</v>
          </cell>
          <cell r="F884" t="str">
            <v>RES,SMD,270K,1/10W,1%,0402</v>
          </cell>
        </row>
        <row r="885">
          <cell r="A885" t="str">
            <v>615-121726-322</v>
          </cell>
          <cell r="B885" t="str">
            <v>MR04X3241FTL</v>
          </cell>
          <cell r="C885" t="str">
            <v>RES</v>
          </cell>
          <cell r="F885" t="str">
            <v>RES,SMD,3.24K,1/10W,1%,0402</v>
          </cell>
        </row>
        <row r="886">
          <cell r="A886" t="str">
            <v>615-121726-033</v>
          </cell>
          <cell r="B886" t="str">
            <v>MR04X33R0FTL</v>
          </cell>
          <cell r="C886" t="str">
            <v>RES</v>
          </cell>
          <cell r="F886" t="str">
            <v>RES,SMD,33 OHM,1/10W,1%,0402</v>
          </cell>
        </row>
        <row r="887">
          <cell r="A887" t="str">
            <v>615-121726-059</v>
          </cell>
          <cell r="B887" t="str">
            <v>MR04X3901FTL</v>
          </cell>
          <cell r="C887" t="str">
            <v>RES</v>
          </cell>
          <cell r="F887" t="str">
            <v>RES,SMD,3.9K,1/10W,1%,0402</v>
          </cell>
        </row>
        <row r="888">
          <cell r="A888" t="str">
            <v>615-121726-432</v>
          </cell>
          <cell r="B888" t="str">
            <v>MR04X4323FTL</v>
          </cell>
          <cell r="C888" t="str">
            <v>RES</v>
          </cell>
          <cell r="F888" t="str">
            <v>RES,SMD,432K,1/10W,1%,0402</v>
          </cell>
        </row>
        <row r="889">
          <cell r="A889" t="str">
            <v>615-121726-121</v>
          </cell>
          <cell r="B889" t="str">
            <v>MR04X4422FTL</v>
          </cell>
          <cell r="C889" t="str">
            <v>RES</v>
          </cell>
          <cell r="F889" t="str">
            <v>RES,SMD,44.2K,1/10W,1%,0402</v>
          </cell>
        </row>
        <row r="890">
          <cell r="A890" t="str">
            <v>615-121726-214</v>
          </cell>
          <cell r="B890" t="str">
            <v>MR04X4873FTL</v>
          </cell>
          <cell r="C890" t="str">
            <v>RES</v>
          </cell>
          <cell r="F890" t="str">
            <v>RES,SMD,487K OHM,1/10W,1%,0402</v>
          </cell>
        </row>
        <row r="891">
          <cell r="A891" t="str">
            <v>615-121726-086</v>
          </cell>
          <cell r="B891" t="str">
            <v>MR04X5102FTL</v>
          </cell>
          <cell r="C891" t="str">
            <v>RES</v>
          </cell>
          <cell r="F891" t="str">
            <v>RES,SMD,51K,1/10W,1%,0402</v>
          </cell>
        </row>
        <row r="892">
          <cell r="A892" t="str">
            <v>615-121726-216</v>
          </cell>
          <cell r="B892" t="str">
            <v>MR04X6042FTL</v>
          </cell>
          <cell r="C892" t="str">
            <v>RES</v>
          </cell>
          <cell r="F892" t="str">
            <v>RES,SMD,60.4K OHM,1/10W,1%,0402</v>
          </cell>
        </row>
        <row r="893">
          <cell r="A893" t="str">
            <v>618-010908-100</v>
          </cell>
          <cell r="B893" t="str">
            <v>MS310-10.0M-0.1%</v>
          </cell>
          <cell r="C893" t="str">
            <v>RES</v>
          </cell>
          <cell r="F893" t="str">
            <v>RES,METAL FILM,10M,0.1%</v>
          </cell>
        </row>
        <row r="894">
          <cell r="A894" t="str">
            <v>619-095611-104</v>
          </cell>
          <cell r="B894" t="str">
            <v>MS315-100K-1.0%</v>
          </cell>
          <cell r="C894" t="str">
            <v>RES</v>
          </cell>
          <cell r="F894" t="str">
            <v>RES,6KV,15W,1%,100K,NON-1ND</v>
          </cell>
        </row>
        <row r="895">
          <cell r="A895" t="str">
            <v>639-066560-224</v>
          </cell>
          <cell r="B895" t="str">
            <v>MSS1278-224KLD</v>
          </cell>
          <cell r="C895" t="str">
            <v>IDCTR</v>
          </cell>
          <cell r="F895" t="str">
            <v>IDCTR,SMD,PWR,10%,220UH,ROHS</v>
          </cell>
        </row>
        <row r="896">
          <cell r="A896" t="str">
            <v>639-066560-393</v>
          </cell>
          <cell r="B896" t="str">
            <v>MSS1278-393MLD</v>
          </cell>
          <cell r="C896" t="str">
            <v>IDCTR</v>
          </cell>
          <cell r="F896" t="str">
            <v>IDCTR,SMD,PWR,20%,39UH,ROHS</v>
          </cell>
        </row>
        <row r="897">
          <cell r="A897" t="str">
            <v>639-066560-473</v>
          </cell>
          <cell r="B897" t="str">
            <v>MSS1278-473MLD</v>
          </cell>
          <cell r="C897" t="str">
            <v>IDCTR</v>
          </cell>
          <cell r="F897" t="str">
            <v>IDCTR,SMD,PWR,20%,47UH,ROHS</v>
          </cell>
        </row>
        <row r="898">
          <cell r="A898" t="str">
            <v>32-10023-00</v>
          </cell>
          <cell r="B898" t="str">
            <v>MT112TB-RG-A</v>
          </cell>
          <cell r="C898" t="str">
            <v>LED</v>
          </cell>
          <cell r="F898" t="str">
            <v>LED,RED RECTANGULAR,ROHS</v>
          </cell>
        </row>
        <row r="899">
          <cell r="A899" t="str">
            <v>630-337691-001</v>
          </cell>
          <cell r="B899" t="str">
            <v>MT40A256M16LY-062E AAT:F</v>
          </cell>
          <cell r="C899" t="str">
            <v>IC</v>
          </cell>
          <cell r="F899" t="str">
            <v>IC,SMD,256 MEGX16,SDRAM-DDR4,96 PIN,FBGA</v>
          </cell>
        </row>
        <row r="900">
          <cell r="A900" t="str">
            <v>630-337691-001</v>
          </cell>
          <cell r="B900" t="str">
            <v>MT40A256M16LY-062E AIT:F</v>
          </cell>
          <cell r="C900" t="str">
            <v>IC</v>
          </cell>
          <cell r="F900" t="str">
            <v>IC,SMD,256 MEGX16,SDRAM-DDR4,96 PIN,FBGA</v>
          </cell>
        </row>
        <row r="901">
          <cell r="A901" t="str">
            <v>630-337691-001</v>
          </cell>
          <cell r="B901" t="str">
            <v>MT40A256M16LY-062E AUT:F</v>
          </cell>
          <cell r="C901" t="str">
            <v>IC</v>
          </cell>
          <cell r="F901" t="str">
            <v>IC,SMD,256 MEGX16,SDRAM-DDR4,96 PIN,FBGA</v>
          </cell>
        </row>
        <row r="902">
          <cell r="A902" t="str">
            <v>630-B35278-001</v>
          </cell>
          <cell r="B902" t="str">
            <v>MT40A512M16TB-062E:R</v>
          </cell>
          <cell r="C902" t="str">
            <v>IC</v>
          </cell>
          <cell r="F902" t="str">
            <v>IC,SMD,512 MEGX16,SDRAM-DDR4,96 PIN,FBGA</v>
          </cell>
        </row>
        <row r="903">
          <cell r="A903" t="str">
            <v>630-120971-001</v>
          </cell>
          <cell r="B903" t="str">
            <v>MT47H128M16RT-25E:C</v>
          </cell>
          <cell r="C903" t="str">
            <v>IC</v>
          </cell>
          <cell r="F903" t="str">
            <v>IC,SMD,2G BITS,128MX16,DDR2 SRAM,ROHS</v>
          </cell>
        </row>
        <row r="904">
          <cell r="A904" t="str">
            <v>630-A92150-001</v>
          </cell>
          <cell r="B904" t="str">
            <v>MTFC64GAZAQHD-IT</v>
          </cell>
          <cell r="C904" t="str">
            <v>IC</v>
          </cell>
          <cell r="F904" t="str">
            <v>IC,MEM,EMMC,NAND FLASH,256GB,VFBGA-153</v>
          </cell>
        </row>
        <row r="905">
          <cell r="A905" t="str">
            <v>630-334660-001</v>
          </cell>
          <cell r="B905" t="str">
            <v>MTFC8GAKAJCN-4M IT</v>
          </cell>
          <cell r="C905" t="str">
            <v>IC</v>
          </cell>
          <cell r="F905" t="str">
            <v>IC,SMD,FBGA,153 PIN,NAND FLASH MEM,8GBX8</v>
          </cell>
        </row>
        <row r="906">
          <cell r="A906" t="str">
            <v>668-B29177-001</v>
          </cell>
          <cell r="B906" t="str">
            <v>MTSW-116-22-T-S-440</v>
          </cell>
          <cell r="C906" t="str">
            <v>CONN</v>
          </cell>
          <cell r="F906" t="str">
            <v>CONN,HDR,PLUG,16POSN,1ROW,.1IN PITCH,TH</v>
          </cell>
        </row>
        <row r="907">
          <cell r="A907" t="str">
            <v>630-340180-001</v>
          </cell>
          <cell r="B907" t="str">
            <v>N24C02UVTG</v>
          </cell>
          <cell r="C907" t="str">
            <v>IC</v>
          </cell>
          <cell r="F907" t="str">
            <v>IC,SMD,EEPROM,8PIN,2KB,I2C,1.6-5.5V,US 8</v>
          </cell>
        </row>
        <row r="908">
          <cell r="A908" t="str">
            <v>630-118107-001</v>
          </cell>
          <cell r="B908" t="str">
            <v>N25Q128A13ESFA0F</v>
          </cell>
          <cell r="C908" t="str">
            <v>IC</v>
          </cell>
          <cell r="F908" t="str">
            <v>IC,SMD,128MB, MULTI I/O SERIAL FLASH MEM</v>
          </cell>
        </row>
        <row r="909">
          <cell r="A909" t="str">
            <v>668-092915-026</v>
          </cell>
          <cell r="B909" t="str">
            <v>N3429-6303RB</v>
          </cell>
          <cell r="C909" t="str">
            <v>CONN</v>
          </cell>
          <cell r="F909" t="str">
            <v>CONN,HDR,PCB MT,.100 CTR 26P,ROHS</v>
          </cell>
        </row>
        <row r="910">
          <cell r="A910" t="str">
            <v>630-032533-001</v>
          </cell>
          <cell r="B910" t="str">
            <v>NE556DR</v>
          </cell>
          <cell r="C910" t="str">
            <v>IC</v>
          </cell>
          <cell r="F910" t="str">
            <v>IC,SMD,TMR,DUAL PRCN,4.5-16V,SOIC-14</v>
          </cell>
        </row>
        <row r="911">
          <cell r="A911" t="str">
            <v>630-032533-001</v>
          </cell>
          <cell r="B911" t="str">
            <v>NA556DR</v>
          </cell>
          <cell r="C911" t="str">
            <v>IC</v>
          </cell>
          <cell r="F911" t="str">
            <v>IC,SMD,TMR,DUAL PRCN,4.5-16V,SOIC-14</v>
          </cell>
        </row>
        <row r="912">
          <cell r="A912" t="str">
            <v>630-089762-001</v>
          </cell>
          <cell r="B912" t="str">
            <v>NC7WZ14L6X</v>
          </cell>
          <cell r="C912" t="str">
            <v>IC</v>
          </cell>
          <cell r="F912" t="str">
            <v>IC,SMD,INVTR,DUAL,SCHMITT TRIG,1.0MM</v>
          </cell>
        </row>
        <row r="913">
          <cell r="A913" t="str">
            <v>630-089762-001</v>
          </cell>
          <cell r="B913" t="str">
            <v>NC7WZ14L6X-L22175</v>
          </cell>
          <cell r="C913" t="str">
            <v>IC</v>
          </cell>
          <cell r="F913" t="str">
            <v>IC,SMD,INVTR,DUAL,SCHMITT TRIG,1.0MM</v>
          </cell>
        </row>
        <row r="914">
          <cell r="A914" t="str">
            <v>630-293745-001</v>
          </cell>
          <cell r="B914" t="str">
            <v>NCV7608DQR2G</v>
          </cell>
          <cell r="C914" t="str">
            <v>IC</v>
          </cell>
          <cell r="F914" t="str">
            <v>IC,SMD,DRIVER,LO/HI SIDE,8 CH</v>
          </cell>
        </row>
        <row r="915">
          <cell r="A915" t="str">
            <v>648-068442-101</v>
          </cell>
          <cell r="B915" t="str">
            <v>NMC0603NPO101J50TRPF</v>
          </cell>
          <cell r="C915" t="str">
            <v>CAP</v>
          </cell>
          <cell r="F915" t="str">
            <v>CAP,0603,CER,COG,5%,50V 100PF ROHS</v>
          </cell>
        </row>
        <row r="916">
          <cell r="A916" t="str">
            <v>648-068442-180</v>
          </cell>
          <cell r="B916" t="str">
            <v>NMC0603NPO180J50TRPF</v>
          </cell>
          <cell r="C916" t="str">
            <v>CAP</v>
          </cell>
          <cell r="F916" t="str">
            <v>CAP,0603,CER,COG,50V,18PF,ROHS</v>
          </cell>
        </row>
        <row r="917">
          <cell r="A917" t="str">
            <v>648-051878-222</v>
          </cell>
          <cell r="B917" t="str">
            <v>NMC0603X7R222K50TRPF</v>
          </cell>
          <cell r="C917" t="str">
            <v>CAP</v>
          </cell>
          <cell r="F917" t="str">
            <v>CAP,SMD,0603,2200PF,50V,10%,X7R,ROHS</v>
          </cell>
        </row>
        <row r="918">
          <cell r="A918" t="str">
            <v>639-250153-001</v>
          </cell>
          <cell r="B918" t="str">
            <v>NR6028T470M</v>
          </cell>
          <cell r="C918" t="str">
            <v>IDCTR</v>
          </cell>
          <cell r="F918" t="str">
            <v>IDCTR,SMD,47UH,20%TOL,950MA,300MOHM,NR</v>
          </cell>
        </row>
        <row r="919">
          <cell r="A919" t="str">
            <v>626-B20598-001</v>
          </cell>
          <cell r="B919" t="str">
            <v>NTMFS5C460NLT1G</v>
          </cell>
          <cell r="C919" t="str">
            <v>XSTR</v>
          </cell>
          <cell r="F919" t="str">
            <v>XSTR,SMD,MOSFET,N-CHAN,40V,78A,DFN5</v>
          </cell>
        </row>
        <row r="920">
          <cell r="A920" t="str">
            <v>626-A72008-001</v>
          </cell>
          <cell r="B920" t="str">
            <v>NTTFS015N04CTAG</v>
          </cell>
          <cell r="C920" t="str">
            <v>XSTR</v>
          </cell>
          <cell r="F920" t="str">
            <v>XSTR,SMD,FIELD EFT,N-CHAN,40V,27A,WDFN8</v>
          </cell>
        </row>
        <row r="921">
          <cell r="A921" t="str">
            <v>626-A72008-001</v>
          </cell>
          <cell r="B921" t="str">
            <v>NTTFS015N04C</v>
          </cell>
          <cell r="C921" t="str">
            <v>XSTR</v>
          </cell>
          <cell r="F921" t="str">
            <v>XSTR,SMD,FIELD EFT,N-CHAN,40V,27A,WDFN8</v>
          </cell>
        </row>
        <row r="922">
          <cell r="A922" t="str">
            <v>630-344253-002</v>
          </cell>
          <cell r="B922" t="str">
            <v>OP284ESZ-REEL7</v>
          </cell>
          <cell r="C922" t="str">
            <v>IC</v>
          </cell>
          <cell r="F922" t="str">
            <v>IC,OPAMP,PRCN,DUAL,4MHZ,SOIC8,RAIL-RAIL</v>
          </cell>
        </row>
        <row r="923">
          <cell r="A923" t="str">
            <v>630-B25236-001</v>
          </cell>
          <cell r="B923" t="str">
            <v>OPA1671IDBVR</v>
          </cell>
          <cell r="C923" t="str">
            <v>IC</v>
          </cell>
          <cell r="F923" t="str">
            <v>IC,SMD,OP AMP,SGL,13MHZ,1.7-5.5V,SOT-23</v>
          </cell>
        </row>
        <row r="924">
          <cell r="A924" t="str">
            <v>630-004007-001</v>
          </cell>
          <cell r="B924" t="str">
            <v>OPA2132U/2K5</v>
          </cell>
          <cell r="C924" t="str">
            <v>IC</v>
          </cell>
          <cell r="F924" t="str">
            <v>IC,SMD,OPA2132U,OPAMP,FET,ROHS</v>
          </cell>
        </row>
        <row r="925">
          <cell r="A925" t="str">
            <v>630-004007-001</v>
          </cell>
          <cell r="B925" t="str">
            <v>OPA2132U/2K5E4</v>
          </cell>
          <cell r="C925" t="str">
            <v>IC</v>
          </cell>
        </row>
        <row r="926">
          <cell r="A926" t="str">
            <v>630-004007-001</v>
          </cell>
          <cell r="B926" t="str">
            <v>OPA2132U/2K5G4</v>
          </cell>
          <cell r="C926" t="str">
            <v>IC</v>
          </cell>
        </row>
        <row r="927">
          <cell r="A927" t="str">
            <v>630-061092-002</v>
          </cell>
          <cell r="B927" t="str">
            <v>OPA2277UA/2K5</v>
          </cell>
          <cell r="C927" t="str">
            <v>IC</v>
          </cell>
          <cell r="F927" t="str">
            <v>IC,SMD,OPAMP,DUAL,OPA2277UA,SO-8,ROHS</v>
          </cell>
        </row>
        <row r="928">
          <cell r="A928" t="str">
            <v>630-105350-001</v>
          </cell>
          <cell r="B928" t="str">
            <v>OPA2340UA/2K5</v>
          </cell>
          <cell r="C928" t="str">
            <v>IC</v>
          </cell>
          <cell r="F928" t="str">
            <v>IC,SMD,OPAMP GP R-R 5.5MHZ ROHS</v>
          </cell>
        </row>
        <row r="929">
          <cell r="A929" t="str">
            <v>630-A73078-001</v>
          </cell>
          <cell r="B929" t="str">
            <v>OPA2991IDDFR</v>
          </cell>
          <cell r="C929" t="str">
            <v>IC</v>
          </cell>
          <cell r="F929" t="str">
            <v>IC,SMD,OP-AMP,2CKT,75MA,2.7-40V,SOT-23-8</v>
          </cell>
        </row>
        <row r="930">
          <cell r="A930" t="str">
            <v>631-015265-001</v>
          </cell>
          <cell r="B930" t="str">
            <v>OPA548T</v>
          </cell>
          <cell r="C930" t="str">
            <v>IC</v>
          </cell>
          <cell r="F930" t="str">
            <v>IC,PWR OPAMP,TO-220,OPA548T,ROHS</v>
          </cell>
        </row>
        <row r="931">
          <cell r="A931" t="str">
            <v>630-A57202-001</v>
          </cell>
          <cell r="B931" t="str">
            <v>OPA691IDBVT</v>
          </cell>
          <cell r="C931" t="str">
            <v>IC</v>
          </cell>
          <cell r="F931" t="str">
            <v>IC,SMD,OPAMP,CFA,1CKT,280MHZ,SOT23-6</v>
          </cell>
        </row>
        <row r="932">
          <cell r="A932" t="str">
            <v>630-A61701-125</v>
          </cell>
          <cell r="B932" t="str">
            <v>ORDERTOSPECIFICATION</v>
          </cell>
          <cell r="C932" t="str">
            <v>IC</v>
          </cell>
          <cell r="F932" t="str">
            <v>IC,SMD,QUAD BFR,NON INVERTING,TSSOP-14</v>
          </cell>
        </row>
        <row r="933">
          <cell r="A933" t="str">
            <v>720-001000-005</v>
          </cell>
          <cell r="B933" t="str">
            <v>ORDERTOSPECIFICATION</v>
          </cell>
          <cell r="C933" t="str">
            <v>SCR</v>
          </cell>
          <cell r="D933" t="str">
            <v>Hardware</v>
          </cell>
          <cell r="F933" t="str">
            <v>SCR, PNH, PH, 4-40</v>
          </cell>
        </row>
        <row r="934">
          <cell r="A934" t="str">
            <v>720-001001-004</v>
          </cell>
          <cell r="B934" t="str">
            <v>ORDERTOSPECIFICATION</v>
          </cell>
          <cell r="C934" t="str">
            <v>SCR</v>
          </cell>
          <cell r="D934" t="str">
            <v>Hardware</v>
          </cell>
          <cell r="F934" t="str">
            <v>SCR,PNH,6-32 X 1/4 LG</v>
          </cell>
        </row>
        <row r="935">
          <cell r="A935" t="str">
            <v>721-000926-001</v>
          </cell>
          <cell r="B935" t="str">
            <v>ORDERTOSPECIFICATION</v>
          </cell>
          <cell r="C935" t="str">
            <v>WASHER</v>
          </cell>
          <cell r="D935" t="str">
            <v>Hardware</v>
          </cell>
          <cell r="F935" t="str">
            <v>WSHR, FLT, #4</v>
          </cell>
        </row>
        <row r="936">
          <cell r="A936" t="str">
            <v>722-007855-001</v>
          </cell>
          <cell r="B936" t="str">
            <v>ORDERTOSPECIFICATION</v>
          </cell>
          <cell r="C936" t="str">
            <v>NUT</v>
          </cell>
          <cell r="D936" t="str">
            <v>Hardware</v>
          </cell>
          <cell r="F936" t="str">
            <v>NUT, KEPS, 4-40</v>
          </cell>
        </row>
        <row r="937">
          <cell r="A937" t="str">
            <v>728-061060-010</v>
          </cell>
          <cell r="B937" t="str">
            <v>ORDERTOSPECIFICATION</v>
          </cell>
          <cell r="C937" t="str">
            <v>SCR</v>
          </cell>
          <cell r="D937" t="str">
            <v>Hardware</v>
          </cell>
          <cell r="F937" t="str">
            <v>SCR,PNH,PH,M5 X .8 X 10mm</v>
          </cell>
        </row>
        <row r="938">
          <cell r="A938" t="str">
            <v>728-061063-008</v>
          </cell>
          <cell r="B938" t="str">
            <v>ORDERTOSPECIFICATION</v>
          </cell>
          <cell r="C938" t="str">
            <v>SCR</v>
          </cell>
          <cell r="D938" t="str">
            <v>Hardware</v>
          </cell>
          <cell r="F938" t="str">
            <v>SCR,SOC HD,M4 X .7 X 8MM,DIN 912,SST</v>
          </cell>
        </row>
        <row r="939">
          <cell r="A939" t="str">
            <v>728-061615-005</v>
          </cell>
          <cell r="B939" t="str">
            <v>ORDERTOSPECIFICATION</v>
          </cell>
          <cell r="C939" t="str">
            <v>SCR</v>
          </cell>
          <cell r="D939" t="str">
            <v>Hardware</v>
          </cell>
          <cell r="F939" t="str">
            <v>SCR,PAN HD,PH,M2.5 X .45 3/16</v>
          </cell>
        </row>
        <row r="940">
          <cell r="A940" t="str">
            <v>728-328365-010</v>
          </cell>
          <cell r="B940" t="str">
            <v>ORDERTOSPECIFICATION</v>
          </cell>
          <cell r="C940" t="str">
            <v>SCR</v>
          </cell>
          <cell r="D940" t="str">
            <v>Hardware</v>
          </cell>
          <cell r="F940" t="str">
            <v>SCR,BTNHD,SKT,M3X0.5 THD,10MM LG,BRS</v>
          </cell>
        </row>
        <row r="941">
          <cell r="A941" t="str">
            <v>729-061056-005</v>
          </cell>
          <cell r="B941" t="str">
            <v>ORDERTOSPECIFICATION</v>
          </cell>
          <cell r="C941" t="str">
            <v>WASHER</v>
          </cell>
          <cell r="D941" t="str">
            <v>Hardware</v>
          </cell>
          <cell r="F941" t="str">
            <v>WASHER,FLAT,M5</v>
          </cell>
        </row>
        <row r="942">
          <cell r="A942" t="str">
            <v>729-061057-005</v>
          </cell>
          <cell r="B942" t="str">
            <v>ORDERTOSPECIFICATION</v>
          </cell>
          <cell r="C942" t="str">
            <v>WASHER</v>
          </cell>
          <cell r="D942" t="str">
            <v>Hardware</v>
          </cell>
          <cell r="F942" t="str">
            <v>WASHER,SPLIT-LOCK,M5</v>
          </cell>
        </row>
        <row r="943">
          <cell r="A943" t="str">
            <v>720-001000-003</v>
          </cell>
          <cell r="B943" t="str">
            <v>ORDERTOSPECIFICATION</v>
          </cell>
          <cell r="C943" t="str">
            <v>SCR</v>
          </cell>
          <cell r="D943" t="str">
            <v>Hardware</v>
          </cell>
          <cell r="F943" t="str">
            <v>SCR, PNH, PH, 4-40</v>
          </cell>
        </row>
        <row r="944">
          <cell r="A944" t="str">
            <v>720-001000-004</v>
          </cell>
          <cell r="B944" t="str">
            <v>ORDERTOSPECIFICATION</v>
          </cell>
          <cell r="C944" t="str">
            <v>SCR</v>
          </cell>
          <cell r="D944" t="str">
            <v>Hardware</v>
          </cell>
          <cell r="F944" t="str">
            <v>SCR, PNH, PH, 4-40</v>
          </cell>
        </row>
        <row r="945">
          <cell r="A945" t="str">
            <v>729-061056-004</v>
          </cell>
          <cell r="B945" t="str">
            <v>ORDERTOSPECIFICATION</v>
          </cell>
          <cell r="C945" t="str">
            <v>WASHER</v>
          </cell>
          <cell r="D945" t="str">
            <v>Hardware</v>
          </cell>
          <cell r="F945" t="str">
            <v>WASHER,FLAT,M4</v>
          </cell>
        </row>
        <row r="946">
          <cell r="A946" t="str">
            <v>729-061057-004</v>
          </cell>
          <cell r="B946" t="str">
            <v>ORDERTOSPECIFICATION</v>
          </cell>
          <cell r="C946" t="str">
            <v>WASHER</v>
          </cell>
          <cell r="D946" t="str">
            <v>Hardware</v>
          </cell>
          <cell r="F946" t="str">
            <v>WASHER,SPLIT-LOCK,M4</v>
          </cell>
        </row>
        <row r="947">
          <cell r="A947" t="str">
            <v>730-064908-003</v>
          </cell>
          <cell r="B947" t="str">
            <v>ORDERTOSPECIFICATION</v>
          </cell>
          <cell r="C947" t="str">
            <v>NUT</v>
          </cell>
          <cell r="D947" t="str">
            <v>Hardware</v>
          </cell>
          <cell r="F947" t="str">
            <v>NUT,HEX,STL,NICKEL-PLATED,M3X.5</v>
          </cell>
        </row>
        <row r="948">
          <cell r="A948" t="str">
            <v>723-A55352-003</v>
          </cell>
          <cell r="B948" t="str">
            <v>ORDERTOSPECIFICATION</v>
          </cell>
          <cell r="C948" t="str">
            <v>SPCR</v>
          </cell>
          <cell r="D948" t="str">
            <v>Hardware</v>
          </cell>
          <cell r="F948" t="str">
            <v>SPCR,POGO</v>
          </cell>
        </row>
        <row r="949">
          <cell r="A949" t="str">
            <v>720-001001-005</v>
          </cell>
          <cell r="B949" t="str">
            <v>ORDERTOSPECIFICATION</v>
          </cell>
          <cell r="C949" t="str">
            <v>SCR</v>
          </cell>
          <cell r="D949" t="str">
            <v>Hardware</v>
          </cell>
          <cell r="F949" t="str">
            <v>SCREW,PN HD,6-32X5/16</v>
          </cell>
        </row>
        <row r="950">
          <cell r="A950" t="str">
            <v>728-036912-008</v>
          </cell>
          <cell r="B950" t="str">
            <v>ORDERTOSPECIFICATION</v>
          </cell>
          <cell r="C950" t="str">
            <v>SCR</v>
          </cell>
          <cell r="D950" t="str">
            <v>Hardware</v>
          </cell>
          <cell r="F950" t="str">
            <v>SCR,PNH,SLTD,M4X.7X8MM,BRASS</v>
          </cell>
        </row>
        <row r="951">
          <cell r="A951" t="str">
            <v>728-036912-008</v>
          </cell>
          <cell r="B951" t="str">
            <v>ORDERTOSPECIFICATION</v>
          </cell>
          <cell r="C951" t="str">
            <v>SCR</v>
          </cell>
          <cell r="F951" t="str">
            <v>SCR,PNH,SLTD,M4X.7X8MM,BRASS</v>
          </cell>
        </row>
        <row r="952">
          <cell r="A952" t="str">
            <v>729-081177-004</v>
          </cell>
          <cell r="B952" t="str">
            <v>ORDERTOSPECIFICATION</v>
          </cell>
          <cell r="C952" t="str">
            <v>WASHER</v>
          </cell>
          <cell r="D952" t="str">
            <v>Hardware</v>
          </cell>
          <cell r="F952" t="str">
            <v>WSHR,FL,M4 SCR SIZE,9 OD,0.8MM THK,BRS</v>
          </cell>
        </row>
        <row r="953">
          <cell r="A953" t="str">
            <v>615-044084-103</v>
          </cell>
          <cell r="B953" t="str">
            <v>P1206E1002BG</v>
          </cell>
          <cell r="C953" t="str">
            <v>RES</v>
          </cell>
          <cell r="F953" t="str">
            <v>RES,SMD,1206,H-P,WRAPARO.TF,0.1%,10K,ROH</v>
          </cell>
        </row>
        <row r="954">
          <cell r="A954" t="str">
            <v>615-224835-013</v>
          </cell>
          <cell r="B954" t="str">
            <v>PATT0603E1502BGT1</v>
          </cell>
          <cell r="C954" t="str">
            <v>RES</v>
          </cell>
          <cell r="F954" t="str">
            <v>RES,0603,THIN FILM,0.1%,25 PPM,0.15W,15K</v>
          </cell>
        </row>
        <row r="955">
          <cell r="A955" t="str">
            <v>615-224835-001</v>
          </cell>
          <cell r="B955" t="str">
            <v>PATT0603E2001BGT1</v>
          </cell>
          <cell r="C955" t="str">
            <v>RES</v>
          </cell>
          <cell r="F955" t="str">
            <v>RES,0603,THIN FILM,0.1%,25 PPM,0.15W,2K</v>
          </cell>
        </row>
        <row r="956">
          <cell r="A956" t="str">
            <v>615-224835-014</v>
          </cell>
          <cell r="B956" t="str">
            <v>PATT0603E2002BGT1</v>
          </cell>
          <cell r="C956" t="str">
            <v>RES</v>
          </cell>
          <cell r="F956" t="str">
            <v>RES,0603,THIN FILM,0.1%,25 PPM,0.15W,20K</v>
          </cell>
        </row>
        <row r="957">
          <cell r="A957" t="str">
            <v>615-224835-006</v>
          </cell>
          <cell r="B957" t="str">
            <v>PATT0603E49R9BGT1</v>
          </cell>
          <cell r="C957" t="str">
            <v>RES</v>
          </cell>
          <cell r="F957" t="str">
            <v>RES,0603,THIN FILM,0.1%,0.15W,49.9</v>
          </cell>
        </row>
        <row r="958">
          <cell r="A958" t="str">
            <v>630-A60438-001</v>
          </cell>
          <cell r="B958" t="str">
            <v>PCAL6416AHF</v>
          </cell>
          <cell r="C958" t="str">
            <v>IC</v>
          </cell>
          <cell r="F958" t="str">
            <v>IC,SMD,I2C,I/O,EXP,16 BIT,HWQFN24</v>
          </cell>
        </row>
        <row r="959">
          <cell r="A959" t="str">
            <v>615-A31517-002</v>
          </cell>
          <cell r="B959" t="str">
            <v>PCAN0805E1000BST5</v>
          </cell>
          <cell r="C959" t="str">
            <v>RES</v>
          </cell>
          <cell r="F959" t="str">
            <v>RES,SMD,100OHM,±0.1%,1W,±25PPM,0805</v>
          </cell>
        </row>
        <row r="960">
          <cell r="A960" t="str">
            <v>668-A65704-001</v>
          </cell>
          <cell r="B960" t="str">
            <v>PCC-SMP-E-100</v>
          </cell>
          <cell r="C960" t="str">
            <v>CONN</v>
          </cell>
          <cell r="F960" t="str">
            <v>CONN,TC,MINTR,2POSN,FEM,TYPE-E,HORIZ MT</v>
          </cell>
        </row>
        <row r="961">
          <cell r="A961" t="str">
            <v>615-225258-320</v>
          </cell>
          <cell r="B961" t="str">
            <v>PCF0603-12-10KBI</v>
          </cell>
          <cell r="C961" t="str">
            <v>RES</v>
          </cell>
          <cell r="F961" t="str">
            <v>RES,SMD,1/16W,.1%,10PPM,10KOHM,0603</v>
          </cell>
        </row>
        <row r="962">
          <cell r="A962" t="str">
            <v>615-052825-220</v>
          </cell>
          <cell r="B962" t="str">
            <v>PCF0805R-220RBT1</v>
          </cell>
          <cell r="C962" t="str">
            <v>RES</v>
          </cell>
          <cell r="F962" t="str">
            <v>RES,SMD,0805,MF,1/10W,0.1%,220,ROHS</v>
          </cell>
        </row>
        <row r="963">
          <cell r="A963" t="str">
            <v>660-B12889-003</v>
          </cell>
          <cell r="B963" t="str">
            <v>PDSE1-S24-S12-M-TR</v>
          </cell>
          <cell r="C963" t="str">
            <v>PS</v>
          </cell>
          <cell r="F963" t="str">
            <v>PS,DC-DC,SGL OUT,24VDC INPUT,12VDC,SMT</v>
          </cell>
        </row>
        <row r="964">
          <cell r="A964" t="str">
            <v>618-A04362-008</v>
          </cell>
          <cell r="B964" t="str">
            <v>PE2512FKE070R008L</v>
          </cell>
          <cell r="C964" t="str">
            <v>RES</v>
          </cell>
          <cell r="F964" t="str">
            <v>RES,METAL FILM,0.008 OHM,1W,±1%,2512</v>
          </cell>
        </row>
        <row r="965">
          <cell r="A965" t="str">
            <v>630-108123-001</v>
          </cell>
          <cell r="B965" t="str">
            <v>PGA204AU</v>
          </cell>
          <cell r="C965" t="str">
            <v>IC</v>
          </cell>
          <cell r="F965" t="str">
            <v>IC,SMD,INST AMP,PROG GAIN,PGA204AU</v>
          </cell>
        </row>
        <row r="966">
          <cell r="A966" t="str">
            <v>630-254852-001</v>
          </cell>
          <cell r="B966" t="str">
            <v>PIC12F1612-I/SN</v>
          </cell>
          <cell r="C966" t="str">
            <v>IC</v>
          </cell>
          <cell r="F966" t="str">
            <v>IC,SMD,MCU,8 BIT,3.5KB,FLASH,SOIC8</v>
          </cell>
        </row>
        <row r="967">
          <cell r="A967" t="str">
            <v>630-B26253-001</v>
          </cell>
          <cell r="B967" t="str">
            <v>PIC16F1614-E/SL</v>
          </cell>
          <cell r="C967" t="str">
            <v>IC</v>
          </cell>
          <cell r="F967" t="str">
            <v>IC,SMD,MCU,8BIT,FLASH,7KB,32MHZ,SOIC-14</v>
          </cell>
        </row>
        <row r="968">
          <cell r="A968" t="str">
            <v>630-B26275-001</v>
          </cell>
          <cell r="B968" t="str">
            <v>PIC16F18446-I/SO</v>
          </cell>
          <cell r="C968" t="str">
            <v>IC</v>
          </cell>
          <cell r="F968" t="str">
            <v>IC,SMD,MCU,8BIT,FLASH,28KB,32MHZ,SOIC-20</v>
          </cell>
        </row>
        <row r="969">
          <cell r="A969" t="str">
            <v>615-162505-007</v>
          </cell>
          <cell r="B969" t="str">
            <v>PLT0805Z2502AST5</v>
          </cell>
          <cell r="C969" t="str">
            <v>RES</v>
          </cell>
          <cell r="F969" t="str">
            <v>RES,0805,TF,0.25W,0.05%,25K ROHS</v>
          </cell>
        </row>
        <row r="970">
          <cell r="A970" t="str">
            <v>615-162505-001</v>
          </cell>
          <cell r="B970" t="str">
            <v>PLT0805Z5000AST5</v>
          </cell>
          <cell r="C970" t="str">
            <v>RES</v>
          </cell>
          <cell r="F970" t="str">
            <v>RES,0805,TF,0.25W,0.05%,500 ROHS</v>
          </cell>
        </row>
        <row r="971">
          <cell r="A971" t="str">
            <v>609-327223-001</v>
          </cell>
          <cell r="B971" t="str">
            <v>PMEG4010EGWX</v>
          </cell>
          <cell r="C971" t="str">
            <v>DIO</v>
          </cell>
          <cell r="F971" t="str">
            <v>DIO,SMD,SCHOTTKY,40V,640MV,1A FWD,SOD123</v>
          </cell>
        </row>
        <row r="972">
          <cell r="A972" t="str">
            <v>615-B02355-001</v>
          </cell>
          <cell r="B972" t="str">
            <v>PMR18EZPFU6L00</v>
          </cell>
          <cell r="C972" t="str">
            <v>RES</v>
          </cell>
          <cell r="F972" t="str">
            <v>RES,SMD,.006OHM,1% TOL,1W,1206</v>
          </cell>
        </row>
        <row r="973">
          <cell r="A973" t="str">
            <v>615-A87446-005</v>
          </cell>
          <cell r="B973" t="str">
            <v>PMR18EZPJU5L0</v>
          </cell>
          <cell r="C973" t="str">
            <v>RES</v>
          </cell>
          <cell r="F973" t="str">
            <v>RES,SMD,0.005 OHM,±5% TOL,1W,1206</v>
          </cell>
        </row>
        <row r="974">
          <cell r="A974" t="str">
            <v>615-A87446-009</v>
          </cell>
          <cell r="B974" t="str">
            <v>PMR18EZPJU9L0</v>
          </cell>
          <cell r="C974" t="str">
            <v>RES</v>
          </cell>
          <cell r="F974" t="str">
            <v>RES,SMD,0.009 OHM,±5% TOL,1W,1206</v>
          </cell>
        </row>
        <row r="975">
          <cell r="A975" t="str">
            <v>615-B19099-001</v>
          </cell>
          <cell r="B975" t="str">
            <v>PNM0402E2502BST1</v>
          </cell>
          <cell r="C975" t="str">
            <v>RES</v>
          </cell>
          <cell r="F975" t="str">
            <v>RES,SMD,THIN FILM,25KOHM,0.1%,.05W,0402</v>
          </cell>
        </row>
        <row r="976">
          <cell r="A976" t="str">
            <v>615-275812-023</v>
          </cell>
          <cell r="B976" t="str">
            <v>PWR163S-25-15R0FE</v>
          </cell>
          <cell r="C976" t="str">
            <v>RES</v>
          </cell>
          <cell r="F976" t="str">
            <v>RES,SMD,PWR,+/-1%,25W,15 OHM</v>
          </cell>
        </row>
        <row r="977">
          <cell r="A977" t="str">
            <v>615-286483-001</v>
          </cell>
          <cell r="B977" t="str">
            <v>PZHT0603-0R00GT</v>
          </cell>
          <cell r="C977" t="str">
            <v>RES</v>
          </cell>
          <cell r="F977" t="str">
            <v>RES,SMD,ZERO OHM JUMPER,0603</v>
          </cell>
        </row>
        <row r="978">
          <cell r="A978" t="str">
            <v>660-B05108-001</v>
          </cell>
          <cell r="B978" t="str">
            <v>R05C05TE05SR</v>
          </cell>
          <cell r="C978" t="str">
            <v>PS</v>
          </cell>
          <cell r="F978" t="str">
            <v>PS,DC-DC,4.5-5.5VINPUT,5VOUT,0.5W,SOIC16</v>
          </cell>
        </row>
        <row r="979">
          <cell r="A979" t="str">
            <v>660-346747-001</v>
          </cell>
          <cell r="B979" t="str">
            <v>R1501J100B-T1-FE</v>
          </cell>
          <cell r="C979" t="str">
            <v>PS</v>
          </cell>
          <cell r="F979" t="str">
            <v>PS,CMOS-LDO,3-24VIN,1A OUT,TO-252-5-P2</v>
          </cell>
        </row>
        <row r="980">
          <cell r="A980" t="str">
            <v>660-150506-015</v>
          </cell>
          <cell r="B980" t="str">
            <v>R-78C15-1.0</v>
          </cell>
          <cell r="C980" t="str">
            <v>PS</v>
          </cell>
          <cell r="F980" t="str">
            <v>PS,CONV,DC/DC,8-42VIN,15VOUT,1A,ROHS</v>
          </cell>
        </row>
        <row r="981">
          <cell r="A981" t="str">
            <v>660-150506-015</v>
          </cell>
          <cell r="B981" t="str">
            <v>R-78C15-1.0/X9</v>
          </cell>
          <cell r="C981" t="str">
            <v>PS</v>
          </cell>
          <cell r="F981" t="str">
            <v>PS,CONV,DC/DC,8-42VIN,15VOUT,1A,ROHS</v>
          </cell>
        </row>
        <row r="982">
          <cell r="A982" t="str">
            <v>660-150506-003</v>
          </cell>
          <cell r="B982" t="str">
            <v>R-78C3.3-1.0</v>
          </cell>
          <cell r="C982" t="str">
            <v>PS</v>
          </cell>
          <cell r="F982" t="str">
            <v>PS,CONV,DC/DC,7-42VIN,3.3VOUT,1A</v>
          </cell>
        </row>
        <row r="983">
          <cell r="A983" t="str">
            <v>660-150506-003</v>
          </cell>
          <cell r="B983" t="str">
            <v>R-78C3.3-1.0/X9</v>
          </cell>
          <cell r="C983" t="str">
            <v>PS</v>
          </cell>
          <cell r="F983" t="str">
            <v>PS,CONV,DC/DC,7-42VIN,3.3VOUT,1A</v>
          </cell>
        </row>
        <row r="984">
          <cell r="A984" t="str">
            <v>660-157746-005</v>
          </cell>
          <cell r="B984" t="str">
            <v>R-78T5.0-1.0/FC</v>
          </cell>
          <cell r="C984" t="str">
            <v>PS</v>
          </cell>
          <cell r="F984" t="str">
            <v>PS, SMD,5V-1A, NON-ISO, ROHS</v>
          </cell>
        </row>
        <row r="985">
          <cell r="A985" t="str">
            <v>39-452851-00</v>
          </cell>
          <cell r="B985" t="str">
            <v>RAPC722X</v>
          </cell>
          <cell r="C985" t="str">
            <v>CONN</v>
          </cell>
          <cell r="D985" t="str">
            <v>Tfx</v>
          </cell>
          <cell r="F985" t="str">
            <v>CONN,DC POWER,JACK,2POS,RIGHT ANGLE,THRU</v>
          </cell>
        </row>
        <row r="986">
          <cell r="A986" t="str">
            <v>609-A99417-001</v>
          </cell>
          <cell r="B986" t="str">
            <v>RBR3MM40A</v>
          </cell>
          <cell r="C986" t="str">
            <v>DIO</v>
          </cell>
          <cell r="F986" t="str">
            <v>DIO,SMD,SCHOTTKY BARR,40V,3A,SOD-123FL</v>
          </cell>
        </row>
        <row r="987">
          <cell r="A987" t="str">
            <v>615-A74149-001</v>
          </cell>
          <cell r="B987" t="str">
            <v>RC0402FR-070RL</v>
          </cell>
          <cell r="C987" t="str">
            <v>RES</v>
          </cell>
          <cell r="D987" t="str">
            <v>FF</v>
          </cell>
          <cell r="F987" t="str">
            <v>RES,SMD,THK FILM,0OHM,1%,1/16W,0402</v>
          </cell>
        </row>
        <row r="988">
          <cell r="A988" t="str">
            <v>615-123462-102</v>
          </cell>
          <cell r="B988" t="str">
            <v>RC0402FR-0710K2L</v>
          </cell>
          <cell r="C988" t="str">
            <v>RES</v>
          </cell>
          <cell r="F988" t="str">
            <v>RES,0402,THKF,1/16W,1% 10.2K ROHS</v>
          </cell>
        </row>
        <row r="989">
          <cell r="A989" t="str">
            <v>615-123462-105</v>
          </cell>
          <cell r="B989" t="str">
            <v>RC0402FR-0710K5L</v>
          </cell>
          <cell r="C989" t="str">
            <v>RES</v>
          </cell>
          <cell r="F989" t="str">
            <v>RES,0402,THKF,1/16W,1%,10.5K,ROHS</v>
          </cell>
        </row>
        <row r="990">
          <cell r="A990" t="str">
            <v>615-123462-118</v>
          </cell>
          <cell r="B990" t="str">
            <v>RC0402FR-0711K8L</v>
          </cell>
          <cell r="C990" t="str">
            <v>RES</v>
          </cell>
          <cell r="F990" t="str">
            <v>RES,0402,THKF,1/16W,1%,11.8K,ROHS</v>
          </cell>
        </row>
        <row r="991">
          <cell r="A991" t="str">
            <v>615-123463-120</v>
          </cell>
          <cell r="B991" t="str">
            <v>RC0402FR-07120KL</v>
          </cell>
          <cell r="C991" t="str">
            <v>RES</v>
          </cell>
          <cell r="F991" t="str">
            <v>RES,0402,THKF,1/16W,1% 120K ROHS</v>
          </cell>
        </row>
        <row r="992">
          <cell r="A992" t="str">
            <v>615-123463-124</v>
          </cell>
          <cell r="B992" t="str">
            <v>RC0402FR-07124KL</v>
          </cell>
          <cell r="C992" t="str">
            <v>RES</v>
          </cell>
          <cell r="F992" t="str">
            <v>RES,0402,THKF,1/16W,1% 124K ROHS</v>
          </cell>
        </row>
        <row r="993">
          <cell r="A993" t="str">
            <v>615-123462-127</v>
          </cell>
          <cell r="B993" t="str">
            <v>RC0402FR-0712K7L</v>
          </cell>
          <cell r="C993" t="str">
            <v>RES</v>
          </cell>
          <cell r="F993" t="str">
            <v>RES,0402,THKF,1/16W,1%,12.7K,ROHS</v>
          </cell>
        </row>
        <row r="994">
          <cell r="A994" t="str">
            <v>615-123461-102</v>
          </cell>
          <cell r="B994" t="str">
            <v>RC0402FR-071K02L</v>
          </cell>
          <cell r="C994" t="str">
            <v>RES</v>
          </cell>
          <cell r="F994" t="str">
            <v>RES,0402,THKF,1/16W,1% 1.02K ROHS</v>
          </cell>
        </row>
        <row r="995">
          <cell r="A995" t="str">
            <v>615-123461-115</v>
          </cell>
          <cell r="B995" t="str">
            <v>RC0402FR-071K15L</v>
          </cell>
          <cell r="C995" t="str">
            <v>RES</v>
          </cell>
          <cell r="F995" t="str">
            <v>RES,0402,THKF,1/16W,1%,1.15K,ROHS</v>
          </cell>
        </row>
        <row r="996">
          <cell r="A996" t="str">
            <v>615-123461-120</v>
          </cell>
          <cell r="B996" t="str">
            <v>RC0402FR-071K2L</v>
          </cell>
          <cell r="C996" t="str">
            <v>RES</v>
          </cell>
          <cell r="F996" t="str">
            <v>RES,0402,THKF,1/16W,1% 1.20K ROHS</v>
          </cell>
        </row>
        <row r="997">
          <cell r="A997" t="str">
            <v>615-123461-137</v>
          </cell>
          <cell r="B997" t="str">
            <v>RC0402FR-071K37L</v>
          </cell>
          <cell r="C997" t="str">
            <v>RES</v>
          </cell>
          <cell r="F997" t="str">
            <v>RES,0402,THKF,1/16W,1%,1.37K,ROHS</v>
          </cell>
        </row>
        <row r="998">
          <cell r="A998" t="str">
            <v>615-123461-169</v>
          </cell>
          <cell r="B998" t="str">
            <v>RC0402FR-071K69L</v>
          </cell>
          <cell r="C998" t="str">
            <v>RES</v>
          </cell>
          <cell r="F998" t="str">
            <v>RES,0402,THKF,1/16W,1% 1.69K ROHS</v>
          </cell>
        </row>
        <row r="999">
          <cell r="A999" t="str">
            <v>615-123461-187</v>
          </cell>
          <cell r="B999" t="str">
            <v>RC0402FR-071K87L</v>
          </cell>
          <cell r="C999" t="str">
            <v>RES</v>
          </cell>
          <cell r="F999" t="str">
            <v>RES,0402,THKF,1/16W,1% 1.87K ROHS</v>
          </cell>
        </row>
        <row r="1000">
          <cell r="A1000" t="str">
            <v>615-123458-121</v>
          </cell>
          <cell r="B1000" t="str">
            <v>RC0402FR-071R21L</v>
          </cell>
          <cell r="C1000" t="str">
            <v>RES</v>
          </cell>
          <cell r="F1000" t="str">
            <v>RES,0402,THKF,1/16W,1% 1.21 ROHS</v>
          </cell>
        </row>
        <row r="1001">
          <cell r="A1001" t="str">
            <v>615-123458-137</v>
          </cell>
          <cell r="B1001" t="str">
            <v>RC0402FR-071R37L</v>
          </cell>
          <cell r="C1001" t="str">
            <v>RES</v>
          </cell>
          <cell r="F1001" t="str">
            <v>RES,0402,THKF,1/16W,1% 1.37 ROHS</v>
          </cell>
        </row>
        <row r="1002">
          <cell r="A1002" t="str">
            <v>615-123462-215</v>
          </cell>
          <cell r="B1002" t="str">
            <v>RC0402FR-0721K5L</v>
          </cell>
          <cell r="C1002" t="str">
            <v>RES</v>
          </cell>
          <cell r="F1002" t="str">
            <v>RES,0402,THKF,1/16W,1% 21.5K ROHS</v>
          </cell>
        </row>
        <row r="1003">
          <cell r="A1003" t="str">
            <v>615-123462-220</v>
          </cell>
          <cell r="B1003" t="str">
            <v>RC0402FR-0722KL</v>
          </cell>
          <cell r="C1003" t="str">
            <v>RES</v>
          </cell>
          <cell r="F1003" t="str">
            <v>RES,0402,THKF,1/16W,1% 22K ROHS</v>
          </cell>
        </row>
        <row r="1004">
          <cell r="A1004" t="str">
            <v>615-233527-001</v>
          </cell>
          <cell r="B1004" t="str">
            <v>RC0402FR-0722RL</v>
          </cell>
          <cell r="C1004" t="str">
            <v>RES</v>
          </cell>
          <cell r="F1004" t="str">
            <v>RES,SMD,0402,1%,1/16W,22 OHM</v>
          </cell>
        </row>
        <row r="1005">
          <cell r="A1005" t="str">
            <v>615-123462-243</v>
          </cell>
          <cell r="B1005" t="str">
            <v>RC0402FR-0724K3L</v>
          </cell>
          <cell r="C1005" t="str">
            <v>RES</v>
          </cell>
          <cell r="F1005" t="str">
            <v>RES,0402,THKF,1/16W,1% 24.3K ROHS</v>
          </cell>
        </row>
        <row r="1006">
          <cell r="A1006" t="str">
            <v>615-123461-267</v>
          </cell>
          <cell r="B1006" t="str">
            <v>RC0402FR-072K67L</v>
          </cell>
          <cell r="C1006" t="str">
            <v>RES</v>
          </cell>
          <cell r="F1006" t="str">
            <v>RES,0402,THKF,1/16W,1% 2.67K ROHS</v>
          </cell>
        </row>
        <row r="1007">
          <cell r="A1007" t="str">
            <v>615-123458-249</v>
          </cell>
          <cell r="B1007" t="str">
            <v>RC0402FR-072R49L</v>
          </cell>
          <cell r="C1007" t="str">
            <v>RES</v>
          </cell>
          <cell r="F1007" t="str">
            <v>RES,0402,THKF,1/16W,1% 2.49 ROHS</v>
          </cell>
        </row>
        <row r="1008">
          <cell r="A1008" t="str">
            <v>615-123460-340</v>
          </cell>
          <cell r="B1008" t="str">
            <v>RC0402FR-07340RL</v>
          </cell>
          <cell r="C1008" t="str">
            <v>RES</v>
          </cell>
          <cell r="F1008" t="str">
            <v>RES,0402,THKF,1/16W,1%,340,ROHS</v>
          </cell>
        </row>
        <row r="1009">
          <cell r="A1009" t="str">
            <v>615-123460-348</v>
          </cell>
          <cell r="B1009" t="str">
            <v>RC0402FR-07348RL</v>
          </cell>
          <cell r="C1009" t="str">
            <v>RES</v>
          </cell>
          <cell r="F1009" t="str">
            <v>RES,0402,THKF,1/16W,1% 348 ROHS</v>
          </cell>
        </row>
        <row r="1010">
          <cell r="A1010" t="str">
            <v>615-123462-475</v>
          </cell>
          <cell r="B1010" t="str">
            <v>RC0402FR-0747K5L</v>
          </cell>
          <cell r="C1010" t="str">
            <v>RES</v>
          </cell>
          <cell r="F1010" t="str">
            <v>RES,0402,THKF,1/16W,1%, 47.5K ROHS</v>
          </cell>
        </row>
        <row r="1011">
          <cell r="A1011" t="str">
            <v>615-123461-402</v>
          </cell>
          <cell r="B1011" t="str">
            <v>RC0402FR-074K02L</v>
          </cell>
          <cell r="C1011" t="str">
            <v>RES</v>
          </cell>
          <cell r="F1011" t="str">
            <v>RES,0402,THKF,1/16W,1% 4.02K ROHS</v>
          </cell>
        </row>
        <row r="1012">
          <cell r="A1012" t="str">
            <v>615-123459-523</v>
          </cell>
          <cell r="B1012" t="str">
            <v>RC0402FR-0752R3L</v>
          </cell>
          <cell r="C1012" t="str">
            <v>RES</v>
          </cell>
          <cell r="F1012" t="str">
            <v>RES,0402,THKF,1/16W,1%,52.3,ROHS</v>
          </cell>
        </row>
        <row r="1013">
          <cell r="A1013" t="str">
            <v>615-123460-549</v>
          </cell>
          <cell r="B1013" t="str">
            <v>RC0402FR-07549RL</v>
          </cell>
          <cell r="C1013" t="str">
            <v>RES</v>
          </cell>
          <cell r="F1013" t="str">
            <v>RES,0402,THKF,1/16W,1% 549 ROHS</v>
          </cell>
        </row>
        <row r="1014">
          <cell r="A1014" t="str">
            <v>615-123461-590</v>
          </cell>
          <cell r="B1014" t="str">
            <v>RC0402FR-075K9L</v>
          </cell>
          <cell r="C1014" t="str">
            <v>RES</v>
          </cell>
          <cell r="F1014" t="str">
            <v>RES,0402,THKF,1/16W,1%,5.90K,ROHS</v>
          </cell>
        </row>
        <row r="1015">
          <cell r="A1015" t="str">
            <v>615-123458-511</v>
          </cell>
          <cell r="B1015" t="str">
            <v>RC0402FR-075R11L</v>
          </cell>
          <cell r="C1015" t="str">
            <v>RES</v>
          </cell>
          <cell r="F1015" t="str">
            <v>RES,0402,THKF,1/16W,1%,5.11,ROHS</v>
          </cell>
        </row>
        <row r="1016">
          <cell r="A1016" t="str">
            <v>615-123459-750</v>
          </cell>
          <cell r="B1016" t="str">
            <v>RC0402FR-0775RL</v>
          </cell>
          <cell r="C1016" t="str">
            <v>RES</v>
          </cell>
          <cell r="F1016" t="str">
            <v>RES,0402,THKF,1/16W,1% 75.0 ROHS</v>
          </cell>
        </row>
        <row r="1017">
          <cell r="A1017" t="str">
            <v>615-123458-825</v>
          </cell>
          <cell r="B1017" t="str">
            <v>RC0402FR-078R25L</v>
          </cell>
          <cell r="C1017" t="str">
            <v>RES</v>
          </cell>
          <cell r="F1017" t="str">
            <v>RES,0402,THKF,1/16W,1% 8.25 ROHS</v>
          </cell>
        </row>
        <row r="1018">
          <cell r="A1018" t="str">
            <v>615-123461-357</v>
          </cell>
          <cell r="B1018" t="str">
            <v>RC0402FR-7D3K57L</v>
          </cell>
          <cell r="C1018" t="str">
            <v>RES</v>
          </cell>
          <cell r="F1018" t="str">
            <v>RES,0402,THKF,1/16W,1% 3.57K ROHS</v>
          </cell>
        </row>
        <row r="1019">
          <cell r="A1019" t="str">
            <v>28-426179-00</v>
          </cell>
          <cell r="B1019" t="str">
            <v>RC0603FR-0710KL</v>
          </cell>
          <cell r="C1019" t="str">
            <v>RES</v>
          </cell>
          <cell r="F1019" t="str">
            <v>RES,THICK FILM,10K OHM,1%,1/10W,50V,SMT</v>
          </cell>
        </row>
        <row r="1020">
          <cell r="A1020" t="str">
            <v>615-068562-100</v>
          </cell>
          <cell r="B1020" t="str">
            <v>RC0603FR-071ML</v>
          </cell>
          <cell r="C1020" t="str">
            <v>RES</v>
          </cell>
          <cell r="F1020" t="str">
            <v>RES,0603,THKF,1%,1/10W,100PPM,1M ROHS</v>
          </cell>
        </row>
        <row r="1021">
          <cell r="A1021" t="str">
            <v>615-301314-001</v>
          </cell>
          <cell r="B1021" t="str">
            <v>RC0603FR-074K7L</v>
          </cell>
          <cell r="C1021" t="str">
            <v>RES</v>
          </cell>
          <cell r="F1021" t="str">
            <v>RES,SMD,4.7K OHM,1%,1/10W,50V</v>
          </cell>
        </row>
        <row r="1022">
          <cell r="A1022" t="str">
            <v>615-051883-220</v>
          </cell>
          <cell r="B1022" t="str">
            <v>RC0603JR-0722RL</v>
          </cell>
          <cell r="C1022" t="str">
            <v>RES</v>
          </cell>
          <cell r="F1022" t="str">
            <v>RES, SMD,TF,0603,22 OHM, 5%, 1/10W, ROHS</v>
          </cell>
        </row>
        <row r="1023">
          <cell r="A1023" t="str">
            <v>615-901300-105</v>
          </cell>
          <cell r="B1023" t="str">
            <v>RC0805FR-07105RL</v>
          </cell>
          <cell r="C1023" t="str">
            <v>RES</v>
          </cell>
          <cell r="F1023" t="str">
            <v>RES,SMD,0805,105,1%,1/10W,ROHS</v>
          </cell>
        </row>
        <row r="1024">
          <cell r="A1024" t="str">
            <v>615-901300-150</v>
          </cell>
          <cell r="B1024" t="str">
            <v>RC0805FR-07150RL</v>
          </cell>
          <cell r="C1024" t="str">
            <v>RES</v>
          </cell>
          <cell r="F1024" t="str">
            <v>RES,SMD,0805,150,1%,1/10W,ROHS</v>
          </cell>
        </row>
        <row r="1025">
          <cell r="A1025" t="str">
            <v>615-901301-127</v>
          </cell>
          <cell r="B1025" t="str">
            <v>RC0805FR-071K27L</v>
          </cell>
          <cell r="C1025" t="str">
            <v>RES</v>
          </cell>
          <cell r="F1025" t="str">
            <v>RES,SMD,0805,1.27K,1%,1/10W,ROHS</v>
          </cell>
        </row>
        <row r="1026">
          <cell r="A1026" t="str">
            <v>615-901302-221</v>
          </cell>
          <cell r="B1026" t="str">
            <v>RC0805FR-0722K1L</v>
          </cell>
          <cell r="C1026" t="str">
            <v>RES</v>
          </cell>
          <cell r="D1026" t="str">
            <v>FF</v>
          </cell>
          <cell r="F1026" t="str">
            <v>RES,0805,22.1K,1%,1/10W,ROHS</v>
          </cell>
        </row>
        <row r="1027">
          <cell r="A1027" t="str">
            <v>615-901301-267</v>
          </cell>
          <cell r="B1027" t="str">
            <v>RC0805FR-072K67L</v>
          </cell>
          <cell r="C1027" t="str">
            <v>RES</v>
          </cell>
          <cell r="F1027" t="str">
            <v>RES,SMD,0805,2.67K,1%,1/10W,ROHS</v>
          </cell>
        </row>
        <row r="1028">
          <cell r="A1028" t="str">
            <v>615-901302-301</v>
          </cell>
          <cell r="B1028" t="str">
            <v>RC0805FR-0730K1L</v>
          </cell>
          <cell r="C1028" t="str">
            <v>RES</v>
          </cell>
          <cell r="D1028" t="str">
            <v>FF</v>
          </cell>
          <cell r="F1028" t="str">
            <v>RES,0805,30.1K,1%,1/10W,ROHS</v>
          </cell>
        </row>
        <row r="1029">
          <cell r="A1029" t="str">
            <v>615-901303-357</v>
          </cell>
          <cell r="B1029" t="str">
            <v>RC0805FR-07357KL</v>
          </cell>
          <cell r="C1029" t="str">
            <v>RES</v>
          </cell>
          <cell r="F1029" t="str">
            <v>RES,0805,357K,1%,1/10W,ROHS</v>
          </cell>
        </row>
        <row r="1030">
          <cell r="A1030" t="str">
            <v>615-901301-464</v>
          </cell>
          <cell r="B1030" t="str">
            <v>RC0805FR-074K64L</v>
          </cell>
          <cell r="C1030" t="str">
            <v>RES</v>
          </cell>
          <cell r="F1030" t="str">
            <v>RES,SMD,0805,4.64K,1%,1/10W,ROHS</v>
          </cell>
        </row>
        <row r="1031">
          <cell r="A1031" t="str">
            <v>615-901301-487</v>
          </cell>
          <cell r="B1031" t="str">
            <v>RC0805FR-074K87L</v>
          </cell>
          <cell r="C1031" t="str">
            <v>RES</v>
          </cell>
          <cell r="F1031" t="str">
            <v>RES,SMD,0805,4.87K,1%,1/10W,ROHS</v>
          </cell>
        </row>
        <row r="1032">
          <cell r="A1032" t="str">
            <v>615-901300-887</v>
          </cell>
          <cell r="B1032" t="str">
            <v>RC0805FR-07887RL</v>
          </cell>
          <cell r="C1032" t="str">
            <v>RES</v>
          </cell>
          <cell r="F1032" t="str">
            <v>RES,SMD,0805,887,1%,1/10W,ROHS</v>
          </cell>
        </row>
        <row r="1033">
          <cell r="A1033" t="str">
            <v>615-901301-931</v>
          </cell>
          <cell r="B1033" t="str">
            <v>RC0805FR-079K31L</v>
          </cell>
          <cell r="C1033" t="str">
            <v>RES</v>
          </cell>
          <cell r="F1033" t="str">
            <v>RES,SMD,0805,9.31K,1%,1/10W,ROHS</v>
          </cell>
        </row>
        <row r="1034">
          <cell r="A1034" t="str">
            <v>615-901294-104</v>
          </cell>
          <cell r="B1034" t="str">
            <v>RC0805JR-07100KL</v>
          </cell>
          <cell r="C1034" t="str">
            <v>RES</v>
          </cell>
          <cell r="F1034" t="str">
            <v>RES,SMD,0805,100K,5%,1/10W,ROHS</v>
          </cell>
        </row>
        <row r="1035">
          <cell r="A1035" t="str">
            <v>615-901294-681</v>
          </cell>
          <cell r="B1035" t="str">
            <v>RC0805JR-07680RL</v>
          </cell>
          <cell r="C1035" t="str">
            <v>RES</v>
          </cell>
          <cell r="F1035" t="str">
            <v>RES,SMD,0805,680 OHM,5%,1/10W,ROHS</v>
          </cell>
        </row>
        <row r="1036">
          <cell r="A1036" t="str">
            <v>615-228701-001</v>
          </cell>
          <cell r="B1036" t="str">
            <v>RC1005F102CS</v>
          </cell>
          <cell r="C1036" t="str">
            <v>RES</v>
          </cell>
          <cell r="F1036" t="str">
            <v>RES,SMD,1K OHM,±1% TOL,1/16W,50V,0402</v>
          </cell>
        </row>
        <row r="1037">
          <cell r="A1037" t="str">
            <v>615-123460-348</v>
          </cell>
          <cell r="B1037" t="str">
            <v>RC1005F3480CS</v>
          </cell>
          <cell r="C1037" t="str">
            <v>RES</v>
          </cell>
          <cell r="F1037" t="str">
            <v>RES,0402,THKF,1/16W,1% 348 ROHS</v>
          </cell>
        </row>
        <row r="1038">
          <cell r="A1038" t="str">
            <v>615-123460-549</v>
          </cell>
          <cell r="B1038" t="str">
            <v>RC1005F5490CS</v>
          </cell>
          <cell r="C1038" t="str">
            <v>RES</v>
          </cell>
          <cell r="F1038" t="str">
            <v>RES,0402,THKF,1/16W,1% 549 ROHS</v>
          </cell>
        </row>
        <row r="1039">
          <cell r="A1039" t="str">
            <v>615-179931-004</v>
          </cell>
          <cell r="B1039" t="str">
            <v>RC1206FR-07100KL</v>
          </cell>
          <cell r="C1039" t="str">
            <v>RES</v>
          </cell>
          <cell r="F1039" t="str">
            <v>RES,SMD,THK FILM,100K OHM,1%,1/4W,1206</v>
          </cell>
        </row>
        <row r="1040">
          <cell r="A1040" t="str">
            <v>615-116029-191</v>
          </cell>
          <cell r="B1040" t="str">
            <v>RC1206FR-0719K1L</v>
          </cell>
          <cell r="C1040" t="str">
            <v>RES</v>
          </cell>
          <cell r="F1040" t="str">
            <v>RES,SMD,1206,1%,1/4W,19.1K ROHS</v>
          </cell>
        </row>
        <row r="1041">
          <cell r="A1041" t="str">
            <v>615-306231-191</v>
          </cell>
          <cell r="B1041" t="str">
            <v>RC1206FR-071K91L</v>
          </cell>
          <cell r="C1041" t="str">
            <v>RES</v>
          </cell>
          <cell r="F1041" t="str">
            <v>RES,SMD,1206,1%,1/4W,1.91K,ROHS</v>
          </cell>
        </row>
        <row r="1042">
          <cell r="A1042" t="str">
            <v>615-098001-191</v>
          </cell>
          <cell r="B1042" t="str">
            <v>RC1206FR-071K91L</v>
          </cell>
          <cell r="C1042" t="str">
            <v>RES</v>
          </cell>
          <cell r="F1042" t="str">
            <v>RES,1206,1% 1/4W,1.91K ROHS</v>
          </cell>
        </row>
        <row r="1043">
          <cell r="A1043" t="str">
            <v>615-179931-002</v>
          </cell>
          <cell r="B1043" t="str">
            <v>RC1206FR-071KL</v>
          </cell>
          <cell r="C1043" t="str">
            <v>RES</v>
          </cell>
          <cell r="F1043" t="str">
            <v>RES,SMD,1K OHM,0.25W,1% TOL,THICK FILM</v>
          </cell>
        </row>
        <row r="1044">
          <cell r="A1044" t="str">
            <v>615-116031-102</v>
          </cell>
          <cell r="B1044" t="str">
            <v>RC1206FR-071M02ML</v>
          </cell>
          <cell r="C1044" t="str">
            <v>RES</v>
          </cell>
          <cell r="F1044" t="str">
            <v>RES,SMD,1206,1.02M OHM,1%,1/4W,ROHS</v>
          </cell>
        </row>
        <row r="1045">
          <cell r="A1045" t="str">
            <v>615-116030-200</v>
          </cell>
          <cell r="B1045" t="str">
            <v>RC1206FR-07200KL</v>
          </cell>
          <cell r="C1045" t="str">
            <v>RES</v>
          </cell>
          <cell r="F1045" t="str">
            <v>RES,SMD,1206,200K,1%,1/4W,ROHS</v>
          </cell>
        </row>
        <row r="1046">
          <cell r="A1046" t="str">
            <v>615-116029-200</v>
          </cell>
          <cell r="B1046" t="str">
            <v>RC1206FR-0720KL</v>
          </cell>
          <cell r="C1046" t="str">
            <v>RES</v>
          </cell>
          <cell r="F1046" t="str">
            <v>RES,SMD,1206,20.0K,1%,1/4W,ROHS</v>
          </cell>
        </row>
        <row r="1047">
          <cell r="A1047" t="str">
            <v>615-116030-215</v>
          </cell>
          <cell r="B1047" t="str">
            <v>RC1206FR-07215KL</v>
          </cell>
          <cell r="C1047" t="str">
            <v>RES</v>
          </cell>
          <cell r="F1047" t="str">
            <v>RES,1206,1%,1/4W,100PPM,215K,ROHS</v>
          </cell>
        </row>
        <row r="1048">
          <cell r="A1048" t="str">
            <v>615-116029-261</v>
          </cell>
          <cell r="B1048" t="str">
            <v>RC1206FR-0726K1L</v>
          </cell>
          <cell r="C1048" t="str">
            <v>RES</v>
          </cell>
          <cell r="F1048" t="str">
            <v>RES,SMD,1206,1%,1/4W,26.1K ROHS</v>
          </cell>
        </row>
        <row r="1049">
          <cell r="A1049" t="str">
            <v>615-098001-249</v>
          </cell>
          <cell r="B1049" t="str">
            <v>RC1206FR-072K49L</v>
          </cell>
          <cell r="C1049" t="str">
            <v>RES</v>
          </cell>
          <cell r="F1049" t="str">
            <v>RES,1206,1% 1/4W,2.49K ROHS</v>
          </cell>
        </row>
        <row r="1050">
          <cell r="A1050" t="str">
            <v>615-116029-392</v>
          </cell>
          <cell r="B1050" t="str">
            <v>RC1206FR-0739K2L</v>
          </cell>
          <cell r="C1050" t="str">
            <v>RES</v>
          </cell>
          <cell r="F1050" t="str">
            <v>RES,SMD,1206,1%,1/4W,39.2K ROHS</v>
          </cell>
        </row>
        <row r="1051">
          <cell r="A1051" t="str">
            <v>615-116028-324</v>
          </cell>
          <cell r="B1051" t="str">
            <v>RC1206FR-073K24L</v>
          </cell>
          <cell r="C1051" t="str">
            <v>RES</v>
          </cell>
          <cell r="F1051" t="str">
            <v>RES,1206,1% 1/4W,3.24K ROHS</v>
          </cell>
        </row>
        <row r="1052">
          <cell r="A1052" t="str">
            <v>615-116027-402</v>
          </cell>
          <cell r="B1052" t="str">
            <v>RC1206FR-07402RL</v>
          </cell>
          <cell r="C1052" t="str">
            <v>RES</v>
          </cell>
          <cell r="F1052" t="str">
            <v>RES,SMD,1206,402,1% 1/4W,ROHS</v>
          </cell>
        </row>
        <row r="1053">
          <cell r="A1053" t="str">
            <v>615-098001-487</v>
          </cell>
          <cell r="B1053" t="str">
            <v>RC1206FR-074K87L</v>
          </cell>
          <cell r="C1053" t="str">
            <v>RES</v>
          </cell>
          <cell r="F1053" t="str">
            <v>RES,1206,1% 1/4W,4.87K ROHS</v>
          </cell>
        </row>
        <row r="1054">
          <cell r="A1054" t="str">
            <v>615-116029-750</v>
          </cell>
          <cell r="B1054" t="str">
            <v>RC1206FR-0775KL</v>
          </cell>
          <cell r="C1054" t="str">
            <v>RES</v>
          </cell>
          <cell r="F1054" t="str">
            <v>RES,SMD,1206,75.0K,1%,1/4W,ROHS</v>
          </cell>
        </row>
        <row r="1055">
          <cell r="A1055" t="str">
            <v>615-116028-715</v>
          </cell>
          <cell r="B1055" t="str">
            <v>RC1206FR-077K15L</v>
          </cell>
          <cell r="C1055" t="str">
            <v>RES</v>
          </cell>
          <cell r="F1055" t="str">
            <v>RES,1206,1% 1/4W,7.15K ROHS</v>
          </cell>
        </row>
        <row r="1056">
          <cell r="A1056" t="str">
            <v>615-116028-787</v>
          </cell>
          <cell r="B1056" t="str">
            <v>RC1206FR-077K87L</v>
          </cell>
          <cell r="C1056" t="str">
            <v>RES</v>
          </cell>
          <cell r="F1056" t="str">
            <v>RES,1206,1% 1/4W,7.87K ROHS</v>
          </cell>
        </row>
        <row r="1057">
          <cell r="A1057" t="str">
            <v>615-116029-845</v>
          </cell>
          <cell r="B1057" t="str">
            <v>RC1206FR-0784K5L</v>
          </cell>
          <cell r="C1057" t="str">
            <v>RES</v>
          </cell>
          <cell r="F1057" t="str">
            <v>RES,SMD,1206,1%,1/4W,84.5K ROHS</v>
          </cell>
        </row>
        <row r="1058">
          <cell r="A1058" t="str">
            <v>615-116029-976</v>
          </cell>
          <cell r="B1058" t="str">
            <v>RC1206FR-0797K6L</v>
          </cell>
          <cell r="C1058" t="str">
            <v>RES</v>
          </cell>
          <cell r="F1058" t="str">
            <v>RES,SMD,1206,1%,1/4W,97.6K ROHS</v>
          </cell>
        </row>
        <row r="1059">
          <cell r="A1059" t="str">
            <v>615-098001-931</v>
          </cell>
          <cell r="B1059" t="str">
            <v>RC1206FR-079K31L</v>
          </cell>
          <cell r="C1059" t="str">
            <v>RES</v>
          </cell>
          <cell r="F1059" t="str">
            <v>RES,1206,1% 1/4W,9.31K ROHS</v>
          </cell>
        </row>
        <row r="1060">
          <cell r="A1060" t="str">
            <v>615-032231-040</v>
          </cell>
          <cell r="B1060" t="str">
            <v>RC1206JR-070RL</v>
          </cell>
          <cell r="C1060" t="str">
            <v>RES</v>
          </cell>
          <cell r="F1060" t="str">
            <v>RES,SMD,THKF,1206,0 OHM,5%,1/4W,ROHS</v>
          </cell>
        </row>
        <row r="1061">
          <cell r="A1061" t="str">
            <v>615-097890-201</v>
          </cell>
          <cell r="B1061" t="str">
            <v>RC1206JR-07200RL</v>
          </cell>
          <cell r="C1061" t="str">
            <v>RES</v>
          </cell>
          <cell r="D1061" t="str">
            <v>FF</v>
          </cell>
          <cell r="F1061" t="str">
            <v>RES,SMD,1206,200,5% 1/8W,ROHS</v>
          </cell>
        </row>
        <row r="1062">
          <cell r="A1062" t="str">
            <v>615-032231-243</v>
          </cell>
          <cell r="B1062" t="str">
            <v>RC1206JR-0724KL</v>
          </cell>
          <cell r="C1062" t="str">
            <v>RES</v>
          </cell>
          <cell r="F1062" t="str">
            <v>RES,SMD,THKF,1206,24.0K OHM,5%,1/4W,ROHS</v>
          </cell>
        </row>
        <row r="1063">
          <cell r="A1063" t="str">
            <v>615-097890-300</v>
          </cell>
          <cell r="B1063" t="str">
            <v>RC1206JR-0730RL</v>
          </cell>
          <cell r="C1063" t="str">
            <v>RES</v>
          </cell>
          <cell r="F1063" t="str">
            <v>RES,SMD THKF,30 OHM,5%,1206,1/8W,ROHS</v>
          </cell>
        </row>
        <row r="1064">
          <cell r="A1064" t="str">
            <v>615-032231-017</v>
          </cell>
          <cell r="B1064" t="str">
            <v>RC1206JR-073K3L</v>
          </cell>
          <cell r="C1064" t="str">
            <v>RES</v>
          </cell>
          <cell r="F1064" t="str">
            <v>RES,SMD,THKF,1206,3.3K OHM,5%,1/4W,ROHS</v>
          </cell>
        </row>
        <row r="1065">
          <cell r="A1065" t="str">
            <v>615-032231-569</v>
          </cell>
          <cell r="B1065" t="str">
            <v>RC1206JR-075R6L</v>
          </cell>
          <cell r="C1065" t="str">
            <v>RES</v>
          </cell>
          <cell r="F1065" t="str">
            <v>RES,SMD,THKF,1206,5%,1/4W,5.6,ROHS</v>
          </cell>
        </row>
        <row r="1066">
          <cell r="A1066" t="str">
            <v>615-097890-822</v>
          </cell>
          <cell r="B1066" t="str">
            <v>RC1206JR-078K2L</v>
          </cell>
          <cell r="C1066" t="str">
            <v>RES</v>
          </cell>
          <cell r="F1066" t="str">
            <v>RES,1206 8.2K 5% 1/8W,ROHS</v>
          </cell>
        </row>
        <row r="1067">
          <cell r="A1067" t="str">
            <v>615-032231-012</v>
          </cell>
          <cell r="B1067" t="str">
            <v>RC1206JR-07910RL</v>
          </cell>
          <cell r="C1067" t="str">
            <v>RES</v>
          </cell>
          <cell r="F1067" t="str">
            <v>RES,SMD,THKF,1206,910 OHM,5%,1/4W,ROHS</v>
          </cell>
        </row>
        <row r="1068">
          <cell r="A1068" t="str">
            <v>615-294140-001</v>
          </cell>
          <cell r="B1068" t="str">
            <v>RC2012J000CS</v>
          </cell>
          <cell r="C1068" t="str">
            <v>RES</v>
          </cell>
          <cell r="F1068" t="str">
            <v>RES,SMD,ZERO OHM JUMPER</v>
          </cell>
        </row>
        <row r="1069">
          <cell r="A1069" t="str">
            <v>609-290805-001</v>
          </cell>
          <cell r="B1069" t="str">
            <v>RCLAMP3321P.TNT</v>
          </cell>
          <cell r="C1069" t="str">
            <v>DIO</v>
          </cell>
          <cell r="F1069" t="str">
            <v>DIO,SMD,ZENER,TVS,3.3VWM,13VC</v>
          </cell>
        </row>
        <row r="1070">
          <cell r="A1070" t="str">
            <v>609-287457-001</v>
          </cell>
          <cell r="B1070" t="str">
            <v>RCLAMP3324T.TCT</v>
          </cell>
          <cell r="C1070" t="str">
            <v>DIO</v>
          </cell>
          <cell r="F1070" t="str">
            <v>DIO,SMD,TVS,RCLAMP,3.3VWM,10.5VC</v>
          </cell>
        </row>
        <row r="1071">
          <cell r="A1071" t="str">
            <v>615-B08007-001</v>
          </cell>
          <cell r="B1071" t="str">
            <v>RCS060310M0FKEA</v>
          </cell>
          <cell r="C1071" t="str">
            <v>RES</v>
          </cell>
          <cell r="F1071" t="str">
            <v>RES,SMD,THK FILM,10M OHM,1%,.25W,0603</v>
          </cell>
        </row>
        <row r="1072">
          <cell r="A1072" t="str">
            <v>631-096454-001</v>
          </cell>
          <cell r="B1072" t="str">
            <v>RCV420KP</v>
          </cell>
          <cell r="C1072" t="str">
            <v>IC</v>
          </cell>
          <cell r="F1072" t="str">
            <v>IC,RCV420,4-20mA,ROHS</v>
          </cell>
        </row>
        <row r="1073">
          <cell r="A1073" t="str">
            <v>631-096454-001</v>
          </cell>
          <cell r="B1073" t="str">
            <v>RCV420KPG4</v>
          </cell>
          <cell r="C1073" t="str">
            <v>IC</v>
          </cell>
          <cell r="F1073" t="str">
            <v>IC,RCV420,4-20mA,ROHS</v>
          </cell>
        </row>
        <row r="1074">
          <cell r="A1074" t="str">
            <v>649-336799-001</v>
          </cell>
          <cell r="B1074" t="str">
            <v>RDEC71E226K3K1H03B</v>
          </cell>
          <cell r="C1074" t="str">
            <v>CAP</v>
          </cell>
          <cell r="D1074" t="str">
            <v>Tfx</v>
          </cell>
          <cell r="F1074" t="str">
            <v>CAP,CER,22UF,25VDC,±10%TOL,X7S,INS CRP</v>
          </cell>
        </row>
        <row r="1075">
          <cell r="A1075" t="str">
            <v>630-116956-001</v>
          </cell>
          <cell r="B1075" t="str">
            <v>REF5025AIDR</v>
          </cell>
          <cell r="C1075" t="str">
            <v>IC</v>
          </cell>
          <cell r="F1075" t="str">
            <v>IC,SMD,2.5V REF SUPPLY</v>
          </cell>
        </row>
        <row r="1076">
          <cell r="A1076" t="str">
            <v>615-162861-275</v>
          </cell>
          <cell r="B1076" t="str">
            <v>RG2012P-123-B-T5</v>
          </cell>
          <cell r="C1076" t="str">
            <v>RES</v>
          </cell>
          <cell r="F1076" t="str">
            <v>RES,0805,TF,1/8W,0.1%,25PPM,12K ROHS</v>
          </cell>
        </row>
        <row r="1077">
          <cell r="A1077" t="str">
            <v>615-052828-150</v>
          </cell>
          <cell r="B1077" t="str">
            <v>RG2012P-154-B</v>
          </cell>
          <cell r="C1077" t="str">
            <v>RES</v>
          </cell>
          <cell r="F1077" t="str">
            <v>RES,SMD,0805,MF,1/8W,0.1%,150K ROHS</v>
          </cell>
        </row>
        <row r="1078">
          <cell r="A1078" t="str">
            <v>615-064170-162</v>
          </cell>
          <cell r="B1078" t="str">
            <v>RG2012P-1621-B-T5</v>
          </cell>
          <cell r="C1078" t="str">
            <v>RES</v>
          </cell>
          <cell r="F1078" t="str">
            <v>RES,SMD,0805,RG,MF,0.1%,1/10W,1.62K</v>
          </cell>
        </row>
        <row r="1079">
          <cell r="A1079" t="str">
            <v>615-064170-165</v>
          </cell>
          <cell r="B1079" t="str">
            <v>RG2012P-1651-B-T5</v>
          </cell>
          <cell r="C1079" t="str">
            <v>RES</v>
          </cell>
          <cell r="F1079" t="str">
            <v>RES,SMD,0805,RG,MF,0.1%,1/10W,1.65K</v>
          </cell>
        </row>
        <row r="1080">
          <cell r="A1080" t="str">
            <v>615-162861-079</v>
          </cell>
          <cell r="B1080" t="str">
            <v>RG2012P-2370-B-T5</v>
          </cell>
          <cell r="C1080" t="str">
            <v>RES</v>
          </cell>
          <cell r="F1080" t="str">
            <v>RES,0805,TF,1/8W,0.1%,25PPM,237 ROHS</v>
          </cell>
        </row>
        <row r="1081">
          <cell r="A1081" t="str">
            <v>615-162861-080</v>
          </cell>
          <cell r="B1081" t="str">
            <v>RG2012P-241-B-T5</v>
          </cell>
          <cell r="C1081" t="str">
            <v>RES</v>
          </cell>
          <cell r="F1081" t="str">
            <v>RES,0805,TF,1/8W,0.1%,25PPM,240 ROHS</v>
          </cell>
        </row>
        <row r="1082">
          <cell r="A1082" t="str">
            <v>615-049171-249</v>
          </cell>
          <cell r="B1082" t="str">
            <v>RG2012P-2492-B-T5</v>
          </cell>
          <cell r="C1082" t="str">
            <v>RES</v>
          </cell>
          <cell r="F1082" t="str">
            <v>RES,SMD,0805,24.9K OHMS,0.1%,ROHS</v>
          </cell>
        </row>
        <row r="1083">
          <cell r="A1083" t="str">
            <v>615-064170-274</v>
          </cell>
          <cell r="B1083" t="str">
            <v>RG2012P-2741-B-T5</v>
          </cell>
          <cell r="C1083" t="str">
            <v>RES</v>
          </cell>
          <cell r="F1083" t="str">
            <v>RES,SMD,0805,RG,MF,0.1%,1/10W,2.74K ROHS</v>
          </cell>
        </row>
        <row r="1084">
          <cell r="A1084" t="str">
            <v>615-049171-324</v>
          </cell>
          <cell r="B1084" t="str">
            <v>RG2012P-3242-B-T5</v>
          </cell>
          <cell r="C1084" t="str">
            <v>RES</v>
          </cell>
          <cell r="F1084" t="str">
            <v>RES.SMD,0805,32.4K OHMS,0.1%,ROHS</v>
          </cell>
        </row>
        <row r="1085">
          <cell r="A1085" t="str">
            <v>615-052828-390</v>
          </cell>
          <cell r="B1085" t="str">
            <v>RG2012P-394-B</v>
          </cell>
          <cell r="C1085" t="str">
            <v>RES</v>
          </cell>
          <cell r="F1085" t="str">
            <v>RES,SMD,0805,MF,1/8W,0.1%,390K ROHS</v>
          </cell>
        </row>
        <row r="1086">
          <cell r="A1086" t="str">
            <v>615-052826-472</v>
          </cell>
          <cell r="B1086" t="str">
            <v>RG2012P-472-B-T5</v>
          </cell>
          <cell r="C1086" t="str">
            <v>RES</v>
          </cell>
          <cell r="F1086" t="str">
            <v>RES,0805,0.1%,1/8W,25PPM,4.7K ROHS</v>
          </cell>
        </row>
        <row r="1087">
          <cell r="A1087" t="str">
            <v>615-162861-118</v>
          </cell>
          <cell r="B1087" t="str">
            <v>RG2012P-4990-B-T5</v>
          </cell>
          <cell r="C1087" t="str">
            <v>RES</v>
          </cell>
          <cell r="F1087" t="str">
            <v>RES,0805,TF,1/8W,0.1%,25PPM,499 ROHS</v>
          </cell>
        </row>
        <row r="1088">
          <cell r="A1088" t="str">
            <v>615-064170-499</v>
          </cell>
          <cell r="B1088" t="str">
            <v>RG2012P-4991-B-T5</v>
          </cell>
          <cell r="C1088" t="str">
            <v>RES</v>
          </cell>
          <cell r="F1088" t="str">
            <v>RES,SMD,0805,RG,MF,0.1%,1/10W,4.99K ROHS</v>
          </cell>
        </row>
        <row r="1089">
          <cell r="A1089" t="str">
            <v>615-064170-536</v>
          </cell>
          <cell r="B1089" t="str">
            <v>RG2012P-5361-B-T5</v>
          </cell>
          <cell r="C1089" t="str">
            <v>RES</v>
          </cell>
          <cell r="F1089" t="str">
            <v>RES,SMD,0805,RG,MF,0.1%,1/10W,5.36K</v>
          </cell>
        </row>
        <row r="1090">
          <cell r="A1090" t="str">
            <v>615-052828-056</v>
          </cell>
          <cell r="B1090" t="str">
            <v>RG2012P-563-B</v>
          </cell>
          <cell r="C1090" t="str">
            <v>RES</v>
          </cell>
          <cell r="F1090" t="str">
            <v>RES,SMD,0805,MF,1/8W,0.1%,56K ROHS</v>
          </cell>
        </row>
        <row r="1091">
          <cell r="A1091" t="str">
            <v>615-049171-715</v>
          </cell>
          <cell r="B1091" t="str">
            <v>RG2012P-7152-B-T5</v>
          </cell>
          <cell r="C1091" t="str">
            <v>RES</v>
          </cell>
          <cell r="F1091" t="str">
            <v>RES.SMD,0805,71.5K OHMS,0.1%,ROHS</v>
          </cell>
        </row>
        <row r="1092">
          <cell r="A1092" t="str">
            <v>615-162861-030</v>
          </cell>
          <cell r="B1092" t="str">
            <v>RG2012P-82R5-B-T5</v>
          </cell>
          <cell r="C1092" t="str">
            <v>RES</v>
          </cell>
          <cell r="F1092" t="str">
            <v>RES,0805,TF,1/8W,0.1%,25PPM,82.5 ROHS</v>
          </cell>
        </row>
        <row r="1093">
          <cell r="A1093" t="str">
            <v>615-049171-845</v>
          </cell>
          <cell r="B1093" t="str">
            <v>RG2012P-8452-B-T5</v>
          </cell>
          <cell r="C1093" t="str">
            <v>RES</v>
          </cell>
          <cell r="F1093" t="str">
            <v>RES,SMD,0805,84.5K OHMS</v>
          </cell>
        </row>
        <row r="1094">
          <cell r="A1094" t="str">
            <v>615-B28247-001</v>
          </cell>
          <cell r="B1094" t="str">
            <v>RGC1/16SC3301BTH</v>
          </cell>
          <cell r="C1094" t="str">
            <v>RES</v>
          </cell>
          <cell r="F1094" t="str">
            <v>RES,SMD,THK FILM,3.3KOHM,.1%,.063W,0402</v>
          </cell>
        </row>
        <row r="1095">
          <cell r="A1095" t="str">
            <v>644-A12839-001</v>
          </cell>
          <cell r="B1095" t="str">
            <v>RH2V2-UDC24V</v>
          </cell>
          <cell r="C1095" t="str">
            <v>RLY</v>
          </cell>
          <cell r="F1095" t="str">
            <v>RLY,NON LCH,DPDT,10A,24VDC,STD,TH</v>
          </cell>
        </row>
        <row r="1096">
          <cell r="A1096" t="str">
            <v>615-098743-222</v>
          </cell>
          <cell r="B1096" t="str">
            <v>RK73B2HTTE222J</v>
          </cell>
          <cell r="C1096" t="str">
            <v>RES</v>
          </cell>
          <cell r="F1096" t="str">
            <v>RESISTOR,SMD,2010,2.2K OHM,5% 1/2W,ROHS</v>
          </cell>
        </row>
        <row r="1097">
          <cell r="A1097" t="str">
            <v>615-098743-272</v>
          </cell>
          <cell r="B1097" t="str">
            <v>RK73B2HTTE272J</v>
          </cell>
          <cell r="C1097" t="str">
            <v>RES</v>
          </cell>
          <cell r="F1097" t="str">
            <v>RES,SMD,THKF,2.7K,2010 5% 1/2W</v>
          </cell>
        </row>
        <row r="1098">
          <cell r="A1098" t="str">
            <v>615-098743-302</v>
          </cell>
          <cell r="B1098" t="str">
            <v>RK73B2HTTE302J</v>
          </cell>
          <cell r="C1098" t="str">
            <v>RES</v>
          </cell>
          <cell r="F1098" t="str">
            <v>RESISTOR,SMD,2010,3K OHM,5% 1/2W,ROHS</v>
          </cell>
        </row>
        <row r="1099">
          <cell r="A1099" t="str">
            <v>615-098743-390</v>
          </cell>
          <cell r="B1099" t="str">
            <v>RK73B2HTTE390J</v>
          </cell>
          <cell r="C1099" t="str">
            <v>RES</v>
          </cell>
          <cell r="F1099" t="str">
            <v>RESISTOR,SMD,2010,39 OHM,5% 1/2W,ROHS</v>
          </cell>
        </row>
        <row r="1100">
          <cell r="A1100" t="str">
            <v>615-900298-112</v>
          </cell>
          <cell r="B1100" t="str">
            <v>RK73B3ATTE112J</v>
          </cell>
          <cell r="C1100" t="str">
            <v>RES</v>
          </cell>
          <cell r="F1100" t="str">
            <v>RES,2512,1.1K,5%,1W</v>
          </cell>
        </row>
        <row r="1101">
          <cell r="A1101" t="str">
            <v>615-053814-332</v>
          </cell>
          <cell r="B1101" t="str">
            <v>RK73B3ATTE332J</v>
          </cell>
          <cell r="C1101" t="str">
            <v>RES</v>
          </cell>
          <cell r="F1101" t="str">
            <v>RES,SMD,2512,TF,5%,1W,ROHS,3.3K OHM</v>
          </cell>
        </row>
        <row r="1102">
          <cell r="A1102" t="str">
            <v>615-121726-042</v>
          </cell>
          <cell r="B1102" t="str">
            <v>RK73H1ETTP1201F</v>
          </cell>
          <cell r="C1102" t="str">
            <v>RES</v>
          </cell>
          <cell r="F1102" t="str">
            <v>RES,SMD,1.2K,1/10W,1%,0402</v>
          </cell>
        </row>
        <row r="1103">
          <cell r="A1103" t="str">
            <v>615-123463-120</v>
          </cell>
          <cell r="B1103" t="str">
            <v>RK73H1ETTP1203F</v>
          </cell>
          <cell r="C1103" t="str">
            <v>RES</v>
          </cell>
          <cell r="F1103" t="str">
            <v>RES,0402,THKF,1/16W,1% 120K ROHS</v>
          </cell>
        </row>
        <row r="1104">
          <cell r="A1104" t="str">
            <v>615-123463-124</v>
          </cell>
          <cell r="B1104" t="str">
            <v>RK73H1ETTP1243F</v>
          </cell>
          <cell r="C1104" t="str">
            <v>RES</v>
          </cell>
          <cell r="F1104" t="str">
            <v>RES,0402,THKF,1/16W,1% 124K ROHS</v>
          </cell>
        </row>
        <row r="1105">
          <cell r="A1105" t="str">
            <v>615-121726-050</v>
          </cell>
          <cell r="B1105" t="str">
            <v>RK73H1ETTP1501F</v>
          </cell>
          <cell r="C1105" t="str">
            <v>RES</v>
          </cell>
          <cell r="F1105" t="str">
            <v>RES,SMD,1.5K,1/10W,1%,0402</v>
          </cell>
        </row>
        <row r="1106">
          <cell r="A1106" t="str">
            <v>615-121726-073</v>
          </cell>
          <cell r="B1106" t="str">
            <v>RK73H1ETTP1502F</v>
          </cell>
          <cell r="C1106" t="str">
            <v>RES</v>
          </cell>
          <cell r="F1106" t="str">
            <v>RES,SMD,15K,1/10W,1%,0402</v>
          </cell>
        </row>
        <row r="1107">
          <cell r="A1107" t="str">
            <v>615-121726-161</v>
          </cell>
          <cell r="B1107" t="str">
            <v>RK73H1ETTP1600F</v>
          </cell>
          <cell r="C1107" t="str">
            <v>RES</v>
          </cell>
          <cell r="F1107" t="str">
            <v>RES,SMD,1/10W,1%,0402</v>
          </cell>
        </row>
        <row r="1108">
          <cell r="A1108" t="str">
            <v>615-121726-008</v>
          </cell>
          <cell r="B1108" t="str">
            <v>RK73H1ETTP20R0F</v>
          </cell>
          <cell r="C1108" t="str">
            <v>RES</v>
          </cell>
          <cell r="F1108" t="str">
            <v>RES,SMD,20 OHM,1/10W,1%,0402</v>
          </cell>
        </row>
        <row r="1109">
          <cell r="A1109" t="str">
            <v>615-121726-069</v>
          </cell>
          <cell r="B1109" t="str">
            <v>RK73H1ETTP2703F</v>
          </cell>
          <cell r="C1109" t="str">
            <v>RES</v>
          </cell>
          <cell r="F1109" t="str">
            <v>RES,SMD,270K,1/10W,1%,0402</v>
          </cell>
        </row>
        <row r="1110">
          <cell r="A1110" t="str">
            <v>615-121726-322</v>
          </cell>
          <cell r="B1110" t="str">
            <v>RK73H1ETTP3241F</v>
          </cell>
          <cell r="C1110" t="str">
            <v>RES</v>
          </cell>
          <cell r="F1110" t="str">
            <v>RES,SMD,3.24K,1/10W,1%,0402</v>
          </cell>
        </row>
        <row r="1111">
          <cell r="A1111" t="str">
            <v>615-121726-033</v>
          </cell>
          <cell r="B1111" t="str">
            <v>RK73H1ETTP33R0F</v>
          </cell>
          <cell r="C1111" t="str">
            <v>RES</v>
          </cell>
          <cell r="F1111" t="str">
            <v>RES,SMD,33 OHM,1/10W,1%,0402</v>
          </cell>
        </row>
        <row r="1112">
          <cell r="A1112" t="str">
            <v>615-121726-059</v>
          </cell>
          <cell r="B1112" t="str">
            <v>RK73H1ETTP3901F</v>
          </cell>
          <cell r="C1112" t="str">
            <v>RES</v>
          </cell>
          <cell r="F1112" t="str">
            <v>RES,SMD,3.9K,1/10W,1%,0402</v>
          </cell>
        </row>
        <row r="1113">
          <cell r="A1113" t="str">
            <v>615-121726-432</v>
          </cell>
          <cell r="B1113" t="str">
            <v>RK73H1ETTP4323F</v>
          </cell>
          <cell r="C1113" t="str">
            <v>RES</v>
          </cell>
          <cell r="F1113" t="str">
            <v>RES,SMD,432K,1/10W,1%,0402</v>
          </cell>
        </row>
        <row r="1114">
          <cell r="A1114" t="str">
            <v>615-121726-121</v>
          </cell>
          <cell r="B1114" t="str">
            <v>RK73H1ETTP4422F</v>
          </cell>
          <cell r="C1114" t="str">
            <v>RES</v>
          </cell>
          <cell r="F1114" t="str">
            <v>RES,SMD,44.2K,1/10W,1%,0402</v>
          </cell>
        </row>
        <row r="1115">
          <cell r="A1115" t="str">
            <v>615-121726-214</v>
          </cell>
          <cell r="B1115" t="str">
            <v>RK73H1ETTP4873F</v>
          </cell>
          <cell r="C1115" t="str">
            <v>RES</v>
          </cell>
          <cell r="F1115" t="str">
            <v>RES,SMD,487K OHM,1/10W,1%,0402</v>
          </cell>
        </row>
        <row r="1116">
          <cell r="A1116" t="str">
            <v>615-121726-086</v>
          </cell>
          <cell r="B1116" t="str">
            <v>RK73H1ETTP5102F</v>
          </cell>
          <cell r="C1116" t="str">
            <v>RES</v>
          </cell>
          <cell r="F1116" t="str">
            <v>RES,SMD,51K,1/10W,1%,0402</v>
          </cell>
        </row>
        <row r="1117">
          <cell r="A1117" t="str">
            <v>615-121726-216</v>
          </cell>
          <cell r="B1117" t="str">
            <v>RK73H1ETTP6042F</v>
          </cell>
          <cell r="C1117" t="str">
            <v>RES</v>
          </cell>
          <cell r="F1117" t="str">
            <v>RES,SMD,60.4K OHM,1/10W,1%,0402</v>
          </cell>
        </row>
        <row r="1118">
          <cell r="A1118" t="str">
            <v>615-068560-499</v>
          </cell>
          <cell r="B1118" t="str">
            <v>RK73H1JTTD4992F</v>
          </cell>
          <cell r="C1118" t="str">
            <v>RES</v>
          </cell>
          <cell r="F1118" t="str">
            <v>RES,0603,THKF,1%,1/10W,100PPM,49.9K ROHS</v>
          </cell>
        </row>
        <row r="1119">
          <cell r="A1119" t="str">
            <v>615-047233-470</v>
          </cell>
          <cell r="B1119" t="str">
            <v>RK73H2ETTD47R0F</v>
          </cell>
          <cell r="C1119" t="str">
            <v>RES</v>
          </cell>
          <cell r="F1119" t="str">
            <v>RES,SMD,1210,10-100 OHMS,1%,0.33W,ROHS</v>
          </cell>
        </row>
        <row r="1120">
          <cell r="A1120" t="str">
            <v>670-A11993-050</v>
          </cell>
          <cell r="B1120" t="str">
            <v>RKEF050</v>
          </cell>
          <cell r="C1120" t="str">
            <v>FUSE</v>
          </cell>
          <cell r="D1120" t="str">
            <v>AC Box</v>
          </cell>
          <cell r="F1120" t="str">
            <v>FUSE,PPTC,0.50A HOLD CUR,60V,THT</v>
          </cell>
        </row>
        <row r="1121">
          <cell r="A1121" t="str">
            <v>670-A11993-075</v>
          </cell>
          <cell r="B1121" t="str">
            <v>RKEF075</v>
          </cell>
          <cell r="C1121" t="str">
            <v>FUSE</v>
          </cell>
          <cell r="D1121" t="str">
            <v>AC Box</v>
          </cell>
          <cell r="F1121" t="str">
            <v>FUSE,PPTC,0.75A HOLD CUR,60V,THT</v>
          </cell>
        </row>
        <row r="1122">
          <cell r="A1122" t="str">
            <v>670-A11993-135</v>
          </cell>
          <cell r="B1122" t="str">
            <v>RKEF135</v>
          </cell>
          <cell r="C1122" t="str">
            <v>FUSE</v>
          </cell>
          <cell r="D1122" t="str">
            <v>AC Box</v>
          </cell>
          <cell r="F1122" t="str">
            <v>FUSE,PPTC,1.35A HOLD CUR,60V,THT</v>
          </cell>
        </row>
        <row r="1123">
          <cell r="A1123" t="str">
            <v>670-A11993-500</v>
          </cell>
          <cell r="B1123" t="str">
            <v>RKEF500</v>
          </cell>
          <cell r="C1123" t="str">
            <v>FUSE</v>
          </cell>
          <cell r="D1123" t="str">
            <v>AC Box</v>
          </cell>
          <cell r="F1123" t="str">
            <v>FUSE,PPTC,5A HOLD CUR,60V,THT</v>
          </cell>
        </row>
        <row r="1124">
          <cell r="A1124" t="str">
            <v>615-051883-220</v>
          </cell>
          <cell r="B1124" t="str">
            <v>RM06J220CT</v>
          </cell>
          <cell r="C1124" t="str">
            <v>RES</v>
          </cell>
          <cell r="F1124" t="str">
            <v>RES, SMD,TF,0603,22 OHM, 5%, 1/10W, ROHS</v>
          </cell>
        </row>
        <row r="1125">
          <cell r="A1125" t="str">
            <v>615-228701-001</v>
          </cell>
          <cell r="B1125" t="str">
            <v>RMCF0402FT1K00</v>
          </cell>
          <cell r="C1125" t="str">
            <v>RES</v>
          </cell>
          <cell r="F1125" t="str">
            <v>RES,SMD,1K OHM,±1% TOL,1/16W,50V,0402</v>
          </cell>
        </row>
        <row r="1126">
          <cell r="A1126" t="str">
            <v>615-188548-172</v>
          </cell>
          <cell r="B1126" t="str">
            <v>RMCF0402FT33R0</v>
          </cell>
          <cell r="C1126" t="str">
            <v>RES</v>
          </cell>
          <cell r="F1126" t="str">
            <v>RES,0402,1% 1/16W,33.0 OHM ROHS</v>
          </cell>
        </row>
        <row r="1127">
          <cell r="A1127" t="str">
            <v>615-188548-194</v>
          </cell>
          <cell r="B1127" t="str">
            <v>RMCF0402FT49R9</v>
          </cell>
          <cell r="C1127" t="str">
            <v>RES</v>
          </cell>
          <cell r="F1127" t="str">
            <v>RES,0402,1% 1/16W,49.9 OHM ROHS</v>
          </cell>
        </row>
        <row r="1128">
          <cell r="A1128" t="str">
            <v>615-A34866-016</v>
          </cell>
          <cell r="B1128" t="str">
            <v>RMCF0603FT10K0</v>
          </cell>
          <cell r="C1128" t="str">
            <v>RES</v>
          </cell>
          <cell r="F1128" t="str">
            <v>RES,SMD,10KOHM,±1% TOL,0.1W,0603</v>
          </cell>
        </row>
        <row r="1129">
          <cell r="A1129" t="str">
            <v>615-B07781-001</v>
          </cell>
          <cell r="B1129" t="str">
            <v>RMCF0603FT127K</v>
          </cell>
          <cell r="C1129" t="str">
            <v>RES</v>
          </cell>
          <cell r="F1129" t="str">
            <v>RES,SMD,THK FILM,127K OHM,1%,0.1W,0603</v>
          </cell>
        </row>
        <row r="1130">
          <cell r="A1130" t="str">
            <v>615-068559-200</v>
          </cell>
          <cell r="B1130" t="str">
            <v>RMCF0603FT2K00</v>
          </cell>
          <cell r="C1130" t="str">
            <v>RES</v>
          </cell>
          <cell r="F1130" t="str">
            <v>RES,0603,THKF,1%,1/10W,100PPM,2K ROHS</v>
          </cell>
        </row>
        <row r="1131">
          <cell r="A1131" t="str">
            <v>615-068558-365</v>
          </cell>
          <cell r="B1131" t="str">
            <v>RMCF0603FT365R</v>
          </cell>
          <cell r="C1131" t="str">
            <v>RES</v>
          </cell>
          <cell r="F1131" t="str">
            <v>RES,0603,THKF,1%,1/10W,100PPM,365 ROHS</v>
          </cell>
        </row>
        <row r="1132">
          <cell r="A1132" t="str">
            <v>615-068559-324</v>
          </cell>
          <cell r="B1132" t="str">
            <v>RMCF0603FT3K24</v>
          </cell>
          <cell r="C1132" t="str">
            <v>RES</v>
          </cell>
          <cell r="F1132" t="str">
            <v>RES,SMD,THKF,1%,1/10W,100PPM,3.24K,ROHS</v>
          </cell>
        </row>
        <row r="1133">
          <cell r="A1133" t="str">
            <v>615-068560-499</v>
          </cell>
          <cell r="B1133" t="str">
            <v>RMCF0603FT49K9</v>
          </cell>
          <cell r="C1133" t="str">
            <v>RES</v>
          </cell>
          <cell r="F1133" t="str">
            <v>RES,0603,THKF,1%,1/10W,100PPM,49.9K ROHS</v>
          </cell>
        </row>
        <row r="1134">
          <cell r="A1134" t="str">
            <v>615-068559-412</v>
          </cell>
          <cell r="B1134" t="str">
            <v>RMCF0603FT4K12</v>
          </cell>
          <cell r="C1134" t="str">
            <v>RES</v>
          </cell>
          <cell r="F1134" t="str">
            <v>RES,0603,THKF,1%,1/10W,100PPM,4.12K ROHS</v>
          </cell>
        </row>
        <row r="1135">
          <cell r="A1135" t="str">
            <v>615-055211-100</v>
          </cell>
          <cell r="B1135" t="str">
            <v>RMCF0805FT100R</v>
          </cell>
          <cell r="C1135" t="str">
            <v>RES</v>
          </cell>
          <cell r="F1135" t="str">
            <v>RES,SMD,0805,TF,100 OHM,1%,1/8W,ROHS</v>
          </cell>
        </row>
        <row r="1136">
          <cell r="A1136" t="str">
            <v>615-041926-103</v>
          </cell>
          <cell r="B1136" t="str">
            <v>RMCF0805FT10K0</v>
          </cell>
          <cell r="C1136" t="str">
            <v>RES</v>
          </cell>
          <cell r="F1136" t="str">
            <v>RES,SMD,0805,TF,1%,1/8W,10K,ROHS</v>
          </cell>
        </row>
        <row r="1137">
          <cell r="A1137" t="str">
            <v>615-055211-470</v>
          </cell>
          <cell r="B1137" t="str">
            <v>RMCF0805FT470R</v>
          </cell>
          <cell r="C1137" t="str">
            <v>RES</v>
          </cell>
          <cell r="F1137" t="str">
            <v>RES,SMD,0805,TF,470 OHM,1%,1/8W,ROHS</v>
          </cell>
        </row>
        <row r="1138">
          <cell r="A1138" t="str">
            <v>615-A79047-003</v>
          </cell>
          <cell r="B1138" t="str">
            <v>RMCF1206FT2K20</v>
          </cell>
          <cell r="C1138" t="str">
            <v>RES</v>
          </cell>
          <cell r="F1138" t="str">
            <v>RES,SMD,THK,2.2K OHM,1%,1/4W,1206</v>
          </cell>
        </row>
        <row r="1139">
          <cell r="A1139" t="str">
            <v>615-053814-332</v>
          </cell>
          <cell r="B1139" t="str">
            <v>RMCF2512JT3K30</v>
          </cell>
          <cell r="C1139" t="str">
            <v>RES</v>
          </cell>
          <cell r="F1139" t="str">
            <v>RES,SMD,2512,TF,5%,1W,ROHS,3.3K OHM</v>
          </cell>
        </row>
        <row r="1140">
          <cell r="A1140" t="str">
            <v>615-052826-472</v>
          </cell>
          <cell r="B1140" t="str">
            <v>RN73R2ATTD4701B25</v>
          </cell>
          <cell r="C1140" t="str">
            <v>RES</v>
          </cell>
          <cell r="F1140" t="str">
            <v>RES,0805,0.1%,1/8W,25PPM,4.7K ROHS</v>
          </cell>
        </row>
        <row r="1141">
          <cell r="A1141" t="str">
            <v>615-220118-005</v>
          </cell>
          <cell r="B1141" t="str">
            <v>RNCP0805FTD40K2</v>
          </cell>
          <cell r="C1141" t="str">
            <v>RES</v>
          </cell>
          <cell r="F1141" t="str">
            <v>RES,SMD,40.2K OHM,+/-1%,1/4W,HP,0805</v>
          </cell>
        </row>
        <row r="1142">
          <cell r="A1142" t="str">
            <v>615-220118-004</v>
          </cell>
          <cell r="B1142" t="str">
            <v>RNCP0805FTD4K99</v>
          </cell>
          <cell r="C1142" t="str">
            <v>RES</v>
          </cell>
          <cell r="F1142" t="str">
            <v>RES,SMD,4.99K OHM,+/-1%,1/4W,HP,0805</v>
          </cell>
        </row>
        <row r="1143">
          <cell r="A1143" t="str">
            <v>615-B08503-001</v>
          </cell>
          <cell r="B1143" t="str">
            <v>RP73PF1E16R5BTD</v>
          </cell>
          <cell r="C1143" t="str">
            <v>RES</v>
          </cell>
          <cell r="F1143" t="str">
            <v>RES,SMD,THIN FILM,16.5OHM,0.1W,.1%,0402</v>
          </cell>
        </row>
        <row r="1144">
          <cell r="A1144" t="str">
            <v>685-B14998-001</v>
          </cell>
          <cell r="B1144" t="str">
            <v>RPI4-MODBP-4GB</v>
          </cell>
          <cell r="C1144" t="str">
            <v>MDL</v>
          </cell>
          <cell r="F1144" t="str">
            <v>MDL,ELEC,RASPBERRY PI 4,MDL B,4GB,IOC</v>
          </cell>
        </row>
        <row r="1145">
          <cell r="A1145" t="str">
            <v>615-A61037-267</v>
          </cell>
          <cell r="B1145" t="str">
            <v>RQ73C2B267RBTD</v>
          </cell>
          <cell r="C1145" t="str">
            <v>RES</v>
          </cell>
          <cell r="F1145" t="str">
            <v>RES,SMD,267OHM,0.4W,200V,0.1%,1206,ROHS</v>
          </cell>
        </row>
        <row r="1146">
          <cell r="A1146" t="str">
            <v>615-A61037-357</v>
          </cell>
          <cell r="B1146" t="str">
            <v>RQ73C2B357RBTD</v>
          </cell>
          <cell r="C1146" t="str">
            <v>RES</v>
          </cell>
          <cell r="F1146" t="str">
            <v>RES,SMD,357OHM,0.4W,200V,0.1%,1206,ROHS</v>
          </cell>
        </row>
        <row r="1147">
          <cell r="A1147" t="str">
            <v>615-A72185-010</v>
          </cell>
          <cell r="B1147" t="str">
            <v>RS73F2BTTD10R0B</v>
          </cell>
          <cell r="C1147" t="str">
            <v>RES</v>
          </cell>
          <cell r="F1147" t="str">
            <v>RES,SMD,10 OHM,0.1%,25PPM,0.33W,1206</v>
          </cell>
        </row>
        <row r="1148">
          <cell r="A1148" t="str">
            <v>615-336992-002</v>
          </cell>
          <cell r="B1148" t="str">
            <v>RT0402BRD07100KL</v>
          </cell>
          <cell r="C1148" t="str">
            <v>RES</v>
          </cell>
          <cell r="F1148" t="str">
            <v>RES,SMD,0402,100KOHM,±.1%,1/16W</v>
          </cell>
        </row>
        <row r="1149">
          <cell r="A1149" t="str">
            <v>615-303725-087</v>
          </cell>
          <cell r="B1149" t="str">
            <v>RT0402BRD0710K5L</v>
          </cell>
          <cell r="C1149" t="str">
            <v>RES</v>
          </cell>
          <cell r="F1149" t="str">
            <v>RES,SMD,10.5K,0.1%,1/16W,0402,ROHS</v>
          </cell>
        </row>
        <row r="1150">
          <cell r="A1150" t="str">
            <v>615-A00424-100</v>
          </cell>
          <cell r="B1150" t="str">
            <v>RT0402BRD0710KL</v>
          </cell>
          <cell r="C1150" t="str">
            <v>RES</v>
          </cell>
          <cell r="F1150" t="str">
            <v>RES,SMD,10.0KOHM,0.1%,1/16W,0402</v>
          </cell>
        </row>
        <row r="1151">
          <cell r="A1151" t="str">
            <v>615-A00424-118</v>
          </cell>
          <cell r="B1151" t="str">
            <v>RT0402BRD0711K8L</v>
          </cell>
          <cell r="C1151" t="str">
            <v>RES</v>
          </cell>
          <cell r="F1151" t="str">
            <v>RES,SMD,11.8KOHM,0.1%,1/16W,0402</v>
          </cell>
        </row>
        <row r="1152">
          <cell r="A1152" t="str">
            <v>615-A00424-120</v>
          </cell>
          <cell r="B1152" t="str">
            <v>RT0402BRD0712KL</v>
          </cell>
          <cell r="C1152" t="str">
            <v>RES</v>
          </cell>
          <cell r="F1152" t="str">
            <v>RES,SMD,12.0KOHM,0.1%,1/16W,0402</v>
          </cell>
        </row>
        <row r="1153">
          <cell r="A1153" t="str">
            <v>615-A00422-160</v>
          </cell>
          <cell r="B1153" t="str">
            <v>RT0402BRD07160RL</v>
          </cell>
          <cell r="C1153" t="str">
            <v>RES</v>
          </cell>
          <cell r="F1153" t="str">
            <v>RES SMD 160 OHM 0.1% 1/16W 0402</v>
          </cell>
        </row>
        <row r="1154">
          <cell r="A1154" t="str">
            <v>615-A00424-182</v>
          </cell>
          <cell r="B1154" t="str">
            <v>RT0402BRD0718K2L</v>
          </cell>
          <cell r="C1154" t="str">
            <v>RES</v>
          </cell>
          <cell r="F1154" t="str">
            <v>RES,SMD,18.2KOHM,0.1%,1/16W,0402</v>
          </cell>
        </row>
        <row r="1155">
          <cell r="A1155" t="str">
            <v>615-A00424-191</v>
          </cell>
          <cell r="B1155" t="str">
            <v>RT0402BRD0719K1L</v>
          </cell>
          <cell r="C1155" t="str">
            <v>RES</v>
          </cell>
          <cell r="F1155" t="str">
            <v>RES,SMD,19.1KOHM,0.1%,1/16W,0402</v>
          </cell>
        </row>
        <row r="1156">
          <cell r="A1156" t="str">
            <v>615-A00423-107</v>
          </cell>
          <cell r="B1156" t="str">
            <v>RT0402BRD071K07L</v>
          </cell>
          <cell r="C1156" t="str">
            <v>RES</v>
          </cell>
          <cell r="F1156" t="str">
            <v>RES SMD 1.07KOHM 0.1% 1/16W 0402</v>
          </cell>
        </row>
        <row r="1157">
          <cell r="A1157" t="str">
            <v>615-303725-085</v>
          </cell>
          <cell r="B1157" t="str">
            <v>RT0402BRD071K15L</v>
          </cell>
          <cell r="C1157" t="str">
            <v>RES</v>
          </cell>
          <cell r="F1157" t="str">
            <v>RES,SMD,1.15K,0.1%,1/16W,0402,ROHS</v>
          </cell>
        </row>
        <row r="1158">
          <cell r="A1158" t="str">
            <v>615-A00423-133</v>
          </cell>
          <cell r="B1158" t="str">
            <v>RT0402BRD071K33L</v>
          </cell>
          <cell r="C1158" t="str">
            <v>RES</v>
          </cell>
          <cell r="F1158" t="str">
            <v>RES SMD 1.33KOHM 0.1% 1/16W 0402</v>
          </cell>
        </row>
        <row r="1159">
          <cell r="A1159" t="str">
            <v>615-A00423-100</v>
          </cell>
          <cell r="B1159" t="str">
            <v>RT0402BRD071KL</v>
          </cell>
          <cell r="C1159" t="str">
            <v>RES</v>
          </cell>
          <cell r="F1159" t="str">
            <v>RES SMD 1.00KOHM 0.1% 1/16W 0402</v>
          </cell>
        </row>
        <row r="1160">
          <cell r="A1160" t="str">
            <v>615-A00422-237</v>
          </cell>
          <cell r="B1160" t="str">
            <v>RT0402BRD07237RL</v>
          </cell>
          <cell r="C1160" t="str">
            <v>RES</v>
          </cell>
          <cell r="F1160" t="str">
            <v>RES SMD 237 OHM 0.1% 1/16W 0402</v>
          </cell>
        </row>
        <row r="1161">
          <cell r="A1161" t="str">
            <v>615-A00424-243</v>
          </cell>
          <cell r="B1161" t="str">
            <v>RT0402BRD0724K3L</v>
          </cell>
          <cell r="C1161" t="str">
            <v>RES</v>
          </cell>
          <cell r="F1161" t="str">
            <v>RES,SMD,24.3KOHM,0.1%,1/16W,0402</v>
          </cell>
        </row>
        <row r="1162">
          <cell r="A1162" t="str">
            <v>615-A00422-267</v>
          </cell>
          <cell r="B1162" t="str">
            <v>RT0402BRD07267RL</v>
          </cell>
          <cell r="C1162" t="str">
            <v>RES</v>
          </cell>
          <cell r="F1162" t="str">
            <v>RES SMD 267 OHM 0.1% 1/16W 0402</v>
          </cell>
        </row>
        <row r="1163">
          <cell r="A1163" t="str">
            <v>615-A00422-280</v>
          </cell>
          <cell r="B1163" t="str">
            <v>RT0402BRD07280RL</v>
          </cell>
          <cell r="C1163" t="str">
            <v>RES</v>
          </cell>
          <cell r="F1163" t="str">
            <v>RES SMD 280 OHM 0.1% 1/16W 0402</v>
          </cell>
        </row>
        <row r="1164">
          <cell r="A1164" t="str">
            <v>615-A00423-226</v>
          </cell>
          <cell r="B1164" t="str">
            <v>RT0402BRD072K26L</v>
          </cell>
          <cell r="C1164" t="str">
            <v>RES</v>
          </cell>
          <cell r="F1164" t="str">
            <v>RES SMD 2.26KOHM 0.1% 1/16W 0402</v>
          </cell>
        </row>
        <row r="1165">
          <cell r="A1165" t="str">
            <v>615-A00424-301</v>
          </cell>
          <cell r="B1165" t="str">
            <v>RT0402BRD0730K1L</v>
          </cell>
          <cell r="C1165" t="str">
            <v>RES</v>
          </cell>
          <cell r="F1165" t="str">
            <v>RES,SMD,30.1KOHM,0.1%,1/16W,0402</v>
          </cell>
        </row>
        <row r="1166">
          <cell r="A1166" t="str">
            <v>615-A00424-348</v>
          </cell>
          <cell r="B1166" t="str">
            <v>RT0402BRD0734K8L</v>
          </cell>
          <cell r="C1166" t="str">
            <v>RES</v>
          </cell>
          <cell r="F1166" t="str">
            <v>RES,SMD,34.8KOHM,0.1%,1/16W,0402</v>
          </cell>
        </row>
        <row r="1167">
          <cell r="A1167" t="str">
            <v>615-A00422-365</v>
          </cell>
          <cell r="B1167" t="str">
            <v>RT0402BRD07365RL</v>
          </cell>
          <cell r="C1167" t="str">
            <v>RES</v>
          </cell>
          <cell r="F1167" t="str">
            <v>RES SMD 365 OHM 0.1% 1/16W 0402</v>
          </cell>
        </row>
        <row r="1168">
          <cell r="A1168" t="str">
            <v>615-A00423-332</v>
          </cell>
          <cell r="B1168" t="str">
            <v>RT0402BRD073K32L</v>
          </cell>
          <cell r="C1168" t="str">
            <v>RES</v>
          </cell>
          <cell r="F1168" t="str">
            <v>RES SMD 3.32KOHM 0.1% 1/16W 0402</v>
          </cell>
        </row>
        <row r="1169">
          <cell r="A1169" t="str">
            <v>615-303725-084</v>
          </cell>
          <cell r="B1169" t="str">
            <v>RT0402BRD073K57L</v>
          </cell>
          <cell r="C1169" t="str">
            <v>RES</v>
          </cell>
          <cell r="F1169" t="str">
            <v>RES,SMD,3.57K,0.1%,1/16W,0402,ROHS</v>
          </cell>
        </row>
        <row r="1170">
          <cell r="A1170" t="str">
            <v>615-A00422-412</v>
          </cell>
          <cell r="B1170" t="str">
            <v>RT0402BRD07412RL</v>
          </cell>
          <cell r="C1170" t="str">
            <v>RES</v>
          </cell>
          <cell r="F1170" t="str">
            <v>RES SMD 412 OHM 0.1% 1/16W 0402</v>
          </cell>
        </row>
        <row r="1171">
          <cell r="A1171" t="str">
            <v>615-A00424-412</v>
          </cell>
          <cell r="B1171" t="str">
            <v>RT0402BRD0741K2L</v>
          </cell>
          <cell r="C1171" t="str">
            <v>RES</v>
          </cell>
          <cell r="F1171" t="str">
            <v>RES,SMD,41.2KOHM,0.1%,1/16W,0402</v>
          </cell>
        </row>
        <row r="1172">
          <cell r="A1172" t="str">
            <v>615-A00424-464</v>
          </cell>
          <cell r="B1172" t="str">
            <v>RT0402BRD0746K4L</v>
          </cell>
          <cell r="C1172" t="str">
            <v>RES</v>
          </cell>
          <cell r="F1172" t="str">
            <v>RES,SMD,46.4KOHM,0.1%,1/16W,0402</v>
          </cell>
        </row>
        <row r="1173">
          <cell r="A1173" t="str">
            <v>615-A00422-499</v>
          </cell>
          <cell r="B1173" t="str">
            <v>RT0402BRD07499RL</v>
          </cell>
          <cell r="C1173" t="str">
            <v>RES</v>
          </cell>
          <cell r="F1173" t="str">
            <v>RES SMD 499 OHM 0.1% 1/16W 0402</v>
          </cell>
        </row>
        <row r="1174">
          <cell r="A1174" t="str">
            <v>615-A00422-523</v>
          </cell>
          <cell r="B1174" t="str">
            <v>RT0402BRD07523RL</v>
          </cell>
          <cell r="C1174" t="str">
            <v>RES</v>
          </cell>
          <cell r="F1174" t="str">
            <v>RES,SMD,0402,523OHM,0.1%,1/16W,ROHS</v>
          </cell>
        </row>
        <row r="1175">
          <cell r="A1175" t="str">
            <v>615-303725-083</v>
          </cell>
          <cell r="B1175" t="str">
            <v>RT0402BRD075K9L</v>
          </cell>
          <cell r="C1175" t="str">
            <v>RES</v>
          </cell>
          <cell r="F1175" t="str">
            <v>RES,SMD,5.9K,0.1%,1/16W,0402,ROHS</v>
          </cell>
        </row>
        <row r="1176">
          <cell r="A1176" t="str">
            <v>615-A00424-604</v>
          </cell>
          <cell r="B1176" t="str">
            <v>RT0402BRD0760K4L</v>
          </cell>
          <cell r="C1176" t="str">
            <v>RES</v>
          </cell>
          <cell r="F1176" t="str">
            <v>RES,SMD,60.4KOHM,0.1%,1/16W,0402</v>
          </cell>
        </row>
        <row r="1177">
          <cell r="A1177" t="str">
            <v>615-A00422-681</v>
          </cell>
          <cell r="B1177" t="str">
            <v>RT0402BRD07681RL</v>
          </cell>
          <cell r="C1177" t="str">
            <v>RES</v>
          </cell>
          <cell r="F1177" t="str">
            <v>RES SMD 681 OHM 0.1% 1/16W 0402</v>
          </cell>
        </row>
        <row r="1178">
          <cell r="A1178" t="str">
            <v>615-A00422-806</v>
          </cell>
          <cell r="B1178" t="str">
            <v>RT0402BRD07806RL</v>
          </cell>
          <cell r="C1178" t="str">
            <v>RES</v>
          </cell>
          <cell r="F1178" t="str">
            <v>RES SMD 806 OHM 0.1% 1/16W 0402</v>
          </cell>
        </row>
        <row r="1179">
          <cell r="A1179" t="str">
            <v>615-A00422-820</v>
          </cell>
          <cell r="B1179" t="str">
            <v>RT0402BRD07820RL</v>
          </cell>
          <cell r="C1179" t="str">
            <v>RES</v>
          </cell>
          <cell r="F1179" t="str">
            <v>RES SMD 820 OHM 0.1% 1/16W 0402</v>
          </cell>
        </row>
        <row r="1180">
          <cell r="A1180" t="str">
            <v>615-A00424-909</v>
          </cell>
          <cell r="B1180" t="str">
            <v>RT0402BRD0790K9L</v>
          </cell>
          <cell r="C1180" t="str">
            <v>RES</v>
          </cell>
          <cell r="F1180" t="str">
            <v>RES,SMD,90.9KOHM,0.1%,1/16W,0402</v>
          </cell>
        </row>
        <row r="1181">
          <cell r="A1181" t="str">
            <v>615-B11215-001</v>
          </cell>
          <cell r="B1181" t="str">
            <v>RT0402BRE0750RL</v>
          </cell>
          <cell r="C1181" t="str">
            <v>RES</v>
          </cell>
          <cell r="F1181" t="str">
            <v>RES,SMD,50OHM,.1% TOL,1/16W,0402</v>
          </cell>
        </row>
        <row r="1182">
          <cell r="A1182" t="str">
            <v>615-064170-162</v>
          </cell>
          <cell r="B1182" t="str">
            <v>RT0805BRD071K62L</v>
          </cell>
          <cell r="C1182" t="str">
            <v>RES</v>
          </cell>
          <cell r="F1182" t="str">
            <v>RES,SMD,0805,RG,MF,0.1%,1/10W,1.62K</v>
          </cell>
        </row>
        <row r="1183">
          <cell r="A1183" t="str">
            <v>615-064170-165</v>
          </cell>
          <cell r="B1183" t="str">
            <v>RT0805BRD071K65L</v>
          </cell>
          <cell r="C1183" t="str">
            <v>RES</v>
          </cell>
          <cell r="F1183" t="str">
            <v>RES,SMD,0805,RG,MF,0.1%,1/10W,1.65K</v>
          </cell>
        </row>
        <row r="1184">
          <cell r="A1184" t="str">
            <v>615-064170-274</v>
          </cell>
          <cell r="B1184" t="str">
            <v>RT0805BRD072K74L</v>
          </cell>
          <cell r="C1184" t="str">
            <v>RES</v>
          </cell>
          <cell r="F1184" t="str">
            <v>RES,SMD,0805,RG,MF,0.1%,1/10W,2.74K ROHS</v>
          </cell>
        </row>
        <row r="1185">
          <cell r="A1185" t="str">
            <v>615-064170-499</v>
          </cell>
          <cell r="B1185" t="str">
            <v>RT0805BRD074K99L</v>
          </cell>
          <cell r="C1185" t="str">
            <v>RES</v>
          </cell>
          <cell r="F1185" t="str">
            <v>RES,SMD,0805,RG,MF,0.1%,1/10W,4.99K ROHS</v>
          </cell>
        </row>
        <row r="1186">
          <cell r="A1186" t="str">
            <v>615-064170-536</v>
          </cell>
          <cell r="B1186" t="str">
            <v>RT0805BRD075K36L</v>
          </cell>
          <cell r="C1186" t="str">
            <v>RES</v>
          </cell>
          <cell r="F1186" t="str">
            <v>RES,SMD,0805,RG,MF,0.1%,1/10W,5.36K</v>
          </cell>
        </row>
        <row r="1187">
          <cell r="A1187" t="str">
            <v>615-055211-100</v>
          </cell>
          <cell r="B1187" t="str">
            <v>RT0805FRE07100RL</v>
          </cell>
          <cell r="C1187" t="str">
            <v>RES</v>
          </cell>
          <cell r="F1187" t="str">
            <v>RES,SMD,0805,TF,100 OHM,1%,1/8W,ROHS</v>
          </cell>
        </row>
        <row r="1188">
          <cell r="A1188" t="str">
            <v>615-055211-470</v>
          </cell>
          <cell r="B1188" t="str">
            <v>RT0805FRE07470RL</v>
          </cell>
          <cell r="C1188" t="str">
            <v>RES</v>
          </cell>
          <cell r="F1188" t="str">
            <v>RES,SMD,0805,TF,470 OHM,1%,1/8W,ROHS</v>
          </cell>
        </row>
        <row r="1189">
          <cell r="A1189" t="str">
            <v>644-087493-002</v>
          </cell>
          <cell r="B1189" t="str">
            <v>RTE24024F</v>
          </cell>
          <cell r="C1189" t="str">
            <v>RLY</v>
          </cell>
          <cell r="F1189" t="str">
            <v>RLY,PWR,DPDT,24VDC,ROHS</v>
          </cell>
        </row>
        <row r="1190">
          <cell r="A1190" t="str">
            <v>670-095989-400</v>
          </cell>
          <cell r="B1190" t="str">
            <v>RUEF400</v>
          </cell>
          <cell r="C1190" t="str">
            <v>PTC</v>
          </cell>
          <cell r="F1190" t="str">
            <v>PTC,RUE SERIES 4.00A,ROHS</v>
          </cell>
        </row>
        <row r="1191">
          <cell r="A1191" t="str">
            <v>670-095989-500</v>
          </cell>
          <cell r="B1191" t="str">
            <v>RUEF500</v>
          </cell>
          <cell r="C1191" t="str">
            <v>PTC</v>
          </cell>
          <cell r="F1191" t="str">
            <v>PTC,RUE SERIES 5.00A,ROHS</v>
          </cell>
        </row>
        <row r="1192">
          <cell r="A1192" t="str">
            <v>670-097092-800</v>
          </cell>
          <cell r="B1192" t="str">
            <v>RUEF800</v>
          </cell>
          <cell r="C1192" t="str">
            <v>FUSE</v>
          </cell>
          <cell r="F1192" t="str">
            <v>FUSE,PTC,RUEF, 8.0A ROHS</v>
          </cell>
        </row>
        <row r="1193">
          <cell r="A1193" t="str">
            <v>670-097092-800</v>
          </cell>
          <cell r="B1193" t="str">
            <v>RUEF800-1</v>
          </cell>
          <cell r="C1193" t="str">
            <v>FUSE</v>
          </cell>
          <cell r="D1193" t="str">
            <v>AC Box</v>
          </cell>
          <cell r="F1193" t="str">
            <v>FUSE,PTC,RUEF, 8.0A ROHS</v>
          </cell>
        </row>
        <row r="1194">
          <cell r="A1194" t="str">
            <v>670-097092-800</v>
          </cell>
          <cell r="B1194" t="str">
            <v>RUEF800K</v>
          </cell>
          <cell r="C1194" t="str">
            <v>FUSE</v>
          </cell>
          <cell r="F1194" t="str">
            <v>FUSE,PTC,RUEF, 8.0A ROHS</v>
          </cell>
        </row>
        <row r="1195">
          <cell r="A1195" t="str">
            <v>670-097092-900</v>
          </cell>
          <cell r="B1195" t="str">
            <v>RUEF900</v>
          </cell>
          <cell r="C1195" t="str">
            <v>FUSE</v>
          </cell>
          <cell r="D1195" t="str">
            <v>AC Box</v>
          </cell>
          <cell r="F1195" t="str">
            <v>FUSE,PTC,RUEF, 9.0A ROHS</v>
          </cell>
        </row>
        <row r="1196">
          <cell r="A1196" t="str">
            <v>670-097092-900</v>
          </cell>
          <cell r="B1196" t="str">
            <v>RUEF900K</v>
          </cell>
          <cell r="C1196" t="str">
            <v>FUSE</v>
          </cell>
          <cell r="F1196" t="str">
            <v>FUSE,PTC,RUEF, 9.0A ROHS</v>
          </cell>
        </row>
        <row r="1197">
          <cell r="A1197" t="str">
            <v>670-048042-001</v>
          </cell>
          <cell r="B1197" t="str">
            <v>RXEF040</v>
          </cell>
          <cell r="C1197" t="str">
            <v>FUSE</v>
          </cell>
          <cell r="D1197" t="str">
            <v>Tfx</v>
          </cell>
          <cell r="F1197" t="str">
            <v>FUSE,0.4A, RSTBL, 72V</v>
          </cell>
        </row>
        <row r="1198">
          <cell r="A1198" t="str">
            <v>670-095989-185</v>
          </cell>
          <cell r="B1198" t="str">
            <v>RXEF185</v>
          </cell>
          <cell r="C1198" t="str">
            <v>PTC</v>
          </cell>
          <cell r="F1198" t="str">
            <v>PTC,RXE SERIES 1.85A,ROHS</v>
          </cell>
        </row>
        <row r="1199">
          <cell r="A1199" t="str">
            <v>670-097907-300</v>
          </cell>
          <cell r="B1199" t="str">
            <v>RXEF300</v>
          </cell>
          <cell r="C1199" t="str">
            <v>FUSE</v>
          </cell>
          <cell r="D1199" t="str">
            <v>AC Box</v>
          </cell>
          <cell r="F1199" t="str">
            <v>FUSE,3.00A,GEN PUR,RSTBL,ROHS</v>
          </cell>
        </row>
        <row r="1200">
          <cell r="A1200" t="str">
            <v>670-095989-375</v>
          </cell>
          <cell r="B1200" t="str">
            <v>RXEF375</v>
          </cell>
          <cell r="C1200" t="str">
            <v>PTC</v>
          </cell>
          <cell r="F1200" t="str">
            <v>PTC,RXE SERIES 3.75A,ROHS</v>
          </cell>
        </row>
        <row r="1201">
          <cell r="A1201" t="str">
            <v>674-130057-001</v>
          </cell>
          <cell r="B1201" t="str">
            <v>S1621-46</v>
          </cell>
          <cell r="C1201" t="str">
            <v>TERM</v>
          </cell>
          <cell r="F1201" t="str">
            <v>TERM,SMD,JUMPER</v>
          </cell>
        </row>
        <row r="1202">
          <cell r="A1202" t="str">
            <v>674-127923-001</v>
          </cell>
          <cell r="B1202" t="str">
            <v>S1751-46</v>
          </cell>
          <cell r="C1202" t="str">
            <v>TERM</v>
          </cell>
          <cell r="F1202" t="str">
            <v>TERM,SMD,TEST POINT,ROHS</v>
          </cell>
        </row>
        <row r="1203">
          <cell r="A1203" t="str">
            <v>630-B09772-001</v>
          </cell>
          <cell r="B1203" t="str">
            <v>S25FL512SAGBHBA10</v>
          </cell>
          <cell r="C1203" t="str">
            <v>IC</v>
          </cell>
          <cell r="F1203" t="str">
            <v>IC,SMD,NOR FLASH,SPI,512MB,133MHZ,BGA-24</v>
          </cell>
        </row>
        <row r="1204">
          <cell r="A1204" t="str">
            <v>630-A08069-001</v>
          </cell>
          <cell r="B1204" t="str">
            <v>S25FL512SAGBHIA10</v>
          </cell>
          <cell r="C1204" t="str">
            <v>IC</v>
          </cell>
          <cell r="F1204" t="str">
            <v>IC,SMD,MEM,FLASH-NOR,64MB,3.6V,BGA-24</v>
          </cell>
        </row>
        <row r="1205">
          <cell r="A1205" t="str">
            <v>687-A95661-001</v>
          </cell>
          <cell r="B1205" t="str">
            <v>S2761-46R</v>
          </cell>
          <cell r="C1205" t="str">
            <v>TP</v>
          </cell>
          <cell r="F1205" t="str">
            <v>TEST PT,SMD,VERT,3.5A,BRS,1.6X0.8X1.15IN</v>
          </cell>
        </row>
        <row r="1206">
          <cell r="A1206" t="str">
            <v>668-A96376-004</v>
          </cell>
          <cell r="B1206" t="str">
            <v>S4B-XH-A-1(LF)(SN)</v>
          </cell>
          <cell r="C1206" t="str">
            <v>CONN</v>
          </cell>
          <cell r="F1206" t="str">
            <v>CONN,HDR,SHRD,SIDEENTRY,4P,WHT,2.5MM,TH</v>
          </cell>
        </row>
        <row r="1207">
          <cell r="A1207" t="str">
            <v>670-338640-100</v>
          </cell>
          <cell r="B1207" t="str">
            <v>S505H-1-R</v>
          </cell>
          <cell r="C1207" t="str">
            <v>FUSE</v>
          </cell>
          <cell r="F1207" t="str">
            <v>FUSE,CRTG,1A,600VAC/400DC,5X20MM</v>
          </cell>
        </row>
        <row r="1208">
          <cell r="A1208" t="str">
            <v>670-338640-200</v>
          </cell>
          <cell r="B1208" t="str">
            <v>S505H-2-R</v>
          </cell>
          <cell r="C1208" t="str">
            <v>FUSE</v>
          </cell>
          <cell r="D1208" t="str">
            <v>AC Box</v>
          </cell>
          <cell r="F1208" t="str">
            <v>FUSE,CRTG,2A,600VAC/400DC,5X20MM</v>
          </cell>
        </row>
        <row r="1209">
          <cell r="A1209" t="str">
            <v>670-338640-200</v>
          </cell>
          <cell r="B1209" t="str">
            <v>BK1/S505H-2-R</v>
          </cell>
          <cell r="C1209" t="str">
            <v>FUSE</v>
          </cell>
          <cell r="D1209" t="str">
            <v>AC Box</v>
          </cell>
          <cell r="F1209" t="str">
            <v>FUSE,CRTG,2A,600VAC/400DC,5X20MM</v>
          </cell>
        </row>
        <row r="1210">
          <cell r="A1210" t="str">
            <v>670-338640-400</v>
          </cell>
          <cell r="B1210" t="str">
            <v>BK1/S505H-4-R</v>
          </cell>
          <cell r="C1210" t="str">
            <v>FUSE</v>
          </cell>
          <cell r="D1210" t="str">
            <v>AC Box</v>
          </cell>
          <cell r="F1210" t="str">
            <v>FUSE,CRTG,4A,600VAC/400DC,5X20MM</v>
          </cell>
        </row>
        <row r="1211">
          <cell r="A1211" t="str">
            <v>670-338640-400</v>
          </cell>
          <cell r="B1211" t="str">
            <v>S505H-4-R</v>
          </cell>
          <cell r="C1211" t="str">
            <v>FUSE</v>
          </cell>
          <cell r="D1211" t="str">
            <v>AC Box</v>
          </cell>
          <cell r="F1211" t="str">
            <v>FUSE,CRTG,4A,600VAC/400DC,5X20MM</v>
          </cell>
        </row>
        <row r="1212">
          <cell r="A1212" t="str">
            <v>670-338640-500</v>
          </cell>
          <cell r="B1212" t="str">
            <v>S505H-5-R</v>
          </cell>
          <cell r="C1212" t="str">
            <v>FUSE</v>
          </cell>
          <cell r="F1212" t="str">
            <v>FUSE,CRTG,5A,600VAC/400DC,5X20MM</v>
          </cell>
        </row>
        <row r="1213">
          <cell r="A1213" t="str">
            <v>670-338640-500</v>
          </cell>
          <cell r="B1213" t="str">
            <v>BK1/S505H-5-R</v>
          </cell>
          <cell r="C1213" t="str">
            <v>FUSE</v>
          </cell>
          <cell r="F1213" t="str">
            <v>FUSE,CRTG,5A,600VAC/400DC,5X20MM</v>
          </cell>
        </row>
        <row r="1214">
          <cell r="A1214" t="str">
            <v>670-338640-630</v>
          </cell>
          <cell r="B1214" t="str">
            <v>S505H-6.3-R</v>
          </cell>
          <cell r="C1214" t="str">
            <v>FUSE</v>
          </cell>
          <cell r="F1214" t="str">
            <v>FUSE,CRTG,6.3A,600VAC/400DC,5X20MM</v>
          </cell>
        </row>
        <row r="1215">
          <cell r="A1215" t="str">
            <v>670-338640-630</v>
          </cell>
          <cell r="B1215" t="str">
            <v>BK1-S505H-6.3-R</v>
          </cell>
          <cell r="C1215" t="str">
            <v>FUSE</v>
          </cell>
          <cell r="F1215" t="str">
            <v>FUSE,CRTG,6.3A,600VAC/400DC,5X20MM</v>
          </cell>
        </row>
        <row r="1216">
          <cell r="A1216" t="str">
            <v>670-338640-800</v>
          </cell>
          <cell r="B1216" t="str">
            <v>S505H-8-R</v>
          </cell>
          <cell r="C1216" t="str">
            <v>FUSE</v>
          </cell>
          <cell r="D1216" t="str">
            <v>AC Box</v>
          </cell>
          <cell r="F1216" t="str">
            <v>FUSE,CRTG,8A,600VAC/400DC,5X20MM</v>
          </cell>
        </row>
        <row r="1217">
          <cell r="A1217" t="str">
            <v>670-338640-800</v>
          </cell>
          <cell r="B1217" t="str">
            <v>BK1-S505H-8-R</v>
          </cell>
          <cell r="C1217" t="str">
            <v>FUSE</v>
          </cell>
          <cell r="D1217" t="str">
            <v>AC Box</v>
          </cell>
          <cell r="F1217" t="str">
            <v>FUSE,CRTG,8A,600VAC/400DC,5X20MM</v>
          </cell>
        </row>
        <row r="1218">
          <cell r="A1218" t="str">
            <v>686-227297-002</v>
          </cell>
          <cell r="B1218" t="str">
            <v>S8121-46R</v>
          </cell>
          <cell r="C1218" t="str">
            <v>TP</v>
          </cell>
          <cell r="F1218" t="str">
            <v>SMT CABLE CLIP,1.5-2MM DIA</v>
          </cell>
        </row>
        <row r="1219">
          <cell r="A1219" t="str">
            <v>609-A92271-001</v>
          </cell>
          <cell r="B1219" t="str">
            <v>SBR5E45P5-13</v>
          </cell>
          <cell r="C1219" t="str">
            <v>DIO</v>
          </cell>
          <cell r="F1219" t="str">
            <v>DIO,SMD,SUPER BARR RECT,5A,45V,POWERDI5</v>
          </cell>
        </row>
        <row r="1220">
          <cell r="A1220" t="str">
            <v>609-A92271-001</v>
          </cell>
          <cell r="B1220" t="str">
            <v>SBR5E45P5-7</v>
          </cell>
          <cell r="C1220" t="str">
            <v>DIO</v>
          </cell>
          <cell r="F1220" t="str">
            <v>DIO,SMD,SUPER BARR RECT,5A,45V,POWERDI5</v>
          </cell>
        </row>
        <row r="1221">
          <cell r="A1221" t="str">
            <v>613-A32959-001</v>
          </cell>
          <cell r="B1221" t="str">
            <v>SBRD10200TR</v>
          </cell>
          <cell r="C1221" t="str">
            <v>DIO</v>
          </cell>
          <cell r="F1221" t="str">
            <v>DIO,SMD,SCHOTTKY,200V,10A,TO-252-3</v>
          </cell>
        </row>
        <row r="1222">
          <cell r="A1222" t="str">
            <v>635-220990-001</v>
          </cell>
          <cell r="B1222" t="str">
            <v>SC2SG-8018CG33.333000MHZTJHSB</v>
          </cell>
          <cell r="C1222" t="str">
            <v>OSC</v>
          </cell>
          <cell r="F1222" t="str">
            <v>OSC,SMD,XTAL,CMOS,33.333MHZ</v>
          </cell>
        </row>
        <row r="1223">
          <cell r="A1223" t="str">
            <v>668-082689-004</v>
          </cell>
          <cell r="B1223" t="str">
            <v>SDD-H26H26-2-95-FMN</v>
          </cell>
          <cell r="C1223" t="str">
            <v>CONN</v>
          </cell>
          <cell r="F1223" t="str">
            <v>CONN,HD D-SUB,DP R/A,26P,F/M,ROHS</v>
          </cell>
        </row>
        <row r="1224">
          <cell r="A1224" t="str">
            <v>668-082689-003</v>
          </cell>
          <cell r="B1224" t="str">
            <v>SDD-H26H26-2-95-FN</v>
          </cell>
          <cell r="C1224" t="str">
            <v>CONN</v>
          </cell>
          <cell r="F1224" t="str">
            <v>CONN,HD DSUB,DP R/A,26P/26P,F/F,ROHS</v>
          </cell>
        </row>
        <row r="1225">
          <cell r="A1225" t="str">
            <v>615-B07870-001</v>
          </cell>
          <cell r="B1225" t="str">
            <v>SDR03EZPF2004</v>
          </cell>
          <cell r="C1225" t="str">
            <v>RES</v>
          </cell>
          <cell r="F1225" t="str">
            <v>RES,SMD,THK FILM,2M OHM,+/-1%,0.3W,0603</v>
          </cell>
        </row>
        <row r="1226">
          <cell r="A1226" t="str">
            <v>639-A32938-001</v>
          </cell>
          <cell r="B1226" t="str">
            <v>SER2918H-153KL</v>
          </cell>
          <cell r="C1226" t="str">
            <v>IDCTR</v>
          </cell>
          <cell r="F1226" t="str">
            <v>IDCTR,SMD,SH,PWR,15UH,±10%,.00286OHM,28A</v>
          </cell>
        </row>
        <row r="1227">
          <cell r="A1227" t="str">
            <v>682-336597-020</v>
          </cell>
          <cell r="B1227" t="str">
            <v>SF-1206HH20M-2</v>
          </cell>
          <cell r="C1227" t="str">
            <v>FUSE</v>
          </cell>
          <cell r="D1227" t="str">
            <v>AC Box</v>
          </cell>
          <cell r="F1227" t="str">
            <v>FUSE,SMD,20A,1206,ROHS</v>
          </cell>
        </row>
        <row r="1228">
          <cell r="A1228" t="str">
            <v>682-A56420-030</v>
          </cell>
          <cell r="B1228" t="str">
            <v>SF-1206HH30M-2</v>
          </cell>
          <cell r="C1228" t="str">
            <v>FUSE</v>
          </cell>
          <cell r="D1228" t="str">
            <v>AC Box</v>
          </cell>
          <cell r="F1228" t="str">
            <v>FUSE,SMD,30A,24VDC,SGL BLOW,1206</v>
          </cell>
        </row>
        <row r="1229">
          <cell r="A1229" t="str">
            <v>687-A67230-001</v>
          </cell>
          <cell r="B1229" t="str">
            <v>SF2</v>
          </cell>
          <cell r="C1229" t="str">
            <v>FLTR CAP</v>
          </cell>
          <cell r="D1229" t="str">
            <v>AC Box</v>
          </cell>
          <cell r="F1229" t="str">
            <v>FLTR CAP,FOR SHT2X/3X/4X/SHTC1/C3 SNSR</v>
          </cell>
        </row>
        <row r="1230">
          <cell r="A1230" t="str">
            <v>682-A89056-001</v>
          </cell>
          <cell r="B1230" t="str">
            <v>SF-2410FP400W-2</v>
          </cell>
          <cell r="C1230" t="str">
            <v>FUSE</v>
          </cell>
          <cell r="D1230" t="str">
            <v>AC Box</v>
          </cell>
          <cell r="F1230" t="str">
            <v>FUSE,SMD,FAST ACT,4A,125VAC,2410</v>
          </cell>
        </row>
        <row r="1231">
          <cell r="A1231" t="str">
            <v>635-A38983-016</v>
          </cell>
          <cell r="B1231" t="str">
            <v>SG-210STF33.333300MHZL</v>
          </cell>
          <cell r="C1231" t="str">
            <v>OSC</v>
          </cell>
          <cell r="F1231" t="str">
            <v>OSC,SMD,XTAL,33.3333MHZ,±50PPM,-40+85DEG</v>
          </cell>
        </row>
        <row r="1232">
          <cell r="A1232" t="str">
            <v>635-A38983-016</v>
          </cell>
          <cell r="B1232" t="str">
            <v>SG-210STF33.3333ML</v>
          </cell>
          <cell r="C1232" t="str">
            <v>OSC</v>
          </cell>
          <cell r="F1232" t="str">
            <v>OSC,SMD,XTAL,33.3333MHZ,±50PPM,-40+85DEG</v>
          </cell>
        </row>
        <row r="1233">
          <cell r="A1233" t="str">
            <v>631-007891-001</v>
          </cell>
          <cell r="B1233" t="str">
            <v>SG2802J</v>
          </cell>
          <cell r="C1233" t="str">
            <v>IC</v>
          </cell>
          <cell r="F1233" t="str">
            <v>IC  ULN-2802A, ROHS</v>
          </cell>
        </row>
        <row r="1234">
          <cell r="A1234" t="str">
            <v>631-007891-001</v>
          </cell>
          <cell r="B1234" t="str">
            <v>SG2802N</v>
          </cell>
          <cell r="C1234" t="str">
            <v>IC</v>
          </cell>
          <cell r="F1234" t="str">
            <v>IC  ULN-2802A, ROHS</v>
          </cell>
        </row>
        <row r="1235">
          <cell r="A1235" t="str">
            <v>615-B09403-001</v>
          </cell>
          <cell r="B1235" t="str">
            <v>SG73S2E1RTTD7500F</v>
          </cell>
          <cell r="C1235" t="str">
            <v>RES</v>
          </cell>
          <cell r="F1235" t="str">
            <v>RES,SMD,THK FILM,750 OHM,1%,1W,1210</v>
          </cell>
        </row>
        <row r="1236">
          <cell r="A1236" t="str">
            <v>679-346463-001</v>
          </cell>
          <cell r="B1236" t="str">
            <v>SHT35-DIS-B2.5KS</v>
          </cell>
          <cell r="C1236" t="str">
            <v>SNSR</v>
          </cell>
          <cell r="F1236" t="str">
            <v>SNSR,TEMP/HMD,2.15-5.5V INPUT,I2C,DFN-8</v>
          </cell>
        </row>
        <row r="1237">
          <cell r="A1237" t="str">
            <v>628-277026-001</v>
          </cell>
          <cell r="B1237" t="str">
            <v>SI2399DS-T1-GE3</v>
          </cell>
          <cell r="C1237" t="str">
            <v>MOSFET</v>
          </cell>
          <cell r="F1237" t="str">
            <v>MOSFET,SMD,P-CH,20V,6A,2.5W,SOT-23-3</v>
          </cell>
        </row>
        <row r="1238">
          <cell r="A1238" t="str">
            <v>635-A91539-001</v>
          </cell>
          <cell r="B1238" t="str">
            <v>SiT3373AI-1E3-33EG245.760000</v>
          </cell>
          <cell r="C1238" t="str">
            <v>OSC</v>
          </cell>
          <cell r="F1238" t="str">
            <v>OSC,SMD,XTAL,3.3V,245.76MHZ,50PPM</v>
          </cell>
        </row>
        <row r="1239">
          <cell r="A1239" t="str">
            <v>649-B08060-001</v>
          </cell>
          <cell r="B1239" t="str">
            <v>SLPX472M063E3P3</v>
          </cell>
          <cell r="C1239" t="str">
            <v>CAP</v>
          </cell>
          <cell r="F1239" t="str">
            <v>CAP,AL ELCTLT,4700UF,20%,63VDC,SNAP-IN</v>
          </cell>
        </row>
        <row r="1240">
          <cell r="A1240" t="str">
            <v>667-A66914-004</v>
          </cell>
          <cell r="B1240" t="str">
            <v>SM04B-PASS-TBT(LF)(SN)</v>
          </cell>
          <cell r="C1240" t="str">
            <v>CONN</v>
          </cell>
          <cell r="F1240" t="str">
            <v>CONN,SMD,HDR,4POSN,1ROW,2MM PITCH,RTANG</v>
          </cell>
        </row>
        <row r="1241">
          <cell r="A1241" t="str">
            <v>667-A43906-010</v>
          </cell>
          <cell r="B1241" t="str">
            <v>SM10B-SURS-TF(LF)(SN)</v>
          </cell>
          <cell r="C1241" t="str">
            <v>CONN</v>
          </cell>
          <cell r="F1241" t="str">
            <v>CONN,SMD,HDR,10PIN,1ROW,.8MM PITCH,RTANG</v>
          </cell>
        </row>
        <row r="1242">
          <cell r="A1242" t="str">
            <v>609-099412-180</v>
          </cell>
          <cell r="B1242" t="str">
            <v>SM15T18A-E3</v>
          </cell>
          <cell r="C1242" t="str">
            <v>DIO</v>
          </cell>
          <cell r="F1242" t="str">
            <v>DIODE,TVS,18V ,1.5KW,SMC,ROHS</v>
          </cell>
        </row>
        <row r="1243">
          <cell r="A1243" t="str">
            <v>609-099412-300</v>
          </cell>
          <cell r="B1243" t="str">
            <v>SM15T30A-E3</v>
          </cell>
          <cell r="C1243" t="str">
            <v>DIO</v>
          </cell>
          <cell r="F1243" t="e">
            <v>#N/A</v>
          </cell>
        </row>
        <row r="1244">
          <cell r="A1244" t="str">
            <v>609-099412-360</v>
          </cell>
          <cell r="B1244" t="str">
            <v>SM15T36A-E3</v>
          </cell>
          <cell r="C1244" t="str">
            <v>DIO</v>
          </cell>
          <cell r="F1244" t="str">
            <v>DIODE,TVS,36V ,1.5KW,SMC,ROHS</v>
          </cell>
        </row>
        <row r="1245">
          <cell r="A1245" t="str">
            <v>609-117182-001</v>
          </cell>
          <cell r="B1245" t="str">
            <v>SMAJ4740A</v>
          </cell>
          <cell r="C1245" t="str">
            <v>DIO</v>
          </cell>
          <cell r="F1245" t="str">
            <v>DIO,SMD,ZENER,1W,10V</v>
          </cell>
        </row>
        <row r="1246">
          <cell r="A1246" t="str">
            <v>609-034003-013</v>
          </cell>
          <cell r="B1246" t="str">
            <v>SMBJ13A</v>
          </cell>
          <cell r="C1246" t="str">
            <v>DIO</v>
          </cell>
          <cell r="F1246" t="str">
            <v>DIO,SMD,PWR,TVS,600W,13V,ROHS</v>
          </cell>
        </row>
        <row r="1247">
          <cell r="A1247" t="str">
            <v>609-034003-001</v>
          </cell>
          <cell r="B1247" t="str">
            <v>SMBJ15A</v>
          </cell>
          <cell r="C1247" t="str">
            <v>DIO</v>
          </cell>
          <cell r="F1247" t="str">
            <v>DIO,SMD,PWR,TVS,600W,15V,RoHS</v>
          </cell>
        </row>
        <row r="1248">
          <cell r="A1248" t="str">
            <v>609-034003-001</v>
          </cell>
          <cell r="B1248" t="str">
            <v>SMBJ15A-13-F</v>
          </cell>
          <cell r="C1248" t="str">
            <v>DIO</v>
          </cell>
          <cell r="F1248" t="str">
            <v>DIO,SMD,PWR,TVS,600W,15V,RoHS</v>
          </cell>
        </row>
        <row r="1249">
          <cell r="A1249" t="str">
            <v>609-034003-001</v>
          </cell>
          <cell r="B1249" t="str">
            <v>SMBJ15A-E3/52</v>
          </cell>
          <cell r="C1249" t="str">
            <v>DIO</v>
          </cell>
          <cell r="F1249" t="str">
            <v>DIO,SMD,PWR,TVS,600W,15V,RoHS</v>
          </cell>
        </row>
        <row r="1250">
          <cell r="A1250" t="str">
            <v>609-034003-030</v>
          </cell>
          <cell r="B1250" t="str">
            <v>SMBJ51A</v>
          </cell>
          <cell r="C1250" t="str">
            <v>DIO</v>
          </cell>
          <cell r="F1250" t="str">
            <v>DIO,SMD,PWR,TVS,600W 51V ROHS</v>
          </cell>
        </row>
        <row r="1251">
          <cell r="A1251" t="str">
            <v>609-326174-001</v>
          </cell>
          <cell r="B1251" t="str">
            <v>SMF150</v>
          </cell>
          <cell r="C1251" t="str">
            <v>DIO</v>
          </cell>
          <cell r="F1251" t="str">
            <v>DIO,SMD,RECT,35V,10MA,15KV REV V</v>
          </cell>
        </row>
        <row r="1252">
          <cell r="A1252" t="str">
            <v>609-118138-026</v>
          </cell>
          <cell r="B1252" t="str">
            <v>SMF26A</v>
          </cell>
          <cell r="C1252" t="str">
            <v>DIO</v>
          </cell>
          <cell r="F1252" t="str">
            <v>DIO,SMD,TVS,UNI-DIR,SMF,26V,ROHS</v>
          </cell>
        </row>
        <row r="1253">
          <cell r="A1253" t="str">
            <v>664-039171-001</v>
          </cell>
          <cell r="B1253" t="str">
            <v>SML-LXR85SIC-TR</v>
          </cell>
          <cell r="C1253" t="str">
            <v>LED</v>
          </cell>
          <cell r="F1253" t="str">
            <v>LED,SMD,RT,HSM-C110,RED,ROHS</v>
          </cell>
        </row>
        <row r="1254">
          <cell r="A1254" t="str">
            <v>723-B29816-003</v>
          </cell>
          <cell r="B1254" t="str">
            <v>SMTSO-M2-3ET</v>
          </cell>
          <cell r="C1254" t="str">
            <v>STDF</v>
          </cell>
          <cell r="D1254" t="str">
            <v>Hardware</v>
          </cell>
          <cell r="F1254" t="str">
            <v>STDF,SURF MTG,M2X0.4 THD,3MM LG,CS</v>
          </cell>
        </row>
        <row r="1255">
          <cell r="A1255" t="str">
            <v>630-242662-001</v>
          </cell>
          <cell r="B1255" t="str">
            <v>SN65LVDS4RSER</v>
          </cell>
          <cell r="C1255" t="str">
            <v>IC</v>
          </cell>
          <cell r="F1255" t="str">
            <v>IC,SMD,DIFF LINE,1RCVR,1.8V,65LVDS SER</v>
          </cell>
        </row>
        <row r="1256">
          <cell r="A1256" t="str">
            <v>630-025511-001</v>
          </cell>
          <cell r="B1256" t="str">
            <v>SN74AC14DR</v>
          </cell>
          <cell r="C1256" t="str">
            <v>IC</v>
          </cell>
          <cell r="F1256" t="str">
            <v>IC,SMD,74AC14,HEX INV,SOIC14</v>
          </cell>
        </row>
        <row r="1257">
          <cell r="A1257" t="str">
            <v>630-A93022-001</v>
          </cell>
          <cell r="B1257" t="str">
            <v>SN74ACT04DR</v>
          </cell>
          <cell r="C1257" t="str">
            <v>IC</v>
          </cell>
          <cell r="F1257" t="str">
            <v>IC,SMD,INV,6-CHAN,4.5-5.5V,SOIC-14</v>
          </cell>
        </row>
        <row r="1258">
          <cell r="A1258" t="str">
            <v>630-B04992-001</v>
          </cell>
          <cell r="B1258" t="str">
            <v>SN74ACT14DR</v>
          </cell>
          <cell r="C1258" t="str">
            <v>IC</v>
          </cell>
          <cell r="F1258" t="str">
            <v>IC,SMD,SCHMITT TRIGGER INV,HEX,SOIC-14</v>
          </cell>
        </row>
        <row r="1259">
          <cell r="A1259" t="str">
            <v>630-A78557-001</v>
          </cell>
          <cell r="B1259" t="str">
            <v>SN74AHCT04DBR</v>
          </cell>
          <cell r="C1259" t="str">
            <v>IC</v>
          </cell>
          <cell r="F1259" t="str">
            <v>IC,SMD,INV,6CHAN,4.5-5.5V,SSOP-14</v>
          </cell>
        </row>
        <row r="1260">
          <cell r="A1260" t="str">
            <v>630-B32583-001</v>
          </cell>
          <cell r="B1260" t="str">
            <v>SN74AXCH8T245RHLR</v>
          </cell>
          <cell r="C1260" t="str">
            <v>IC</v>
          </cell>
          <cell r="F1260" t="str">
            <v>IC,SMD,BUS XCVR,24P,8BIT,3.6V,VQFN</v>
          </cell>
        </row>
        <row r="1261">
          <cell r="A1261" t="str">
            <v>630-122441-001</v>
          </cell>
          <cell r="B1261" t="str">
            <v>SN74CB3Q3306APWR</v>
          </cell>
          <cell r="C1261" t="str">
            <v>IC</v>
          </cell>
          <cell r="F1261" t="str">
            <v>IC,SMD,DUAL FET BUS SWITCH 8-TSSOP</v>
          </cell>
        </row>
        <row r="1262">
          <cell r="A1262" t="str">
            <v>630-099034-011</v>
          </cell>
          <cell r="B1262" t="str">
            <v>SN74HC11DR</v>
          </cell>
          <cell r="C1262" t="str">
            <v>IC</v>
          </cell>
          <cell r="F1262" t="str">
            <v>IC,SMD,74HC11 3-IN AND SO14</v>
          </cell>
        </row>
        <row r="1263">
          <cell r="A1263" t="str">
            <v>630-A52002-001</v>
          </cell>
          <cell r="B1263" t="str">
            <v>SN74LVC125ARGYR</v>
          </cell>
          <cell r="C1263" t="str">
            <v>IC</v>
          </cell>
          <cell r="F1263" t="str">
            <v>IC,SMD,NON INV,BFR,1.65-3.6V,VQFN-14</v>
          </cell>
        </row>
        <row r="1264">
          <cell r="A1264" t="str">
            <v>630-135486-002</v>
          </cell>
          <cell r="B1264" t="str">
            <v>SN74LVC1G00DBVR</v>
          </cell>
          <cell r="C1264" t="str">
            <v>IC</v>
          </cell>
          <cell r="F1264" t="str">
            <v>IC,SMD,NAND,2-INPUT,1.65-5.5V,SOT-23-5</v>
          </cell>
        </row>
        <row r="1265">
          <cell r="A1265" t="str">
            <v>630-135486-001</v>
          </cell>
          <cell r="B1265" t="str">
            <v>SN74LVC1G00DCKR</v>
          </cell>
          <cell r="C1265" t="str">
            <v>IC</v>
          </cell>
          <cell r="F1265" t="str">
            <v>IC,SMD,SINGLE 2 IN NAND</v>
          </cell>
        </row>
        <row r="1266">
          <cell r="A1266" t="str">
            <v>630-135493-001</v>
          </cell>
          <cell r="B1266" t="str">
            <v>SN74LVC1G14DCK</v>
          </cell>
          <cell r="C1266" t="str">
            <v>IC</v>
          </cell>
          <cell r="F1266" t="str">
            <v>IC,SMD,SINGLE SCHMITT INV</v>
          </cell>
        </row>
        <row r="1267">
          <cell r="A1267" t="str">
            <v>630-240544-001</v>
          </cell>
          <cell r="B1267" t="str">
            <v>SN74LVC1G32DBVT</v>
          </cell>
          <cell r="C1267" t="str">
            <v>IC</v>
          </cell>
          <cell r="F1267" t="str">
            <v>IC,SMD,OR GATE,2 INPUT,SOT-23-5,ROHS</v>
          </cell>
        </row>
        <row r="1268">
          <cell r="A1268" t="str">
            <v>630-313838-001</v>
          </cell>
          <cell r="B1268" t="str">
            <v>SN74LVC1G373DCKR</v>
          </cell>
          <cell r="C1268" t="str">
            <v>IC</v>
          </cell>
          <cell r="F1268" t="str">
            <v>IC,SMD,SGL,D LCH,3 STATE OUT</v>
          </cell>
        </row>
        <row r="1269">
          <cell r="A1269" t="str">
            <v>630-135484-001</v>
          </cell>
          <cell r="B1269" t="str">
            <v>SN74LVC1G74DCU</v>
          </cell>
          <cell r="C1269" t="str">
            <v>IC</v>
          </cell>
          <cell r="F1269" t="str">
            <v>IC,SMD,SINGLE EDGE TRIG D FF</v>
          </cell>
        </row>
        <row r="1270">
          <cell r="A1270" t="str">
            <v>630-122761-001</v>
          </cell>
          <cell r="B1270" t="str">
            <v>SN74LVC245APWR</v>
          </cell>
          <cell r="C1270" t="str">
            <v>IC</v>
          </cell>
          <cell r="F1270" t="str">
            <v>IC,SMD,BUS TRANSCEIVER 8BIT 20TSSOP</v>
          </cell>
        </row>
        <row r="1271">
          <cell r="A1271" t="str">
            <v>630-135488-001</v>
          </cell>
          <cell r="B1271" t="str">
            <v>SN74LVC2G00DCUR</v>
          </cell>
          <cell r="C1271" t="str">
            <v>IC</v>
          </cell>
          <cell r="F1271" t="str">
            <v>IC,SMD,DUAL 2 IN NAND</v>
          </cell>
        </row>
        <row r="1272">
          <cell r="A1272" t="str">
            <v>630-135494-001</v>
          </cell>
          <cell r="B1272" t="str">
            <v>SN74LVC2G14DCK</v>
          </cell>
          <cell r="C1272" t="str">
            <v>IC</v>
          </cell>
          <cell r="F1272" t="str">
            <v>IC,SMD,DUAL SCHMITT INV</v>
          </cell>
        </row>
        <row r="1273">
          <cell r="A1273" t="str">
            <v>630-A74812-001</v>
          </cell>
          <cell r="B1273" t="str">
            <v>SN74LVC2G17DBVR</v>
          </cell>
          <cell r="C1273" t="str">
            <v>IC</v>
          </cell>
          <cell r="F1273" t="str">
            <v>IC,SMD,BFR,NON-INVERTING,2 CHAN,SOT23-6</v>
          </cell>
        </row>
        <row r="1274">
          <cell r="A1274" t="str">
            <v>630-A74812-001</v>
          </cell>
          <cell r="B1274" t="str">
            <v>SN74LVC2G17DBVT</v>
          </cell>
          <cell r="C1274" t="str">
            <v>IC</v>
          </cell>
          <cell r="F1274" t="str">
            <v>IC,SMD,BFR,NON-INVERTING,2 CHAN,SOT23-6</v>
          </cell>
        </row>
        <row r="1275">
          <cell r="A1275" t="str">
            <v>630-119587-001</v>
          </cell>
          <cell r="B1275" t="str">
            <v>SN74LVC2G34MDCKREP</v>
          </cell>
          <cell r="C1275" t="str">
            <v>IC</v>
          </cell>
          <cell r="F1275" t="str">
            <v>IC,SMD,DUAL BUFFER GATE</v>
          </cell>
        </row>
        <row r="1276">
          <cell r="A1276" t="str">
            <v>630-049538-001</v>
          </cell>
          <cell r="B1276" t="str">
            <v>SN75115D</v>
          </cell>
          <cell r="C1276" t="str">
            <v>IC</v>
          </cell>
          <cell r="F1276" t="str">
            <v>IC,SMD,SN75115D,DUAL DIFF LINE RECEIVER</v>
          </cell>
        </row>
        <row r="1277">
          <cell r="A1277" t="str">
            <v>607-098383-103</v>
          </cell>
          <cell r="B1277" t="str">
            <v>SOMC160310K0GEA</v>
          </cell>
          <cell r="C1277" t="str">
            <v>RNET</v>
          </cell>
          <cell r="F1277" t="str">
            <v>RNET,ISOL 10K 8 RES SOM16,ROHS</v>
          </cell>
        </row>
        <row r="1278">
          <cell r="A1278" t="str">
            <v>648-099503-106</v>
          </cell>
          <cell r="B1278" t="str">
            <v>SRB35V100ME55</v>
          </cell>
          <cell r="C1278" t="str">
            <v>CAP</v>
          </cell>
          <cell r="F1278" t="str">
            <v>CAP,SMD,10UF,20%,35V,ALUM,VERT,ROHS</v>
          </cell>
        </row>
        <row r="1279">
          <cell r="A1279" t="str">
            <v>645-A64043-001</v>
          </cell>
          <cell r="B1279" t="str">
            <v>SS-12D07-VG4NSGAPA</v>
          </cell>
          <cell r="C1279" t="str">
            <v>SW</v>
          </cell>
          <cell r="F1279" t="str">
            <v>SW,MINTR,SLIDE,SPDT,0.3A,30VDC,THT</v>
          </cell>
        </row>
        <row r="1280">
          <cell r="A1280" t="str">
            <v>609-066834-030</v>
          </cell>
          <cell r="B1280" t="str">
            <v>SS23</v>
          </cell>
          <cell r="C1280" t="str">
            <v>DIO</v>
          </cell>
          <cell r="F1280" t="str">
            <v>DIO,SMD,SCHOTTKY,30V,2A</v>
          </cell>
        </row>
        <row r="1281">
          <cell r="A1281" t="str">
            <v>609-066834-030</v>
          </cell>
          <cell r="B1281" t="str">
            <v>SS23-E3</v>
          </cell>
          <cell r="C1281" t="str">
            <v>DIO</v>
          </cell>
          <cell r="F1281" t="str">
            <v>DIO,SMD,SCHOTTKY,30V,2A</v>
          </cell>
        </row>
        <row r="1282">
          <cell r="A1282" t="str">
            <v>609-066834-060</v>
          </cell>
          <cell r="B1282" t="str">
            <v>SS26-E3</v>
          </cell>
          <cell r="C1282" t="str">
            <v>DIO</v>
          </cell>
          <cell r="F1282" t="str">
            <v>DIO,SMD,SCHOTTKY,60V,2A</v>
          </cell>
        </row>
        <row r="1283">
          <cell r="A1283" t="str">
            <v>609-066834-060</v>
          </cell>
          <cell r="B1283" t="str">
            <v>SS26T3G</v>
          </cell>
          <cell r="C1283" t="str">
            <v>DIO</v>
          </cell>
          <cell r="F1283" t="str">
            <v>DIO,SMD,SCHOTTKY,60V,2A</v>
          </cell>
        </row>
        <row r="1284">
          <cell r="A1284" t="str">
            <v>668-099502-006</v>
          </cell>
          <cell r="B1284" t="str">
            <v>SS-6566-FLS</v>
          </cell>
          <cell r="C1284" t="str">
            <v>CONN</v>
          </cell>
          <cell r="F1284" t="str">
            <v>CONN,MDLR JK,6P6,RJ11,VERT</v>
          </cell>
        </row>
        <row r="1285">
          <cell r="A1285" t="str">
            <v>609-258986-001</v>
          </cell>
          <cell r="B1285" t="str">
            <v>SSC54-E3/57T</v>
          </cell>
          <cell r="C1285" t="str">
            <v>DIO</v>
          </cell>
          <cell r="F1285" t="str">
            <v>DIO,SMD,SCHOTTKY,RECT,40V,5A,SGL,PKG-57T</v>
          </cell>
        </row>
        <row r="1286">
          <cell r="A1286" t="str">
            <v>662-073572-001</v>
          </cell>
          <cell r="B1286" t="str">
            <v>SSF-LXH240GGD</v>
          </cell>
          <cell r="C1286" t="str">
            <v>LED</v>
          </cell>
          <cell r="F1286" t="str">
            <v>LED,DUAL,STK,RA,GRN ROHS</v>
          </cell>
        </row>
        <row r="1287">
          <cell r="A1287" t="str">
            <v>668-900922-026</v>
          </cell>
          <cell r="B1287" t="str">
            <v>SSW-113-01-G-D</v>
          </cell>
          <cell r="C1287" t="str">
            <v>CONN</v>
          </cell>
          <cell r="F1287" t="str">
            <v>CONN,SKT,STR,.1 X .1, 26 PIN</v>
          </cell>
        </row>
        <row r="1288">
          <cell r="A1288" t="str">
            <v>668-900922-034</v>
          </cell>
          <cell r="B1288" t="str">
            <v>SSW-117-01-G-D</v>
          </cell>
          <cell r="C1288" t="str">
            <v>CONN</v>
          </cell>
          <cell r="F1288" t="str">
            <v>CONN,SKT,STR,.1 X .1, 34 PIN</v>
          </cell>
        </row>
        <row r="1289">
          <cell r="A1289" t="str">
            <v>723-097621-068</v>
          </cell>
          <cell r="B1289" t="str">
            <v>ST3737</v>
          </cell>
          <cell r="C1289" t="str">
            <v>STDF</v>
          </cell>
          <cell r="D1289" t="str">
            <v>Hardware</v>
          </cell>
          <cell r="F1289" t="str">
            <v>STDF,SWG,9/32 RND,F,6-32,.687</v>
          </cell>
        </row>
        <row r="1290">
          <cell r="A1290" t="str">
            <v>668-268804-001</v>
          </cell>
          <cell r="B1290" t="str">
            <v>ST9427-36</v>
          </cell>
          <cell r="C1290" t="str">
            <v>CONN</v>
          </cell>
          <cell r="F1290" t="str">
            <v>CONN,SCREW LOCK ASSY KIT 5/8</v>
          </cell>
        </row>
        <row r="1291">
          <cell r="A1291" t="str">
            <v>609-A97224-001</v>
          </cell>
          <cell r="B1291" t="str">
            <v>STPS0540ZY</v>
          </cell>
          <cell r="C1291" t="str">
            <v>DIO</v>
          </cell>
          <cell r="F1291" t="str">
            <v>DIO,SMD,SCHOTTKY,40V,0.5A,SOD-123</v>
          </cell>
        </row>
        <row r="1292">
          <cell r="A1292" t="str">
            <v>630-B00972-001</v>
          </cell>
          <cell r="B1292" t="str">
            <v>SUD35N10-26P-E3</v>
          </cell>
          <cell r="C1292" t="str">
            <v>IC</v>
          </cell>
          <cell r="F1292" t="str">
            <v>IC,SMD,MOSFET,N-CHAN,100V,35A,TO-252-3</v>
          </cell>
        </row>
        <row r="1293">
          <cell r="A1293" t="str">
            <v>626-A32953-001</v>
          </cell>
          <cell r="B1293" t="str">
            <v>SUD50P04-09L-E3</v>
          </cell>
          <cell r="C1293" t="str">
            <v>XSTR</v>
          </cell>
          <cell r="F1293" t="str">
            <v>XSTR,SMD,MOSFET,P-CHAN,40VDS,50A,TO-252</v>
          </cell>
        </row>
        <row r="1294">
          <cell r="A1294" t="str">
            <v>609-283113-001</v>
          </cell>
          <cell r="B1294" t="str">
            <v>SZESD7551N2T5G</v>
          </cell>
          <cell r="C1294" t="str">
            <v>DIO</v>
          </cell>
          <cell r="F1294" t="str">
            <v>DIO,SMD,3.3V,ESD CLAMP</v>
          </cell>
        </row>
        <row r="1295">
          <cell r="A1295" t="str">
            <v>622-A78896-001</v>
          </cell>
          <cell r="B1295" t="str">
            <v>T1794-675</v>
          </cell>
          <cell r="C1295" t="str">
            <v>RES</v>
          </cell>
          <cell r="F1295" t="str">
            <v>RES,NTWK,THRU,5M,294:1,0.05%</v>
          </cell>
        </row>
        <row r="1296">
          <cell r="A1296" t="str">
            <v>648-098106-104</v>
          </cell>
          <cell r="B1296" t="str">
            <v>T491A104K050AT</v>
          </cell>
          <cell r="C1296" t="str">
            <v>CAP</v>
          </cell>
          <cell r="F1296" t="str">
            <v>CAP,3216,0.1UF,10%,50V,TANT,ROHS</v>
          </cell>
        </row>
        <row r="1297">
          <cell r="A1297" t="str">
            <v>648-096579-225</v>
          </cell>
          <cell r="B1297" t="str">
            <v>T491C225K035AT</v>
          </cell>
          <cell r="C1297" t="str">
            <v>CAP</v>
          </cell>
          <cell r="F1297" t="str">
            <v>CAP,SMD,6032,TANT,10%,35V,2.2UF ROHS</v>
          </cell>
        </row>
        <row r="1298">
          <cell r="A1298" t="str">
            <v>648-097893-106</v>
          </cell>
          <cell r="B1298" t="str">
            <v>T495D106K035ATE300</v>
          </cell>
          <cell r="C1298" t="str">
            <v>CAP</v>
          </cell>
          <cell r="F1298" t="str">
            <v>CAP,SMD,TANT L-ESR,35V,10%,10UF,ROHS</v>
          </cell>
        </row>
        <row r="1299">
          <cell r="A1299" t="str">
            <v>648-097892-107</v>
          </cell>
          <cell r="B1299" t="str">
            <v>T495X107K010ATE100</v>
          </cell>
          <cell r="C1299" t="str">
            <v>CAP</v>
          </cell>
          <cell r="F1299" t="str">
            <v>CAP,7343H,100UF,10V,10% L-ESR,ROHS</v>
          </cell>
        </row>
        <row r="1300">
          <cell r="A1300" t="str">
            <v>648-019150-476</v>
          </cell>
          <cell r="B1300" t="str">
            <v>T495X476K035ATE200</v>
          </cell>
          <cell r="C1300" t="str">
            <v>CAP</v>
          </cell>
          <cell r="F1300" t="str">
            <v>CAP,SMD,TANT,47UF,10%,35V,LOW ESR</v>
          </cell>
        </row>
        <row r="1301">
          <cell r="A1301" t="str">
            <v>648-B12344-001</v>
          </cell>
          <cell r="B1301" t="str">
            <v>T530D337M006ATE010</v>
          </cell>
          <cell r="C1301" t="str">
            <v>CAP</v>
          </cell>
          <cell r="F1301" t="str">
            <v>CAP,TANT,ELCTLT,6.3VDC,330UF,20%,7343</v>
          </cell>
        </row>
        <row r="1302">
          <cell r="A1302" t="str">
            <v>648-098106-104</v>
          </cell>
          <cell r="B1302" t="str">
            <v>TAJA104K050R</v>
          </cell>
          <cell r="C1302" t="str">
            <v>CAP</v>
          </cell>
          <cell r="F1302" t="str">
            <v>CAP,3216,0.1UF,10%,50V,TANT,ROHS</v>
          </cell>
        </row>
        <row r="1303">
          <cell r="A1303" t="str">
            <v>648-096579-225</v>
          </cell>
          <cell r="B1303" t="str">
            <v>TAJC225K035RNJ</v>
          </cell>
          <cell r="C1303" t="str">
            <v>CAP</v>
          </cell>
          <cell r="F1303" t="str">
            <v>CAP,SMD,6032,TANT,10%,35V,2.2UF ROHS</v>
          </cell>
        </row>
        <row r="1304">
          <cell r="A1304" t="str">
            <v>630-232594-001</v>
          </cell>
          <cell r="B1304" t="str">
            <v>TCA9539RTWR</v>
          </cell>
          <cell r="C1304" t="str">
            <v>IC</v>
          </cell>
          <cell r="F1304" t="str">
            <v>IC,SMD,I/O,EXPANDER,I2C,16B</v>
          </cell>
        </row>
        <row r="1305">
          <cell r="A1305" t="str">
            <v>630-333296-001</v>
          </cell>
          <cell r="B1305" t="str">
            <v>TCA9548APWR</v>
          </cell>
          <cell r="C1305" t="str">
            <v>IC</v>
          </cell>
          <cell r="F1305" t="str">
            <v>IC,SMD,I2C SW,8-CHAN,24PIN,5.5V,TSSOP</v>
          </cell>
        </row>
        <row r="1306">
          <cell r="A1306" t="str">
            <v>630-333296-002</v>
          </cell>
          <cell r="B1306" t="str">
            <v>TCA9548ARGER</v>
          </cell>
          <cell r="C1306" t="str">
            <v>IC</v>
          </cell>
          <cell r="F1306" t="str">
            <v>IC,SMD,LV I2C SW W/RESET,8-CHAN,VQFN-24</v>
          </cell>
        </row>
        <row r="1307">
          <cell r="A1307" t="str">
            <v>630-333296-002</v>
          </cell>
          <cell r="B1307" t="str">
            <v>TCA9548ARGERQ1</v>
          </cell>
          <cell r="C1307" t="str">
            <v>IC</v>
          </cell>
          <cell r="F1307" t="str">
            <v>IC,SMD,LV I2C SW W/RESET,8-CHAN,VQFN-24</v>
          </cell>
        </row>
        <row r="1308">
          <cell r="A1308" t="str">
            <v>32-10010-00</v>
          </cell>
          <cell r="B1308" t="str">
            <v>TDE1798DP</v>
          </cell>
          <cell r="C1308" t="str">
            <v>IC</v>
          </cell>
          <cell r="F1308" t="str">
            <v>IC,INDUSTRIAL DRIVER,0.5A PWR SW,6V-35V</v>
          </cell>
        </row>
        <row r="1309">
          <cell r="A1309" t="str">
            <v>618-B36870-500</v>
          </cell>
          <cell r="B1309" t="str">
            <v>TGHHV50R0JE</v>
          </cell>
          <cell r="C1309" t="str">
            <v>RES</v>
          </cell>
          <cell r="F1309" t="str">
            <v>RES,THK FILM,50 OHM,5%,120W,SOT227</v>
          </cell>
        </row>
        <row r="1310">
          <cell r="A1310" t="str">
            <v>618-B36870-050</v>
          </cell>
          <cell r="B1310" t="str">
            <v>TGHHV5R00JE</v>
          </cell>
          <cell r="C1310" t="str">
            <v>RES</v>
          </cell>
          <cell r="F1310" t="str">
            <v>RES,THK FILM,5 OHM,5%,120W,SOT227</v>
          </cell>
        </row>
        <row r="1311">
          <cell r="A1311" t="str">
            <v>618-B36776-100</v>
          </cell>
          <cell r="B1311" t="str">
            <v>TGHLV10R0JE</v>
          </cell>
          <cell r="C1311" t="str">
            <v>RES</v>
          </cell>
          <cell r="F1311" t="str">
            <v>RES,THK FILM,10 OHM,5%,200W,SOT227</v>
          </cell>
        </row>
        <row r="1312">
          <cell r="A1312" t="str">
            <v>618-B36776-151</v>
          </cell>
          <cell r="B1312" t="str">
            <v>TGHLV150RJE</v>
          </cell>
          <cell r="C1312" t="str">
            <v>RES</v>
          </cell>
          <cell r="F1312" t="str">
            <v>RES,THK FILM,150 OHM,5%,200W,SOT227</v>
          </cell>
        </row>
        <row r="1313">
          <cell r="A1313" t="str">
            <v>618-B36776-102</v>
          </cell>
          <cell r="B1313" t="str">
            <v>TGHLV1K00JE</v>
          </cell>
          <cell r="C1313" t="str">
            <v>RES</v>
          </cell>
          <cell r="F1313" t="str">
            <v>RES,THK FILM,1K OHM,5%,200W,SOT227</v>
          </cell>
        </row>
        <row r="1314">
          <cell r="A1314" t="str">
            <v>618-B36776-250</v>
          </cell>
          <cell r="B1314" t="str">
            <v>TGHLV25R0JE</v>
          </cell>
          <cell r="C1314" t="str">
            <v>RES</v>
          </cell>
          <cell r="F1314" t="str">
            <v>RES,THK FILM,25 OHM,5%,200W,SOT227</v>
          </cell>
        </row>
        <row r="1315">
          <cell r="A1315" t="str">
            <v>660-A86741-008</v>
          </cell>
          <cell r="B1315" t="str">
            <v>THN10-2423WIR</v>
          </cell>
          <cell r="C1315" t="str">
            <v>PS</v>
          </cell>
          <cell r="F1315" t="str">
            <v>PS,DC-DC,9-36V INPUT,+/-15V,.333A,PCB,TH</v>
          </cell>
        </row>
        <row r="1316">
          <cell r="A1316" t="str">
            <v>630-B31546-001</v>
          </cell>
          <cell r="B1316" t="str">
            <v>THS4520RGTR</v>
          </cell>
          <cell r="C1316" t="str">
            <v>IC</v>
          </cell>
          <cell r="F1316" t="str">
            <v>IC,SMD,DIFF AMPL,16P,3.3 TO 5V,VQFN</v>
          </cell>
        </row>
        <row r="1317">
          <cell r="A1317" t="str">
            <v>630-B14831-001</v>
          </cell>
          <cell r="B1317" t="str">
            <v>THS4521IDGKR</v>
          </cell>
          <cell r="C1317" t="str">
            <v>IC</v>
          </cell>
          <cell r="F1317" t="str">
            <v>IC,SMD,DIFFAMPL,2.5-5.5V,1.14MA,VSSOP-8</v>
          </cell>
        </row>
        <row r="1318">
          <cell r="A1318" t="str">
            <v>630-337827-001</v>
          </cell>
          <cell r="B1318" t="str">
            <v>TLP2367(TPR,E</v>
          </cell>
          <cell r="C1318" t="str">
            <v>IC</v>
          </cell>
          <cell r="F1318" t="str">
            <v>IC,SMD,PHOTOCOUPLER,1 CKT,3.3V/5V,HS,SO6</v>
          </cell>
        </row>
        <row r="1319">
          <cell r="A1319" t="str">
            <v>631-A53030-001</v>
          </cell>
          <cell r="B1319" t="str">
            <v>TLP627M(E</v>
          </cell>
          <cell r="C1319" t="str">
            <v>IC</v>
          </cell>
          <cell r="F1319" t="str">
            <v>IC,OPTOCOUPLER,1-CH DARLINGTON,4-PIN DIP</v>
          </cell>
        </row>
        <row r="1320">
          <cell r="A1320" t="str">
            <v>631-137821-001</v>
          </cell>
          <cell r="B1320" t="str">
            <v>TLP631GBF</v>
          </cell>
          <cell r="C1320" t="str">
            <v>IC</v>
          </cell>
          <cell r="F1320" t="str">
            <v>IC,PHOTO TRANSISTOR OPTOCOUPLER</v>
          </cell>
        </row>
        <row r="1321">
          <cell r="A1321" t="str">
            <v>615-A65794-001</v>
          </cell>
          <cell r="B1321" t="str">
            <v>TLR3APDTE4L00F50</v>
          </cell>
          <cell r="C1321" t="str">
            <v>RES</v>
          </cell>
          <cell r="F1321" t="str">
            <v>RES,SMD,0.004 OHM,±1%,5W,2512,50PPM</v>
          </cell>
        </row>
        <row r="1322">
          <cell r="A1322" t="str">
            <v>615-A93810-001</v>
          </cell>
          <cell r="B1322" t="str">
            <v>TLRP3A30CR004FTE</v>
          </cell>
          <cell r="C1322" t="str">
            <v>RES</v>
          </cell>
          <cell r="F1322" t="str">
            <v>RES,SMD,CUR SNS,.004OHM,+/-1%,25PPM,2512</v>
          </cell>
        </row>
        <row r="1323">
          <cell r="A1323" t="str">
            <v>648-347674-047</v>
          </cell>
          <cell r="B1323" t="str">
            <v>TMK212BJ474KD-T</v>
          </cell>
          <cell r="C1323" t="str">
            <v>CAP</v>
          </cell>
          <cell r="F1323" t="str">
            <v>CAP,SMD,CER,0.47UF,±10%TOL,25V,X5R,0805</v>
          </cell>
        </row>
        <row r="1324">
          <cell r="A1324" t="str">
            <v>630-330902-001</v>
          </cell>
          <cell r="B1324" t="str">
            <v>TMP117AIYBGR</v>
          </cell>
          <cell r="C1324" t="str">
            <v>IC</v>
          </cell>
          <cell r="F1324" t="str">
            <v>DIGITAL TEMP SENSOR,SMD,DSBGA6</v>
          </cell>
        </row>
        <row r="1325">
          <cell r="A1325" t="str">
            <v>630-A12986-001</v>
          </cell>
          <cell r="B1325" t="str">
            <v>TMUX6104PWR</v>
          </cell>
          <cell r="C1325" t="str">
            <v>IC</v>
          </cell>
          <cell r="F1325" t="str">
            <v>IC,SMD,MUX,5-16.5V DUAL SPLY,TSSOP-14</v>
          </cell>
        </row>
        <row r="1326">
          <cell r="A1326" t="str">
            <v>615-233538-001</v>
          </cell>
          <cell r="B1326" t="str">
            <v>TNPW040219K8BEED</v>
          </cell>
          <cell r="C1326" t="str">
            <v>RES</v>
          </cell>
          <cell r="F1326" t="str">
            <v>RES,SMD,0402,0.1% 1/16W,19.8K</v>
          </cell>
        </row>
        <row r="1327">
          <cell r="A1327" t="str">
            <v>615-049171-249</v>
          </cell>
          <cell r="B1327" t="str">
            <v>TNPW080524K9BEEA</v>
          </cell>
          <cell r="C1327" t="str">
            <v>RES</v>
          </cell>
          <cell r="F1327" t="str">
            <v>RES,SMD,0805,24.9K OHMS,0.1%,ROHS</v>
          </cell>
        </row>
        <row r="1328">
          <cell r="A1328" t="str">
            <v>615-049171-324</v>
          </cell>
          <cell r="B1328" t="str">
            <v>TNPW080532K4BEEA</v>
          </cell>
          <cell r="C1328" t="str">
            <v>RES</v>
          </cell>
          <cell r="F1328" t="str">
            <v>RES.SMD,0805,32.4K OHMS,0.1%,ROHS</v>
          </cell>
        </row>
        <row r="1329">
          <cell r="A1329" t="str">
            <v>615-310369-002</v>
          </cell>
          <cell r="B1329" t="str">
            <v>TNPW08053K90BEEA</v>
          </cell>
          <cell r="C1329" t="str">
            <v>RES</v>
          </cell>
          <cell r="F1329" t="str">
            <v>RES,SMD,3.9K OHM,±0.1%TOL,1/5W,0805</v>
          </cell>
        </row>
        <row r="1330">
          <cell r="A1330" t="str">
            <v>615-049171-715</v>
          </cell>
          <cell r="B1330" t="str">
            <v>TNPW080571K5BEEA</v>
          </cell>
          <cell r="C1330" t="str">
            <v>RES</v>
          </cell>
          <cell r="F1330" t="str">
            <v>RES.SMD,0805,71.5K OHMS,0.1%,ROHS</v>
          </cell>
        </row>
        <row r="1331">
          <cell r="A1331" t="str">
            <v>615-049171-845</v>
          </cell>
          <cell r="B1331" t="str">
            <v>TNPW080584K5BEEA</v>
          </cell>
          <cell r="C1331" t="str">
            <v>RES</v>
          </cell>
          <cell r="F1331" t="str">
            <v>RES,SMD,0805,84.5K OHMS</v>
          </cell>
        </row>
        <row r="1332">
          <cell r="A1332" t="str">
            <v>615-044084-103</v>
          </cell>
          <cell r="B1332" t="str">
            <v>TNPW120610K0BEEA</v>
          </cell>
          <cell r="C1332" t="str">
            <v>RES</v>
          </cell>
          <cell r="F1332" t="str">
            <v>RES,SMD,1206,H-P,WRAPARO.TF,0.1%,10K,ROH</v>
          </cell>
        </row>
        <row r="1333">
          <cell r="A1333" t="str">
            <v>615-080142-200</v>
          </cell>
          <cell r="B1333" t="str">
            <v>TNPW1206200RBEEA</v>
          </cell>
          <cell r="C1333" t="str">
            <v>RES</v>
          </cell>
          <cell r="F1333" t="str">
            <v>RES,1206,TF,0.1%,+/- 25 PPM,200 ROHS</v>
          </cell>
        </row>
        <row r="1334">
          <cell r="A1334" t="str">
            <v>615-080145-117</v>
          </cell>
          <cell r="B1334" t="str">
            <v>TNPW1206402KBEEA</v>
          </cell>
          <cell r="C1334" t="str">
            <v>RES</v>
          </cell>
          <cell r="F1334" t="str">
            <v>RES,1206,TF,0.1%,25 PPM,402K ROHS</v>
          </cell>
        </row>
        <row r="1335">
          <cell r="A1335" t="str">
            <v>630-B37447-001</v>
          </cell>
          <cell r="B1335" t="str">
            <v>TPL7407LDR</v>
          </cell>
          <cell r="C1335" t="str">
            <v>IC</v>
          </cell>
          <cell r="F1335" t="str">
            <v>IC,SMD,LO-SIDE DRIVER,7CHAN,40V,SOIC-16</v>
          </cell>
        </row>
        <row r="1336">
          <cell r="A1336" t="str">
            <v>630-A39011-001</v>
          </cell>
          <cell r="B1336" t="str">
            <v>TPS16630PWPT</v>
          </cell>
          <cell r="C1336" t="str">
            <v>IC</v>
          </cell>
          <cell r="F1336" t="str">
            <v>IC,SMD,E-FUSE,60V,6A,HTSSOP-20</v>
          </cell>
        </row>
        <row r="1337">
          <cell r="A1337" t="str">
            <v>630-124301-001</v>
          </cell>
          <cell r="B1337" t="str">
            <v>TPS2493PWR</v>
          </cell>
          <cell r="C1337" t="str">
            <v>IC</v>
          </cell>
          <cell r="F1337" t="str">
            <v>IC,SMD,CTRLR HOT-SWAP HV 14TSSOP,ROHS</v>
          </cell>
        </row>
        <row r="1338">
          <cell r="A1338" t="str">
            <v>630-A39020-001</v>
          </cell>
          <cell r="B1338" t="str">
            <v>TPS259827ONRGER</v>
          </cell>
          <cell r="C1338" t="str">
            <v>IC</v>
          </cell>
          <cell r="F1338" t="str">
            <v>IC,SMD,EFUSE,15A,2.7-24V,24-VQFN</v>
          </cell>
        </row>
        <row r="1339">
          <cell r="A1339" t="str">
            <v>630-A39017-001</v>
          </cell>
          <cell r="B1339" t="str">
            <v>TPS26600PWPR</v>
          </cell>
          <cell r="C1339" t="str">
            <v>IC</v>
          </cell>
          <cell r="F1339" t="str">
            <v>IC,SMD,E-FUSE,60V,2A,HTSSOP-16</v>
          </cell>
        </row>
        <row r="1340">
          <cell r="A1340" t="str">
            <v>630-B14805-001</v>
          </cell>
          <cell r="B1340" t="str">
            <v>TPS27S100BRRKT</v>
          </cell>
          <cell r="C1340" t="str">
            <v>IC</v>
          </cell>
          <cell r="F1340" t="str">
            <v>IC,SMD,PWR SW,40V,80MOHM,QFN-16</v>
          </cell>
        </row>
        <row r="1341">
          <cell r="A1341" t="str">
            <v>630-346019-001</v>
          </cell>
          <cell r="B1341" t="str">
            <v>TPS568215RNNR</v>
          </cell>
          <cell r="C1341" t="str">
            <v>IC</v>
          </cell>
          <cell r="F1341" t="str">
            <v>IC,SMD,BUCK CONV,4.5-17VIN,8A,18-VQFN</v>
          </cell>
        </row>
        <row r="1342">
          <cell r="A1342" t="str">
            <v>630-346019-001</v>
          </cell>
          <cell r="B1342" t="str">
            <v>TPS568215RNNT</v>
          </cell>
          <cell r="C1342" t="str">
            <v>IC</v>
          </cell>
          <cell r="F1342" t="str">
            <v>IC,SMD,BUCK CONV,4.5-17VIN,8A,18-VQFN</v>
          </cell>
        </row>
        <row r="1343">
          <cell r="A1343" t="str">
            <v>630-121459-001</v>
          </cell>
          <cell r="B1343" t="str">
            <v>TPS65910AA1RSL</v>
          </cell>
          <cell r="C1343" t="str">
            <v>IC</v>
          </cell>
          <cell r="F1343" t="str">
            <v>IC,SMD,PWR MGMT 8 LDO 48VQFN,ROHS</v>
          </cell>
        </row>
        <row r="1344">
          <cell r="A1344" t="str">
            <v>630-121755-001</v>
          </cell>
          <cell r="B1344" t="str">
            <v>TPS71718DCKR</v>
          </cell>
          <cell r="C1344" t="str">
            <v>IC</v>
          </cell>
          <cell r="F1344" t="str">
            <v>IC,SMD,LDO,REG,150MA,1.8V,SC70-5</v>
          </cell>
        </row>
        <row r="1345">
          <cell r="A1345" t="str">
            <v>630-129718-001</v>
          </cell>
          <cell r="B1345" t="str">
            <v>TPS7A3301RGWR</v>
          </cell>
          <cell r="C1345" t="str">
            <v>IC</v>
          </cell>
          <cell r="F1345" t="str">
            <v>IC,SMD,V REG,LDO,NEG ADJ,1A</v>
          </cell>
        </row>
        <row r="1346">
          <cell r="A1346" t="str">
            <v>630-128822-001</v>
          </cell>
          <cell r="B1346" t="str">
            <v>TPS7A4501KTTR</v>
          </cell>
          <cell r="C1346" t="str">
            <v>IC</v>
          </cell>
          <cell r="F1346" t="str">
            <v>IC,SMD,V REG,LDO,POS ADJ,1.5A</v>
          </cell>
        </row>
        <row r="1347">
          <cell r="A1347" t="str">
            <v>630-345767-001</v>
          </cell>
          <cell r="B1347" t="str">
            <v>TPS7A8801RTJR</v>
          </cell>
          <cell r="C1347" t="str">
            <v>IC</v>
          </cell>
          <cell r="F1347" t="str">
            <v>IC,SMD,V RGLTR,LDO,0.8-5VOUT,1A,20-WQFN</v>
          </cell>
        </row>
        <row r="1348">
          <cell r="A1348" t="str">
            <v>630-345767-001</v>
          </cell>
          <cell r="B1348" t="str">
            <v>TPS7A8801RTJT</v>
          </cell>
          <cell r="C1348" t="str">
            <v>IC</v>
          </cell>
          <cell r="F1348" t="str">
            <v>IC,SMD,V RGLTR,LDO,0.8-5VOUT,1A,20-WQFN</v>
          </cell>
        </row>
        <row r="1349">
          <cell r="A1349" t="str">
            <v>648-097893-106</v>
          </cell>
          <cell r="B1349" t="str">
            <v>TPSD106K035R0300</v>
          </cell>
          <cell r="C1349" t="str">
            <v>CAP</v>
          </cell>
          <cell r="F1349" t="str">
            <v>CAP,SMD,TANT L-ESR,35V,10%,10UF,ROHS</v>
          </cell>
        </row>
        <row r="1350">
          <cell r="A1350" t="str">
            <v>648-097892-107</v>
          </cell>
          <cell r="B1350" t="str">
            <v>TPSD107K010R0100</v>
          </cell>
          <cell r="C1350" t="str">
            <v>CAP</v>
          </cell>
          <cell r="F1350" t="str">
            <v>CAP,7343H,100UF,10V,10% L-ESR,ROHS</v>
          </cell>
        </row>
        <row r="1351">
          <cell r="A1351" t="str">
            <v>648-019150-476</v>
          </cell>
          <cell r="B1351" t="str">
            <v>TPSE476K035R0200</v>
          </cell>
          <cell r="C1351" t="str">
            <v>CAP</v>
          </cell>
          <cell r="F1351" t="str">
            <v>CAP,SMD,TANT,47UF,10%,35V,LOW ESR</v>
          </cell>
        </row>
        <row r="1352">
          <cell r="A1352" t="str">
            <v>632-024687-001</v>
          </cell>
          <cell r="B1352" t="str">
            <v>TQ2SA-12V</v>
          </cell>
          <cell r="C1352" t="str">
            <v>RLY</v>
          </cell>
          <cell r="F1352" t="str">
            <v>RLY,SMD,DPDT,2FC,S-SIDED,STABLE 12V</v>
          </cell>
        </row>
        <row r="1353">
          <cell r="A1353" t="str">
            <v>630-B14817-001</v>
          </cell>
          <cell r="B1353" t="str">
            <v>TS5A623157DGSR</v>
          </cell>
          <cell r="C1353" t="str">
            <v>IC</v>
          </cell>
          <cell r="F1353" t="str">
            <v>IC,SMD,SW,DUAL,SPDT,MSOP10</v>
          </cell>
        </row>
        <row r="1354">
          <cell r="A1354" t="str">
            <v>608-096583-202</v>
          </cell>
          <cell r="B1354" t="str">
            <v>TS63Y202KR10</v>
          </cell>
          <cell r="C1354" t="str">
            <v>RES</v>
          </cell>
          <cell r="F1354" t="str">
            <v>RES,SMD,POT,12T,T-ADJ,0.25SQ,2K,ROHS</v>
          </cell>
        </row>
        <row r="1355">
          <cell r="A1355" t="str">
            <v>608-096583-203</v>
          </cell>
          <cell r="B1355" t="str">
            <v>TS63Y203KR10</v>
          </cell>
          <cell r="C1355" t="str">
            <v>RES</v>
          </cell>
          <cell r="F1355" t="str">
            <v>RES,SMD,POT,12T,T-ADJ,0.25SQ,20K,ROHS</v>
          </cell>
        </row>
        <row r="1356">
          <cell r="A1356" t="str">
            <v>608-096583-204</v>
          </cell>
          <cell r="B1356" t="str">
            <v>TS63Y204KR10</v>
          </cell>
          <cell r="C1356" t="str">
            <v>RES</v>
          </cell>
          <cell r="F1356" t="str">
            <v>RES,SMD,POT,12T,T-ADJ,0.25SQ,200K,ROHS</v>
          </cell>
        </row>
        <row r="1357">
          <cell r="A1357" t="str">
            <v>667-A27948-002</v>
          </cell>
          <cell r="B1357" t="str">
            <v>TSM-102-01-S-SV</v>
          </cell>
          <cell r="C1357" t="str">
            <v>CONN</v>
          </cell>
          <cell r="F1357" t="str">
            <v>CONN,SMD,HDR,UNSHRD,2 POSN,.1IN,AU PLD</v>
          </cell>
        </row>
        <row r="1358">
          <cell r="A1358" t="str">
            <v>667-A27948-003</v>
          </cell>
          <cell r="B1358" t="str">
            <v>TSM-103-01-S-SV</v>
          </cell>
          <cell r="C1358" t="str">
            <v>CONN</v>
          </cell>
          <cell r="F1358" t="str">
            <v>CONN,SMD,HDR,UNSHRD,3 POSN,.1IN,AU PLD</v>
          </cell>
        </row>
        <row r="1359">
          <cell r="A1359" t="str">
            <v>667-B14849-001</v>
          </cell>
          <cell r="B1359" t="str">
            <v>TSM-103-02-S-SV</v>
          </cell>
          <cell r="C1359" t="str">
            <v>CONN</v>
          </cell>
          <cell r="F1359" t="str">
            <v>CONN,SMD,HDR,3PIN,VERT,1ROW,2.54MM</v>
          </cell>
        </row>
        <row r="1360">
          <cell r="A1360" t="str">
            <v>667-B14845-020</v>
          </cell>
          <cell r="B1360" t="str">
            <v>TSM-110-02-S-DV</v>
          </cell>
          <cell r="C1360" t="str">
            <v>CONN</v>
          </cell>
          <cell r="F1360" t="str">
            <v>CONN,SMD,HDR,20PIN,VERT,2ROW,2.54MM</v>
          </cell>
        </row>
        <row r="1361">
          <cell r="A1361" t="str">
            <v>667-B14845-001</v>
          </cell>
          <cell r="B1361" t="str">
            <v>TSM-120-02-S-DV</v>
          </cell>
          <cell r="C1361" t="str">
            <v>CONN</v>
          </cell>
          <cell r="F1361" t="str">
            <v>CONN,SMD,HDR,40PIN,VERT,2ROW,2.54MM</v>
          </cell>
        </row>
        <row r="1362">
          <cell r="A1362" t="str">
            <v>608-114716-106</v>
          </cell>
          <cell r="B1362" t="str">
            <v>TSM4YJ105KR05</v>
          </cell>
          <cell r="C1362" t="str">
            <v>RES</v>
          </cell>
          <cell r="F1362" t="str">
            <v>RES,SMD,POT,1M,10%,MULTI TURN</v>
          </cell>
        </row>
        <row r="1363">
          <cell r="A1363" t="str">
            <v>609-A29049-001</v>
          </cell>
          <cell r="B1363" t="str">
            <v>TSP15H200S S1G</v>
          </cell>
          <cell r="C1363" t="str">
            <v>DIO</v>
          </cell>
          <cell r="F1363" t="str">
            <v>DIO,SCHOTTKY,RECT,200V,15A,TO-277A</v>
          </cell>
        </row>
        <row r="1364">
          <cell r="A1364" t="str">
            <v>668-007385-011</v>
          </cell>
          <cell r="B1364" t="str">
            <v>TSW-111-07-G-S</v>
          </cell>
          <cell r="C1364" t="str">
            <v>CONN</v>
          </cell>
          <cell r="F1364" t="str">
            <v>CONN,HDR,11POSN,1ROW,VERT,2.54MM PITCH</v>
          </cell>
        </row>
        <row r="1365">
          <cell r="A1365" t="str">
            <v>668-A49130-026</v>
          </cell>
          <cell r="B1365" t="str">
            <v>TSW-113-07-G-D</v>
          </cell>
          <cell r="C1365" t="str">
            <v>CONN</v>
          </cell>
          <cell r="F1365" t="str">
            <v>CONN,HDR,26PIN,2ROW,2.54MM PITCH,AU PLD</v>
          </cell>
        </row>
        <row r="1366">
          <cell r="A1366" t="str">
            <v>630-A99428-001</v>
          </cell>
          <cell r="B1366" t="str">
            <v>UCC27423MDREP</v>
          </cell>
          <cell r="C1366" t="str">
            <v>IC</v>
          </cell>
          <cell r="F1366" t="str">
            <v>IC,SMD,GATE DRIVER,MOSFET,DUAL,4A,SOIC-8</v>
          </cell>
        </row>
        <row r="1367">
          <cell r="A1367" t="str">
            <v>630-B20591-001</v>
          </cell>
          <cell r="B1367" t="str">
            <v>UCC27714DR</v>
          </cell>
          <cell r="C1367" t="str">
            <v>IC</v>
          </cell>
          <cell r="F1367" t="str">
            <v>IC,SMD,GATE DR,HALF BRDG,4A,600V,SOIC-14</v>
          </cell>
        </row>
        <row r="1368">
          <cell r="A1368" t="str">
            <v>615-235090-001</v>
          </cell>
          <cell r="B1368" t="str">
            <v>UCR03EVPFLR100</v>
          </cell>
          <cell r="C1368" t="str">
            <v>RES</v>
          </cell>
          <cell r="F1368" t="str">
            <v>RES,SMD,0.1 OHM,±1%,1/4W,0603</v>
          </cell>
        </row>
        <row r="1369">
          <cell r="A1369" t="str">
            <v>630-038898-001</v>
          </cell>
          <cell r="B1369" t="str">
            <v>ULN2003ADR</v>
          </cell>
          <cell r="C1369" t="str">
            <v>IC</v>
          </cell>
          <cell r="F1369" t="str">
            <v>IC,SMD,ULN2003AD,DUAL,DAR,HV,HC</v>
          </cell>
        </row>
        <row r="1370">
          <cell r="A1370" t="str">
            <v>631-007891-001</v>
          </cell>
          <cell r="B1370" t="str">
            <v>ULN2802A</v>
          </cell>
          <cell r="C1370" t="str">
            <v>IC</v>
          </cell>
          <cell r="F1370" t="str">
            <v>IC  ULN-2802A, ROHS</v>
          </cell>
        </row>
        <row r="1371">
          <cell r="A1371" t="str">
            <v>626-122409-001</v>
          </cell>
          <cell r="B1371" t="str">
            <v>UMH9NTN</v>
          </cell>
          <cell r="C1371" t="str">
            <v>XSTR</v>
          </cell>
          <cell r="F1371" t="str">
            <v>XSTR,SMD,NPN,W/RES 50V SMINI6</v>
          </cell>
        </row>
        <row r="1372">
          <cell r="A1372" t="str">
            <v>648-A08430-224</v>
          </cell>
          <cell r="B1372" t="str">
            <v>UMK105BJ224KV-F</v>
          </cell>
          <cell r="C1372" t="str">
            <v>CAP</v>
          </cell>
          <cell r="F1372" t="str">
            <v>CAP,SMD,CER,0.22UF,±10% TOL,50V,X5R,0402</v>
          </cell>
        </row>
        <row r="1373">
          <cell r="A1373" t="str">
            <v>644-B32616-003</v>
          </cell>
          <cell r="B1373" t="str">
            <v>VHC-3-26.5VDC</v>
          </cell>
          <cell r="C1373" t="str">
            <v>RLY</v>
          </cell>
          <cell r="F1373" t="str">
            <v>RLY,PWR,SPDT,26.5VDC COIL,18A,3.5KVDC</v>
          </cell>
        </row>
        <row r="1374">
          <cell r="A1374" t="str">
            <v>648-051878-222</v>
          </cell>
          <cell r="B1374" t="str">
            <v>VJ0603Y222KXAAC</v>
          </cell>
          <cell r="C1374" t="str">
            <v>CAP</v>
          </cell>
          <cell r="F1374" t="str">
            <v>CAP,SMD,0603,2200PF,50V,10%,X7R,ROHS</v>
          </cell>
        </row>
        <row r="1375">
          <cell r="A1375" t="str">
            <v>639-121559-001</v>
          </cell>
          <cell r="B1375" t="str">
            <v>VLCF5020T-2R2N2R6-3</v>
          </cell>
          <cell r="C1375" t="str">
            <v>IDCTR</v>
          </cell>
          <cell r="F1375" t="str">
            <v>IDCTR,SMD,POWER 2.2UH 2.6A</v>
          </cell>
        </row>
        <row r="1376">
          <cell r="A1376" t="str">
            <v>630-274216-001</v>
          </cell>
          <cell r="B1376" t="str">
            <v>VN7140ASTR</v>
          </cell>
          <cell r="C1376" t="str">
            <v>IC</v>
          </cell>
          <cell r="F1376" t="str">
            <v>IC,SMD,DVR,HIGH-SIDE,1-CH O/P,8SOIC</v>
          </cell>
        </row>
        <row r="1377">
          <cell r="A1377" t="str">
            <v>631-289054-002</v>
          </cell>
          <cell r="B1377" t="str">
            <v>VO618A-4</v>
          </cell>
          <cell r="C1377" t="str">
            <v>IC</v>
          </cell>
          <cell r="F1377" t="str">
            <v>IC,PHOTOCOUPLER,0.01A,DIP-4</v>
          </cell>
        </row>
        <row r="1378">
          <cell r="A1378" t="str">
            <v>618-228291-125</v>
          </cell>
          <cell r="B1378" t="str">
            <v>W23-22KJI</v>
          </cell>
          <cell r="C1378" t="str">
            <v>RES</v>
          </cell>
          <cell r="F1378" t="str">
            <v>RES,AXIAL,22K OHM,10.5W,5%,ROHS</v>
          </cell>
        </row>
        <row r="1379">
          <cell r="A1379" t="str">
            <v>630-280302-001</v>
          </cell>
          <cell r="B1379" t="str">
            <v>W25Q128FVSIG</v>
          </cell>
          <cell r="C1379" t="str">
            <v>IC</v>
          </cell>
          <cell r="F1379" t="str">
            <v>IC,SMD,FLASH,128MBIT,3.3V,8SOIC</v>
          </cell>
        </row>
        <row r="1380">
          <cell r="A1380" t="str">
            <v>630-280302-001</v>
          </cell>
          <cell r="B1380" t="str">
            <v>W25Q128JVSIQ</v>
          </cell>
          <cell r="C1380" t="str">
            <v>IC</v>
          </cell>
        </row>
        <row r="1381">
          <cell r="A1381" t="str">
            <v>639-121249-002</v>
          </cell>
          <cell r="B1381" t="str">
            <v>WB1-6TSL</v>
          </cell>
          <cell r="C1381" t="str">
            <v>XFMR</v>
          </cell>
          <cell r="F1381" t="str">
            <v>XFMR,SMD,WIDEBAND RF WB SERIES</v>
          </cell>
        </row>
        <row r="1382">
          <cell r="A1382" t="str">
            <v>639-235679-001</v>
          </cell>
          <cell r="B1382" t="str">
            <v>WBC1-1TLC</v>
          </cell>
          <cell r="C1382" t="str">
            <v>XMFR</v>
          </cell>
          <cell r="F1382" t="str">
            <v>XMFR,SMD,1:1,0.25-750MHZ,0.25A,0.58DB</v>
          </cell>
        </row>
        <row r="1383">
          <cell r="A1383" t="str">
            <v>639-243085-001</v>
          </cell>
          <cell r="B1383" t="str">
            <v>WBC2-1TLC</v>
          </cell>
          <cell r="C1383" t="str">
            <v>XFMR</v>
          </cell>
          <cell r="F1383" t="str">
            <v>XFMR,SMD,WIDEBAND,1:2, 0.2-500MHZ,1/4W</v>
          </cell>
        </row>
        <row r="1384">
          <cell r="A1384" t="str">
            <v>641-119703-100</v>
          </cell>
          <cell r="B1384" t="str">
            <v>WCM6505</v>
          </cell>
          <cell r="C1384" t="str">
            <v>IDCTR</v>
          </cell>
          <cell r="F1384" t="str">
            <v>IDCTR,TOROID,COM MODE,DC,ROHS</v>
          </cell>
        </row>
        <row r="1385">
          <cell r="A1385" t="str">
            <v>615-041926-103</v>
          </cell>
          <cell r="B1385" t="str">
            <v>WCR0805LF1002F</v>
          </cell>
          <cell r="C1385" t="str">
            <v>RES</v>
          </cell>
          <cell r="F1385" t="str">
            <v>RES,SMD,0805,TF,1%,1/8W,10K,ROHS</v>
          </cell>
        </row>
        <row r="1386">
          <cell r="A1386" t="str">
            <v>615-901294-104</v>
          </cell>
          <cell r="B1386" t="str">
            <v>WCR0805LF104JPLT</v>
          </cell>
          <cell r="C1386" t="str">
            <v>RES</v>
          </cell>
          <cell r="F1386" t="str">
            <v>RES,SMD,0805,100K,5%,1/10W,ROHS</v>
          </cell>
        </row>
        <row r="1387">
          <cell r="A1387" t="str">
            <v>615-901294-184</v>
          </cell>
          <cell r="B1387" t="str">
            <v>WCR0805LF184JPLT</v>
          </cell>
          <cell r="C1387" t="str">
            <v>RES</v>
          </cell>
          <cell r="F1387" t="str">
            <v>RES,SMD,0805,180K,5%,1/10W,ROHS</v>
          </cell>
        </row>
        <row r="1388">
          <cell r="A1388" t="str">
            <v>615-901294-681</v>
          </cell>
          <cell r="B1388" t="str">
            <v>WCR0805LF681JPLT</v>
          </cell>
          <cell r="C1388" t="str">
            <v>RES</v>
          </cell>
          <cell r="D1388" t="str">
            <v>Tfx</v>
          </cell>
          <cell r="F1388" t="str">
            <v>RES,SMD,0805,680 OHM,5%,1/10W,ROHS</v>
          </cell>
        </row>
        <row r="1389">
          <cell r="A1389" t="str">
            <v>615-116027-301</v>
          </cell>
          <cell r="B1389" t="str">
            <v>WCR1206-3010FPLT</v>
          </cell>
          <cell r="C1389" t="str">
            <v>RES</v>
          </cell>
          <cell r="F1389" t="str">
            <v>RES,1206,301 OHM,1%,1/4W,ROHS</v>
          </cell>
        </row>
        <row r="1390">
          <cell r="A1390" t="str">
            <v>615-116031-102</v>
          </cell>
          <cell r="B1390" t="str">
            <v>WCR1206LF-1024FELT</v>
          </cell>
          <cell r="C1390" t="str">
            <v>RES</v>
          </cell>
          <cell r="F1390" t="str">
            <v>RES,SMD,1206,1.02M OHM,1%,1/4W,ROHS</v>
          </cell>
        </row>
        <row r="1391">
          <cell r="A1391" t="str">
            <v>615-306231-191</v>
          </cell>
          <cell r="B1391" t="str">
            <v>WCR1206LF-1911FPLT</v>
          </cell>
          <cell r="C1391" t="str">
            <v>RES</v>
          </cell>
          <cell r="F1391" t="str">
            <v>RES,SMD,1206,1%,1/4W,1.91K,ROHS</v>
          </cell>
        </row>
        <row r="1392">
          <cell r="A1392" t="str">
            <v>615-116029-191</v>
          </cell>
          <cell r="B1392" t="str">
            <v>WCR1206LF-1912FPLT</v>
          </cell>
          <cell r="C1392" t="str">
            <v>RES</v>
          </cell>
          <cell r="F1392" t="str">
            <v>RES,SMD,1206,1%,1/4W,19.1K ROHS</v>
          </cell>
        </row>
        <row r="1393">
          <cell r="A1393" t="str">
            <v>615-116029-200</v>
          </cell>
          <cell r="B1393" t="str">
            <v>WCR1206LF-2002FPLT</v>
          </cell>
          <cell r="C1393" t="str">
            <v>RES</v>
          </cell>
          <cell r="F1393" t="str">
            <v>RES,SMD,1206,20.0K,1%,1/4W,ROHS</v>
          </cell>
        </row>
        <row r="1394">
          <cell r="A1394" t="str">
            <v>615-116030-200</v>
          </cell>
          <cell r="B1394" t="str">
            <v>WCR1206LF-2003FPLT</v>
          </cell>
          <cell r="C1394" t="str">
            <v>RES</v>
          </cell>
          <cell r="F1394" t="str">
            <v>RES,SMD,1206,200K,1%,1/4W,ROHS</v>
          </cell>
        </row>
        <row r="1395">
          <cell r="A1395" t="str">
            <v>615-116027-402</v>
          </cell>
          <cell r="B1395" t="str">
            <v>WCR1206LF-4020FPLT</v>
          </cell>
          <cell r="C1395" t="str">
            <v>RES</v>
          </cell>
          <cell r="D1395" t="str">
            <v>FF</v>
          </cell>
          <cell r="F1395" t="str">
            <v>RES,SMD,1206,402,1% 1/4W,ROHS</v>
          </cell>
        </row>
        <row r="1396">
          <cell r="A1396" t="str">
            <v>615-116029-750</v>
          </cell>
          <cell r="B1396" t="str">
            <v>WCR1206LF-7502FPLT</v>
          </cell>
          <cell r="C1396" t="str">
            <v>RES</v>
          </cell>
          <cell r="F1396" t="str">
            <v>RES,SMD,1206,75.0K,1%,1/4W,ROHS</v>
          </cell>
        </row>
        <row r="1397">
          <cell r="A1397" t="str">
            <v>615-116028-845</v>
          </cell>
          <cell r="B1397" t="str">
            <v>WCR1206LF-8451FPLT</v>
          </cell>
          <cell r="C1397" t="str">
            <v>RES</v>
          </cell>
          <cell r="F1397" t="str">
            <v>RES,SMD,1206,8.45K,1%,1/4W,ROHS</v>
          </cell>
        </row>
        <row r="1398">
          <cell r="A1398" t="str">
            <v>615-901300-105</v>
          </cell>
          <cell r="B1398" t="str">
            <v>WCR-WCR0805LF-1050-F-P-LT</v>
          </cell>
          <cell r="C1398" t="str">
            <v>RES</v>
          </cell>
          <cell r="F1398" t="str">
            <v>RES,SMD,0805,105,1%,1/10W,ROHS</v>
          </cell>
        </row>
        <row r="1399">
          <cell r="A1399" t="str">
            <v>615-901301-127</v>
          </cell>
          <cell r="B1399" t="str">
            <v>WCR-WCR0805LF-1271-F-P-LT</v>
          </cell>
          <cell r="C1399" t="str">
            <v>RES</v>
          </cell>
          <cell r="F1399" t="str">
            <v>RES,SMD,0805,1.27K,1%,1/10W,ROHS</v>
          </cell>
        </row>
        <row r="1400">
          <cell r="A1400" t="str">
            <v>615-901300-150</v>
          </cell>
          <cell r="B1400" t="str">
            <v>WCR-WCR0805LF-1500-F-P-LT</v>
          </cell>
          <cell r="C1400" t="str">
            <v>RES</v>
          </cell>
          <cell r="F1400" t="str">
            <v>RES,SMD,0805,150,1%,1/10W,ROHS</v>
          </cell>
        </row>
        <row r="1401">
          <cell r="A1401" t="str">
            <v>615-901302-221</v>
          </cell>
          <cell r="B1401" t="str">
            <v>WCR-WCR0805LF-2212-F-P-LT</v>
          </cell>
          <cell r="C1401" t="str">
            <v>RES</v>
          </cell>
          <cell r="F1401" t="str">
            <v>RES,0805,22.1K,1%,1/10W,ROHS</v>
          </cell>
        </row>
        <row r="1402">
          <cell r="A1402" t="str">
            <v>615-901301-267</v>
          </cell>
          <cell r="B1402" t="str">
            <v>WCR-WCR0805LF-2671-F-P-LT</v>
          </cell>
          <cell r="C1402" t="str">
            <v>RES</v>
          </cell>
          <cell r="F1402" t="str">
            <v>RES,SMD,0805,2.67K,1%,1/10W,ROHS</v>
          </cell>
        </row>
        <row r="1403">
          <cell r="A1403" t="str">
            <v>615-901302-301</v>
          </cell>
          <cell r="B1403" t="str">
            <v>WCR-WCR0805LF-3012-F-P-LT</v>
          </cell>
          <cell r="C1403" t="str">
            <v>RES</v>
          </cell>
          <cell r="F1403" t="str">
            <v>RES,0805,30.1K,1%,1/10W,ROHS</v>
          </cell>
        </row>
        <row r="1404">
          <cell r="A1404" t="str">
            <v>615-901303-357</v>
          </cell>
          <cell r="B1404" t="str">
            <v>WCR-WCR0805LF-3573-F-P-LT</v>
          </cell>
          <cell r="C1404" t="str">
            <v>RES</v>
          </cell>
          <cell r="F1404" t="str">
            <v>RES,0805,357K,1%,1/10W,ROHS</v>
          </cell>
        </row>
        <row r="1405">
          <cell r="A1405" t="str">
            <v>615-901301-464</v>
          </cell>
          <cell r="B1405" t="str">
            <v>WCR-WCR0805LF-4641-F-P-LT</v>
          </cell>
          <cell r="C1405" t="str">
            <v>RES</v>
          </cell>
          <cell r="F1405" t="str">
            <v>RES,SMD,0805,4.64K,1%,1/10W,ROHS</v>
          </cell>
        </row>
        <row r="1406">
          <cell r="A1406" t="str">
            <v>615-901301-487</v>
          </cell>
          <cell r="B1406" t="str">
            <v>WCR-WCR0805LF-4871-F-P-LT</v>
          </cell>
          <cell r="C1406" t="str">
            <v>RES</v>
          </cell>
          <cell r="F1406" t="str">
            <v>RES,SMD,0805,4.87K,1%,1/10W,ROHS</v>
          </cell>
        </row>
        <row r="1407">
          <cell r="A1407" t="str">
            <v>615-901300-887</v>
          </cell>
          <cell r="B1407" t="str">
            <v>WCR-WCR0805LF-8870-F-P-LT</v>
          </cell>
          <cell r="C1407" t="str">
            <v>RES</v>
          </cell>
          <cell r="F1407" t="str">
            <v>RES,SMD,0805,887,1%,1/10W,ROHS</v>
          </cell>
        </row>
        <row r="1408">
          <cell r="A1408" t="str">
            <v>615-901301-931</v>
          </cell>
          <cell r="B1408" t="str">
            <v>WCR-WCR0805LF-9311-F-P-LT</v>
          </cell>
          <cell r="C1408" t="str">
            <v>RES</v>
          </cell>
          <cell r="F1408" t="str">
            <v>RES,SMD,0805,9.31K,1%,1/10W,ROHS</v>
          </cell>
        </row>
        <row r="1409">
          <cell r="A1409" t="str">
            <v>615-098001-191</v>
          </cell>
          <cell r="B1409" t="str">
            <v>WCR-WCR1206LF-1911-F-P-LT</v>
          </cell>
          <cell r="C1409" t="str">
            <v>RES</v>
          </cell>
          <cell r="F1409" t="str">
            <v>RES,1206,1% 1/4W,1.91K ROHS</v>
          </cell>
        </row>
        <row r="1410">
          <cell r="A1410" t="str">
            <v>615-116030-215</v>
          </cell>
          <cell r="B1410" t="str">
            <v>WCR-WCR1206LF-2153-F-P-LT</v>
          </cell>
          <cell r="C1410" t="str">
            <v>RES</v>
          </cell>
          <cell r="F1410" t="str">
            <v>RES,1206,1%,1/4W,100PPM,215K,ROHS</v>
          </cell>
        </row>
        <row r="1411">
          <cell r="A1411" t="str">
            <v>615-098001-249</v>
          </cell>
          <cell r="B1411" t="str">
            <v>WCR-WCR1206LF-2491-F-P-LT</v>
          </cell>
          <cell r="C1411" t="str">
            <v>RES</v>
          </cell>
          <cell r="F1411" t="str">
            <v>RES,1206,1% 1/4W,2.49K ROHS</v>
          </cell>
        </row>
        <row r="1412">
          <cell r="A1412" t="str">
            <v>615-116029-261</v>
          </cell>
          <cell r="B1412" t="str">
            <v>WCR-WCR1206LF-2612-F-P-LT</v>
          </cell>
          <cell r="C1412" t="str">
            <v>RES</v>
          </cell>
          <cell r="F1412" t="str">
            <v>RES,SMD,1206,1%,1/4W,26.1K ROHS</v>
          </cell>
        </row>
        <row r="1413">
          <cell r="A1413" t="str">
            <v>615-116028-324</v>
          </cell>
          <cell r="B1413" t="str">
            <v>WCR-WCR1206LF-3241-F-P-LT</v>
          </cell>
          <cell r="C1413" t="str">
            <v>RES</v>
          </cell>
          <cell r="F1413" t="str">
            <v>RES,1206,1% 1/4W,3.24K ROHS</v>
          </cell>
        </row>
        <row r="1414">
          <cell r="A1414" t="str">
            <v>615-116029-392</v>
          </cell>
          <cell r="B1414" t="str">
            <v>WCR-WCR1206LF-3922-F-P-LT</v>
          </cell>
          <cell r="C1414" t="str">
            <v>RES</v>
          </cell>
          <cell r="F1414" t="str">
            <v>RES,SMD,1206,1%,1/4W,39.2K ROHS</v>
          </cell>
        </row>
        <row r="1415">
          <cell r="A1415" t="str">
            <v>615-098001-487</v>
          </cell>
          <cell r="B1415" t="str">
            <v>WCR-WCR1206LF-4871-F-P-LT</v>
          </cell>
          <cell r="C1415" t="str">
            <v>RES</v>
          </cell>
          <cell r="F1415" t="str">
            <v>RES,1206,1% 1/4W,4.87K ROHS</v>
          </cell>
        </row>
        <row r="1416">
          <cell r="A1416" t="str">
            <v>615-116028-715</v>
          </cell>
          <cell r="B1416" t="str">
            <v>WCR-WCR1206LF-7151-F-P-LT</v>
          </cell>
          <cell r="C1416" t="str">
            <v>RES</v>
          </cell>
          <cell r="D1416" t="str">
            <v>FF</v>
          </cell>
          <cell r="F1416" t="str">
            <v>RES,1206,1% 1/4W,7.15K ROHS</v>
          </cell>
        </row>
        <row r="1417">
          <cell r="A1417" t="str">
            <v>615-116028-787</v>
          </cell>
          <cell r="B1417" t="str">
            <v>WCR-WCR1206LF-7871-F-P-LT</v>
          </cell>
          <cell r="C1417" t="str">
            <v>RES</v>
          </cell>
          <cell r="F1417" t="str">
            <v>RES,1206,1% 1/4W,7.87K ROHS</v>
          </cell>
        </row>
        <row r="1418">
          <cell r="A1418" t="str">
            <v>615-116029-845</v>
          </cell>
          <cell r="B1418" t="str">
            <v>WCR-WCR1206LF-8452-F-P-LT</v>
          </cell>
          <cell r="C1418" t="str">
            <v>RES</v>
          </cell>
          <cell r="F1418" t="str">
            <v>RES,SMD,1206,1%,1/4W,84.5K ROHS</v>
          </cell>
        </row>
        <row r="1419">
          <cell r="A1419" t="str">
            <v>615-098001-931</v>
          </cell>
          <cell r="B1419" t="str">
            <v>WCR-WCR1206LF-9311-F-P-LT</v>
          </cell>
          <cell r="C1419" t="str">
            <v>RES</v>
          </cell>
          <cell r="F1419" t="str">
            <v>RES,1206,1% 1/4W,9.31K ROHS</v>
          </cell>
        </row>
        <row r="1420">
          <cell r="A1420" t="str">
            <v>615-116029-976</v>
          </cell>
          <cell r="B1420" t="str">
            <v>WCR-WCR1206LF-9762-F-P-LT</v>
          </cell>
          <cell r="C1420" t="str">
            <v>RES</v>
          </cell>
          <cell r="F1420" t="str">
            <v>RES,SMD,1206,1%,1/4W,97.6K ROHS</v>
          </cell>
        </row>
        <row r="1421">
          <cell r="A1421" t="str">
            <v>615-A13386-001</v>
          </cell>
          <cell r="B1421" t="str">
            <v>WIN-T0603LF-11-1502-B</v>
          </cell>
          <cell r="C1421" t="str">
            <v>RES</v>
          </cell>
          <cell r="F1421" t="str">
            <v>RES,SMD,THIN FILM,15KOHM,15PPM,±.1%,0603</v>
          </cell>
        </row>
        <row r="1422">
          <cell r="A1422" t="str">
            <v>615-123461-120</v>
          </cell>
          <cell r="B1422" t="str">
            <v>WR04X1201FTL</v>
          </cell>
          <cell r="C1422" t="str">
            <v>RES</v>
          </cell>
          <cell r="F1422" t="str">
            <v>RES,0402,THKF,1/16W,1% 1.20K ROHS</v>
          </cell>
        </row>
        <row r="1423">
          <cell r="A1423" t="str">
            <v>615-123463-120</v>
          </cell>
          <cell r="B1423" t="str">
            <v>WR04X1203FTL</v>
          </cell>
          <cell r="C1423" t="str">
            <v>RES</v>
          </cell>
          <cell r="F1423" t="str">
            <v>RES,0402,THKF,1/16W,1% 120K ROHS</v>
          </cell>
        </row>
        <row r="1424">
          <cell r="A1424" t="str">
            <v>615-123463-124</v>
          </cell>
          <cell r="B1424" t="str">
            <v>WR04X1243FTL</v>
          </cell>
          <cell r="C1424" t="str">
            <v>RES</v>
          </cell>
          <cell r="F1424" t="str">
            <v>RES,0402,THKF,1/16W,1% 124K ROHS</v>
          </cell>
        </row>
        <row r="1425">
          <cell r="A1425" t="str">
            <v>615-123461-137</v>
          </cell>
          <cell r="B1425" t="str">
            <v>WR04X1371FTL</v>
          </cell>
          <cell r="C1425" t="str">
            <v>RES</v>
          </cell>
          <cell r="F1425" t="str">
            <v>RES,0402,THKF,1/16W,1%,1.37K,ROHS</v>
          </cell>
        </row>
        <row r="1426">
          <cell r="A1426" t="str">
            <v>615-188549-130</v>
          </cell>
          <cell r="B1426" t="str">
            <v>WR04X2212FTLJ</v>
          </cell>
          <cell r="C1426" t="str">
            <v>RES</v>
          </cell>
          <cell r="F1426" t="str">
            <v>RES,0402,1% 1/16W,22.1K ROHS</v>
          </cell>
        </row>
        <row r="1427">
          <cell r="A1427" t="str">
            <v>615-123461-402</v>
          </cell>
          <cell r="B1427" t="str">
            <v>WR04X4021FTL</v>
          </cell>
          <cell r="C1427" t="str">
            <v>RES</v>
          </cell>
          <cell r="F1427" t="str">
            <v>RES,0402,THKF,1/16W,1% 4.02K ROHS</v>
          </cell>
        </row>
        <row r="1428">
          <cell r="A1428" t="str">
            <v>615-051883-220</v>
          </cell>
          <cell r="B1428" t="str">
            <v>WR06X220JTL</v>
          </cell>
          <cell r="C1428" t="str">
            <v>RES</v>
          </cell>
          <cell r="F1428" t="str">
            <v>RES, SMD,TF,0603,22 OHM, 5%, 1/10W, ROHS</v>
          </cell>
        </row>
        <row r="1429">
          <cell r="A1429" t="str">
            <v>645-A79390-001</v>
          </cell>
          <cell r="B1429" t="str">
            <v>WT21S</v>
          </cell>
          <cell r="C1429" t="str">
            <v>SW</v>
          </cell>
          <cell r="F1429" t="str">
            <v>SW,TGL,DPST,250V/6A,SLDR TERM,SEALED</v>
          </cell>
        </row>
        <row r="1430">
          <cell r="A1430" t="str">
            <v>630-309829-001</v>
          </cell>
          <cell r="B1430" t="str">
            <v>XC7Z007S-2CLG400E</v>
          </cell>
          <cell r="C1430" t="str">
            <v>IC</v>
          </cell>
          <cell r="F1430" t="str">
            <v>IC,SMD,FPGA,SOC,CORTEX-A9,ARTIX-7,400BGA</v>
          </cell>
        </row>
        <row r="1431">
          <cell r="A1431" t="str">
            <v>630-309829-001</v>
          </cell>
          <cell r="B1431" t="str">
            <v>XC7Z007S-2CLG400I</v>
          </cell>
          <cell r="C1431" t="str">
            <v>IC</v>
          </cell>
          <cell r="F1431" t="str">
            <v>IC,SMD,FPGA,SOC,CORTEX-A9,ARTIX-7,400BGA</v>
          </cell>
        </row>
        <row r="1432">
          <cell r="A1432" t="str">
            <v>630-337692-002</v>
          </cell>
          <cell r="B1432" t="str">
            <v>XCZU3CG-1SFVC784E</v>
          </cell>
          <cell r="C1432" t="str">
            <v>IC</v>
          </cell>
          <cell r="F1432" t="str">
            <v>IC,SMD,DUAL-ARM,CORTEX-A53,1.8MB,SFVC784</v>
          </cell>
        </row>
        <row r="1433">
          <cell r="A1433" t="str">
            <v>635-122552-102</v>
          </cell>
          <cell r="B1433" t="str">
            <v>XLH736030.000000I</v>
          </cell>
          <cell r="C1433" t="str">
            <v>OSC</v>
          </cell>
          <cell r="F1433" t="str">
            <v>OSC,SMD,XTAL,30MHZ,3.3V,LVCMOS,6-SMD</v>
          </cell>
        </row>
        <row r="1434">
          <cell r="A1434" t="str">
            <v>615-217661-002</v>
          </cell>
          <cell r="B1434" t="str">
            <v>Y14870R00400B9R</v>
          </cell>
          <cell r="C1434" t="str">
            <v>RES</v>
          </cell>
          <cell r="F1434" t="str">
            <v>RES,SMD,CUR SNS,0.004 OHM,0.1%,1W,2512</v>
          </cell>
        </row>
        <row r="1435">
          <cell r="A1435" t="str">
            <v>615-217661-002</v>
          </cell>
          <cell r="B1435" t="str">
            <v>Y14870R00400B9W</v>
          </cell>
          <cell r="C1435" t="str">
            <v>RES</v>
          </cell>
          <cell r="F1435" t="str">
            <v>RES,SMD,CUR SNS,0.004 OHM,0.1%,1W,2512</v>
          </cell>
        </row>
        <row r="1436">
          <cell r="A1436" t="str">
            <v>615-217661-003</v>
          </cell>
          <cell r="B1436" t="str">
            <v>Y14870R00500B9R</v>
          </cell>
          <cell r="C1436" t="str">
            <v>RES</v>
          </cell>
          <cell r="F1436" t="str">
            <v>RES,SMD,CUR SNS,0.005 OHM,0.1%,1W,2512</v>
          </cell>
        </row>
        <row r="1437">
          <cell r="A1437" t="str">
            <v>615-217661-003</v>
          </cell>
          <cell r="B1437" t="str">
            <v>Y14870R00500B9W</v>
          </cell>
          <cell r="C1437" t="str">
            <v>RES</v>
          </cell>
          <cell r="F1437" t="str">
            <v>RES,SMD,CUR SNS,0.005 OHM,0.1%,1W,2512</v>
          </cell>
        </row>
        <row r="1438">
          <cell r="A1438" t="str">
            <v>723-A14011-001</v>
          </cell>
          <cell r="B1438" t="str">
            <v>Y-72874-ET</v>
          </cell>
          <cell r="C1438" t="str">
            <v>SPCR</v>
          </cell>
          <cell r="D1438" t="str">
            <v>Hardware</v>
          </cell>
          <cell r="F1438" t="str">
            <v>SPCR,STL,0.283L</v>
          </cell>
        </row>
        <row r="1439">
          <cell r="A1439" t="str">
            <v>690-072511-001</v>
          </cell>
          <cell r="B1439" t="str">
            <v>YFF31HC2A104MT000N</v>
          </cell>
          <cell r="C1439" t="str">
            <v>FLTR</v>
          </cell>
          <cell r="F1439" t="str">
            <v>FLTR,SMD,7MHZ ROHS</v>
          </cell>
        </row>
        <row r="1440">
          <cell r="A1440" t="str">
            <v>641-006530-001</v>
          </cell>
          <cell r="B1440" t="str">
            <v>Z-14E</v>
          </cell>
          <cell r="C1440" t="str">
            <v>IDCTR</v>
          </cell>
          <cell r="F1440" t="str">
            <v>INDUCTOR 44uH,ROHS</v>
          </cell>
        </row>
        <row r="1441">
          <cell r="A1441" t="str">
            <v>668-A52403-001</v>
          </cell>
          <cell r="C1441" t="str">
            <v>CONN</v>
          </cell>
          <cell r="F1441" t="str">
            <v>CONN,TWINAX,2PIN,RTANG,BHD,PCB MT</v>
          </cell>
        </row>
        <row r="1442">
          <cell r="A1442" t="str">
            <v>626-B55941-001</v>
          </cell>
          <cell r="B1442" t="str">
            <v>FDD8447L</v>
          </cell>
          <cell r="C1442" t="str">
            <v>XSTR</v>
          </cell>
          <cell r="D1442" t="str">
            <v>XSTR,SMD,FIELD EFT,N-CHAN,40V,50A,TO-252</v>
          </cell>
          <cell r="E1442">
            <v>2500</v>
          </cell>
          <cell r="F1442" t="str">
            <v>XSTR,SMD,FIELD EFT,N-CHAN,40V,50A,TO-252</v>
          </cell>
        </row>
        <row r="1443">
          <cell r="A1443" t="str">
            <v>668-B17520-003</v>
          </cell>
          <cell r="B1443" t="str">
            <v>T4040034031-001</v>
          </cell>
          <cell r="C1443" t="str">
            <v>CONN</v>
          </cell>
          <cell r="D1443"/>
          <cell r="E1443"/>
          <cell r="F1443" t="str">
            <v>CONN,PLUG,M8,SHLD,3POSN,3A,PCB/PNL MT</v>
          </cell>
        </row>
        <row r="1444">
          <cell r="A1444" t="str">
            <v>668-B17515-004</v>
          </cell>
          <cell r="B1444" t="str">
            <v>T4041037041-001</v>
          </cell>
          <cell r="C1444" t="str">
            <v>CONN</v>
          </cell>
          <cell r="D1444"/>
          <cell r="E1444"/>
          <cell r="F1444" t="str">
            <v>CONN,RCPT,M8,SHLD,4POSN,3A,PCB/PNL MT</v>
          </cell>
        </row>
        <row r="1445">
          <cell r="A1445" t="str">
            <v>668-B17515-003</v>
          </cell>
          <cell r="B1445" t="str">
            <v>T4041037031-001</v>
          </cell>
          <cell r="C1445" t="str">
            <v>CONN</v>
          </cell>
          <cell r="D1445"/>
          <cell r="E1445"/>
          <cell r="F1445" t="str">
            <v>CONN,RCPT,M8,SHLD,3POSN,3A,PCB/PNL MT</v>
          </cell>
        </row>
        <row r="1446">
          <cell r="A1446" t="str">
            <v>615-116028-191</v>
          </cell>
          <cell r="B1446" t="str">
            <v>CRCW12061K91FKEA</v>
          </cell>
          <cell r="C1446" t="str">
            <v>RES</v>
          </cell>
          <cell r="D1446"/>
          <cell r="E1446"/>
          <cell r="F1446" t="str">
            <v>RES,SMD,1206,1.91K,1%,1/4W,ROHS</v>
          </cell>
        </row>
        <row r="1447">
          <cell r="A1447" t="str">
            <v>615-116028-249</v>
          </cell>
          <cell r="B1447" t="str">
            <v>CRCW12062K49FKEA</v>
          </cell>
          <cell r="C1447" t="str">
            <v>RES</v>
          </cell>
          <cell r="F1447" t="str">
            <v>RES,SMD,1206,2.49K,1%,1/4W,ROHS</v>
          </cell>
        </row>
        <row r="1449">
          <cell r="A1449" t="str">
            <v>648-064017-220</v>
          </cell>
          <cell r="B1449" t="str">
            <v>NOSUBSTITUTES</v>
          </cell>
          <cell r="C1449" t="str">
            <v>CAP</v>
          </cell>
          <cell r="F1449" t="str">
            <v>CAP,SMD,AL,ELCTLT,TG,L-ESR,22UF,20%,50V</v>
          </cell>
        </row>
        <row r="1450">
          <cell r="A1450" t="str">
            <v>615-098001-121</v>
          </cell>
          <cell r="B1450" t="str">
            <v>CRCW12061K21FKEA</v>
          </cell>
          <cell r="C1450" t="str">
            <v>RES</v>
          </cell>
          <cell r="F1450" t="str">
            <v>RES,1206,1% 1/4W,1.21K ROHS</v>
          </cell>
        </row>
        <row r="1451">
          <cell r="A1451" t="str">
            <v>615-303725-040</v>
          </cell>
          <cell r="B1451" t="str">
            <v>ERA-2AEB202X</v>
          </cell>
          <cell r="C1451" t="str">
            <v>RES</v>
          </cell>
          <cell r="F1451" t="str">
            <v>RES,SMD,2K,0.1%,1/16W,0402,ROHS</v>
          </cell>
        </row>
        <row r="1452">
          <cell r="A1452" t="str">
            <v>648-068442-392</v>
          </cell>
          <cell r="B1452" t="str">
            <v>GRM1885C1H392JA01D</v>
          </cell>
          <cell r="C1452" t="str">
            <v>CAP</v>
          </cell>
          <cell r="F1452" t="str">
            <v>CAP,0603,CER,COG,5%,50V,3900PF,ROHS</v>
          </cell>
        </row>
        <row r="1453">
          <cell r="A1453" t="str">
            <v>615-068561-121</v>
          </cell>
          <cell r="B1453" t="str">
            <v>RMCF0603FT121K</v>
          </cell>
          <cell r="C1453" t="str">
            <v>RES</v>
          </cell>
          <cell r="F1453" t="str">
            <v>RES,0603,THKF,1%,1/10W,100PPM,121K ROHS</v>
          </cell>
        </row>
        <row r="1454">
          <cell r="A1454" t="str">
            <v>615-068559-100</v>
          </cell>
          <cell r="B1454" t="str">
            <v>CRCW06031K00FKEA</v>
          </cell>
          <cell r="C1454" t="str">
            <v>RES</v>
          </cell>
          <cell r="F1454" t="str">
            <v>RES,0603,THKF,1%,1/10W,100PPM,1K ROHS</v>
          </cell>
        </row>
        <row r="1455">
          <cell r="A1455" t="str">
            <v>615-122309-100</v>
          </cell>
          <cell r="B1455" t="str">
            <v>RNCF0805TTT10K0</v>
          </cell>
          <cell r="C1455" t="str">
            <v>RES</v>
          </cell>
          <cell r="F1455" t="str">
            <v>RES,0805,TF,0.1W,0.01%,10.0K ROHS</v>
          </cell>
        </row>
        <row r="1456">
          <cell r="A1456" t="str">
            <v>609-097962-001</v>
          </cell>
          <cell r="B1456" t="str">
            <v>CMPD914TRPBFREE</v>
          </cell>
          <cell r="C1456" t="str">
            <v>DIO</v>
          </cell>
          <cell r="F1456" t="str">
            <v>DIODE,914 SWITCHING SOT23,ROHS</v>
          </cell>
        </row>
        <row r="1457">
          <cell r="A1457" t="str">
            <v>648-099898-224</v>
          </cell>
          <cell r="B1457" t="str">
            <v>C0805C224K5RAC</v>
          </cell>
          <cell r="C1457" t="str">
            <v>CAP</v>
          </cell>
          <cell r="F1457" t="str">
            <v>CAP,SMD,CER,0.22UF,0805,10%,X7R,50V,ROHS</v>
          </cell>
        </row>
        <row r="1458">
          <cell r="A1458" t="str">
            <v>615-248979-115</v>
          </cell>
          <cell r="B1458" t="str">
            <v>HV733ATTE1004F</v>
          </cell>
          <cell r="C1458" t="str">
            <v>RES</v>
          </cell>
          <cell r="F1458" t="str">
            <v>RES,SMD,1M OHM,1%,1W,2512</v>
          </cell>
        </row>
        <row r="1459">
          <cell r="A1459" t="str">
            <v>28-402690-09</v>
          </cell>
          <cell r="B1459" t="str">
            <v>AC1206FR-073K3L</v>
          </cell>
          <cell r="C1459" t="str">
            <v>RES</v>
          </cell>
          <cell r="D1459" t="str">
            <v>FF</v>
          </cell>
          <cell r="F1459" t="str">
            <v>RES,SMD,3.3K OHM,+/-1% TOL,1/4W,1206</v>
          </cell>
        </row>
        <row r="1460">
          <cell r="A1460" t="str">
            <v>609-004010-051</v>
          </cell>
          <cell r="B1460" t="str">
            <v>MMBZ5231BLT1G</v>
          </cell>
          <cell r="C1460" t="str">
            <v>DIO</v>
          </cell>
          <cell r="F1460" t="str">
            <v>DIO,SMD,ZENER,225MW,MMBZ,5.1V ROHS</v>
          </cell>
        </row>
        <row r="1461">
          <cell r="A1461" t="str">
            <v>609-118138-024</v>
          </cell>
          <cell r="B1461" t="str">
            <v>SMF24A</v>
          </cell>
          <cell r="C1461" t="str">
            <v>DIO</v>
          </cell>
          <cell r="F1461" t="str">
            <v>DIO,SMD,TVS,UNI-DIR,SMF,24V,ROHS</v>
          </cell>
        </row>
        <row r="1462">
          <cell r="A1462" t="str">
            <v>609-901289-001</v>
          </cell>
          <cell r="B1462" t="str">
            <v>MMBD301LT1G</v>
          </cell>
          <cell r="C1462" t="str">
            <v>DIO</v>
          </cell>
          <cell r="F1462" t="str">
            <v>DIO,SMD,MMBD301,SCHOTTKY,SOT23,ROHS</v>
          </cell>
        </row>
        <row r="1463">
          <cell r="A1463" t="str">
            <v>615-064170-100</v>
          </cell>
          <cell r="B1463" t="str">
            <v>RT0805BRD071KL</v>
          </cell>
          <cell r="C1463" t="str">
            <v>RES</v>
          </cell>
          <cell r="F1463" t="str">
            <v>RES,SMD,0805,RG,MF,0.1%,1/10W,1.00K ROHS</v>
          </cell>
        </row>
        <row r="1464">
          <cell r="A1464" t="str">
            <v>615-068559-562</v>
          </cell>
          <cell r="B1464" t="str">
            <v>AC0603FR-075K62L</v>
          </cell>
          <cell r="C1464" t="str">
            <v>RES</v>
          </cell>
          <cell r="F1464" t="str">
            <v>RES,0603,THKF,1%,1/10W,100PPM,5.62K ROHS</v>
          </cell>
        </row>
        <row r="1465">
          <cell r="A1465" t="str">
            <v>615-098001-200</v>
          </cell>
          <cell r="B1465" t="str">
            <v>RC1206FR-072KL</v>
          </cell>
          <cell r="C1465" t="str">
            <v>RES</v>
          </cell>
          <cell r="F1465" t="str">
            <v>RES,1206,1% 1/4W,2.00K ROHS</v>
          </cell>
        </row>
        <row r="1466">
          <cell r="A1466" t="str">
            <v>615-098001-221</v>
          </cell>
          <cell r="B1466" t="str">
            <v>CRCW12062K21FKEA</v>
          </cell>
          <cell r="C1466" t="str">
            <v>RES</v>
          </cell>
          <cell r="F1466" t="str">
            <v>RES,1206,1% 1/4W,2.21K ROHS</v>
          </cell>
        </row>
        <row r="1467">
          <cell r="A1467" t="str">
            <v>615-098001-499</v>
          </cell>
          <cell r="B1467" t="str">
            <v>WCR-WCR1206LF-4991-F-P-LT</v>
          </cell>
          <cell r="C1467" t="str">
            <v>RES</v>
          </cell>
          <cell r="F1467" t="str">
            <v>RES,1206,1% 1/4W,4.99K ROHS</v>
          </cell>
        </row>
        <row r="1468">
          <cell r="A1468" t="str">
            <v>615-098002-121</v>
          </cell>
          <cell r="B1468" t="str">
            <v>RC1206FR-0712K1L</v>
          </cell>
          <cell r="C1468" t="str">
            <v>RES</v>
          </cell>
          <cell r="F1468" t="str">
            <v>RES,SMD,1206,1%,1/4W,12.1K ROHS</v>
          </cell>
        </row>
        <row r="1469">
          <cell r="A1469" t="str">
            <v>615-098004-100</v>
          </cell>
          <cell r="B1469" t="str">
            <v>WCR1206LF-1004FELT</v>
          </cell>
          <cell r="C1469" t="str">
            <v>RES</v>
          </cell>
          <cell r="F1469" t="str">
            <v>RES,SMD,1206,1.00M,1% 1/4W,ROHS</v>
          </cell>
        </row>
        <row r="1470">
          <cell r="A1470" t="str">
            <v>615-121726-076</v>
          </cell>
          <cell r="B1470" t="str">
            <v>ERJ-2RKF2002X</v>
          </cell>
          <cell r="C1470" t="str">
            <v>RES</v>
          </cell>
          <cell r="F1470" t="str">
            <v>RES,SMD,20K,1/10W,1%,0402</v>
          </cell>
        </row>
        <row r="1471">
          <cell r="A1471" t="str">
            <v>615-121726-101</v>
          </cell>
          <cell r="B1471" t="str">
            <v>RK73H1ETTP1000F</v>
          </cell>
          <cell r="C1471" t="str">
            <v>RES</v>
          </cell>
          <cell r="F1471" t="str">
            <v>RES,SMD,1/10W,1%,0402</v>
          </cell>
        </row>
        <row r="1472">
          <cell r="A1472" t="str">
            <v>615-121726-331</v>
          </cell>
          <cell r="B1472" t="str">
            <v>MR04X3300FTL</v>
          </cell>
          <cell r="C1472" t="str">
            <v>RES</v>
          </cell>
          <cell r="F1472" t="str">
            <v>RES,SMD,330 OHM,1/10W,1%,0402</v>
          </cell>
        </row>
        <row r="1473">
          <cell r="A1473" t="str">
            <v>615-123459-332</v>
          </cell>
          <cell r="B1473" t="str">
            <v>RC0402FR-0733R2L</v>
          </cell>
          <cell r="C1473" t="str">
            <v>RES</v>
          </cell>
          <cell r="F1473" t="str">
            <v>RES,0402,THKF,1/16W,1% 33.2 ROHS</v>
          </cell>
        </row>
        <row r="1474">
          <cell r="A1474" t="str">
            <v>615-123461-107</v>
          </cell>
          <cell r="B1474" t="str">
            <v>WR04X1071FTL</v>
          </cell>
          <cell r="C1474" t="str">
            <v>RES</v>
          </cell>
          <cell r="F1474" t="str">
            <v>RES,0402,THKF,1/16W,1% 1.07K ROHS</v>
          </cell>
        </row>
        <row r="1475">
          <cell r="A1475" t="str">
            <v>615-901294-103</v>
          </cell>
          <cell r="B1475" t="str">
            <v>RC0805JR-0710KL</v>
          </cell>
          <cell r="C1475" t="str">
            <v>RES</v>
          </cell>
          <cell r="F1475" t="str">
            <v>RES,SMD,0805,10K,5%,1/10W,ROHS</v>
          </cell>
        </row>
        <row r="1476">
          <cell r="A1476" t="str">
            <v>615-901294-105</v>
          </cell>
          <cell r="B1476" t="str">
            <v>WCR0805LF105JPLT</v>
          </cell>
          <cell r="C1476" t="str">
            <v>RES</v>
          </cell>
          <cell r="F1476" t="str">
            <v>RES,SMD,0805,1M,5%,1/10W,ROHS</v>
          </cell>
        </row>
        <row r="1477">
          <cell r="A1477" t="str">
            <v>615-901294-106</v>
          </cell>
          <cell r="B1477" t="str">
            <v>WCR0805LF106JPLT</v>
          </cell>
          <cell r="C1477" t="str">
            <v>RES</v>
          </cell>
          <cell r="F1477" t="str">
            <v>RES,SMD,0805,5%,1/10W,10M,ROHS</v>
          </cell>
        </row>
        <row r="1478">
          <cell r="A1478" t="str">
            <v>615-901294-123</v>
          </cell>
          <cell r="B1478" t="str">
            <v>CRCW080512K0JNEA</v>
          </cell>
          <cell r="C1478" t="str">
            <v>RES</v>
          </cell>
          <cell r="F1478" t="str">
            <v>RES,SMD,0805,12K,5%,1/10W,ROHS</v>
          </cell>
        </row>
        <row r="1479">
          <cell r="A1479" t="str">
            <v>615-901300-100</v>
          </cell>
          <cell r="B1479" t="str">
            <v>WCR-WCR0805LF-1000-F-P-LT</v>
          </cell>
          <cell r="C1479" t="str">
            <v>RES</v>
          </cell>
          <cell r="F1479" t="str">
            <v>RES,SMD,0805,100,1%,1/10W,ROHS</v>
          </cell>
        </row>
        <row r="1480">
          <cell r="A1480" t="str">
            <v>615-901300-475</v>
          </cell>
          <cell r="B1480" t="str">
            <v>CRCW0805475RFKEA</v>
          </cell>
          <cell r="C1480" t="str">
            <v>RES</v>
          </cell>
          <cell r="F1480" t="str">
            <v>RES,0805,475,1%,1/10W,ROHS</v>
          </cell>
        </row>
        <row r="1481">
          <cell r="A1481" t="str">
            <v>615-901301-402</v>
          </cell>
          <cell r="B1481" t="str">
            <v>CRCW08054K02FKEA</v>
          </cell>
          <cell r="C1481" t="str">
            <v>RES</v>
          </cell>
          <cell r="F1481" t="str">
            <v>RES,SMD,0805,4.02K,1%,1/10W,ROHS</v>
          </cell>
        </row>
        <row r="1482">
          <cell r="A1482" t="str">
            <v>615-901301-499</v>
          </cell>
          <cell r="B1482" t="str">
            <v>CRCW08054K99FKEA</v>
          </cell>
          <cell r="C1482" t="str">
            <v>RES</v>
          </cell>
          <cell r="F1482" t="str">
            <v>RES,SMD,0805,4.99K,1%,1/10W,ROHS</v>
          </cell>
        </row>
        <row r="1483">
          <cell r="A1483" t="str">
            <v>615-901302-243</v>
          </cell>
          <cell r="B1483" t="str">
            <v>WCR-WCR0805LF-2432-F-P-LT</v>
          </cell>
          <cell r="C1483" t="str">
            <v>RES</v>
          </cell>
          <cell r="F1483" t="str">
            <v>RES,0805,24.3K,1%,1/10W,ROHS</v>
          </cell>
        </row>
        <row r="1484">
          <cell r="A1484" t="str">
            <v>615-A00422-750</v>
          </cell>
          <cell r="B1484" t="str">
            <v>RT0402BRD07750RL</v>
          </cell>
          <cell r="C1484" t="str">
            <v>RES</v>
          </cell>
          <cell r="F1484" t="str">
            <v>RES SMD 750 OHM 0.1% 1/16W 0402</v>
          </cell>
        </row>
        <row r="1485">
          <cell r="A1485" t="str">
            <v>615-A00424-316</v>
          </cell>
          <cell r="B1485" t="str">
            <v>RT0402BRD0731K6L</v>
          </cell>
          <cell r="C1485" t="str">
            <v>RES</v>
          </cell>
          <cell r="F1485" t="str">
            <v>RES,SMD,31.6KOHM,0.1%,1/16W,0402</v>
          </cell>
        </row>
        <row r="1486">
          <cell r="A1486" t="str">
            <v>626-097969-001</v>
          </cell>
          <cell r="B1486" t="str">
            <v>MMBT3904LT1G</v>
          </cell>
          <cell r="C1486" t="str">
            <v>XSTR</v>
          </cell>
          <cell r="F1486" t="str">
            <v>XSTR,3904 NPN GP SOT23</v>
          </cell>
        </row>
        <row r="1487">
          <cell r="A1487" t="str">
            <v>648-036367-107</v>
          </cell>
          <cell r="B1487" t="str">
            <v>EEEFK1V101P</v>
          </cell>
          <cell r="C1487" t="str">
            <v>CAP</v>
          </cell>
          <cell r="F1487" t="str">
            <v>CAP,SMD,AL,ELCTLT,FK,L-ESR,20%,35V,100UF</v>
          </cell>
        </row>
        <row r="1488">
          <cell r="A1488" t="str">
            <v>648-041769-103</v>
          </cell>
          <cell r="B1488" t="str">
            <v>08055C103KAT2A</v>
          </cell>
          <cell r="C1488" t="str">
            <v>CAP</v>
          </cell>
          <cell r="F1488" t="str">
            <v>CAP,SMD,0805,CER,X7R,10%,50V,0.01UF</v>
          </cell>
        </row>
        <row r="1489">
          <cell r="A1489" t="str">
            <v>648-097994-221</v>
          </cell>
          <cell r="B1489" t="str">
            <v>12065A221JAT2A</v>
          </cell>
          <cell r="C1489" t="str">
            <v>CAP</v>
          </cell>
          <cell r="F1489" t="str">
            <v>CAP,1206,220PF,5%,50V,COG</v>
          </cell>
        </row>
        <row r="1490">
          <cell r="A1490" t="str">
            <v>648-124321-103</v>
          </cell>
          <cell r="B1490" t="str">
            <v>C1005X7R1H103K050BB</v>
          </cell>
          <cell r="C1490" t="str">
            <v>CAP</v>
          </cell>
          <cell r="F1490" t="str">
            <v>CAP,SMD,0402,CER,X7R,10%,50V,10NF ROHS</v>
          </cell>
        </row>
        <row r="1491">
          <cell r="A1491" t="str">
            <v>648-162121-062</v>
          </cell>
          <cell r="B1491" t="str">
            <v>C0603C104J5RACTU</v>
          </cell>
          <cell r="C1491" t="str">
            <v>CAP</v>
          </cell>
          <cell r="F1491" t="str">
            <v>CAP,0603,CER,X7R,5%,50V,0.1UF,ROHS</v>
          </cell>
        </row>
        <row r="1492">
          <cell r="A1492" t="str">
            <v>648-162696-002</v>
          </cell>
          <cell r="B1492" t="str">
            <v>C1608X5R1V224K080AB</v>
          </cell>
          <cell r="C1492" t="str">
            <v>CAP</v>
          </cell>
          <cell r="F1492" t="str">
            <v>CAP,0603,CER,X5R,10%,35V,0.22UF,ROHS</v>
          </cell>
        </row>
        <row r="1493">
          <cell r="A1493" t="str">
            <v>648-188540-002</v>
          </cell>
          <cell r="B1493" t="str">
            <v>EMK105ABJ225MV-F</v>
          </cell>
          <cell r="C1493" t="str">
            <v>CAP</v>
          </cell>
          <cell r="F1493" t="str">
            <v>CAP,SMD,2.2UF,16V,20%,X5R,0402</v>
          </cell>
        </row>
        <row r="1494">
          <cell r="A1494" t="str">
            <v>648-232467-001</v>
          </cell>
          <cell r="B1494" t="str">
            <v>C1608X7S1A225K080AC</v>
          </cell>
          <cell r="C1494" t="str">
            <v>CAP</v>
          </cell>
          <cell r="F1494" t="str">
            <v>CAP,SMD,2.2UF,10V,X7S,0603,ROHS</v>
          </cell>
        </row>
        <row r="1495">
          <cell r="A1495" t="str">
            <v>648-264817-001</v>
          </cell>
          <cell r="B1495" t="str">
            <v>GMK105BJ104KV-F</v>
          </cell>
          <cell r="C1495" t="str">
            <v>CAP</v>
          </cell>
          <cell r="F1495" t="str">
            <v>CAP,SMD,0402,0.1UF,35V,10%,ROHS</v>
          </cell>
        </row>
        <row r="1496">
          <cell r="A1496" t="str">
            <v>668-097179-137</v>
          </cell>
          <cell r="B1496" t="str">
            <v>JSX-1035</v>
          </cell>
          <cell r="C1496" t="str">
            <v>CONN</v>
          </cell>
          <cell r="F1496" t="str">
            <v>CONN,DSUB,JCK SCRW,HEX,.137,ROHS</v>
          </cell>
        </row>
        <row r="1497">
          <cell r="A1497" t="str">
            <v>721-000936-001</v>
          </cell>
          <cell r="B1497" t="str">
            <v>ORDERTOSPECIFICATION</v>
          </cell>
          <cell r="C1497" t="str">
            <v>WASHER</v>
          </cell>
          <cell r="D1497" t="str">
            <v>Hardware</v>
          </cell>
          <cell r="F1497" t="str">
            <v>WSHR, FLT,#6</v>
          </cell>
        </row>
        <row r="1498">
          <cell r="A1498" t="str">
            <v>721-000936-002</v>
          </cell>
          <cell r="B1498" t="str">
            <v>ORDERTOSPECIFICATION</v>
          </cell>
          <cell r="C1498" t="str">
            <v>WASHER</v>
          </cell>
          <cell r="D1498" t="str">
            <v>Hardware</v>
          </cell>
          <cell r="F1498" t="str">
            <v>WSHR, LK, #6</v>
          </cell>
        </row>
        <row r="1499">
          <cell r="A1499" t="str">
            <v>32-00199-00</v>
          </cell>
          <cell r="B1499" t="str">
            <v>1N4004G</v>
          </cell>
          <cell r="C1499" t="str">
            <v>DIO</v>
          </cell>
          <cell r="F1499" t="str">
            <v>DIODE,400V,1A</v>
          </cell>
        </row>
        <row r="1500">
          <cell r="A1500" t="str">
            <v>34-252235-00</v>
          </cell>
          <cell r="B1500" t="str">
            <v>AGQ20024</v>
          </cell>
          <cell r="C1500" t="str">
            <v>RLY</v>
          </cell>
          <cell r="F1500" t="str">
            <v>RELAY,2P,24V,DC,PCB,DPDT</v>
          </cell>
        </row>
        <row r="1501">
          <cell r="A1501" t="str">
            <v>609-023245-001</v>
          </cell>
          <cell r="B1501" t="str">
            <v>BAV99WT1G</v>
          </cell>
          <cell r="C1501" t="str">
            <v>DIO</v>
          </cell>
          <cell r="F1501" t="str">
            <v>DIO,SMD,SIG, SW,DIODES, MA3J147, ROHS</v>
          </cell>
        </row>
        <row r="1502">
          <cell r="A1502" t="str">
            <v>615-032231-005</v>
          </cell>
          <cell r="B1502" t="str">
            <v>RC1206JR-07100RL</v>
          </cell>
          <cell r="C1502" t="str">
            <v>RES</v>
          </cell>
          <cell r="F1502" t="str">
            <v>RES,SMD,THKF,1206,100 OHM,5%,1/4W,ROHS</v>
          </cell>
        </row>
        <row r="1503">
          <cell r="A1503" t="str">
            <v>615-041789-102</v>
          </cell>
          <cell r="B1503" t="str">
            <v>WCR0805LF-102JPLT</v>
          </cell>
          <cell r="C1503" t="str">
            <v>RES</v>
          </cell>
          <cell r="F1503" t="str">
            <v>RES,SMD,0805,TF,5%,1/8W,1K,ROHS</v>
          </cell>
        </row>
        <row r="1504">
          <cell r="A1504" t="str">
            <v>615-064170-261</v>
          </cell>
          <cell r="B1504" t="str">
            <v>RG2012P-2611-B-T5</v>
          </cell>
          <cell r="C1504" t="str">
            <v>RES</v>
          </cell>
          <cell r="F1504" t="str">
            <v>RES,SMD,0805,RG,MF,0.1%,1/10W,2.61K</v>
          </cell>
        </row>
        <row r="1505">
          <cell r="A1505" t="str">
            <v>615-068557-100</v>
          </cell>
          <cell r="B1505" t="str">
            <v>RMCF0603FT10R0</v>
          </cell>
          <cell r="C1505" t="str">
            <v>RES</v>
          </cell>
          <cell r="F1505" t="str">
            <v>RES,0603,THKF,1%,1/10W,100PPM,10 ROHS</v>
          </cell>
        </row>
        <row r="1506">
          <cell r="A1506" t="str">
            <v>615-068558-100</v>
          </cell>
          <cell r="B1506" t="str">
            <v>CRCW0603100RFKEA</v>
          </cell>
          <cell r="C1506" t="str">
            <v>RES</v>
          </cell>
          <cell r="F1506" t="str">
            <v>RES,0603,THKF,1%,1/10W,100PPM,100 ROHS</v>
          </cell>
        </row>
        <row r="1507">
          <cell r="A1507" t="str">
            <v>615-068558-562</v>
          </cell>
          <cell r="B1507" t="str">
            <v>ERJ-3EKF5620V</v>
          </cell>
          <cell r="C1507" t="str">
            <v>RES</v>
          </cell>
          <cell r="F1507" t="str">
            <v>RES,0603,THKF,1%,1/10W,100PPM,562,ROHS</v>
          </cell>
        </row>
        <row r="1508">
          <cell r="A1508" t="str">
            <v>615-068559-340</v>
          </cell>
          <cell r="B1508" t="str">
            <v>RMCF0603FT3K40</v>
          </cell>
          <cell r="C1508" t="str">
            <v>RES</v>
          </cell>
          <cell r="F1508" t="str">
            <v>RES,0603,THKF,1%,1/10W,100PPM,3.4K ROHS</v>
          </cell>
        </row>
        <row r="1509">
          <cell r="A1509" t="str">
            <v>615-068559-475</v>
          </cell>
          <cell r="B1509" t="str">
            <v>AC0603FR-074K75L</v>
          </cell>
          <cell r="C1509" t="str">
            <v>RES</v>
          </cell>
          <cell r="F1509" t="str">
            <v>RES,0603,THKF,1%,1/10W,100PPM,4.75K ROHS</v>
          </cell>
        </row>
        <row r="1510">
          <cell r="A1510" t="str">
            <v>615-068561-200</v>
          </cell>
          <cell r="B1510" t="str">
            <v>RMCF0603FT200K</v>
          </cell>
          <cell r="C1510" t="str">
            <v>RES</v>
          </cell>
          <cell r="F1510" t="str">
            <v>RES,0603,THKF,1%,1/10W,100PPM,200K ROHS</v>
          </cell>
        </row>
        <row r="1511">
          <cell r="A1511" t="str">
            <v>615-098000-182</v>
          </cell>
          <cell r="B1511" t="str">
            <v>RC1206FR-07182RL</v>
          </cell>
          <cell r="C1511" t="str">
            <v>RES</v>
          </cell>
          <cell r="F1511" t="str">
            <v>RES,1206,1%,1/4W,182 ROHS</v>
          </cell>
        </row>
        <row r="1512">
          <cell r="A1512" t="str">
            <v>615-098000-200</v>
          </cell>
          <cell r="B1512" t="str">
            <v>RC1206FR-07200RL</v>
          </cell>
          <cell r="C1512" t="str">
            <v>RES</v>
          </cell>
          <cell r="F1512" t="str">
            <v>RES,1206,200 1% 1/4W,ROHS</v>
          </cell>
        </row>
        <row r="1513">
          <cell r="A1513" t="str">
            <v>615-098000-365</v>
          </cell>
          <cell r="B1513" t="str">
            <v>RC1206FR-07365RL</v>
          </cell>
          <cell r="C1513" t="str">
            <v>RES</v>
          </cell>
          <cell r="F1513" t="str">
            <v>RES, 1206, 365, 1%, 1/4W, ROHS</v>
          </cell>
        </row>
        <row r="1514">
          <cell r="A1514" t="str">
            <v>615-098001-100</v>
          </cell>
          <cell r="B1514" t="str">
            <v>RC1206FR-071KL</v>
          </cell>
          <cell r="C1514" t="str">
            <v>RES</v>
          </cell>
          <cell r="F1514" t="str">
            <v>RES,1206,1% 1/4W,1.00K ROHS</v>
          </cell>
        </row>
        <row r="1515">
          <cell r="A1515" t="str">
            <v>615-098001-150</v>
          </cell>
          <cell r="B1515" t="str">
            <v>RC1206FR-071K5L</v>
          </cell>
          <cell r="C1515" t="str">
            <v>RES</v>
          </cell>
          <cell r="F1515" t="str">
            <v>RES,1206,1% 1/4W,1.50K ROHS</v>
          </cell>
        </row>
        <row r="1516">
          <cell r="A1516" t="str">
            <v>615-098001-274</v>
          </cell>
          <cell r="B1516" t="str">
            <v>CRCW12062K74FKEA</v>
          </cell>
          <cell r="C1516" t="str">
            <v>RES</v>
          </cell>
          <cell r="F1516" t="str">
            <v>RES,1206,1% 1/4W,2.74K ROHS</v>
          </cell>
        </row>
        <row r="1517">
          <cell r="A1517" t="str">
            <v>615-098001-280</v>
          </cell>
          <cell r="B1517" t="str">
            <v>RC1206FR-072K8L</v>
          </cell>
          <cell r="C1517" t="str">
            <v>RES</v>
          </cell>
          <cell r="F1517" t="str">
            <v>RES,1206,1% 1/4W,2.80K ROHS</v>
          </cell>
        </row>
        <row r="1518">
          <cell r="A1518" t="str">
            <v>615-098002-150</v>
          </cell>
          <cell r="B1518" t="str">
            <v>RC1206FR-0715KL</v>
          </cell>
          <cell r="C1518" t="str">
            <v>RES</v>
          </cell>
          <cell r="F1518" t="str">
            <v>RES,SMD,1206,1%,1/4W,15.0K ROHS</v>
          </cell>
        </row>
        <row r="1519">
          <cell r="A1519" t="str">
            <v>615-098002-200</v>
          </cell>
          <cell r="B1519" t="str">
            <v>CRCW120620K0FKEA</v>
          </cell>
          <cell r="C1519" t="str">
            <v>RES</v>
          </cell>
          <cell r="F1519" t="str">
            <v>RES,SMD,1206,1%,1/4W,20.0K ROHS</v>
          </cell>
        </row>
        <row r="1520">
          <cell r="A1520" t="str">
            <v>615-098002-402</v>
          </cell>
          <cell r="B1520" t="str">
            <v>WCR-WCR1206LF-4022-F-P-LT</v>
          </cell>
          <cell r="C1520" t="str">
            <v>RES</v>
          </cell>
          <cell r="F1520" t="str">
            <v>RES,SMD,1206,1%,1/4W,40.2K ROHS</v>
          </cell>
        </row>
        <row r="1521">
          <cell r="A1521" t="str">
            <v>615-098003-100</v>
          </cell>
          <cell r="B1521" t="str">
            <v>WCR-WCR1206LF-1003-F-P-LT</v>
          </cell>
          <cell r="C1521" t="str">
            <v>RES</v>
          </cell>
          <cell r="F1521" t="str">
            <v>RES,1206,1%,1/4W,100PPM,100K,ROHS</v>
          </cell>
        </row>
        <row r="1522">
          <cell r="A1522" t="str">
            <v>615-098003-200</v>
          </cell>
          <cell r="B1522" t="str">
            <v>CRCW1206200KFKEA</v>
          </cell>
          <cell r="C1522" t="str">
            <v>RES</v>
          </cell>
          <cell r="F1522" t="str">
            <v>RES,1206,1%,1/4W,100PPM,200K,ROHS</v>
          </cell>
        </row>
        <row r="1523">
          <cell r="A1523" t="str">
            <v>615-121726-001</v>
          </cell>
          <cell r="B1523" t="str">
            <v>ERJ-2RKF10R0X</v>
          </cell>
          <cell r="C1523" t="str">
            <v>RES</v>
          </cell>
          <cell r="F1523" t="str">
            <v>RES,SMD,10 OHM,1/10W,1%,0402</v>
          </cell>
        </row>
        <row r="1524">
          <cell r="A1524" t="str">
            <v>615-121726-034</v>
          </cell>
          <cell r="B1524" t="str">
            <v>MR04X5100FTL</v>
          </cell>
          <cell r="C1524" t="str">
            <v>RES</v>
          </cell>
          <cell r="F1524" t="str">
            <v>RES,SMD,510 OHM,1/10W,1%,0402</v>
          </cell>
        </row>
        <row r="1525">
          <cell r="A1525" t="str">
            <v>615-121726-053</v>
          </cell>
          <cell r="B1525" t="str">
            <v>ERJ-2RKF2001X</v>
          </cell>
          <cell r="C1525" t="str">
            <v>RES</v>
          </cell>
          <cell r="F1525" t="str">
            <v>RES,SMD,2K,1/10W,1%,0402</v>
          </cell>
        </row>
        <row r="1526">
          <cell r="A1526" t="str">
            <v>615-121726-102</v>
          </cell>
          <cell r="B1526" t="str">
            <v>ERJ-2RKF1001X</v>
          </cell>
          <cell r="C1526" t="str">
            <v>RES</v>
          </cell>
          <cell r="F1526" t="str">
            <v>RES,SMD,1K,1/10W,1%,0402</v>
          </cell>
        </row>
        <row r="1527">
          <cell r="A1527" t="str">
            <v>615-121726-103</v>
          </cell>
          <cell r="B1527" t="str">
            <v>ERJ-2RKF1002X</v>
          </cell>
          <cell r="C1527" t="str">
            <v>RES</v>
          </cell>
          <cell r="F1527" t="str">
            <v>RES,SMD,10K,1/10W,1%,0402</v>
          </cell>
        </row>
        <row r="1528">
          <cell r="A1528" t="str">
            <v>615-121726-172</v>
          </cell>
          <cell r="B1528" t="str">
            <v>ERJ-2RKF1912X</v>
          </cell>
          <cell r="C1528" t="str">
            <v>RES</v>
          </cell>
          <cell r="F1528" t="str">
            <v>RES,SMD,19.1K,1/10W,1%,0402</v>
          </cell>
        </row>
        <row r="1529">
          <cell r="A1529" t="str">
            <v>615-121726-192</v>
          </cell>
          <cell r="B1529" t="str">
            <v>MR04X8061FTL</v>
          </cell>
          <cell r="C1529" t="str">
            <v>RES</v>
          </cell>
          <cell r="F1529" t="str">
            <v>RES,SMD,8.06K,1/10W,1%,0402</v>
          </cell>
        </row>
        <row r="1530">
          <cell r="A1530" t="str">
            <v>615-121726-222</v>
          </cell>
          <cell r="B1530" t="str">
            <v>ERJ-2RKF2201X</v>
          </cell>
          <cell r="C1530" t="str">
            <v>RES</v>
          </cell>
          <cell r="F1530" t="str">
            <v>RES,SMD,2.2K,1/10W,1%,0402</v>
          </cell>
        </row>
        <row r="1531">
          <cell r="A1531" t="str">
            <v>615-122309-200</v>
          </cell>
          <cell r="B1531" t="str">
            <v>RNCF0805TTT20K0</v>
          </cell>
          <cell r="C1531" t="str">
            <v>RES</v>
          </cell>
          <cell r="F1531" t="str">
            <v>RES,0805,TF,0.1W,0.01%,20.0K ROHS</v>
          </cell>
        </row>
        <row r="1532">
          <cell r="A1532" t="str">
            <v>615-123460-150</v>
          </cell>
          <cell r="B1532" t="str">
            <v>RC0402FR-07150RL</v>
          </cell>
          <cell r="C1532" t="str">
            <v>RES</v>
          </cell>
          <cell r="F1532" t="str">
            <v>RES,0402,THKF,1/10W,1%,150 OHM,ROHS</v>
          </cell>
        </row>
        <row r="1533">
          <cell r="A1533" t="str">
            <v>615-123461-487</v>
          </cell>
          <cell r="B1533" t="str">
            <v>RC0402FR-074K87L</v>
          </cell>
          <cell r="C1533" t="str">
            <v>RES</v>
          </cell>
          <cell r="F1533" t="str">
            <v>RES,0402,THKF,1/16W,1% 4.87K ROHS</v>
          </cell>
        </row>
        <row r="1534">
          <cell r="A1534" t="str">
            <v>615-188548-229</v>
          </cell>
          <cell r="B1534" t="str">
            <v>CRCW0402100RFKED</v>
          </cell>
          <cell r="C1534" t="str">
            <v>RES</v>
          </cell>
          <cell r="F1534" t="str">
            <v>RES,0402,1% 1/16W,100 OHM ROHS</v>
          </cell>
        </row>
        <row r="1535">
          <cell r="A1535" t="str">
            <v>615-188549-070</v>
          </cell>
          <cell r="B1535" t="str">
            <v>AC0402FR-075K11L</v>
          </cell>
          <cell r="C1535" t="str">
            <v>RES</v>
          </cell>
          <cell r="F1535" t="str">
            <v>RES,0402,1% 1/16W,5.11K ROHS</v>
          </cell>
        </row>
        <row r="1536">
          <cell r="A1536" t="str">
            <v>615-193206-001</v>
          </cell>
          <cell r="B1536" t="str">
            <v>CR10-000-ZK</v>
          </cell>
          <cell r="C1536" t="str">
            <v>RES</v>
          </cell>
          <cell r="F1536" t="str">
            <v>RES,SMD,0 OHM,1/16W,0402</v>
          </cell>
        </row>
        <row r="1537">
          <cell r="A1537" t="str">
            <v>615-312994-360</v>
          </cell>
          <cell r="B1537" t="str">
            <v>RMCF0201FT14K7</v>
          </cell>
          <cell r="C1537" t="str">
            <v>RES</v>
          </cell>
          <cell r="F1537" t="str">
            <v>RES,SMD,14.7K,1%,1/20W,0201</v>
          </cell>
        </row>
        <row r="1538">
          <cell r="A1538" t="str">
            <v>615-312994-383</v>
          </cell>
          <cell r="B1538" t="str">
            <v>AC0201FR-0723K7L</v>
          </cell>
          <cell r="C1538" t="str">
            <v>RES</v>
          </cell>
          <cell r="F1538" t="str">
            <v>RES,SMD,23.7K,1%,1/20W,0201</v>
          </cell>
        </row>
        <row r="1539">
          <cell r="A1539" t="str">
            <v>615-312994-501</v>
          </cell>
          <cell r="B1539" t="str">
            <v>AC0201FR-07261KL</v>
          </cell>
          <cell r="C1539" t="str">
            <v>RES</v>
          </cell>
          <cell r="F1539" t="str">
            <v>RES,SMD,261K,1%,1/20W,0201</v>
          </cell>
        </row>
        <row r="1540">
          <cell r="A1540" t="str">
            <v>615-312994-525</v>
          </cell>
          <cell r="B1540" t="str">
            <v>AC0201FR-07412KL</v>
          </cell>
          <cell r="C1540" t="str">
            <v>RES</v>
          </cell>
          <cell r="F1540" t="str">
            <v>RES,SMD,412K,1%,1/20W,0201</v>
          </cell>
        </row>
        <row r="1541">
          <cell r="A1541" t="str">
            <v>615-901294-102</v>
          </cell>
          <cell r="B1541" t="str">
            <v>CRCW08051K00JNEA</v>
          </cell>
          <cell r="C1541" t="str">
            <v>RES</v>
          </cell>
          <cell r="F1541" t="str">
            <v>RES,SMD,0805,1K,5%,1/10W,ROHS</v>
          </cell>
        </row>
        <row r="1542">
          <cell r="A1542" t="str">
            <v>615-901294-153</v>
          </cell>
          <cell r="B1542" t="str">
            <v>CRCW080515K0JNEA</v>
          </cell>
          <cell r="C1542" t="str">
            <v>RES</v>
          </cell>
          <cell r="F1542" t="str">
            <v>RES,SMD,0805,15K,5%,1/10W,ROHS</v>
          </cell>
        </row>
        <row r="1543">
          <cell r="A1543" t="str">
            <v>615-901294-222</v>
          </cell>
          <cell r="B1543" t="str">
            <v>WCR0805LF222JPLT</v>
          </cell>
          <cell r="C1543" t="str">
            <v>RES</v>
          </cell>
          <cell r="F1543" t="str">
            <v>RES,SMD,0805,2.2K,5%,1/10W,ROHS</v>
          </cell>
        </row>
        <row r="1544">
          <cell r="A1544" t="str">
            <v>615-901301-150</v>
          </cell>
          <cell r="B1544" t="str">
            <v>WCR-WCR0805LF-1501-F-P-LT</v>
          </cell>
          <cell r="C1544" t="str">
            <v>RES</v>
          </cell>
          <cell r="F1544" t="str">
            <v>RES,SMD,0805,1.50K,1%,1/10W,ROHS</v>
          </cell>
        </row>
        <row r="1545">
          <cell r="A1545" t="str">
            <v>615-901301-200</v>
          </cell>
          <cell r="B1545" t="str">
            <v>CRCW08052K00FKEA</v>
          </cell>
          <cell r="C1545" t="str">
            <v>RES</v>
          </cell>
          <cell r="F1545" t="str">
            <v>RES,SMD,0805,2.00K,1%,1/10W,ROHS</v>
          </cell>
        </row>
        <row r="1546">
          <cell r="A1546" t="str">
            <v>615-901302-150</v>
          </cell>
          <cell r="B1546" t="str">
            <v>RC0805FR-0715KL</v>
          </cell>
          <cell r="C1546" t="str">
            <v>RES</v>
          </cell>
          <cell r="F1546" t="str">
            <v>RES,0805,15.0K,1%,1/10W,ROHS</v>
          </cell>
        </row>
        <row r="1547">
          <cell r="A1547" t="str">
            <v>615-901302-200</v>
          </cell>
          <cell r="B1547" t="str">
            <v>CRCW080520K0FKEA</v>
          </cell>
          <cell r="C1547" t="str">
            <v>RES</v>
          </cell>
          <cell r="F1547" t="str">
            <v>RES,0805,20.0K,1%,1/10W,ROHS</v>
          </cell>
        </row>
        <row r="1548">
          <cell r="A1548" t="str">
            <v>615-901303-100</v>
          </cell>
          <cell r="B1548" t="str">
            <v>RC0805FR-07100KL</v>
          </cell>
          <cell r="C1548" t="str">
            <v>RES</v>
          </cell>
          <cell r="F1548" t="str">
            <v>RES,0805,100K,1%,1/10W,ROHS</v>
          </cell>
        </row>
        <row r="1549">
          <cell r="A1549" t="str">
            <v>615-901304-100</v>
          </cell>
          <cell r="B1549" t="str">
            <v>CRCW08051M00FKEA</v>
          </cell>
          <cell r="C1549" t="str">
            <v>RES</v>
          </cell>
          <cell r="F1549" t="str">
            <v>RES,0805,1.00M,1%,1/10W,ROHS</v>
          </cell>
        </row>
        <row r="1550">
          <cell r="A1550" t="str">
            <v>615-901309-200</v>
          </cell>
          <cell r="B1550" t="str">
            <v>WCR-WCR0805LF-20R0-F-P-LT</v>
          </cell>
          <cell r="C1550" t="str">
            <v>RES</v>
          </cell>
          <cell r="F1550" t="str">
            <v>RES,0805,20.0,1%,1/10W,ROHS</v>
          </cell>
        </row>
        <row r="1551">
          <cell r="A1551" t="str">
            <v>615-901309-499</v>
          </cell>
          <cell r="B1551" t="str">
            <v>WCR-WCR0805LF-49R9-F-P-LT</v>
          </cell>
          <cell r="C1551" t="str">
            <v>RES</v>
          </cell>
          <cell r="F1551" t="str">
            <v>RES,0805,49.9,1%,1/10W,ROHS</v>
          </cell>
        </row>
        <row r="1552">
          <cell r="A1552" t="str">
            <v>626-001487-001</v>
          </cell>
          <cell r="B1552" t="str">
            <v>2N7002LT1G</v>
          </cell>
          <cell r="C1552" t="str">
            <v>XSTR</v>
          </cell>
          <cell r="F1552" t="str">
            <v>XSTR,SMD,NPN,FET, 2N7002LT1,SOT-23,ROHS</v>
          </cell>
        </row>
        <row r="1553">
          <cell r="A1553" t="str">
            <v>626-097993-001</v>
          </cell>
          <cell r="B1553" t="str">
            <v>MMBT3906</v>
          </cell>
          <cell r="C1553" t="str">
            <v>XSTR</v>
          </cell>
          <cell r="F1553" t="str">
            <v>XSTR,3906 PNP GP SOT23</v>
          </cell>
        </row>
        <row r="1554">
          <cell r="A1554" t="str">
            <v>630-098493-001</v>
          </cell>
          <cell r="B1554" t="str">
            <v>MOCD223-M</v>
          </cell>
          <cell r="C1554" t="str">
            <v>IC</v>
          </cell>
          <cell r="F1554" t="str">
            <v>IC,ILD223 DUAL OPTOCPLR SO8</v>
          </cell>
        </row>
        <row r="1555">
          <cell r="A1555" t="str">
            <v>630-135492-001</v>
          </cell>
          <cell r="B1555" t="str">
            <v>SN74LVC1G17DCK</v>
          </cell>
          <cell r="C1555" t="str">
            <v>IC</v>
          </cell>
          <cell r="F1555" t="str">
            <v>IC,SMD,SINGLE SCHMITT BUF</v>
          </cell>
        </row>
        <row r="1556">
          <cell r="A1556" t="str">
            <v>630-228232-001</v>
          </cell>
          <cell r="B1556" t="str">
            <v>SN74AVC2T245RSWR</v>
          </cell>
          <cell r="C1556" t="str">
            <v>IC</v>
          </cell>
          <cell r="F1556" t="str">
            <v>IC,SMD,LVL SHIFTER,2BIT,BI DIR</v>
          </cell>
        </row>
        <row r="1557">
          <cell r="A1557" t="str">
            <v>632-102144-001</v>
          </cell>
          <cell r="B1557" t="str">
            <v>IM07GR</v>
          </cell>
          <cell r="C1557" t="str">
            <v>RLY</v>
          </cell>
          <cell r="F1557" t="str">
            <v>RLY,SMD,DPDT,NONLATCH,24V,2A,ROHS</v>
          </cell>
        </row>
        <row r="1558">
          <cell r="A1558" t="str">
            <v>632-275101-001</v>
          </cell>
          <cell r="B1558" t="str">
            <v>TQ2SS-24V</v>
          </cell>
          <cell r="C1558" t="str">
            <v>RLY</v>
          </cell>
          <cell r="F1558" t="str">
            <v>RLY,SMD,2 FORM C,24VDC,8.3MA,2.8K OHM</v>
          </cell>
        </row>
        <row r="1559">
          <cell r="A1559" t="str">
            <v>648-078569-106</v>
          </cell>
          <cell r="B1559" t="str">
            <v>0805X106M100CT</v>
          </cell>
          <cell r="C1559" t="str">
            <v>CAP</v>
          </cell>
          <cell r="F1559" t="str">
            <v>CAP,SMD,0805,CER,X5R,20%,10V,10UF ROHS</v>
          </cell>
        </row>
        <row r="1560">
          <cell r="A1560" t="str">
            <v>648-078569-225</v>
          </cell>
          <cell r="B1560" t="str">
            <v>C0805C225M8PACTU</v>
          </cell>
          <cell r="C1560" t="str">
            <v>CAP</v>
          </cell>
          <cell r="F1560" t="str">
            <v>CAP,SMD,0805,CER,X5R,20%,10V 2.2UF ROHS</v>
          </cell>
        </row>
        <row r="1561">
          <cell r="A1561" t="str">
            <v>648-096579-106</v>
          </cell>
          <cell r="B1561" t="str">
            <v>T491D106K035AT</v>
          </cell>
          <cell r="C1561" t="str">
            <v>CAP</v>
          </cell>
          <cell r="F1561" t="str">
            <v>CAP,SMD,7343H,TANT,10%,35V,10UF ROHS</v>
          </cell>
        </row>
        <row r="1562">
          <cell r="A1562" t="str">
            <v>648-097891-103</v>
          </cell>
          <cell r="B1562" t="str">
            <v>C1206C103K5RAC</v>
          </cell>
          <cell r="C1562" t="str">
            <v>CAP</v>
          </cell>
          <cell r="F1562" t="str">
            <v>CAP,1206 0.01UF 10% 50V X7R,ROHS</v>
          </cell>
        </row>
        <row r="1563">
          <cell r="A1563" t="str">
            <v>648-121556-001</v>
          </cell>
          <cell r="B1563" t="str">
            <v>CC0402KRX7R9BB103</v>
          </cell>
          <cell r="C1563" t="str">
            <v>CAP</v>
          </cell>
          <cell r="F1563" t="str">
            <v>CAP,SMD,CER 0.01UF 50V X7R 0402</v>
          </cell>
        </row>
        <row r="1564">
          <cell r="A1564" t="str">
            <v>648-124321-223</v>
          </cell>
          <cell r="B1564" t="str">
            <v>GMC04X7R223K50NT</v>
          </cell>
          <cell r="C1564" t="str">
            <v>CAP</v>
          </cell>
          <cell r="F1564" t="str">
            <v>CAP,SMD,0402,CER,X7R,10%,50V,22NF ROHS</v>
          </cell>
        </row>
        <row r="1565">
          <cell r="A1565" t="str">
            <v>648-124321-473</v>
          </cell>
          <cell r="B1565" t="str">
            <v>GMC04X7R473K50NT</v>
          </cell>
          <cell r="C1565" t="str">
            <v>CAP</v>
          </cell>
          <cell r="F1565" t="str">
            <v>CAP,SMD,0402,CER,X7R,10%,50V,47NF ROHS</v>
          </cell>
        </row>
        <row r="1566">
          <cell r="A1566" t="str">
            <v>648-243376-039</v>
          </cell>
          <cell r="B1566" t="str">
            <v>C0805C102JBRACTU</v>
          </cell>
          <cell r="C1566" t="str">
            <v>CAP</v>
          </cell>
          <cell r="F1566" t="str">
            <v>CAP,SMD,CER,1000PF,±5%,X7R,630V,0805</v>
          </cell>
        </row>
        <row r="1567">
          <cell r="A1567" t="str">
            <v>648-275747-001</v>
          </cell>
          <cell r="B1567" t="str">
            <v>GRM1555C1H8R2BA01D</v>
          </cell>
          <cell r="C1567" t="str">
            <v>CAP</v>
          </cell>
          <cell r="F1567" t="str">
            <v>CAP,SMD,CER,8.2PF,50V,+/-0.1PF,NP0,0402</v>
          </cell>
        </row>
        <row r="1568">
          <cell r="A1568" t="str">
            <v>648-313817-001</v>
          </cell>
          <cell r="B1568" t="str">
            <v>MSAST063SCG102JFNA01</v>
          </cell>
          <cell r="C1568" t="str">
            <v>CAP</v>
          </cell>
          <cell r="F1568" t="str">
            <v>CAP,SMD,CER,1000PF,25V,C0G/NP0,0201</v>
          </cell>
        </row>
        <row r="1569">
          <cell r="A1569" t="str">
            <v>648-325814-001</v>
          </cell>
          <cell r="B1569" t="str">
            <v>08051C104JAT2A</v>
          </cell>
          <cell r="C1569" t="str">
            <v>CAP</v>
          </cell>
          <cell r="F1569" t="str">
            <v>CAP,SMD,CER,0.1UF, ±5% TOL,100V,X7R,0805</v>
          </cell>
        </row>
        <row r="1570">
          <cell r="A1570" t="str">
            <v>648-327739-104</v>
          </cell>
          <cell r="B1570" t="str">
            <v>0603B104K500CG</v>
          </cell>
          <cell r="C1570" t="str">
            <v>CAP</v>
          </cell>
          <cell r="F1570" t="str">
            <v>CAP,SMD,CER,0.1UF,±10%TOL,50VDC,X7R,0603</v>
          </cell>
        </row>
        <row r="1571">
          <cell r="A1571" t="str">
            <v>648-327739-104</v>
          </cell>
          <cell r="B1571" t="str">
            <v>C0603X104K5RAC7867</v>
          </cell>
          <cell r="C1571" t="str">
            <v>CAP</v>
          </cell>
          <cell r="F1571" t="str">
            <v>CAP,SMD,CER,0.1UF,±10%TOL,50VDC,X7R,0603</v>
          </cell>
        </row>
        <row r="1572">
          <cell r="A1572" t="str">
            <v>615-068561-100</v>
          </cell>
          <cell r="B1572" t="str">
            <v>CRCW0603100KFKEA</v>
          </cell>
          <cell r="C1572" t="str">
            <v>RES</v>
          </cell>
          <cell r="F1572" t="str">
            <v>RES,0603,THKF,1%,1/10W,100PPM,100K ROHS</v>
          </cell>
        </row>
        <row r="1573">
          <cell r="A1573" t="str">
            <v>615-188549-001</v>
          </cell>
          <cell r="B1573" t="str">
            <v>WR04X1001FTLJ</v>
          </cell>
          <cell r="C1573" t="str">
            <v>RES</v>
          </cell>
          <cell r="F1573" t="str">
            <v>RES,0402,1%,1/16W,1.00K ROHS</v>
          </cell>
        </row>
        <row r="1574">
          <cell r="A1574" t="str">
            <v>615-312994-001</v>
          </cell>
          <cell r="B1574" t="str">
            <v>ERJ-1GNF10R0C</v>
          </cell>
          <cell r="C1574" t="str">
            <v>RES</v>
          </cell>
          <cell r="F1574" t="str">
            <v>RES,SMD,10,1%,1/20W,0201</v>
          </cell>
        </row>
        <row r="1575">
          <cell r="A1575" t="str">
            <v>615-312994-375</v>
          </cell>
          <cell r="B1575" t="str">
            <v>RMCF0201FT20K0</v>
          </cell>
          <cell r="C1575" t="str">
            <v>RES</v>
          </cell>
          <cell r="F1575" t="str">
            <v>RES,SMD,20K,1%,1/20W,0201</v>
          </cell>
        </row>
        <row r="1576">
          <cell r="A1576" t="str">
            <v>648-124320-222</v>
          </cell>
          <cell r="B1576" t="str">
            <v>NMC0402X7R222K16TRPF</v>
          </cell>
          <cell r="C1576" t="str">
            <v>CAP</v>
          </cell>
          <cell r="F1576" t="str">
            <v>CAP,SMD,0402,CER,X7R,10%,16V,2200PF ROHS</v>
          </cell>
        </row>
        <row r="1577">
          <cell r="A1577" t="str">
            <v>615-123460-976</v>
          </cell>
          <cell r="B1577" t="str">
            <v>RC0402FR-07976RL</v>
          </cell>
          <cell r="C1577" t="str">
            <v>RES</v>
          </cell>
          <cell r="F1577" t="str">
            <v>RES,0402,THKF,1/16W,1% 976 ROHS</v>
          </cell>
        </row>
        <row r="1578">
          <cell r="A1578" t="str">
            <v>615-312994-116</v>
          </cell>
          <cell r="B1578" t="str">
            <v>AC0201FR-07100RL</v>
          </cell>
          <cell r="C1578" t="str">
            <v>RES</v>
          </cell>
          <cell r="F1578" t="str">
            <v>RES,SMD,100,1%,1/20W,0201</v>
          </cell>
        </row>
        <row r="1579">
          <cell r="A1579" t="str">
            <v>615-901301-348</v>
          </cell>
          <cell r="B1579" t="str">
            <v>CRCW08053K48FKEA</v>
          </cell>
          <cell r="C1579" t="str">
            <v>RES</v>
          </cell>
          <cell r="F1579" t="str">
            <v>RES,SMD,0805,3.48K,1%,1/10W,ROHS</v>
          </cell>
        </row>
        <row r="1580">
          <cell r="A1580" t="str">
            <v>648-313170-001</v>
          </cell>
          <cell r="B1580" t="str">
            <v>02013A100JAT2A</v>
          </cell>
          <cell r="C1580" t="str">
            <v>CAP</v>
          </cell>
          <cell r="F1580" t="str">
            <v>CAP,SMD,CER,10PF,25V,C0G/NP0,0201</v>
          </cell>
        </row>
        <row r="1581">
          <cell r="A1581" t="str">
            <v>615-121726-011</v>
          </cell>
          <cell r="B1581" t="str">
            <v>MR04X30R0FTL</v>
          </cell>
          <cell r="C1581" t="str">
            <v>RES</v>
          </cell>
          <cell r="F1581" t="str">
            <v>RES,SMD,30 OHM,1/10W,1%,0402</v>
          </cell>
        </row>
        <row r="1582">
          <cell r="A1582" t="str">
            <v>615-312994-458</v>
          </cell>
          <cell r="B1582" t="str">
            <v>RMCF0201FT102K</v>
          </cell>
          <cell r="C1582" t="str">
            <v>RES</v>
          </cell>
          <cell r="F1582" t="str">
            <v>RES,SMD,102K,1%,1/20W,0201</v>
          </cell>
        </row>
        <row r="1583">
          <cell r="A1583" t="str">
            <v>648-108239-001</v>
          </cell>
          <cell r="B1583" t="str">
            <v>500X15W473MV4E</v>
          </cell>
          <cell r="C1583" t="str">
            <v>CAP</v>
          </cell>
          <cell r="F1583" t="str">
            <v>CAP,SMD,X2Y,47NF,20%,50V,0805</v>
          </cell>
        </row>
        <row r="1584">
          <cell r="A1584" t="str">
            <v>615-312994-385</v>
          </cell>
          <cell r="B1584" t="str">
            <v>RK73H1HTTC2432F</v>
          </cell>
          <cell r="C1584" t="str">
            <v>RES</v>
          </cell>
          <cell r="F1584" t="str">
            <v>RES,SMD,24.3K,1%,1/20W,0201</v>
          </cell>
        </row>
        <row r="1585">
          <cell r="A1585" t="str">
            <v>615-188549-194</v>
          </cell>
          <cell r="B1585" t="str">
            <v>AC0402FR-07100KL</v>
          </cell>
          <cell r="C1585" t="str">
            <v>RES</v>
          </cell>
          <cell r="F1585" t="str">
            <v>RES,0402,1% 1/16W,100K ROHS</v>
          </cell>
        </row>
        <row r="1586">
          <cell r="A1586" t="str">
            <v>615-097995-002</v>
          </cell>
          <cell r="B1586" t="str">
            <v>CRCW08050000Z0EA</v>
          </cell>
          <cell r="C1586" t="str">
            <v>RES</v>
          </cell>
          <cell r="F1586" t="str">
            <v>RES,SMD,0 OHM JMPR,1/8W,THK FILM,0805</v>
          </cell>
        </row>
        <row r="1587">
          <cell r="A1587" t="str">
            <v>615-312994-289</v>
          </cell>
          <cell r="B1587" t="str">
            <v>RK73H1HTTC3401F</v>
          </cell>
          <cell r="C1587" t="str">
            <v>RES</v>
          </cell>
          <cell r="F1587" t="str">
            <v>RES,SMD,3.40K,1%,1/20W,0201</v>
          </cell>
        </row>
        <row r="1588">
          <cell r="A1588" t="str">
            <v>615-121726-022</v>
          </cell>
          <cell r="B1588" t="str">
            <v>RK73H1ETTP22R0F</v>
          </cell>
          <cell r="C1588" t="str">
            <v>RES</v>
          </cell>
          <cell r="F1588" t="str">
            <v>RES,SMD,22 OHM,1/10W,1%,0402</v>
          </cell>
        </row>
        <row r="1589">
          <cell r="A1589" t="str">
            <v>615-292663-499</v>
          </cell>
          <cell r="B1589" t="str">
            <v>ERJ2RKF4990X</v>
          </cell>
          <cell r="C1589" t="str">
            <v>RES</v>
          </cell>
          <cell r="F1589" t="str">
            <v>RES,SMD,499,1%,1/10W,0402</v>
          </cell>
        </row>
        <row r="1590">
          <cell r="A1590" t="str">
            <v>648-138818-225</v>
          </cell>
          <cell r="B1590" t="str">
            <v>CL31B225KBHNNNE</v>
          </cell>
          <cell r="C1590" t="str">
            <v>CAP</v>
          </cell>
          <cell r="F1590" t="str">
            <v>CAP,1206,CER,X7R,10%,50V,2.2UF ROHS</v>
          </cell>
        </row>
        <row r="1591">
          <cell r="A1591" t="str">
            <v>670-097092-500</v>
          </cell>
          <cell r="B1591" t="str">
            <v>RUEF500-1</v>
          </cell>
          <cell r="C1591" t="str">
            <v>FUSE</v>
          </cell>
          <cell r="D1591" t="str">
            <v>AC Box</v>
          </cell>
          <cell r="F1591" t="str">
            <v>FUSE,PTC,RUEF, 5.0A ROHS</v>
          </cell>
        </row>
        <row r="1592">
          <cell r="A1592" t="str">
            <v>615-123464-100</v>
          </cell>
          <cell r="B1592" t="str">
            <v>RC0402FR-071ML</v>
          </cell>
          <cell r="C1592" t="str">
            <v>RES</v>
          </cell>
          <cell r="F1592" t="str">
            <v>RES,0402,THKF,1/16W,1% 1.00M ROHS</v>
          </cell>
        </row>
        <row r="1593">
          <cell r="A1593" t="str">
            <v>648-124320-103</v>
          </cell>
          <cell r="B1593" t="str">
            <v>C0402C103K4RACTU</v>
          </cell>
          <cell r="C1593" t="str">
            <v>CAP</v>
          </cell>
          <cell r="F1593" t="str">
            <v>AP,SMD,0402,CER,X7R,10%,16V,10000PF ROHS</v>
          </cell>
        </row>
        <row r="1594">
          <cell r="A1594" t="str">
            <v>648-188544-006</v>
          </cell>
          <cell r="B1594" t="str">
            <v>EMK063BJ103KP-F</v>
          </cell>
          <cell r="C1594" t="str">
            <v>CAP</v>
          </cell>
          <cell r="F1594" t="str">
            <v>CAP,0201,X5R,10%,16V,0.01UF ROHS</v>
          </cell>
        </row>
        <row r="1595">
          <cell r="A1595" t="str">
            <v>615-121726-184</v>
          </cell>
          <cell r="B1595" t="str">
            <v>RK73H1ETTP40R2F</v>
          </cell>
          <cell r="C1595" t="str">
            <v>RES</v>
          </cell>
          <cell r="F1595" t="str">
            <v>RES,SMD,40.2 OHM,1/10W,1%,0402</v>
          </cell>
        </row>
        <row r="1596">
          <cell r="A1596" t="str">
            <v>615-052825-680</v>
          </cell>
          <cell r="B1596" t="str">
            <v>PCF0805R-680RBT1</v>
          </cell>
          <cell r="C1596" t="str">
            <v>RES</v>
          </cell>
          <cell r="F1596" t="str">
            <v>RES,SMD,0805,MF,1/10W,0.1%,680,ROHS</v>
          </cell>
        </row>
        <row r="1597">
          <cell r="A1597" t="str">
            <v>648-124320-104</v>
          </cell>
          <cell r="B1597" t="str">
            <v>C0402C104K4RACTU</v>
          </cell>
          <cell r="C1597" t="str">
            <v>CAP</v>
          </cell>
          <cell r="F1597" t="str">
            <v>CAP,SMD,0402,CER,X7R,10%,16V,0.1UF ROHS</v>
          </cell>
        </row>
        <row r="1598">
          <cell r="A1598" t="str">
            <v>615-052826-622</v>
          </cell>
          <cell r="B1598" t="str">
            <v>ERA6AEB622V</v>
          </cell>
          <cell r="C1598" t="str">
            <v>RES</v>
          </cell>
          <cell r="F1598" t="str">
            <v>RES,0805,0.1%,1/8W,25PPM,6.2K ROHS</v>
          </cell>
        </row>
        <row r="1599">
          <cell r="A1599" t="str">
            <v>615-068560-100</v>
          </cell>
          <cell r="B1599" t="str">
            <v>RK73H1JTTD1002F</v>
          </cell>
          <cell r="C1599" t="str">
            <v>RES</v>
          </cell>
          <cell r="F1599" t="str">
            <v>RES,0603,THKF,1%,1/10W,100PPM,10K ROHS</v>
          </cell>
        </row>
        <row r="1600">
          <cell r="A1600" t="str">
            <v>648-036367-331</v>
          </cell>
          <cell r="B1600" t="str">
            <v>EEEFK1V331P</v>
          </cell>
          <cell r="C1600" t="str">
            <v>CAP</v>
          </cell>
          <cell r="F1600" t="str">
            <v>CAP,SMD,AL,ELCTLT,FK,LESR,20%,35V,330UF</v>
          </cell>
        </row>
        <row r="1601">
          <cell r="A1601" t="str">
            <v>630-149832-001</v>
          </cell>
          <cell r="B1601" t="str">
            <v>AM3359BZCZA80</v>
          </cell>
          <cell r="C1601" t="str">
            <v>IC</v>
          </cell>
          <cell r="F1601" t="str">
            <v>IC,SMD,ARM,CORTEX,A8,800MHZ,324BGA</v>
          </cell>
        </row>
        <row r="1602">
          <cell r="A1602" t="str">
            <v>648-228694-007</v>
          </cell>
          <cell r="B1602" t="str">
            <v>04025A330JAT2A</v>
          </cell>
          <cell r="C1602" t="str">
            <v>CAP</v>
          </cell>
          <cell r="F1602" t="str">
            <v>CAP,SMD,CER,33PF,50V,5%,NP0,0402</v>
          </cell>
        </row>
        <row r="1603">
          <cell r="A1603" t="str">
            <v>615-123461-191</v>
          </cell>
          <cell r="B1603" t="str">
            <v>WR04X1911FTL</v>
          </cell>
          <cell r="C1603" t="str">
            <v>RES</v>
          </cell>
          <cell r="F1603" t="str">
            <v>RES,0402,THKF,1/16W,1% 1.91K ROHS</v>
          </cell>
        </row>
        <row r="1604">
          <cell r="A1604" t="str">
            <v>644-338613-001</v>
          </cell>
          <cell r="B1604" t="str">
            <v>CX480D5</v>
          </cell>
          <cell r="C1604" t="str">
            <v>RLY</v>
          </cell>
          <cell r="F1604" t="str">
            <v>RLY,SSR,DC,SPST-NO,48-660VAC,5A,SIP-4</v>
          </cell>
        </row>
        <row r="1605">
          <cell r="A1605" t="str">
            <v>615-098001-162</v>
          </cell>
          <cell r="B1605" t="str">
            <v>RC1206FR-071K62L</v>
          </cell>
          <cell r="C1605" t="str">
            <v>RES</v>
          </cell>
          <cell r="F1605" t="str">
            <v>RES,1206,1% 1/4W,1.62K ROHS</v>
          </cell>
        </row>
        <row r="1606">
          <cell r="A1606" t="str">
            <v>615-064170-210</v>
          </cell>
          <cell r="B1606" t="str">
            <v>RG2012P-2101-B-T5</v>
          </cell>
          <cell r="C1606" t="str">
            <v>RES</v>
          </cell>
          <cell r="F1606" t="str">
            <v>RES,SMD,0805,RG,MF,0.1%,1/10W,2.10K</v>
          </cell>
        </row>
        <row r="1607">
          <cell r="A1607" t="str">
            <v>615-901300-365</v>
          </cell>
          <cell r="B1607" t="str">
            <v>WCR-WCR0805LF-3650-F-P-LT</v>
          </cell>
          <cell r="C1607" t="str">
            <v>RES</v>
          </cell>
          <cell r="F1607" t="str">
            <v>RES,SMD,0805,1%,1/10W,365,ROHS</v>
          </cell>
        </row>
        <row r="1608">
          <cell r="A1608" t="str">
            <v>615-312994-267</v>
          </cell>
          <cell r="B1608" t="str">
            <v>ERJ-1GNF2211C</v>
          </cell>
          <cell r="C1608" t="str">
            <v>RES</v>
          </cell>
          <cell r="F1608" t="str">
            <v>RES,SMD,2.21K,1%,1/20W,0201</v>
          </cell>
        </row>
        <row r="1609">
          <cell r="A1609" t="str">
            <v>630-099034-014</v>
          </cell>
          <cell r="B1609" t="str">
            <v>SN74HC14DR</v>
          </cell>
          <cell r="C1609" t="str">
            <v>IC</v>
          </cell>
          <cell r="F1609" t="str">
            <v>IC,SMD,74HC14 HEX ST INV SO14, ROHS</v>
          </cell>
        </row>
        <row r="1610">
          <cell r="A1610" t="str">
            <v>615-098000-232</v>
          </cell>
          <cell r="B1610" t="str">
            <v>CRCW1206232RFKEA</v>
          </cell>
          <cell r="C1610" t="str">
            <v>RES</v>
          </cell>
          <cell r="F1610" t="str">
            <v>RES,1206,1% 1/4W,232,ROHS</v>
          </cell>
        </row>
        <row r="1611">
          <cell r="A1611" t="str">
            <v>615-312994-275</v>
          </cell>
          <cell r="B1611" t="str">
            <v>RK73H1HTTC2611F</v>
          </cell>
          <cell r="C1611" t="str">
            <v>RES</v>
          </cell>
          <cell r="F1611" t="str">
            <v>RES,SMD,2.61K,1%,1/20W,0201</v>
          </cell>
        </row>
        <row r="1612">
          <cell r="A1612" t="str">
            <v>615-098001-374</v>
          </cell>
          <cell r="B1612" t="str">
            <v>CRCW1206374RFKEA</v>
          </cell>
          <cell r="C1612" t="str">
            <v>RES</v>
          </cell>
          <cell r="F1612" t="str">
            <v>RES,1206,1% 1/4W,3.74K ROHS</v>
          </cell>
        </row>
        <row r="1613">
          <cell r="A1613" t="str">
            <v>615-901301-280</v>
          </cell>
          <cell r="B1613" t="str">
            <v>RC0805FR-072K8L</v>
          </cell>
          <cell r="C1613" t="str">
            <v>RES</v>
          </cell>
          <cell r="F1613" t="str">
            <v>RES,SMD,0805,2.80K,1%,1/10W,ROHS</v>
          </cell>
        </row>
        <row r="1614">
          <cell r="A1614" t="str">
            <v>615-123462-200</v>
          </cell>
          <cell r="B1614" t="str">
            <v>RC0402FR-0720KL</v>
          </cell>
          <cell r="C1614" t="str">
            <v>RES</v>
          </cell>
          <cell r="F1614" t="str">
            <v>RES,0402,THKF,1/16W,1% 20.0K ROHS</v>
          </cell>
        </row>
        <row r="1615">
          <cell r="A1615" t="str">
            <v>615-121726-178</v>
          </cell>
          <cell r="B1615" t="str">
            <v>ERJ-2RKF24R9X</v>
          </cell>
          <cell r="C1615" t="str">
            <v>RES</v>
          </cell>
          <cell r="F1615" t="str">
            <v>RES,SMD,24.9 OHM,1/10W,1%,0402</v>
          </cell>
        </row>
        <row r="1616">
          <cell r="A1616" t="str">
            <v>615-123460-249</v>
          </cell>
          <cell r="B1616" t="str">
            <v>RC0402FR-07249RL</v>
          </cell>
          <cell r="C1616" t="str">
            <v>RES</v>
          </cell>
          <cell r="F1616" t="str">
            <v>RES,0402,THKF,1/16W,1% 249 ROHS</v>
          </cell>
        </row>
        <row r="1617">
          <cell r="A1617" t="str">
            <v>615-123462-178</v>
          </cell>
          <cell r="B1617" t="str">
            <v>RC1005F1782CS</v>
          </cell>
          <cell r="C1617" t="str">
            <v>RES</v>
          </cell>
          <cell r="F1617" t="str">
            <v>RES,0402,THKF,1/16W,1% 17.8K ROHS</v>
          </cell>
        </row>
        <row r="1618">
          <cell r="A1618" t="str">
            <v>670-338640-050</v>
          </cell>
          <cell r="B1618" t="str">
            <v>S505H-500-R</v>
          </cell>
          <cell r="C1618" t="str">
            <v>FUSE</v>
          </cell>
          <cell r="D1618" t="str">
            <v>AC Box</v>
          </cell>
          <cell r="F1618" t="str">
            <v>FUSE,CRTG,0.5A,600VAC/400DC,5X20MM</v>
          </cell>
        </row>
        <row r="1619">
          <cell r="A1619" t="str">
            <v>615-123460-499</v>
          </cell>
          <cell r="B1619" t="str">
            <v>RC0402FR-07499RL</v>
          </cell>
          <cell r="C1619" t="str">
            <v>RES</v>
          </cell>
          <cell r="F1619" t="str">
            <v>RES,0402,THKF,1/16W,1% 499 ROHS</v>
          </cell>
        </row>
        <row r="1620">
          <cell r="A1620" t="str">
            <v>615-123460-200</v>
          </cell>
          <cell r="B1620" t="str">
            <v>RC1005F201CS</v>
          </cell>
          <cell r="C1620" t="str">
            <v>RES</v>
          </cell>
          <cell r="F1620" t="str">
            <v>RES,0402,THKF,1/16W,1% 200 ROHS</v>
          </cell>
        </row>
        <row r="1621">
          <cell r="A1621" t="str">
            <v>615-098003-750</v>
          </cell>
          <cell r="B1621" t="str">
            <v>CRCW1206750KFKEA</v>
          </cell>
          <cell r="C1621" t="str">
            <v>RES</v>
          </cell>
          <cell r="F1621" t="str">
            <v>RES,1206,1%,1/4W,100PPM,750K,ROHS</v>
          </cell>
        </row>
        <row r="1622">
          <cell r="A1622" t="str">
            <v>615-123461-205</v>
          </cell>
          <cell r="B1622" t="str">
            <v>CRCW04022K05FKEDC</v>
          </cell>
          <cell r="C1622" t="str">
            <v>RES</v>
          </cell>
          <cell r="F1622" t="str">
            <v>RES,0402,THKF,1/16W,1% 2.05K ROHS</v>
          </cell>
        </row>
        <row r="1623">
          <cell r="A1623" t="str">
            <v>609-118138-005</v>
          </cell>
          <cell r="B1623" t="str">
            <v>SMF5.0A</v>
          </cell>
          <cell r="C1623" t="str">
            <v>DIO</v>
          </cell>
          <cell r="F1623" t="str">
            <v>DIO,SMD,TVS,UNI-DIR,SMF,5V,ROHS</v>
          </cell>
        </row>
        <row r="1624">
          <cell r="A1624" t="str">
            <v>615-098001-182</v>
          </cell>
          <cell r="B1624" t="str">
            <v>RC1206FR-071K82L</v>
          </cell>
          <cell r="C1624" t="str">
            <v>RES</v>
          </cell>
          <cell r="F1624" t="str">
            <v>RES,1206,1% 1/4W,1.82K ROHS</v>
          </cell>
        </row>
        <row r="1625">
          <cell r="A1625" t="str">
            <v>615-123461-576</v>
          </cell>
          <cell r="B1625" t="str">
            <v>CRCW04025K76FKEDC</v>
          </cell>
          <cell r="C1625" t="str">
            <v>RES</v>
          </cell>
          <cell r="F1625" t="str">
            <v>RES,0402,THKF,1/16W,1% 5.76K ROHS</v>
          </cell>
        </row>
        <row r="1626">
          <cell r="A1626" t="str">
            <v>615-121726-085</v>
          </cell>
          <cell r="B1626" t="str">
            <v>MR04X4702FTL</v>
          </cell>
          <cell r="C1626" t="str">
            <v>RES</v>
          </cell>
          <cell r="F1626" t="str">
            <v>RES,SMD,47K,1/10W,1%,0402</v>
          </cell>
        </row>
        <row r="1627">
          <cell r="A1627" t="str">
            <v>615-123461-249</v>
          </cell>
          <cell r="B1627" t="str">
            <v>CR0402-FX-2491GLF</v>
          </cell>
          <cell r="C1627" t="str">
            <v>RES</v>
          </cell>
          <cell r="F1627" t="str">
            <v>RES,0402,THKF,1/16W,1% 2.49K ROHS</v>
          </cell>
        </row>
        <row r="1628">
          <cell r="A1628" t="str">
            <v>609-232607-001</v>
          </cell>
          <cell r="B1628" t="str">
            <v>ESD9B5.0ST5G</v>
          </cell>
          <cell r="C1628" t="str">
            <v>DIO</v>
          </cell>
          <cell r="F1628" t="str">
            <v>DIO,SMD,TVS,5VWM</v>
          </cell>
        </row>
        <row r="1629">
          <cell r="A1629" t="str">
            <v>648-097891-124</v>
          </cell>
          <cell r="B1629" t="str">
            <v>C1206C124K5RAC</v>
          </cell>
          <cell r="C1629" t="str">
            <v>CAP</v>
          </cell>
          <cell r="F1629" t="str">
            <v>CAP,1206,0.12UF,10% 50V X7R,ROHS</v>
          </cell>
        </row>
        <row r="1630">
          <cell r="A1630" t="str">
            <v>630-122643-001</v>
          </cell>
          <cell r="B1630" t="str">
            <v>LMZ14203TZX-ADJ/NOPB</v>
          </cell>
          <cell r="C1630" t="str">
            <v>IC</v>
          </cell>
          <cell r="F1630" t="str">
            <v>IC,SMD,BUCK SYNC ADJ 3A TO-PMOD-7</v>
          </cell>
        </row>
        <row r="1631">
          <cell r="A1631" t="str">
            <v>615-313123-421</v>
          </cell>
          <cell r="B1631" t="str">
            <v>CRCW020148K7FKED</v>
          </cell>
          <cell r="C1631" t="str">
            <v>RES</v>
          </cell>
          <cell r="F1631" t="str">
            <v>RES,SMD,48.7K,1%,1/20W,0201</v>
          </cell>
        </row>
        <row r="1632">
          <cell r="A1632" t="str">
            <v>609-066737-001</v>
          </cell>
          <cell r="B1632" t="str">
            <v>MBRA340T3G</v>
          </cell>
          <cell r="C1632" t="str">
            <v>DIO</v>
          </cell>
          <cell r="F1632" t="str">
            <v>DIO,SMD,SCHOTTKY,3A,40V,ROHS</v>
          </cell>
        </row>
        <row r="1633">
          <cell r="A1633" t="str">
            <v>615-313123-001</v>
          </cell>
          <cell r="B1633" t="str">
            <v>CRCW020180R6FKED</v>
          </cell>
          <cell r="C1633" t="str">
            <v>RES</v>
          </cell>
          <cell r="F1633" t="str">
            <v>RES,SMD,80.6 OHM,1%,1/20W,0201</v>
          </cell>
        </row>
        <row r="1634">
          <cell r="A1634" t="str">
            <v>615-068561-205</v>
          </cell>
          <cell r="B1634" t="str">
            <v>RMCF0603FT205K</v>
          </cell>
          <cell r="C1634" t="str">
            <v>RES</v>
          </cell>
          <cell r="F1634" t="str">
            <v>RES,0603,THKF,1%,1/10W,100PPM,205K ROHS</v>
          </cell>
        </row>
        <row r="1635">
          <cell r="A1635" t="str">
            <v>615-A00424-340</v>
          </cell>
          <cell r="B1635" t="str">
            <v>RT0402BRD0734KL</v>
          </cell>
          <cell r="C1635" t="str">
            <v>RES</v>
          </cell>
          <cell r="F1635" t="str">
            <v>RES,SMD,34.0KOHM,0.1%,1/16W,0402</v>
          </cell>
        </row>
        <row r="1636">
          <cell r="A1636" t="str">
            <v>615-068561-118</v>
          </cell>
          <cell r="B1636" t="str">
            <v>AC0603FR-07118KL</v>
          </cell>
          <cell r="C1636" t="str">
            <v>RES</v>
          </cell>
          <cell r="F1636" t="str">
            <v>RES,0603,THKF,1%,1/10W,100PPM,118K ROHS</v>
          </cell>
        </row>
        <row r="1637">
          <cell r="A1637" t="str">
            <v>615-123463-499</v>
          </cell>
          <cell r="B1637" t="str">
            <v>CR0402-FX-4993GLF</v>
          </cell>
          <cell r="C1637" t="str">
            <v>RES</v>
          </cell>
          <cell r="F1637" t="str">
            <v>RES,0402,THKF,1/16W,1% 499K ROHS</v>
          </cell>
        </row>
        <row r="1638">
          <cell r="A1638" t="str">
            <v>615-098003-681</v>
          </cell>
          <cell r="B1638" t="str">
            <v>WCR-WCR1206LF-6813-F-P-LT</v>
          </cell>
          <cell r="C1638" t="str">
            <v>RES</v>
          </cell>
          <cell r="F1638" t="str">
            <v>RES,1206,1%,1/4W,100PPM,681K,ROHS</v>
          </cell>
        </row>
        <row r="1639">
          <cell r="A1639" t="str">
            <v>648-124321-102</v>
          </cell>
          <cell r="B1639" t="str">
            <v>GMC04X7R102K50NT</v>
          </cell>
          <cell r="C1639" t="str">
            <v>CAP</v>
          </cell>
          <cell r="F1639" t="str">
            <v>CAP,SMD,0402,CER,X7R,10%,50V,1000PF ROHS</v>
          </cell>
        </row>
        <row r="1640">
          <cell r="A1640" t="str">
            <v>671-043019-001</v>
          </cell>
          <cell r="B1640">
            <v>3534</v>
          </cell>
          <cell r="C1640" t="str">
            <v>TERM</v>
          </cell>
          <cell r="F1640" t="str">
            <v>TERM,PCB,QWK FIT RCPT,0.11 X 0.02 TAB</v>
          </cell>
        </row>
        <row r="1641">
          <cell r="A1641" t="str">
            <v>649-228171-001</v>
          </cell>
          <cell r="B1641" t="str">
            <v>B43601B5477M</v>
          </cell>
          <cell r="C1641" t="str">
            <v>CAP</v>
          </cell>
          <cell r="F1641" t="str">
            <v>CAP,ALUM,470UF,20%,450V,SNAP</v>
          </cell>
        </row>
        <row r="1642">
          <cell r="A1642" t="str">
            <v>615-313123-004</v>
          </cell>
          <cell r="B1642" t="str">
            <v>RK73H1HTTC9531F</v>
          </cell>
          <cell r="C1642" t="str">
            <v>RES</v>
          </cell>
          <cell r="F1642" t="str">
            <v>RES,SMD,9.53K,1%,1/20W,0201</v>
          </cell>
        </row>
        <row r="1643">
          <cell r="A1643" t="str">
            <v>615-901294-272</v>
          </cell>
          <cell r="B1643" t="str">
            <v>WCR0805LF272JPLT</v>
          </cell>
          <cell r="C1643" t="str">
            <v>RES</v>
          </cell>
          <cell r="F1643" t="str">
            <v>RES,SMD,0805,2.7K,5%,1/10W,ROHS</v>
          </cell>
        </row>
        <row r="1644">
          <cell r="A1644" t="str">
            <v>615-121726-183</v>
          </cell>
          <cell r="B1644" t="str">
            <v>MR04X4022FTL</v>
          </cell>
          <cell r="C1644" t="str">
            <v>RES</v>
          </cell>
          <cell r="F1644" t="str">
            <v>RES,SMD,40.2K,1/10W,1%,0402</v>
          </cell>
        </row>
        <row r="1645">
          <cell r="A1645" t="str">
            <v>648-099901-101</v>
          </cell>
          <cell r="B1645" t="str">
            <v>GRM40COG101J050AD</v>
          </cell>
          <cell r="C1645" t="str">
            <v>CAP</v>
          </cell>
          <cell r="F1645" t="str">
            <v>CAP,0805,100PF,5%,COG,50V</v>
          </cell>
        </row>
        <row r="1646">
          <cell r="A1646" t="str">
            <v>615-901305-100</v>
          </cell>
          <cell r="B1646" t="str">
            <v>CRCW080510M0FKEA</v>
          </cell>
          <cell r="C1646" t="str">
            <v>RES</v>
          </cell>
          <cell r="F1646" t="str">
            <v>RES,SMD,0805,10.0M,1%,1/10W,ROHS</v>
          </cell>
        </row>
        <row r="1647">
          <cell r="A1647" t="str">
            <v>615-116028-576</v>
          </cell>
          <cell r="B1647" t="str">
            <v>RC1206FR-075K76L</v>
          </cell>
          <cell r="C1647" t="str">
            <v>RES</v>
          </cell>
          <cell r="F1647" t="str">
            <v>RES,SMD,1206,5.76K,1%,1/4W,ROHS</v>
          </cell>
        </row>
        <row r="1648">
          <cell r="A1648" t="str">
            <v>648-099503-107</v>
          </cell>
          <cell r="B1648" t="str">
            <v>SRB35V101MJ10</v>
          </cell>
          <cell r="C1648" t="str">
            <v>CAP</v>
          </cell>
          <cell r="F1648" t="str">
            <v>CAP,SMD,100UF 20% 35V,AL VERT, ROHS</v>
          </cell>
        </row>
        <row r="1649">
          <cell r="A1649" t="str">
            <v>615-064170-187</v>
          </cell>
          <cell r="B1649" t="str">
            <v>RT0805BRD071K87L</v>
          </cell>
          <cell r="C1649" t="str">
            <v>RES</v>
          </cell>
          <cell r="F1649" t="str">
            <v>RES,SMD,0805,RG,MF,0.1%,1/10W,1.87K</v>
          </cell>
        </row>
        <row r="1650">
          <cell r="A1650" t="str">
            <v>615-123464-332</v>
          </cell>
          <cell r="B1650" t="str">
            <v>RC0402FR-073M32L</v>
          </cell>
          <cell r="C1650" t="str">
            <v>RES</v>
          </cell>
          <cell r="F1650" t="str">
            <v>RES,0402,THKF,1/16W,1% 3.32M ROHS</v>
          </cell>
        </row>
        <row r="1651">
          <cell r="A1651" t="str">
            <v>615-123461-909</v>
          </cell>
          <cell r="B1651" t="str">
            <v>RC0402FR-079K09L</v>
          </cell>
          <cell r="C1651" t="str">
            <v>RES</v>
          </cell>
          <cell r="F1651" t="str">
            <v>RES,0402,THKF,1/16W,1% 9.09K ROHS</v>
          </cell>
        </row>
        <row r="1652">
          <cell r="A1652" t="str">
            <v>648-A42425-104</v>
          </cell>
          <cell r="B1652" t="str">
            <v>C0805C104K1RACTU</v>
          </cell>
          <cell r="C1652" t="str">
            <v>CAP</v>
          </cell>
          <cell r="F1652" t="str">
            <v>CAP,SMD,CER,X7R,0.1UF,10%,100VDC,0805</v>
          </cell>
        </row>
        <row r="1653">
          <cell r="A1653" t="str">
            <v>615-123460-100</v>
          </cell>
          <cell r="B1653" t="str">
            <v>RC0402FR-07100RL</v>
          </cell>
          <cell r="C1653" t="str">
            <v>RES</v>
          </cell>
          <cell r="F1653" t="str">
            <v>RES,0402,THKF,1/16W,1% 100 ROHS</v>
          </cell>
        </row>
        <row r="1654">
          <cell r="A1654" t="str">
            <v>615-318045-001</v>
          </cell>
          <cell r="B1654" t="str">
            <v>AC0201FR-0749R9L</v>
          </cell>
          <cell r="C1654" t="str">
            <v>RES</v>
          </cell>
          <cell r="F1654" t="str">
            <v>RES,SMD,49.9,0.05W,1%,0201,ROHS</v>
          </cell>
        </row>
        <row r="1655">
          <cell r="A1655" t="str">
            <v>615-A19560-001</v>
          </cell>
          <cell r="B1655" t="str">
            <v>PTS120601B100R</v>
          </cell>
          <cell r="C1655" t="str">
            <v>RES</v>
          </cell>
          <cell r="F1655" t="str">
            <v>RES,SMD,THIN FILM,100OHM,CLASS F0.3,1206</v>
          </cell>
        </row>
        <row r="1656">
          <cell r="A1656" t="str">
            <v>615-123461-301</v>
          </cell>
          <cell r="B1656" t="str">
            <v>CRCW04023K01FKEDC</v>
          </cell>
          <cell r="C1656" t="str">
            <v>RES</v>
          </cell>
          <cell r="F1656" t="str">
            <v>RES,0402,THKF,1/16W,1% 3.01K ROHS</v>
          </cell>
        </row>
        <row r="1657">
          <cell r="A1657" t="str">
            <v>615-188549-039</v>
          </cell>
          <cell r="B1657" t="str">
            <v>CRCW04022K49FKED</v>
          </cell>
          <cell r="C1657" t="str">
            <v>RES</v>
          </cell>
          <cell r="D1657" t="str">
            <v>FF</v>
          </cell>
          <cell r="F1657" t="str">
            <v>RES,0402,1% 1/16W,2.49K ROHS</v>
          </cell>
        </row>
        <row r="1658">
          <cell r="A1658" t="str">
            <v>648-138818-105</v>
          </cell>
          <cell r="B1658" t="str">
            <v>C1206C105K5RACTU</v>
          </cell>
          <cell r="C1658" t="str">
            <v>CAP</v>
          </cell>
          <cell r="F1658" t="str">
            <v>CAP,1206,CER,X7R,10%,50V,1UF ROHS</v>
          </cell>
        </row>
        <row r="1659">
          <cell r="A1659" t="str">
            <v>648-225257-049</v>
          </cell>
          <cell r="B1659" t="str">
            <v>C1608C0G1H103J080AA</v>
          </cell>
          <cell r="C1659" t="str">
            <v>CAP</v>
          </cell>
          <cell r="F1659" t="str">
            <v>CAP,SMD,NPO,10NF,5%,50V,0603</v>
          </cell>
        </row>
        <row r="1660">
          <cell r="A1660" t="str">
            <v>630-180475-001</v>
          </cell>
          <cell r="B1660" t="str">
            <v>MAX31855KASA+</v>
          </cell>
          <cell r="C1660" t="str">
            <v>IC</v>
          </cell>
          <cell r="F1660" t="str">
            <v>IC,SMD,TC TO DIGITAL CONVERTER,K-TYPE</v>
          </cell>
        </row>
        <row r="1661">
          <cell r="A1661" t="str">
            <v>615-A00424-360</v>
          </cell>
          <cell r="B1661" t="str">
            <v>RT0402BRD0736KL</v>
          </cell>
          <cell r="C1661" t="str">
            <v>RES</v>
          </cell>
          <cell r="F1661" t="str">
            <v>RES,SMD,36.0KOHM,0.1%,1/16W,0402</v>
          </cell>
        </row>
        <row r="1662">
          <cell r="A1662" t="str">
            <v>615-116029-150</v>
          </cell>
          <cell r="B1662" t="str">
            <v>RC1206FR-0715KL</v>
          </cell>
          <cell r="C1662" t="str">
            <v>RES</v>
          </cell>
          <cell r="F1662" t="str">
            <v>RES,SMD,1206,15.0K,1%,1/4W,ROHS</v>
          </cell>
        </row>
        <row r="1663">
          <cell r="A1663" t="str">
            <v>29-426182-00</v>
          </cell>
          <cell r="B1663" t="str">
            <v>C0603C104J5RACTU</v>
          </cell>
          <cell r="C1663" t="str">
            <v>CAP</v>
          </cell>
          <cell r="F1663" t="str">
            <v>CAP,CERAMIC,0.1UF,50V,5%,SMD,0603,X7R</v>
          </cell>
        </row>
        <row r="1664">
          <cell r="A1664" t="str">
            <v>615-123460-110</v>
          </cell>
          <cell r="B1664" t="str">
            <v>RC1005F111CS</v>
          </cell>
          <cell r="C1664" t="str">
            <v>RES</v>
          </cell>
          <cell r="F1664" t="str">
            <v>RES,0402,THKF,1/16W,1% 110 ROHS</v>
          </cell>
        </row>
        <row r="1665">
          <cell r="A1665" t="str">
            <v>615-098001-392</v>
          </cell>
          <cell r="B1665" t="str">
            <v>WCR-WCR1206LF-3921-F-P-LT</v>
          </cell>
          <cell r="C1665" t="str">
            <v>RES</v>
          </cell>
          <cell r="F1665" t="str">
            <v>RES,1206,1% 1/4W,3.92K ROHS</v>
          </cell>
        </row>
        <row r="1666">
          <cell r="A1666" t="str">
            <v>615-098002-169</v>
          </cell>
          <cell r="B1666" t="str">
            <v>WCR-WCR1206LF-1692-F-P-LT</v>
          </cell>
          <cell r="C1666" t="str">
            <v>RES</v>
          </cell>
          <cell r="F1666" t="str">
            <v>RES,SMD,1206,1%,1/4W,16.9K ROHS</v>
          </cell>
        </row>
        <row r="1667">
          <cell r="A1667" t="str">
            <v>615-068561-158</v>
          </cell>
          <cell r="B1667" t="str">
            <v>AC0603FR-07158KL</v>
          </cell>
          <cell r="C1667" t="str">
            <v>RES</v>
          </cell>
          <cell r="F1667" t="str">
            <v>RES,0603,THKF,1%,1/10W,100PPM,158K ROHS</v>
          </cell>
        </row>
        <row r="1668">
          <cell r="A1668" t="str">
            <v>615-123462-340</v>
          </cell>
          <cell r="B1668" t="str">
            <v>RC0402FR-0734KL</v>
          </cell>
          <cell r="C1668" t="str">
            <v>RES</v>
          </cell>
          <cell r="F1668" t="str">
            <v>RES,0402,THKF,1/16W,1% 34.0K ROHS</v>
          </cell>
        </row>
        <row r="1669">
          <cell r="A1669" t="str">
            <v>648-129723-001</v>
          </cell>
          <cell r="B1669" t="str">
            <v>EEHZC1V680XP</v>
          </cell>
          <cell r="C1669" t="str">
            <v>CAP</v>
          </cell>
          <cell r="F1669" t="str">
            <v>CAP,SMD,AL POLYMER,68UF,35V</v>
          </cell>
        </row>
        <row r="1670">
          <cell r="A1670" t="str">
            <v>615-901294-203</v>
          </cell>
          <cell r="B1670" t="str">
            <v>WCR0805LF203JPLT</v>
          </cell>
          <cell r="C1670" t="str">
            <v>RES</v>
          </cell>
          <cell r="F1670" t="str">
            <v>RES,SMD,0805,20K,5%,1/10W,ROHS</v>
          </cell>
        </row>
        <row r="1671">
          <cell r="A1671" t="str">
            <v>615-098001-287</v>
          </cell>
          <cell r="B1671" t="str">
            <v>RC1206FR-072K87L</v>
          </cell>
          <cell r="C1671" t="str">
            <v>RES</v>
          </cell>
          <cell r="F1671" t="str">
            <v>RES,1206,1% 1/4W,2.87K ROHS</v>
          </cell>
        </row>
        <row r="1672">
          <cell r="A1672" t="str">
            <v>615-901303-150</v>
          </cell>
          <cell r="B1672" t="str">
            <v>CRCW0805150KFKEA</v>
          </cell>
          <cell r="C1672" t="str">
            <v>RES</v>
          </cell>
          <cell r="F1672" t="str">
            <v>RES,0805,150K,1%,1/10W,ROHS</v>
          </cell>
        </row>
        <row r="1673">
          <cell r="A1673" t="str">
            <v>615-901302-422</v>
          </cell>
          <cell r="B1673" t="str">
            <v>RC0805FR-0742K2L</v>
          </cell>
          <cell r="C1673" t="str">
            <v>RES</v>
          </cell>
          <cell r="F1673" t="str">
            <v>RES,SMD,0805,42.2K,1%,1/10W,ROHS</v>
          </cell>
        </row>
        <row r="1674">
          <cell r="A1674" t="str">
            <v>615-068559-182</v>
          </cell>
          <cell r="B1674" t="str">
            <v>RMCF0603FT1K82</v>
          </cell>
          <cell r="C1674" t="str">
            <v>RES</v>
          </cell>
          <cell r="F1674" t="str">
            <v>RES,0603,THKF,1%,1/10W,100PPM,1.82K ROHS</v>
          </cell>
        </row>
        <row r="1675">
          <cell r="A1675" t="str">
            <v>615-068559-301</v>
          </cell>
          <cell r="B1675" t="str">
            <v>ERJ3EKF3011V</v>
          </cell>
          <cell r="C1675" t="str">
            <v>RES</v>
          </cell>
          <cell r="F1675" t="str">
            <v>RES,0603,THKF,1%,1/10W,3.01K,ROHS</v>
          </cell>
        </row>
        <row r="1676">
          <cell r="A1676" t="str">
            <v>626-055179-001</v>
          </cell>
          <cell r="B1676" t="str">
            <v>MMBT3904LT1G</v>
          </cell>
          <cell r="C1676" t="str">
            <v>XSTR</v>
          </cell>
          <cell r="F1676" t="str">
            <v>XSTR,SMD,NPN,GENERAL PURPOSE,SOT23,ROHS</v>
          </cell>
        </row>
        <row r="1677">
          <cell r="A1677" t="str">
            <v>630-096581-001</v>
          </cell>
          <cell r="B1677" t="str">
            <v>LT1013DS8#PBF</v>
          </cell>
          <cell r="C1677" t="str">
            <v>IC</v>
          </cell>
          <cell r="F1677" t="str">
            <v>IC,LT1013 DUAL OP AMP SO8, ROHS</v>
          </cell>
        </row>
        <row r="1678">
          <cell r="A1678" t="str">
            <v>648-349038-105</v>
          </cell>
          <cell r="B1678" t="str">
            <v>GRM155R61E105KA12D</v>
          </cell>
          <cell r="C1678" t="str">
            <v>CAP</v>
          </cell>
          <cell r="F1678" t="str">
            <v>CAP,SMD,CER,1.0UF,10%,25V,X5R,0402</v>
          </cell>
        </row>
        <row r="1679">
          <cell r="A1679" t="str">
            <v>615-055213-499</v>
          </cell>
          <cell r="B1679" t="str">
            <v>MCR10EZPF4991</v>
          </cell>
          <cell r="C1679" t="str">
            <v>RES</v>
          </cell>
          <cell r="F1679" t="str">
            <v>RES,SMD,0805,TF,4.99KOHM,1%,1/8W,ROHS</v>
          </cell>
        </row>
        <row r="1680">
          <cell r="A1680" t="str">
            <v>615-121726-000</v>
          </cell>
          <cell r="B1680" t="str">
            <v>ERJ-2GE0R00X</v>
          </cell>
          <cell r="C1680" t="str">
            <v>RES</v>
          </cell>
          <cell r="F1680" t="str">
            <v>RES,SMD,0 OHM,1/10W,1%,0402</v>
          </cell>
        </row>
        <row r="1681">
          <cell r="A1681" t="str">
            <v>615-188549-098</v>
          </cell>
          <cell r="B1681" t="str">
            <v>WR04X1002FTLJ</v>
          </cell>
          <cell r="C1681" t="str">
            <v>RES</v>
          </cell>
          <cell r="F1681" t="str">
            <v>RES,0402,1%,1/16W,10.0K ROHS</v>
          </cell>
        </row>
        <row r="1682">
          <cell r="A1682" t="str">
            <v>615-265680-001</v>
          </cell>
          <cell r="B1682" t="str">
            <v>AC0603FR-071KL</v>
          </cell>
          <cell r="C1682" t="str">
            <v>RES</v>
          </cell>
          <cell r="F1682" t="str">
            <v>RES,SMD,1K,1%,1/10W,0603</v>
          </cell>
        </row>
        <row r="1683">
          <cell r="A1683" t="str">
            <v>615-901301-274</v>
          </cell>
          <cell r="B1683" t="str">
            <v>WCR-WCR0805LF-2741-F-P-LT</v>
          </cell>
          <cell r="C1683" t="str">
            <v>RES</v>
          </cell>
          <cell r="F1683" t="str">
            <v>RES,SMD,0805,2.74K,1%,1/10W,ROHS</v>
          </cell>
        </row>
        <row r="1684">
          <cell r="A1684" t="str">
            <v>648-099898-105</v>
          </cell>
          <cell r="B1684" t="str">
            <v>C0805C105K5RAC</v>
          </cell>
          <cell r="C1684" t="str">
            <v>CAP</v>
          </cell>
          <cell r="F1684" t="str">
            <v>CAP,SMD,CER,1UF,0805,10%,X7R,50V,ROHS</v>
          </cell>
        </row>
        <row r="1685">
          <cell r="A1685" t="str">
            <v>615-123463-100</v>
          </cell>
          <cell r="B1685" t="str">
            <v>WR04X1003FTL</v>
          </cell>
          <cell r="C1685" t="str">
            <v>RES</v>
          </cell>
          <cell r="F1685" t="str">
            <v>RES,0402,THKF,1/16W,1% 100K ROHS</v>
          </cell>
        </row>
        <row r="1686">
          <cell r="A1686" t="str">
            <v>648-099898-104</v>
          </cell>
          <cell r="B1686" t="str">
            <v>C0805C104K5RAC</v>
          </cell>
          <cell r="C1686" t="str">
            <v>CAP</v>
          </cell>
          <cell r="F1686" t="str">
            <v>CAP,SMD,CER,0.1UF,0805,10%,X7R,50V,ROHS</v>
          </cell>
        </row>
        <row r="1687">
          <cell r="A1687" t="str">
            <v>648-121670-105</v>
          </cell>
          <cell r="B1687" t="str">
            <v>EMK105BJ105KVHF</v>
          </cell>
          <cell r="C1687" t="str">
            <v>CAP</v>
          </cell>
          <cell r="F1687" t="str">
            <v>CAP,SMD,CER,1UF,16V,X5R,0402,ROHS</v>
          </cell>
        </row>
        <row r="1688">
          <cell r="A1688" t="str">
            <v>626-188505-001</v>
          </cell>
          <cell r="B1688" t="str">
            <v>BSS138LT1G</v>
          </cell>
          <cell r="C1688" t="str">
            <v>XSTR</v>
          </cell>
          <cell r="F1688" t="str">
            <v>XSTR,SMD,MOSFET N-CH,50V,200MA,SOT-23</v>
          </cell>
        </row>
        <row r="1689">
          <cell r="A1689" t="str">
            <v>615-901302-121</v>
          </cell>
          <cell r="B1689" t="str">
            <v>CRCW080512K1FKEA</v>
          </cell>
          <cell r="C1689" t="str">
            <v>RES</v>
          </cell>
          <cell r="F1689" t="str">
            <v>RES,0805,12.1K,1%,1/10W,ROHS</v>
          </cell>
        </row>
        <row r="1690">
          <cell r="A1690" t="str">
            <v>615-032231-029</v>
          </cell>
          <cell r="B1690" t="str">
            <v>RC1206JR-07100KL</v>
          </cell>
          <cell r="C1690" t="str">
            <v>RES</v>
          </cell>
          <cell r="F1690" t="str">
            <v>RES,SMD,THKF,1206,100K OHM,5%,1/4W,ROHS</v>
          </cell>
        </row>
        <row r="1691">
          <cell r="A1691" t="str">
            <v>615-049171-100</v>
          </cell>
          <cell r="B1691" t="str">
            <v>TNPW080510K0BEEA</v>
          </cell>
          <cell r="C1691" t="str">
            <v>RES</v>
          </cell>
          <cell r="F1691" t="str">
            <v>RES,SMD,0805,10.0K OHMS,ROHS</v>
          </cell>
        </row>
        <row r="1692">
          <cell r="A1692" t="str">
            <v>615-901303-301</v>
          </cell>
          <cell r="B1692" t="str">
            <v>RC0805FR-07301KL</v>
          </cell>
          <cell r="C1692" t="str">
            <v>RES</v>
          </cell>
          <cell r="F1692" t="str">
            <v>RES,0805,301K,1%,1/10W,ROHS</v>
          </cell>
        </row>
        <row r="1693">
          <cell r="A1693" t="str">
            <v>648-337721-001</v>
          </cell>
          <cell r="B1693" t="str">
            <v>12107C223KAT2A</v>
          </cell>
          <cell r="C1693" t="str">
            <v>CAP</v>
          </cell>
          <cell r="F1693" t="str">
            <v>CAP,SMD,CER,.022UF,±10%TOL,500V,X7R,1210</v>
          </cell>
        </row>
        <row r="1694">
          <cell r="A1694" t="str">
            <v>615-068558-113</v>
          </cell>
          <cell r="B1694" t="str">
            <v>ERJ-3EKF1130V</v>
          </cell>
          <cell r="C1694" t="str">
            <v>RES</v>
          </cell>
          <cell r="F1694" t="str">
            <v>RES,0603,THKF,1%,1/10W,100PP M,113 ROHS</v>
          </cell>
        </row>
        <row r="1695">
          <cell r="A1695" t="str">
            <v>648-228694-025</v>
          </cell>
          <cell r="B1695" t="str">
            <v>GRM1555C1H102JA01D</v>
          </cell>
          <cell r="C1695" t="str">
            <v>CAP</v>
          </cell>
          <cell r="F1695" t="str">
            <v>CAP,SMD,CER,1000PF,50V,5%,NP0,0402</v>
          </cell>
        </row>
        <row r="1696">
          <cell r="A1696" t="str">
            <v>615-901301-261</v>
          </cell>
          <cell r="B1696" t="str">
            <v>RC0805FR-072K61L</v>
          </cell>
          <cell r="C1696" t="str">
            <v>RES</v>
          </cell>
          <cell r="F1696" t="str">
            <v>RES,SMD,0805,2.61K,1%,1/10W</v>
          </cell>
        </row>
        <row r="1697">
          <cell r="A1697" t="str">
            <v>615-051883-001</v>
          </cell>
          <cell r="B1697" t="str">
            <v>CR16000J</v>
          </cell>
          <cell r="C1697" t="str">
            <v>RES</v>
          </cell>
          <cell r="F1697" t="str">
            <v>RES,SMD,TF,0603,0 OHM,5%,1/10W,ROHS</v>
          </cell>
        </row>
        <row r="1698">
          <cell r="A1698" t="str">
            <v>615-068559-215</v>
          </cell>
          <cell r="B1698" t="str">
            <v>AC0603FR-072K15L</v>
          </cell>
          <cell r="C1698" t="str">
            <v>RES</v>
          </cell>
          <cell r="F1698" t="str">
            <v>RES,0603,THKF,1%,1/10W,100PPM,2.15K ROHS</v>
          </cell>
        </row>
        <row r="1699">
          <cell r="A1699" t="str">
            <v>615-064170-237</v>
          </cell>
          <cell r="B1699" t="str">
            <v>RT0805BRD072K37L</v>
          </cell>
          <cell r="C1699" t="str">
            <v>RES</v>
          </cell>
          <cell r="F1699" t="str">
            <v>RES,SMD,0805,RG,MF,0.1%,1/10W,2.37K ROHS</v>
          </cell>
        </row>
        <row r="1700">
          <cell r="A1700" t="str">
            <v>615-068558-102</v>
          </cell>
          <cell r="B1700" t="str">
            <v>ERJ-3EKF1020V</v>
          </cell>
          <cell r="C1700" t="str">
            <v>RES</v>
          </cell>
          <cell r="F1700" t="str">
            <v>RES,0603,THKF,1%,1/10W,100PPM,102 ROHS</v>
          </cell>
        </row>
        <row r="1701">
          <cell r="A1701" t="str">
            <v>644-311222-001</v>
          </cell>
          <cell r="B1701" t="str">
            <v>LR1200480D40</v>
          </cell>
          <cell r="C1701" t="str">
            <v>RLY</v>
          </cell>
          <cell r="F1701" t="str">
            <v>RLY,SSR,SPST-NO,40A,48-530VAC,PCB MT,THT</v>
          </cell>
        </row>
        <row r="1702">
          <cell r="A1702" t="str">
            <v>615-901302-402</v>
          </cell>
          <cell r="B1702" t="str">
            <v>CRCW080540K2FKEA</v>
          </cell>
          <cell r="C1702" t="str">
            <v>RES</v>
          </cell>
          <cell r="F1702" t="str">
            <v>RES,0805,40.2K,1%,1/10W,ROHS</v>
          </cell>
        </row>
        <row r="1703">
          <cell r="A1703" t="str">
            <v>615-122309-612</v>
          </cell>
          <cell r="B1703" t="str">
            <v>RNCF0805TTT61K2</v>
          </cell>
          <cell r="C1703" t="str">
            <v>RES</v>
          </cell>
          <cell r="F1703" t="str">
            <v>RES,0805,TF,0.1W,0.01%,61.2K ROHS</v>
          </cell>
        </row>
        <row r="1704">
          <cell r="A1704" t="str">
            <v>615-068559-255</v>
          </cell>
          <cell r="B1704" t="str">
            <v>CRCW06032K55FKEA</v>
          </cell>
          <cell r="C1704" t="str">
            <v>RES</v>
          </cell>
          <cell r="F1704" t="str">
            <v>RES,0603,THKF,1%,1/10W,2.55K,ROHS</v>
          </cell>
        </row>
        <row r="1705">
          <cell r="A1705" t="str">
            <v>615-032231-021</v>
          </cell>
          <cell r="B1705" t="str">
            <v>RC1206JR-0710KL</v>
          </cell>
          <cell r="C1705" t="str">
            <v>RES</v>
          </cell>
          <cell r="F1705" t="str">
            <v>RES,SMD,THKF,1206,10.0K OHM,5%,1/4W,ROHS</v>
          </cell>
        </row>
        <row r="1706">
          <cell r="A1706" t="str">
            <v>615-285312-001</v>
          </cell>
          <cell r="B1706" t="str">
            <v>ERJ-1GN0R00C</v>
          </cell>
          <cell r="C1706" t="str">
            <v>RES</v>
          </cell>
          <cell r="F1706" t="str">
            <v>RES,SMD,0 OHM,JMPR,.05W,0201 SIZE</v>
          </cell>
        </row>
        <row r="1707">
          <cell r="A1707" t="str">
            <v>615-123462-348</v>
          </cell>
          <cell r="B1707" t="str">
            <v>RC0402FR-0734K8L</v>
          </cell>
          <cell r="C1707" t="str">
            <v>RES</v>
          </cell>
          <cell r="F1707" t="str">
            <v>RES,0402,THKF,1/16W,1% 34.8K ROHS</v>
          </cell>
        </row>
        <row r="1708">
          <cell r="A1708" t="str">
            <v>615-901301-249</v>
          </cell>
          <cell r="B1708" t="str">
            <v>CRCW08052K49FKEA</v>
          </cell>
          <cell r="C1708" t="str">
            <v>RES</v>
          </cell>
          <cell r="F1708" t="str">
            <v>RES,SMD,0805,2.49K,1%,1/10W,ROHS</v>
          </cell>
        </row>
        <row r="1709">
          <cell r="A1709" t="str">
            <v>628-123467-001</v>
          </cell>
          <cell r="B1709" t="str">
            <v>NTF3055-100T1G</v>
          </cell>
          <cell r="C1709" t="str">
            <v>XSTR</v>
          </cell>
          <cell r="F1709" t="str">
            <v>XSTR,MOSFET,N-CH,60V,3A,SOT223</v>
          </cell>
        </row>
        <row r="1710">
          <cell r="A1710" t="str">
            <v>615-116029-100</v>
          </cell>
          <cell r="B1710" t="str">
            <v>CRCW120610K0FKEA</v>
          </cell>
          <cell r="C1710" t="str">
            <v>RES</v>
          </cell>
          <cell r="F1710" t="str">
            <v>RES,SMD,1206,10.0K,1%,1/4W,ROHS</v>
          </cell>
        </row>
        <row r="1711">
          <cell r="A1711" t="str">
            <v>615-123462-887</v>
          </cell>
          <cell r="B1711" t="str">
            <v>RC1005F8872CS</v>
          </cell>
          <cell r="C1711" t="str">
            <v>RES</v>
          </cell>
          <cell r="F1711" t="str">
            <v>RES,0402,THKF,1/16W,1% 88.7K ROHS</v>
          </cell>
        </row>
        <row r="1712">
          <cell r="A1712" t="str">
            <v>682-A05612-001</v>
          </cell>
          <cell r="B1712" t="str">
            <v>SMDC300F/24-2</v>
          </cell>
          <cell r="C1712" t="str">
            <v>FUSE</v>
          </cell>
          <cell r="D1712" t="str">
            <v>AC Box</v>
          </cell>
          <cell r="F1712" t="str">
            <v>FUSE,SMD,PPTC RESETTABLE,24VDC,3A,2920</v>
          </cell>
        </row>
        <row r="1713">
          <cell r="A1713" t="str">
            <v>630-317689-001</v>
          </cell>
          <cell r="B1713" t="str">
            <v>S25FL256SAGBHIA10</v>
          </cell>
          <cell r="C1713" t="str">
            <v>IC</v>
          </cell>
          <cell r="F1713" t="str">
            <v>IC,SMD,FLASH,256M,SPI,133MHZ,24BGA</v>
          </cell>
        </row>
        <row r="1714">
          <cell r="A1714" t="str">
            <v>615-901300-274</v>
          </cell>
          <cell r="B1714" t="str">
            <v>WCR-WCR0805LF-2740-F-P-LT</v>
          </cell>
          <cell r="C1714" t="str">
            <v>RES</v>
          </cell>
          <cell r="F1714" t="str">
            <v>RES,0805,274 OHM,1%,1/10W,ROHS</v>
          </cell>
        </row>
        <row r="1715">
          <cell r="A1715" t="str">
            <v>615-901304-374</v>
          </cell>
          <cell r="B1715" t="str">
            <v>WCR0805LF3744FPLT</v>
          </cell>
          <cell r="C1715" t="str">
            <v>RES</v>
          </cell>
          <cell r="F1715" t="str">
            <v>RES,0805,3.74M,1%,1/10W,ROHS</v>
          </cell>
        </row>
        <row r="1716">
          <cell r="A1716" t="str">
            <v>615-901301-576</v>
          </cell>
          <cell r="B1716" t="str">
            <v>RC0805FR-075K76L</v>
          </cell>
          <cell r="C1716" t="str">
            <v>RES</v>
          </cell>
          <cell r="F1716" t="str">
            <v>RES,SMD,0805,5.76K,1%,1/10W,ROHS</v>
          </cell>
        </row>
        <row r="1717">
          <cell r="A1717" t="str">
            <v>615-123462-210</v>
          </cell>
          <cell r="B1717" t="str">
            <v>RK73H1ETTP2102F</v>
          </cell>
          <cell r="C1717" t="str">
            <v>RES</v>
          </cell>
          <cell r="F1717" t="str">
            <v>RES,0402,THKF,1/16W,1% 21.0K ROHS</v>
          </cell>
        </row>
        <row r="1718">
          <cell r="A1718" t="str">
            <v>615-123462-205</v>
          </cell>
          <cell r="B1718" t="str">
            <v>RC0402FR-0720K5L</v>
          </cell>
          <cell r="C1718" t="str">
            <v>RES</v>
          </cell>
          <cell r="F1718" t="str">
            <v>RES,0402,THKF,1/16W,1% 20.5K ROHS</v>
          </cell>
        </row>
        <row r="1719">
          <cell r="A1719" t="str">
            <v>615-303725-001</v>
          </cell>
          <cell r="B1719" t="str">
            <v>ERA-2AEB102X</v>
          </cell>
          <cell r="C1719" t="str">
            <v>RES</v>
          </cell>
          <cell r="F1719" t="str">
            <v>RES,SMD,1K,0.1%,1/16W,0402,ROHS</v>
          </cell>
        </row>
        <row r="1720">
          <cell r="A1720" t="str">
            <v>630-312259-001</v>
          </cell>
          <cell r="B1720" t="str">
            <v>24AA256UIDT-I/SN</v>
          </cell>
          <cell r="C1720" t="str">
            <v>IC</v>
          </cell>
          <cell r="F1720" t="str">
            <v>IC,SMD,EEPROM,8PIN,256KB,5.5V,SOIC</v>
          </cell>
        </row>
        <row r="1721">
          <cell r="A1721" t="str">
            <v>615-123461-100</v>
          </cell>
          <cell r="B1721" t="str">
            <v>CR0402-FX-1001GLF</v>
          </cell>
          <cell r="C1721" t="str">
            <v>RES</v>
          </cell>
          <cell r="F1721" t="str">
            <v>RES,0402,THKF,1/16W,1% 1.00K ROHS</v>
          </cell>
        </row>
        <row r="1722">
          <cell r="A1722" t="str">
            <v>648-123070-001</v>
          </cell>
          <cell r="B1722" t="str">
            <v>TMK325B7226KMHP</v>
          </cell>
          <cell r="C1722" t="str">
            <v>CAP</v>
          </cell>
          <cell r="F1722" t="str">
            <v>CAP,SMD,CER,22UF,25V,10%,X7R,1210</v>
          </cell>
        </row>
        <row r="1723">
          <cell r="A1723" t="str">
            <v>648-123070-001</v>
          </cell>
          <cell r="B1723" t="str">
            <v>TMK325B7226KM-PR</v>
          </cell>
          <cell r="C1723" t="str">
            <v>CAP</v>
          </cell>
          <cell r="F1723" t="str">
            <v>CAP,SMD,CER,22UF,25V,10%,X7R,1210</v>
          </cell>
        </row>
        <row r="1724">
          <cell r="A1724" t="str">
            <v>615-121726-058</v>
          </cell>
          <cell r="B1724" t="str">
            <v>RK73H1ETTP3601F</v>
          </cell>
          <cell r="C1724" t="str">
            <v>RES</v>
          </cell>
          <cell r="F1724" t="str">
            <v>RES,SMD,3.6K,1/10W,1%,0402</v>
          </cell>
        </row>
        <row r="1725">
          <cell r="A1725" t="str">
            <v>639-228555-001</v>
          </cell>
          <cell r="B1725" t="str">
            <v>MMZ1005S121CT000</v>
          </cell>
          <cell r="C1725" t="str">
            <v>FERRITE</v>
          </cell>
          <cell r="F1725" t="str">
            <v>FERRITE,SMD,BEAD,120OHM@100MHZ,0.5A</v>
          </cell>
        </row>
        <row r="1726">
          <cell r="A1726" t="str">
            <v>615-098001-210</v>
          </cell>
          <cell r="B1726" t="str">
            <v>CRCW12062K10FKEA</v>
          </cell>
          <cell r="C1726" t="str">
            <v>RES</v>
          </cell>
          <cell r="F1726" t="str">
            <v>RES,1206,1% 1/4W,2.10K ROHS</v>
          </cell>
        </row>
        <row r="1727">
          <cell r="A1727" t="str">
            <v>682-020782-004</v>
          </cell>
          <cell r="B1727" t="str">
            <v>2920L100</v>
          </cell>
          <cell r="C1727" t="str">
            <v>FUSE</v>
          </cell>
          <cell r="D1727" t="str">
            <v>AC Box</v>
          </cell>
          <cell r="F1727" t="str">
            <v>FUSE,SMD,2920,RESETABLE,1.10A,ROHS</v>
          </cell>
        </row>
        <row r="1728">
          <cell r="A1728" t="str">
            <v>615-064170-196</v>
          </cell>
          <cell r="B1728" t="str">
            <v>RG2012P-1961-B-T5</v>
          </cell>
          <cell r="C1728" t="str">
            <v>RES</v>
          </cell>
          <cell r="F1728" t="str">
            <v>RES,SMD,0805,RG,MF,0.1%,1/10W,1.96K ROHS</v>
          </cell>
        </row>
        <row r="1729">
          <cell r="A1729" t="str">
            <v>648-124321-104</v>
          </cell>
          <cell r="B1729" t="str">
            <v>04025C104KAT2A</v>
          </cell>
          <cell r="C1729" t="str">
            <v>CAP</v>
          </cell>
          <cell r="F1729" t="str">
            <v>CAP,SMD,0402,CER,X7R,10%,50V,100NF ROHS</v>
          </cell>
        </row>
        <row r="1730">
          <cell r="A1730" t="str">
            <v>615-116030-100</v>
          </cell>
          <cell r="B1730" t="str">
            <v>CRCW1206100KFKEA</v>
          </cell>
          <cell r="C1730" t="str">
            <v>RES</v>
          </cell>
          <cell r="F1730" t="str">
            <v>RES,SMD,1206,100K,1%,1/4W,ROHS</v>
          </cell>
        </row>
        <row r="1731">
          <cell r="A1731" t="str">
            <v>670-097092-700</v>
          </cell>
          <cell r="B1731" t="str">
            <v>RUEF700</v>
          </cell>
          <cell r="C1731" t="str">
            <v>FUSE</v>
          </cell>
          <cell r="D1731" t="str">
            <v>AC Box</v>
          </cell>
          <cell r="F1731" t="str">
            <v>FUSE,PTC,RUEF, 7.0A ROHS</v>
          </cell>
        </row>
        <row r="1732">
          <cell r="A1732" t="str">
            <v>648-054586-470</v>
          </cell>
          <cell r="B1732" t="str">
            <v>EEE1VA470WP</v>
          </cell>
          <cell r="C1732" t="str">
            <v>CAP</v>
          </cell>
          <cell r="F1732" t="str">
            <v>CAP,SMD,AL,ELCTLT,47UF,EEE1,20%,35V,ROHS</v>
          </cell>
        </row>
        <row r="1733">
          <cell r="A1733" t="str">
            <v>615-901301-107</v>
          </cell>
          <cell r="B1733" t="str">
            <v>CRCW08051K07FKEA</v>
          </cell>
          <cell r="C1733" t="str">
            <v>RES</v>
          </cell>
          <cell r="F1733" t="str">
            <v>RES,SMD,0805,1.07K,1%,1/10W,ROHS</v>
          </cell>
        </row>
        <row r="1734">
          <cell r="A1734" t="str">
            <v>615-325908-001</v>
          </cell>
          <cell r="B1734" t="str">
            <v>RT0805FRE07100KL</v>
          </cell>
          <cell r="C1734" t="str">
            <v>RES</v>
          </cell>
          <cell r="F1734" t="str">
            <v>RES,SMD,100KOHM,±1% TOL,1/8W,0805</v>
          </cell>
        </row>
        <row r="1735">
          <cell r="A1735" t="str">
            <v>29-440938-00</v>
          </cell>
          <cell r="B1735" t="str">
            <v>GRM155R71C104KA88D</v>
          </cell>
          <cell r="C1735" t="str">
            <v>CAP</v>
          </cell>
          <cell r="F1735" t="str">
            <v>CAP,CERAMIC,0.1UF,16V,10%,SMD 0402,X7R,M</v>
          </cell>
        </row>
        <row r="1736">
          <cell r="A1736" t="str">
            <v>670-346211-025</v>
          </cell>
          <cell r="B1736" t="str">
            <v>LP-CC-30</v>
          </cell>
          <cell r="C1736" t="str">
            <v>FUSE</v>
          </cell>
          <cell r="D1736" t="str">
            <v>AC Box</v>
          </cell>
          <cell r="F1736" t="str">
            <v>FUSE,TIME DLY,600VAC/300VDC,30A</v>
          </cell>
        </row>
        <row r="1737">
          <cell r="A1737" t="str">
            <v>615-123463-523</v>
          </cell>
          <cell r="B1737" t="str">
            <v>RK73H1ETTP5233F</v>
          </cell>
          <cell r="C1737" t="str">
            <v>RES</v>
          </cell>
          <cell r="F1737" t="str">
            <v>RES,0402,THKF,1/16W,1% 523K ROHS</v>
          </cell>
        </row>
        <row r="1738">
          <cell r="A1738" t="str">
            <v>615-901302-750</v>
          </cell>
          <cell r="B1738" t="str">
            <v>CRCW080575K0FKEA</v>
          </cell>
          <cell r="C1738" t="str">
            <v>RES</v>
          </cell>
          <cell r="F1738" t="str">
            <v>RES,0805,75.0K,1%,1/10W,ROHS</v>
          </cell>
        </row>
        <row r="1739">
          <cell r="A1739" t="str">
            <v>615-116029-475</v>
          </cell>
          <cell r="B1739" t="str">
            <v>CRCW120647K5FKEA</v>
          </cell>
          <cell r="C1739" t="str">
            <v>RES</v>
          </cell>
          <cell r="F1739" t="str">
            <v>RES,SMD,1206,47.5K,1%,1/4W,ROHS</v>
          </cell>
        </row>
        <row r="1740">
          <cell r="A1740" t="str">
            <v>648-138818-224</v>
          </cell>
          <cell r="B1740" t="str">
            <v>C1206C224K5RACTU</v>
          </cell>
          <cell r="C1740" t="str">
            <v>CAP</v>
          </cell>
          <cell r="F1740" t="str">
            <v>CAP,1206,CER,X7R,10%,50V,0.22UF ROHS</v>
          </cell>
        </row>
        <row r="1741">
          <cell r="A1741" t="str">
            <v>615-068559-402</v>
          </cell>
          <cell r="B1741" t="str">
            <v>ERJ3EKF4021V</v>
          </cell>
          <cell r="C1741" t="str">
            <v>RES</v>
          </cell>
          <cell r="F1741" t="str">
            <v>RES,0603,THKF,1%,1/10W,100PPM,4.02K ROHS</v>
          </cell>
        </row>
        <row r="1742">
          <cell r="A1742" t="str">
            <v>28-10053-00</v>
          </cell>
          <cell r="B1742" t="str">
            <v>CF14JT2K20</v>
          </cell>
          <cell r="C1742" t="str">
            <v>RES</v>
          </cell>
          <cell r="F1742" t="str">
            <v>RES,2.2K,1/4W,5%,CC</v>
          </cell>
        </row>
        <row r="1743">
          <cell r="A1743" t="str">
            <v>615-310567-154</v>
          </cell>
          <cell r="B1743" t="str">
            <v>ERA-3AEB102V</v>
          </cell>
          <cell r="C1743" t="str">
            <v>RES</v>
          </cell>
          <cell r="F1743" t="str">
            <v>RES,SMD,1K,0.1%,1/10W,0603,ROHS</v>
          </cell>
        </row>
        <row r="1744">
          <cell r="A1744" t="str">
            <v>615-901301-562</v>
          </cell>
          <cell r="B1744" t="str">
            <v>RC0805FR-075K62L</v>
          </cell>
          <cell r="C1744" t="str">
            <v>RES</v>
          </cell>
          <cell r="F1744" t="str">
            <v>RES,SMD,0805,5.62K,1%,1/10W,ROHS</v>
          </cell>
        </row>
        <row r="1745">
          <cell r="A1745" t="str">
            <v>615-064170-255</v>
          </cell>
          <cell r="B1745" t="str">
            <v>RG2012P-2551-B-T5</v>
          </cell>
          <cell r="C1745" t="str">
            <v>RES</v>
          </cell>
          <cell r="F1745" t="str">
            <v>RES,SMD,0805,RG,MF,0.1%,1/10W,2.55K</v>
          </cell>
        </row>
        <row r="1746">
          <cell r="A1746" t="str">
            <v>615-901302-100</v>
          </cell>
          <cell r="B1746" t="str">
            <v>WCR-WCR0805LF-1002-F-P-LT</v>
          </cell>
          <cell r="C1746" t="str">
            <v>RES</v>
          </cell>
          <cell r="F1746" t="str">
            <v>RES,0805,10.0K,1%,1/10W,ROHS</v>
          </cell>
        </row>
        <row r="1747">
          <cell r="A1747" t="str">
            <v>615-098000-511</v>
          </cell>
          <cell r="B1747" t="str">
            <v>RC1206FR-07511RL</v>
          </cell>
          <cell r="C1747" t="str">
            <v>RES</v>
          </cell>
          <cell r="F1747" t="str">
            <v>RES,SMD,1206,511,1% 1/4W,ROHS</v>
          </cell>
        </row>
        <row r="1748">
          <cell r="A1748" t="str">
            <v>615-A31888-005</v>
          </cell>
          <cell r="B1748" t="str">
            <v>CRCW0805249RFKEAHP</v>
          </cell>
          <cell r="C1748" t="str">
            <v>RES</v>
          </cell>
          <cell r="F1748" t="str">
            <v>RES,SMD,249 OHM,±1%,1/2W,0805,THK FILM</v>
          </cell>
        </row>
        <row r="1749">
          <cell r="A1749" t="str">
            <v>670-097092-250</v>
          </cell>
          <cell r="B1749" t="str">
            <v>RUEF250</v>
          </cell>
          <cell r="C1749" t="str">
            <v>FUSE</v>
          </cell>
          <cell r="D1749" t="str">
            <v>AC Box</v>
          </cell>
          <cell r="F1749" t="str">
            <v>FUSE,PTC,RUEF, 2.50A ROHS</v>
          </cell>
        </row>
        <row r="1750">
          <cell r="A1750" t="str">
            <v>630-122316-001</v>
          </cell>
          <cell r="B1750" t="str">
            <v>SN74LVC1G08DCKR</v>
          </cell>
          <cell r="C1750" t="str">
            <v>IC</v>
          </cell>
          <cell r="F1750" t="str">
            <v>IC,SMD,SINGLE POS AND GATE SC-70</v>
          </cell>
        </row>
        <row r="1751">
          <cell r="A1751" t="str">
            <v>648-147521-001</v>
          </cell>
          <cell r="B1751" t="str">
            <v>MSAST21GAB5475KTNA01</v>
          </cell>
          <cell r="C1751" t="str">
            <v>CAP</v>
          </cell>
          <cell r="F1751" t="str">
            <v>CAP,SMD,0805,CER,25V,10%,X5R,4.7UF,ROHS</v>
          </cell>
        </row>
        <row r="1752">
          <cell r="A1752" t="str">
            <v>648-228563-001</v>
          </cell>
          <cell r="B1752" t="str">
            <v>C0805C101JCGACTU</v>
          </cell>
          <cell r="C1752" t="str">
            <v>CAP</v>
          </cell>
          <cell r="F1752" t="str">
            <v>CAP,SMD,100PF,±5% TOL,C0G,500VDC,0805</v>
          </cell>
        </row>
        <row r="1753">
          <cell r="A1753" t="str">
            <v>615-123462-301</v>
          </cell>
          <cell r="B1753" t="str">
            <v>RC0402FR-0730K1L</v>
          </cell>
          <cell r="C1753" t="str">
            <v>RES</v>
          </cell>
          <cell r="F1753" t="str">
            <v>RES,0402,THKF,1/16W,1% 30.1K ROHS</v>
          </cell>
        </row>
        <row r="1754">
          <cell r="A1754" t="str">
            <v>615-052827-623</v>
          </cell>
          <cell r="B1754" t="str">
            <v>ERA6AEB623V</v>
          </cell>
          <cell r="C1754" t="str">
            <v>RES</v>
          </cell>
          <cell r="F1754" t="str">
            <v>RES,0805,MF,1/8W,0.1%,10K-91K ROHS</v>
          </cell>
        </row>
        <row r="1755">
          <cell r="A1755" t="str">
            <v>648-138818-001</v>
          </cell>
          <cell r="B1755" t="str">
            <v>CL31B475KBHNNNE</v>
          </cell>
          <cell r="C1755" t="str">
            <v>CAP</v>
          </cell>
          <cell r="F1755" t="str">
            <v>CAP,1206,CER,X7R,10%,50V,4.7UF ROHS</v>
          </cell>
        </row>
        <row r="1756">
          <cell r="A1756" t="str">
            <v>668-007385-008</v>
          </cell>
          <cell r="B1756" t="str">
            <v>22-28-4080</v>
          </cell>
          <cell r="C1756" t="str">
            <v>CONN</v>
          </cell>
          <cell r="F1756" t="str">
            <v>CONN,HDR,8POSN,1ROW,VERT,2.54MM PITCH</v>
          </cell>
        </row>
        <row r="1757">
          <cell r="A1757" t="str">
            <v>615-121726-151</v>
          </cell>
          <cell r="B1757" t="str">
            <v>MR04X1500FTL</v>
          </cell>
          <cell r="C1757" t="str">
            <v>RES</v>
          </cell>
          <cell r="F1757" t="str">
            <v>RES,SMD,150 OHM,1/10W,1%,0402</v>
          </cell>
        </row>
        <row r="1758">
          <cell r="A1758" t="str">
            <v>670-097092-400</v>
          </cell>
          <cell r="B1758" t="str">
            <v>RUEF400K</v>
          </cell>
          <cell r="C1758" t="str">
            <v>FUSE</v>
          </cell>
          <cell r="D1758" t="str">
            <v>AC Box</v>
          </cell>
          <cell r="F1758" t="str">
            <v>FUSE,PTC,RUEF, 4.0A ROHS</v>
          </cell>
        </row>
        <row r="1759">
          <cell r="A1759" t="str">
            <v>615-098003-187</v>
          </cell>
          <cell r="B1759" t="str">
            <v>WCR-WCR1206LF-1873-F-P-LT</v>
          </cell>
          <cell r="C1759" t="str">
            <v>RES</v>
          </cell>
          <cell r="F1759" t="str">
            <v>RES,1206,1%,1/4W,100PPM,187K,ROHS</v>
          </cell>
        </row>
        <row r="1760">
          <cell r="A1760" t="str">
            <v>648-325813-001</v>
          </cell>
          <cell r="B1760" t="str">
            <v>C2012X7S2A105K125AE</v>
          </cell>
          <cell r="C1760" t="str">
            <v>CAP</v>
          </cell>
          <cell r="F1760" t="str">
            <v>CAP,SMD,CER,1UF,±10% TOL,100V,X7S,0805</v>
          </cell>
        </row>
        <row r="1761">
          <cell r="A1761" t="str">
            <v>615-303725-034</v>
          </cell>
          <cell r="B1761" t="str">
            <v>ERA-2AEB112X</v>
          </cell>
          <cell r="C1761" t="str">
            <v>RES</v>
          </cell>
          <cell r="F1761" t="str">
            <v>RES,SMD,1.1K,0.1%,1/16W,0402,ROHS</v>
          </cell>
        </row>
        <row r="1762">
          <cell r="A1762" t="str">
            <v>615-313123-002</v>
          </cell>
          <cell r="B1762" t="str">
            <v>RC0201FR-078K87L</v>
          </cell>
          <cell r="C1762" t="str">
            <v>RES</v>
          </cell>
          <cell r="F1762" t="str">
            <v>RES,SMD,8.87K,1%,1/20W,0201</v>
          </cell>
        </row>
        <row r="1763">
          <cell r="A1763" t="str">
            <v>618-279508-001</v>
          </cell>
          <cell r="B1763" t="str">
            <v>MOX91022505FTE</v>
          </cell>
          <cell r="C1763" t="str">
            <v>RES</v>
          </cell>
          <cell r="F1763" t="str">
            <v>RES,METAL FILM,25M,3.8W,100PPM,1%,ROHS</v>
          </cell>
        </row>
        <row r="1764">
          <cell r="A1764" t="str">
            <v>615-123462-357</v>
          </cell>
          <cell r="B1764" t="str">
            <v>RC1005F3572CS</v>
          </cell>
          <cell r="C1764" t="str">
            <v>RES</v>
          </cell>
          <cell r="F1764" t="str">
            <v>RES,0402,THKF,1/16W,1% 35.7K ROHS</v>
          </cell>
        </row>
        <row r="1765">
          <cell r="A1765" t="str">
            <v>648-005168-330</v>
          </cell>
          <cell r="B1765" t="str">
            <v>EEEFC1V331P</v>
          </cell>
          <cell r="C1765" t="str">
            <v>CAP</v>
          </cell>
          <cell r="F1765" t="str">
            <v>CAP,SMD,AL,ELCTR,330UF,35VDC,ROHS</v>
          </cell>
        </row>
        <row r="1766">
          <cell r="A1766" t="str">
            <v>648-A42164-224</v>
          </cell>
          <cell r="B1766" t="str">
            <v>18121C224JAT2A</v>
          </cell>
          <cell r="C1766" t="str">
            <v>CAP</v>
          </cell>
          <cell r="F1766" t="str">
            <v>CAP,SMD,CER,X7R,0.22UF,±5%,100V,1812</v>
          </cell>
        </row>
        <row r="1767">
          <cell r="A1767" t="str">
            <v>615-068561-137</v>
          </cell>
          <cell r="B1767" t="str">
            <v>AC0603FR-07137KL</v>
          </cell>
          <cell r="C1767" t="str">
            <v>RES</v>
          </cell>
          <cell r="F1767" t="str">
            <v>RES,0603,THKF,1%,1/10W,100PPM,137K ROHS</v>
          </cell>
        </row>
        <row r="1768">
          <cell r="A1768" t="str">
            <v>648-338489-001</v>
          </cell>
          <cell r="B1768" t="str">
            <v>C3225X7S1H106K250AE</v>
          </cell>
          <cell r="C1768" t="str">
            <v>CAP</v>
          </cell>
          <cell r="F1768" t="str">
            <v>CAP,SMD,10UF,±10% TOL,X7S,50VDC,1210</v>
          </cell>
        </row>
        <row r="1769">
          <cell r="A1769" t="str">
            <v>648-A32945-022</v>
          </cell>
          <cell r="B1769" t="str">
            <v>CKG57NX5R1H226M500JH</v>
          </cell>
          <cell r="C1769" t="str">
            <v>CAP</v>
          </cell>
          <cell r="F1769" t="str">
            <v>CAP,SMD,CER,STACKED,22UF,±20%,X5R,50V</v>
          </cell>
        </row>
        <row r="1770">
          <cell r="A1770" t="str">
            <v>648-096579-226</v>
          </cell>
          <cell r="B1770" t="str">
            <v>293D226X9035E2WE3</v>
          </cell>
          <cell r="C1770" t="str">
            <v>CAP</v>
          </cell>
          <cell r="F1770" t="str">
            <v>CAP,SMD,7343H,TANT,10%,35V,22UF ROHS</v>
          </cell>
        </row>
        <row r="1771">
          <cell r="A1771" t="str">
            <v>609-031407-001</v>
          </cell>
          <cell r="B1771" t="str">
            <v>S2A</v>
          </cell>
          <cell r="C1771" t="str">
            <v>DIO</v>
          </cell>
          <cell r="F1771" t="str">
            <v>DIO,SMD,RECTIFIER,GEN PURP,2A,50V</v>
          </cell>
        </row>
        <row r="1772">
          <cell r="A1772" t="str">
            <v>615-032231-034</v>
          </cell>
          <cell r="B1772" t="str">
            <v>RC1206JR-071ML</v>
          </cell>
          <cell r="C1772" t="str">
            <v>RES</v>
          </cell>
          <cell r="F1772" t="str">
            <v>RES,SMD,THKF,1M,1206,5%,1/4W,ROHS</v>
          </cell>
        </row>
        <row r="1773">
          <cell r="A1773" t="str">
            <v>615-068559-499</v>
          </cell>
          <cell r="B1773" t="str">
            <v>RMCF0603FT4K99</v>
          </cell>
          <cell r="C1773" t="str">
            <v>RES</v>
          </cell>
          <cell r="F1773" t="str">
            <v>RES,0603,THKF,1%,1/10W,100PPM,4.99K ROHS</v>
          </cell>
        </row>
        <row r="1774">
          <cell r="A1774" t="str">
            <v>630-122312-001</v>
          </cell>
          <cell r="B1774" t="str">
            <v>SN74LVC1G06DCKR</v>
          </cell>
          <cell r="C1774" t="str">
            <v>IC</v>
          </cell>
          <cell r="F1774" t="str">
            <v>IC,SMD,INVERTER SINGLE 1 INPUT SC705</v>
          </cell>
        </row>
        <row r="1775">
          <cell r="A1775" t="str">
            <v>630-900957-001</v>
          </cell>
          <cell r="B1775" t="str">
            <v>AD790JRZ</v>
          </cell>
          <cell r="C1775" t="str">
            <v>IC</v>
          </cell>
          <cell r="F1775" t="str">
            <v>IC,COMPARATOR,AD790,SOIC-8,ROHS</v>
          </cell>
        </row>
        <row r="1776">
          <cell r="A1776" t="str">
            <v>615-068561-133</v>
          </cell>
          <cell r="B1776" t="str">
            <v>ERJ3EKF1333V</v>
          </cell>
          <cell r="C1776" t="str">
            <v>RES</v>
          </cell>
          <cell r="F1776" t="str">
            <v>RES,0603,THKF,1%,100PPM,133K,ROHS</v>
          </cell>
        </row>
        <row r="1777">
          <cell r="A1777" t="str">
            <v>615-123462-226</v>
          </cell>
          <cell r="B1777" t="str">
            <v>RC1005F2262CS</v>
          </cell>
          <cell r="C1777" t="str">
            <v>RES</v>
          </cell>
          <cell r="F1777" t="str">
            <v>RES,0402,THKF,1/16W,1% 22.6K ROHS</v>
          </cell>
        </row>
        <row r="1778">
          <cell r="A1778" t="str">
            <v>648-311289-001</v>
          </cell>
          <cell r="B1778" t="str">
            <v>CGA4J1X7R1V475M125AE</v>
          </cell>
          <cell r="C1778" t="str">
            <v>CAP</v>
          </cell>
          <cell r="F1778" t="str">
            <v>CAP,SMD,CER,4.7UF,35V,X7R,0805,ROHS</v>
          </cell>
        </row>
        <row r="1779">
          <cell r="A1779" t="str">
            <v>615-064170-332</v>
          </cell>
          <cell r="B1779" t="str">
            <v>RG2012P-3321-B-T5</v>
          </cell>
          <cell r="C1779" t="str">
            <v>RES</v>
          </cell>
          <cell r="F1779" t="str">
            <v>RES,SMD,0805,RG,MF,0.1%,1/10W,3.32K ROHS</v>
          </cell>
        </row>
        <row r="1780">
          <cell r="A1780" t="str">
            <v>615-098001-681</v>
          </cell>
          <cell r="B1780" t="str">
            <v>WCR-WCR1206LF-6811-F-P-LT</v>
          </cell>
          <cell r="C1780" t="str">
            <v>RES</v>
          </cell>
          <cell r="F1780" t="str">
            <v>RES,1206,1% 1/4W,6.81K ROHS</v>
          </cell>
        </row>
        <row r="1781">
          <cell r="A1781" t="str">
            <v>648-A09726-100</v>
          </cell>
          <cell r="B1781" t="str">
            <v>TLJA107M010R1400</v>
          </cell>
          <cell r="C1781" t="str">
            <v>CAP</v>
          </cell>
          <cell r="F1781" t="str">
            <v>CAP,SMD,TANT,100UF,20% TOL,10V,1206,7OHM</v>
          </cell>
        </row>
        <row r="1782">
          <cell r="A1782" t="str">
            <v>615-051883-471</v>
          </cell>
          <cell r="B1782" t="str">
            <v>RC0603JR-07470RL</v>
          </cell>
          <cell r="C1782" t="str">
            <v>RES</v>
          </cell>
          <cell r="F1782" t="str">
            <v>RES,SMD,TF,0603,470 OHM,5%,1/10W,ROHS</v>
          </cell>
        </row>
        <row r="1783">
          <cell r="A1783" t="str">
            <v>648-A19963-106</v>
          </cell>
          <cell r="B1783" t="str">
            <v>GRT31CR61H106KE01L</v>
          </cell>
          <cell r="C1783" t="str">
            <v>CAP</v>
          </cell>
          <cell r="F1783" t="str">
            <v>CAP,SMD,CER,10UF,±10%,50V,X5R,1206</v>
          </cell>
        </row>
        <row r="1784">
          <cell r="A1784" t="str">
            <v>648-210683-003</v>
          </cell>
          <cell r="B1784" t="str">
            <v>CL31X226KAHN3NE</v>
          </cell>
          <cell r="C1784" t="str">
            <v>CAP</v>
          </cell>
          <cell r="F1784" t="str">
            <v>CAP,SMD,CER,1206,X6S,25V,10%,22UF,ROHS</v>
          </cell>
        </row>
        <row r="1785">
          <cell r="A1785" t="str">
            <v>615-121726-123</v>
          </cell>
          <cell r="B1785" t="str">
            <v>RK73H1ETTP1212F</v>
          </cell>
          <cell r="C1785" t="str">
            <v>RES</v>
          </cell>
          <cell r="F1785" t="str">
            <v>RES,SMD,12.1K,1/10W,1%,0402</v>
          </cell>
        </row>
        <row r="1786">
          <cell r="A1786" t="str">
            <v>630-228230-001</v>
          </cell>
          <cell r="B1786" t="str">
            <v>SN74AVC1T45DCKR</v>
          </cell>
          <cell r="C1786" t="str">
            <v>IC</v>
          </cell>
          <cell r="F1786" t="str">
            <v>IC,SMD,BUS XCVR,DUAL-SPLY,1.2-3.6V,SC-70</v>
          </cell>
        </row>
        <row r="1787">
          <cell r="A1787" t="str">
            <v>615-052827-913</v>
          </cell>
          <cell r="B1787" t="str">
            <v>RG2012P-913-B-T5</v>
          </cell>
          <cell r="C1787" t="str">
            <v>RES</v>
          </cell>
          <cell r="F1787" t="str">
            <v>RES,0805,MF,1/8W,0.1%,10K-91K ROHS</v>
          </cell>
        </row>
        <row r="1788">
          <cell r="A1788" t="str">
            <v>615-123460-165</v>
          </cell>
          <cell r="B1788" t="str">
            <v>RC1005F1650CS</v>
          </cell>
          <cell r="C1788" t="str">
            <v>RES</v>
          </cell>
          <cell r="F1788" t="str">
            <v>RES,0402,THKF,1/16W,1% 165 ROHS</v>
          </cell>
        </row>
        <row r="1789">
          <cell r="A1789" t="str">
            <v>615-123461-750</v>
          </cell>
          <cell r="B1789" t="str">
            <v>RC0402FR-077K5L</v>
          </cell>
          <cell r="C1789" t="str">
            <v>RES</v>
          </cell>
          <cell r="F1789" t="str">
            <v>RES,0402,THKF,1/16W,1% 7.50K ROHS</v>
          </cell>
        </row>
        <row r="1790">
          <cell r="A1790" t="str">
            <v>615-A00424-180</v>
          </cell>
          <cell r="B1790" t="str">
            <v>RT0402BRD0718KL</v>
          </cell>
          <cell r="C1790" t="str">
            <v>RES</v>
          </cell>
          <cell r="F1790" t="str">
            <v>RES,SMD,18.0KOHM,0.1%,1/16W,0402</v>
          </cell>
        </row>
        <row r="1791">
          <cell r="A1791" t="str">
            <v>615-303725-086</v>
          </cell>
          <cell r="B1791" t="str">
            <v>RT0402BRD071K87L</v>
          </cell>
          <cell r="C1791" t="str">
            <v>RES</v>
          </cell>
          <cell r="F1791" t="str">
            <v>RES,SMD,1.87K,0.1%,1/16W,0402,ROHS</v>
          </cell>
        </row>
        <row r="1792">
          <cell r="A1792" t="str">
            <v>615-312994-230</v>
          </cell>
          <cell r="B1792" t="str">
            <v>RK73H1HTTC1001F</v>
          </cell>
          <cell r="C1792" t="str">
            <v>RES</v>
          </cell>
          <cell r="F1792" t="str">
            <v>RES,SMD,1K,1%,1/20W,0201</v>
          </cell>
        </row>
        <row r="1793">
          <cell r="A1793" t="str">
            <v>615-312994-406</v>
          </cell>
          <cell r="B1793" t="str">
            <v>RK73H1HTTC3652F</v>
          </cell>
          <cell r="C1793" t="str">
            <v>RES</v>
          </cell>
          <cell r="F1793" t="str">
            <v>RES,SMD,36.5K,1%,1/20W,0201</v>
          </cell>
        </row>
        <row r="1794">
          <cell r="A1794" t="str">
            <v>630-067077-002</v>
          </cell>
          <cell r="B1794" t="str">
            <v>H11N1SR2M</v>
          </cell>
          <cell r="C1794" t="str">
            <v>IC</v>
          </cell>
          <cell r="F1794" t="str">
            <v>IC,SMD,OPT, 1MHZ,6P, ,H11N1SR2M ROHS</v>
          </cell>
        </row>
        <row r="1795">
          <cell r="A1795" t="str">
            <v>664-039171-004</v>
          </cell>
          <cell r="B1795" t="str">
            <v>SML-LXR85SUGC-TR</v>
          </cell>
          <cell r="C1795" t="str">
            <v>LED</v>
          </cell>
          <cell r="F1795" t="str">
            <v>LED,SMD,RT,HSM-C110,GRN,ROHS</v>
          </cell>
        </row>
        <row r="1796">
          <cell r="A1796" t="str">
            <v>615-A00422-845</v>
          </cell>
          <cell r="B1796" t="str">
            <v>ERA-2AEB8450X</v>
          </cell>
          <cell r="C1796" t="str">
            <v>RES</v>
          </cell>
          <cell r="F1796" t="str">
            <v>RES SMD 845 OHM 0.1% 1/16W 0402</v>
          </cell>
        </row>
        <row r="1797">
          <cell r="A1797" t="str">
            <v>615-068559-348</v>
          </cell>
          <cell r="B1797" t="str">
            <v>AC0603FR-073K48L</v>
          </cell>
          <cell r="C1797" t="str">
            <v>RES</v>
          </cell>
          <cell r="F1797" t="str">
            <v>RES,0603,THKF,1%,1/10W,100PPM,3.48K ROHS</v>
          </cell>
        </row>
        <row r="1798">
          <cell r="A1798" t="str">
            <v>615-131307-002</v>
          </cell>
          <cell r="B1798" t="str">
            <v>HVC5020E5005FT</v>
          </cell>
          <cell r="C1798" t="str">
            <v>RES</v>
          </cell>
          <cell r="F1798" t="str">
            <v>RES,SMD,THK FILM,50M,1%,25PPM,5020</v>
          </cell>
        </row>
        <row r="1799">
          <cell r="A1799" t="str">
            <v>615-901302-634</v>
          </cell>
          <cell r="B1799" t="str">
            <v>CRCW080563K4FKEA</v>
          </cell>
          <cell r="C1799" t="str">
            <v>RES</v>
          </cell>
          <cell r="F1799" t="str">
            <v>RES,0805,63.4K,1%,1/10W,ROHS</v>
          </cell>
        </row>
        <row r="1800">
          <cell r="A1800" t="str">
            <v>615-131307-001</v>
          </cell>
          <cell r="B1800" t="str">
            <v>HVC5020E2005FT</v>
          </cell>
          <cell r="C1800" t="str">
            <v>RES</v>
          </cell>
          <cell r="F1800" t="str">
            <v>RES,SMD,THK FILM,20M,1%,25PPM,5020</v>
          </cell>
        </row>
        <row r="1801">
          <cell r="A1801" t="str">
            <v>648-124321-472</v>
          </cell>
          <cell r="B1801" t="str">
            <v>GMC04X7R472K50NT</v>
          </cell>
          <cell r="C1801" t="str">
            <v>CAP</v>
          </cell>
          <cell r="F1801" t="str">
            <v>CAP,SMD,0402,CER,X7R,10%,50V,4700PF ROHS</v>
          </cell>
        </row>
        <row r="1802">
          <cell r="A1802" t="str">
            <v>630-099034-008</v>
          </cell>
          <cell r="B1802" t="str">
            <v>SN74HC08D</v>
          </cell>
          <cell r="C1802" t="str">
            <v>IC</v>
          </cell>
          <cell r="F1802" t="str">
            <v>IC,SMD,74HC08 2-IN AND SO14</v>
          </cell>
        </row>
        <row r="1803">
          <cell r="A1803" t="str">
            <v>29-178970-00</v>
          </cell>
          <cell r="B1803" t="str">
            <v>ECEA1VKS470</v>
          </cell>
          <cell r="C1803" t="str">
            <v>CAP</v>
          </cell>
          <cell r="F1803" t="str">
            <v>CAP,47.0UF,35VDC,AL-EL,20%,RADIAL,PANASO</v>
          </cell>
        </row>
        <row r="1804">
          <cell r="A1804" t="str">
            <v>615-116028-200</v>
          </cell>
          <cell r="B1804" t="str">
            <v>WCR1206LF-2001FPLT</v>
          </cell>
          <cell r="C1804" t="str">
            <v>RES</v>
          </cell>
          <cell r="D1804" t="str">
            <v>FF</v>
          </cell>
          <cell r="F1804" t="str">
            <v>RES,SMD,1206,2.00K,1%,1/4W,ROHS</v>
          </cell>
        </row>
        <row r="1805">
          <cell r="A1805" t="str">
            <v>615-306231-487</v>
          </cell>
          <cell r="B1805" t="str">
            <v>RC1206FR-074K87L</v>
          </cell>
          <cell r="C1805" t="str">
            <v>RES</v>
          </cell>
          <cell r="F1805" t="str">
            <v>RES,1206,1% 1/4W,4.87K ROHS</v>
          </cell>
        </row>
        <row r="1806">
          <cell r="A1806" t="str">
            <v>615-188549-018</v>
          </cell>
          <cell r="B1806" t="str">
            <v>WR04X1501FTLJ</v>
          </cell>
          <cell r="C1806" t="str">
            <v>RES</v>
          </cell>
          <cell r="F1806" t="str">
            <v>RES,0402,1% 1/16W,1.50K ROHS</v>
          </cell>
        </row>
        <row r="1807">
          <cell r="A1807" t="str">
            <v>28-360674-00</v>
          </cell>
          <cell r="B1807" t="str">
            <v>ERA-6AEB103V</v>
          </cell>
          <cell r="C1807" t="str">
            <v>RES</v>
          </cell>
          <cell r="F1807" t="str">
            <v>RES,10K OHM 1/8W .1% 0805 SMD</v>
          </cell>
        </row>
        <row r="1808">
          <cell r="A1808" t="str">
            <v>639-311328-001</v>
          </cell>
          <cell r="B1808" t="str">
            <v>XEL6060-472MEC</v>
          </cell>
          <cell r="C1808" t="str">
            <v>IDCTR</v>
          </cell>
          <cell r="F1808" t="str">
            <v>IDCTR,SMD,POWER,SHIELDED,4.7UH</v>
          </cell>
        </row>
        <row r="1809">
          <cell r="A1809" t="str">
            <v>615-306231-931</v>
          </cell>
          <cell r="B1809" t="str">
            <v>CRCW12069K31FKEA</v>
          </cell>
          <cell r="C1809" t="str">
            <v>RES</v>
          </cell>
          <cell r="F1809" t="str">
            <v>RES,1206,1% 1/4W,9.31K ROHS</v>
          </cell>
        </row>
        <row r="1810">
          <cell r="A1810" t="str">
            <v>615-A00422-619</v>
          </cell>
          <cell r="B1810" t="str">
            <v>ERA-2AEB6190X</v>
          </cell>
          <cell r="C1810" t="str">
            <v>RES</v>
          </cell>
          <cell r="F1810" t="str">
            <v>RES SMD 619 OHM 0.1% 1/16W 0402</v>
          </cell>
        </row>
        <row r="1811">
          <cell r="A1811" t="str">
            <v>630-275637-001</v>
          </cell>
          <cell r="B1811" t="str">
            <v>SN74LVC2G07DBVR</v>
          </cell>
          <cell r="C1811" t="str">
            <v>IC</v>
          </cell>
          <cell r="F1811" t="str">
            <v>IC,SMD,DUAL,BUFFER,DRIVER,OPEN DRAIN O/P</v>
          </cell>
        </row>
        <row r="1812">
          <cell r="A1812" t="str">
            <v>615-A00424-330</v>
          </cell>
          <cell r="B1812" t="str">
            <v>ERA-2AEB333X</v>
          </cell>
          <cell r="C1812" t="str">
            <v>RES</v>
          </cell>
          <cell r="F1812" t="str">
            <v>RES,SMD,33.0KOHM,0.1%,1/16W,0402</v>
          </cell>
        </row>
        <row r="1813">
          <cell r="A1813" t="str">
            <v>648-326249-001</v>
          </cell>
          <cell r="B1813" t="str">
            <v>EEEFK1V222SM</v>
          </cell>
          <cell r="C1813" t="str">
            <v>CAP</v>
          </cell>
          <cell r="F1813" t="str">
            <v>CAP,SMD,AL ELCTLT,2200UF,±20% TOL,35V</v>
          </cell>
        </row>
        <row r="1814">
          <cell r="A1814" t="str">
            <v>615-068559-649</v>
          </cell>
          <cell r="B1814" t="str">
            <v>CRCW06036K49FKEA</v>
          </cell>
          <cell r="C1814" t="str">
            <v>RES</v>
          </cell>
          <cell r="F1814" t="str">
            <v>RES,0603,THKF,1%,1/10W,100PPM,6.49K ROHS</v>
          </cell>
        </row>
        <row r="1815">
          <cell r="A1815" t="str">
            <v>648-320227-107</v>
          </cell>
          <cell r="B1815" t="str">
            <v>C3216X5R1A107M160AC</v>
          </cell>
          <cell r="C1815" t="str">
            <v>CAP</v>
          </cell>
          <cell r="F1815" t="str">
            <v>CAP,SMD,CER,1206,10V,20%,100UF,X5R,ROHS</v>
          </cell>
        </row>
        <row r="1816">
          <cell r="A1816" t="str">
            <v>630-259131-001</v>
          </cell>
          <cell r="B1816" t="str">
            <v>REF3012AIDBZR</v>
          </cell>
          <cell r="C1816" t="str">
            <v>IC</v>
          </cell>
          <cell r="F1816" t="str">
            <v>IC,SMD,CMOS,VREF SERIES,1.25V,SOT23-3</v>
          </cell>
        </row>
        <row r="1817">
          <cell r="A1817" t="str">
            <v>664-210668-003</v>
          </cell>
          <cell r="B1817" t="str">
            <v>ASMT-RF45-AN002</v>
          </cell>
          <cell r="C1817" t="str">
            <v>LED</v>
          </cell>
          <cell r="F1817" t="str">
            <v>LED,SMD,0603,YEL GRN,ROHS</v>
          </cell>
        </row>
        <row r="1818">
          <cell r="A1818" t="str">
            <v>615-121726-027</v>
          </cell>
          <cell r="B1818" t="str">
            <v>ERJ-2RKF2400X</v>
          </cell>
          <cell r="C1818" t="str">
            <v>RES</v>
          </cell>
          <cell r="F1818" t="str">
            <v>RES,SMD,240 OHM,1/10W,1%,0402</v>
          </cell>
        </row>
        <row r="1819">
          <cell r="A1819" t="str">
            <v>648-051878-333</v>
          </cell>
          <cell r="B1819" t="str">
            <v>CC0603KRX7R9BB333</v>
          </cell>
          <cell r="C1819" t="str">
            <v>CAP</v>
          </cell>
          <cell r="F1819" t="str">
            <v>CAP,SMD,0603,.033UF,50V,10%,X7R,ROHS</v>
          </cell>
        </row>
        <row r="1820">
          <cell r="A1820" t="str">
            <v>648-162696-004</v>
          </cell>
          <cell r="B1820" t="str">
            <v>C1608X5R1V474K080AB</v>
          </cell>
          <cell r="C1820" t="str">
            <v>CAP</v>
          </cell>
          <cell r="F1820" t="str">
            <v>CAP,0603,CER,X5R,10%,35V,0.47UF,ROHS</v>
          </cell>
        </row>
        <row r="1821">
          <cell r="A1821" t="str">
            <v>664-210668-001</v>
          </cell>
          <cell r="B1821" t="str">
            <v>ASMT-RR45-AQ902</v>
          </cell>
          <cell r="C1821" t="str">
            <v>LED</v>
          </cell>
          <cell r="F1821" t="str">
            <v>LED,SMD,0603,RED,ROHS</v>
          </cell>
        </row>
        <row r="1822">
          <cell r="A1822" t="str">
            <v>615-217661-006</v>
          </cell>
          <cell r="B1822" t="str">
            <v>Y14870R01000B9W</v>
          </cell>
          <cell r="C1822" t="str">
            <v>RES</v>
          </cell>
          <cell r="D1822" t="str">
            <v>Intern</v>
          </cell>
          <cell r="F1822" t="str">
            <v>RES,SMD,CUR SNS, 0.01 OHM,0.1%,1W,2512</v>
          </cell>
        </row>
        <row r="1823">
          <cell r="A1823" t="str">
            <v>615-064170-549</v>
          </cell>
          <cell r="B1823" t="str">
            <v>RG2012P-5491-B-T5</v>
          </cell>
          <cell r="C1823" t="str">
            <v>RES</v>
          </cell>
          <cell r="F1823" t="str">
            <v>RES,SMD,0805,RG,MF,0.1%,1/10W,5.49K ROHS</v>
          </cell>
        </row>
        <row r="1824">
          <cell r="A1824" t="str">
            <v>615-121726-082</v>
          </cell>
          <cell r="B1824" t="str">
            <v>MR04X82R0FTL</v>
          </cell>
          <cell r="C1824" t="str">
            <v>RES</v>
          </cell>
          <cell r="F1824" t="str">
            <v>RES,SMD,82 OHM,1/10W,1%,0402</v>
          </cell>
        </row>
        <row r="1825">
          <cell r="A1825" t="str">
            <v>615-121726-131</v>
          </cell>
          <cell r="B1825" t="str">
            <v>MR04X1300FTL</v>
          </cell>
          <cell r="C1825" t="str">
            <v>RES</v>
          </cell>
          <cell r="F1825" t="str">
            <v>RES,SMD,130 OHM,1/10W,1%,0402</v>
          </cell>
        </row>
        <row r="1826">
          <cell r="A1826" t="str">
            <v>639-228550-001</v>
          </cell>
          <cell r="B1826" t="str">
            <v>HZ0805E601R-10</v>
          </cell>
          <cell r="C1826" t="str">
            <v>FERRITE</v>
          </cell>
          <cell r="F1826" t="str">
            <v>FERRITE,SMD,600OHM,0.5A</v>
          </cell>
        </row>
        <row r="1827">
          <cell r="A1827" t="str">
            <v>630-099973-001</v>
          </cell>
          <cell r="B1827" t="str">
            <v>ADG431BRZ</v>
          </cell>
          <cell r="C1827" t="str">
            <v>IC</v>
          </cell>
          <cell r="F1827" t="str">
            <v>IC,ADG431 QUAD ANLG SW,SO16, ROHS</v>
          </cell>
        </row>
        <row r="1828">
          <cell r="A1828" t="str">
            <v>728-340899-006</v>
          </cell>
          <cell r="C1828" t="str">
            <v>SCR</v>
          </cell>
          <cell r="D1828" t="str">
            <v>Hardware</v>
          </cell>
          <cell r="F1828" t="str">
            <v>SCR,SCH CAP,M3X0.5 THD,6MM LG,PEEK</v>
          </cell>
        </row>
        <row r="1829">
          <cell r="A1829" t="str">
            <v>29-403105-00</v>
          </cell>
          <cell r="B1829" t="str">
            <v>C3225X7R1H225K200AB</v>
          </cell>
          <cell r="C1829" t="str">
            <v>CAP</v>
          </cell>
          <cell r="F1829" t="str">
            <v>CAP,MLCC,2.2UF,50V,10%,SMT,3225,X7R</v>
          </cell>
        </row>
        <row r="1830">
          <cell r="A1830" t="str">
            <v>615-121726-470</v>
          </cell>
          <cell r="B1830" t="str">
            <v>RK73H1ETTP4701F</v>
          </cell>
          <cell r="C1830" t="str">
            <v>RES</v>
          </cell>
          <cell r="F1830" t="str">
            <v>RES,SMD,4.7K,1/10W,1%,0402</v>
          </cell>
        </row>
        <row r="1831">
          <cell r="A1831" t="str">
            <v>615-068559-162</v>
          </cell>
          <cell r="B1831" t="str">
            <v>AC0603FR-071K62L</v>
          </cell>
          <cell r="C1831" t="str">
            <v>RES</v>
          </cell>
          <cell r="F1831" t="str">
            <v>RES,0603,THKF,1%,1/10W,100PPM,1.62K ROHS</v>
          </cell>
        </row>
        <row r="1832">
          <cell r="A1832" t="str">
            <v>615-123461-140</v>
          </cell>
          <cell r="B1832" t="str">
            <v>CR0402-FX-1401GLF</v>
          </cell>
          <cell r="C1832" t="str">
            <v>RES</v>
          </cell>
          <cell r="F1832" t="str">
            <v>RES,0402,THKF,1/16W,1% 1.40K ROHS</v>
          </cell>
        </row>
        <row r="1833">
          <cell r="A1833" t="str">
            <v>615-098002-390</v>
          </cell>
          <cell r="B1833" t="str">
            <v>RC1206FR-0739KL</v>
          </cell>
          <cell r="C1833" t="str">
            <v>RES</v>
          </cell>
          <cell r="F1833" t="str">
            <v>RES,SMD,1206,1%,1/4W,39.0K ROHS</v>
          </cell>
        </row>
        <row r="1834">
          <cell r="A1834" t="str">
            <v>615-116028-820</v>
          </cell>
          <cell r="B1834" t="str">
            <v>RC1206FR-078K2L</v>
          </cell>
          <cell r="C1834" t="str">
            <v>RES</v>
          </cell>
          <cell r="F1834" t="str">
            <v>RES,SMD,1206,8.2K,1%,1/4W,ROHS</v>
          </cell>
        </row>
        <row r="1835">
          <cell r="A1835" t="str">
            <v>615-123463-383</v>
          </cell>
          <cell r="B1835" t="str">
            <v>RK73H1ETTP3833F</v>
          </cell>
          <cell r="C1835" t="str">
            <v>RES</v>
          </cell>
          <cell r="F1835" t="str">
            <v>RES,0402,THKF,1/16W,1% 383K ROHS</v>
          </cell>
        </row>
        <row r="1836">
          <cell r="A1836" t="str">
            <v>615-099619-100</v>
          </cell>
          <cell r="B1836" t="str">
            <v>CRCW251210R0FKEG</v>
          </cell>
          <cell r="C1836" t="str">
            <v>RES</v>
          </cell>
          <cell r="D1836" t="str">
            <v>FF</v>
          </cell>
          <cell r="F1836" t="str">
            <v>RES,SMD,2512,10.0 OHM,1% 1W,ROHS</v>
          </cell>
        </row>
        <row r="1837">
          <cell r="A1837" t="str">
            <v>615-123460-680</v>
          </cell>
          <cell r="B1837" t="str">
            <v>RC0402FR-07680RL</v>
          </cell>
          <cell r="C1837" t="str">
            <v>RES</v>
          </cell>
          <cell r="F1837" t="str">
            <v>RES,0402,THKF,1/16W,1% 680 ROHS</v>
          </cell>
        </row>
        <row r="1838">
          <cell r="A1838" t="str">
            <v>615-049171-200</v>
          </cell>
          <cell r="B1838" t="str">
            <v>TNPW080520K0BEEA</v>
          </cell>
          <cell r="C1838" t="str">
            <v>RES</v>
          </cell>
          <cell r="F1838" t="str">
            <v>RES,SMD,0805,20.0K OHMS,ROHS</v>
          </cell>
        </row>
        <row r="1839">
          <cell r="A1839" t="str">
            <v>615-123460-274</v>
          </cell>
          <cell r="B1839" t="str">
            <v>RC0402FR-07274RL</v>
          </cell>
          <cell r="C1839" t="str">
            <v>RES</v>
          </cell>
          <cell r="F1839" t="str">
            <v>RES,0402,THKF,1/16W,1% 274 ROHS</v>
          </cell>
        </row>
        <row r="1840">
          <cell r="A1840" t="str">
            <v>615-A00424-215</v>
          </cell>
          <cell r="B1840" t="str">
            <v>ERA-2AEB2152X</v>
          </cell>
          <cell r="C1840" t="str">
            <v>RES</v>
          </cell>
          <cell r="F1840" t="str">
            <v>RES,SMD,21.5KOHM,0.1%,1/16W,0402</v>
          </cell>
        </row>
        <row r="1841">
          <cell r="A1841" t="str">
            <v>615-123462-464</v>
          </cell>
          <cell r="C1841" t="str">
            <v>RES</v>
          </cell>
          <cell r="F1841" t="str">
            <v>RES,0402,THKF,1/16W,1% 46.4K ROHS</v>
          </cell>
        </row>
        <row r="1842">
          <cell r="A1842" t="str">
            <v>615-068559-665</v>
          </cell>
          <cell r="B1842" t="str">
            <v>AC0603FR-076K65L</v>
          </cell>
          <cell r="C1842" t="str">
            <v>RES</v>
          </cell>
          <cell r="F1842" t="str">
            <v>RES,0603,THKF,1%,1/10W,100PPM,6.65K ROHS</v>
          </cell>
        </row>
        <row r="1843">
          <cell r="A1843" t="str">
            <v>615-098001-560</v>
          </cell>
          <cell r="B1843" t="str">
            <v>RC1206FR-075K6L</v>
          </cell>
          <cell r="C1843" t="str">
            <v>RES</v>
          </cell>
          <cell r="F1843" t="str">
            <v>RES,1206,1% 1/4W,5.6K ROHS</v>
          </cell>
        </row>
        <row r="1844">
          <cell r="A1844" t="str">
            <v>615-098002-130</v>
          </cell>
          <cell r="B1844" t="str">
            <v>CRCW120613K0FKEA</v>
          </cell>
          <cell r="C1844" t="str">
            <v>RES</v>
          </cell>
          <cell r="F1844" t="str">
            <v>RES,SMD,1206,1%,1/4W,13.0K ROHS</v>
          </cell>
        </row>
        <row r="1845">
          <cell r="A1845" t="str">
            <v>648-311287-001</v>
          </cell>
          <cell r="B1845" t="str">
            <v>CL10A106KP8NNNC</v>
          </cell>
          <cell r="C1845" t="str">
            <v>CAP</v>
          </cell>
          <cell r="F1845" t="str">
            <v>CAP,SMD,CER,10UF,10V,X5R,0603,ROHS</v>
          </cell>
        </row>
        <row r="1846">
          <cell r="A1846" t="str">
            <v>34-172888-00</v>
          </cell>
          <cell r="B1846" t="str">
            <v>JW2SN-DC24V</v>
          </cell>
          <cell r="C1846" t="str">
            <v>RLY</v>
          </cell>
          <cell r="F1846" t="str">
            <v>RELAY,DPDT,24VDC,5A,PCB</v>
          </cell>
        </row>
        <row r="1847">
          <cell r="A1847" t="str">
            <v>615-032231-242</v>
          </cell>
          <cell r="B1847" t="str">
            <v>RC1206JR-072K4L</v>
          </cell>
          <cell r="C1847" t="str">
            <v>RES</v>
          </cell>
          <cell r="F1847" t="str">
            <v>RES,SMD,THKF,1206,2.4K OHMS,5%,1/4W,ROHS</v>
          </cell>
        </row>
        <row r="1848">
          <cell r="A1848" t="str">
            <v>648-A12490-105</v>
          </cell>
          <cell r="B1848" t="str">
            <v>CL05A105KO5NNNC</v>
          </cell>
          <cell r="C1848" t="str">
            <v>CAP</v>
          </cell>
          <cell r="F1848" t="str">
            <v>CAP,SMD,CER,1UF,±10%,X5R,16V,0402</v>
          </cell>
        </row>
        <row r="1849">
          <cell r="A1849" t="str">
            <v>615-313123-003</v>
          </cell>
          <cell r="B1849" t="str">
            <v>RC0201FR-0753K6L</v>
          </cell>
          <cell r="C1849" t="str">
            <v>RES</v>
          </cell>
          <cell r="F1849" t="str">
            <v>RES,SMD,53.6K,1%,1/20W,0201</v>
          </cell>
        </row>
        <row r="1850">
          <cell r="A1850" t="str">
            <v>615-A00424-287</v>
          </cell>
          <cell r="B1850" t="str">
            <v>ERA-2AEB2872X</v>
          </cell>
          <cell r="C1850" t="str">
            <v>RES</v>
          </cell>
          <cell r="F1850" t="str">
            <v>RES,SMD,28.7KOHM,0.1%,1/16W,0402</v>
          </cell>
        </row>
        <row r="1851">
          <cell r="A1851" t="str">
            <v>615-901294-515</v>
          </cell>
          <cell r="B1851" t="str">
            <v>CRCW08055M10JNEA</v>
          </cell>
          <cell r="C1851" t="str">
            <v>RES</v>
          </cell>
          <cell r="F1851" t="str">
            <v>RES,SMD,5.1M,0805,5%,1/10W,ROHS</v>
          </cell>
        </row>
        <row r="1852">
          <cell r="A1852" t="str">
            <v>648-249226-001</v>
          </cell>
          <cell r="B1852" t="str">
            <v>7676C102JW502X</v>
          </cell>
          <cell r="C1852" t="str">
            <v>CAP</v>
          </cell>
          <cell r="F1852" t="str">
            <v>CAP,SMD,PWR TRANSMITTER,5KV,5%,NP0,1NF</v>
          </cell>
        </row>
        <row r="1853">
          <cell r="A1853" t="str">
            <v>670-095989-300</v>
          </cell>
          <cell r="B1853" t="str">
            <v>RXEF300</v>
          </cell>
          <cell r="C1853" t="str">
            <v>PTC</v>
          </cell>
          <cell r="F1853" t="str">
            <v>PTC,RXE SERIES 3.00A,ROHS</v>
          </cell>
        </row>
        <row r="1854">
          <cell r="A1854" t="str">
            <v>648-129286-047</v>
          </cell>
          <cell r="B1854" t="str">
            <v>C3225X5R1A476M</v>
          </cell>
          <cell r="C1854" t="str">
            <v>CAP</v>
          </cell>
          <cell r="F1854" t="str">
            <v>CAP,SMD,1210,CER,10V,20%,X5R,47UF,ROHS</v>
          </cell>
        </row>
        <row r="1855">
          <cell r="A1855" t="str">
            <v>609-238737-008</v>
          </cell>
          <cell r="B1855" t="str">
            <v>SMBJ9.0CA</v>
          </cell>
          <cell r="C1855" t="str">
            <v>DIO</v>
          </cell>
          <cell r="F1855" t="str">
            <v>DIO,SMD,PWR,TVS,600W,9V,ROHS</v>
          </cell>
        </row>
        <row r="1856">
          <cell r="A1856" t="str">
            <v>645-347340-001</v>
          </cell>
          <cell r="B1856" t="str">
            <v>E101J3AV2QE3</v>
          </cell>
          <cell r="C1856" t="str">
            <v>SW</v>
          </cell>
          <cell r="F1856" t="str">
            <v>SW,ROCKER SPDT 0.4A,RA PC MT</v>
          </cell>
        </row>
        <row r="1857">
          <cell r="A1857" t="str">
            <v>615-068557-221</v>
          </cell>
          <cell r="B1857" t="str">
            <v>ERJ3EKF22R1V</v>
          </cell>
          <cell r="C1857" t="str">
            <v>RES</v>
          </cell>
          <cell r="F1857" t="str">
            <v>RES,0603,THKF,1%,1/10W,100PPM,10-97.6</v>
          </cell>
        </row>
        <row r="1858">
          <cell r="A1858" t="str">
            <v>662-091792-001</v>
          </cell>
          <cell r="B1858" t="str">
            <v>521-9450F</v>
          </cell>
          <cell r="C1858" t="str">
            <v>LED</v>
          </cell>
          <cell r="F1858" t="str">
            <v>LED,BICOLOR RED &amp; GRN,ROHS</v>
          </cell>
        </row>
        <row r="1859">
          <cell r="A1859" t="str">
            <v>648-103424-001</v>
          </cell>
          <cell r="B1859" t="str">
            <v>VJ1825A103JXEAT</v>
          </cell>
          <cell r="C1859" t="str">
            <v>CAP</v>
          </cell>
          <cell r="F1859" t="str">
            <v>CAP,SMD,1825, CER, NPO, 5%, 500V, 10NF</v>
          </cell>
        </row>
        <row r="1860">
          <cell r="A1860" t="str">
            <v>615-260309-003</v>
          </cell>
          <cell r="B1860" t="str">
            <v>RMCF0603FT100R</v>
          </cell>
          <cell r="C1860" t="str">
            <v>RES</v>
          </cell>
          <cell r="F1860" t="str">
            <v>RES,SMD,100 OHM,±1%TOL,1/10W,0603</v>
          </cell>
        </row>
        <row r="1861">
          <cell r="A1861" t="str">
            <v>615-098743-122</v>
          </cell>
          <cell r="B1861" t="str">
            <v>CRCW20101K20JNEF</v>
          </cell>
          <cell r="C1861" t="str">
            <v>RES</v>
          </cell>
          <cell r="F1861" t="str">
            <v>RESISTOR,SMD,2010,1.2K OHM,5% 1/2W,ROHS</v>
          </cell>
        </row>
        <row r="1862">
          <cell r="A1862" t="str">
            <v>670-037698-044</v>
          </cell>
          <cell r="B1862" t="str">
            <v>KLDR030.TXP</v>
          </cell>
          <cell r="C1862" t="str">
            <v>FUSE</v>
          </cell>
          <cell r="D1862" t="str">
            <v>AC Box</v>
          </cell>
          <cell r="F1862" t="str">
            <v>FUSE,CLASS CC,600V,TIME DLY,30 AMP</v>
          </cell>
        </row>
        <row r="1863">
          <cell r="A1863" t="str">
            <v>28-00026-00</v>
          </cell>
          <cell r="B1863" t="str">
            <v>CF14JT3K30TR</v>
          </cell>
          <cell r="C1863" t="str">
            <v>RES</v>
          </cell>
          <cell r="F1863" t="str">
            <v>RES,3.3K,1/4W,5%,AXIAL LEAD</v>
          </cell>
        </row>
        <row r="1864">
          <cell r="A1864" t="str">
            <v>639-311328-002</v>
          </cell>
          <cell r="B1864" t="str">
            <v>XEL6060-821MEC</v>
          </cell>
          <cell r="C1864" t="str">
            <v>IDCTR</v>
          </cell>
          <cell r="F1864" t="str">
            <v>IDCTR,SMD,POWER,SHIELDED,0.82UH</v>
          </cell>
        </row>
        <row r="1865">
          <cell r="A1865" t="str">
            <v>667-311329-002</v>
          </cell>
          <cell r="B1865" t="str">
            <v>UMPS-04-03.5-G-V-S-W-TR</v>
          </cell>
          <cell r="C1865" t="str">
            <v>CONN</v>
          </cell>
          <cell r="F1865" t="str">
            <v>CONN,SMD,FEM,4POSN,PWR,ULTRA MICRO,18A</v>
          </cell>
        </row>
        <row r="1866">
          <cell r="A1866" t="str">
            <v>668-311384-004</v>
          </cell>
          <cell r="B1866">
            <v>1720420802</v>
          </cell>
          <cell r="C1866" t="str">
            <v>CONN</v>
          </cell>
          <cell r="F1866" t="str">
            <v>CONN,HDR,VERTICAL,8POS</v>
          </cell>
        </row>
        <row r="1867">
          <cell r="A1867" t="str">
            <v>648-129741-022</v>
          </cell>
          <cell r="B1867" t="str">
            <v>TMK325BJ226MM-T</v>
          </cell>
          <cell r="C1867" t="str">
            <v>CAP</v>
          </cell>
          <cell r="F1867" t="str">
            <v>CAP,SMD,1210,CER,25V,20%,X5R,22UF,ROHS</v>
          </cell>
        </row>
        <row r="1868">
          <cell r="A1868" t="str">
            <v>615-A31517-001</v>
          </cell>
          <cell r="B1868" t="str">
            <v>PCAN0805E49R9BST5</v>
          </cell>
          <cell r="C1868" t="str">
            <v>RES</v>
          </cell>
          <cell r="F1868" t="str">
            <v>RES,SMD,49.9OHM,±0.1%,1W,±25PPM,0805</v>
          </cell>
        </row>
        <row r="1869">
          <cell r="A1869" t="str">
            <v>615-313123-343</v>
          </cell>
          <cell r="B1869" t="str">
            <v>CRCW020110K0FKED</v>
          </cell>
          <cell r="C1869" t="str">
            <v>RES</v>
          </cell>
          <cell r="F1869" t="str">
            <v>RES,SMD,10K,1%,1/20W,0201</v>
          </cell>
        </row>
        <row r="1870">
          <cell r="A1870" t="str">
            <v>615-098743-102</v>
          </cell>
          <cell r="B1870" t="str">
            <v>CRCW20101K00JNEF</v>
          </cell>
          <cell r="C1870" t="str">
            <v>RES</v>
          </cell>
          <cell r="F1870" t="str">
            <v>RESISTOR,SMD,2010,1K OHM,5% 1/2W,ROHS</v>
          </cell>
        </row>
        <row r="1871">
          <cell r="A1871" t="str">
            <v>615-123463-374</v>
          </cell>
          <cell r="B1871" t="str">
            <v>CR0402-FX-3743GLF</v>
          </cell>
          <cell r="C1871" t="str">
            <v>RES</v>
          </cell>
          <cell r="F1871" t="str">
            <v>RES,0402,THKF,1/16W,1% 374K ROHS</v>
          </cell>
        </row>
        <row r="1872">
          <cell r="A1872" t="str">
            <v>615-049171-124</v>
          </cell>
          <cell r="B1872" t="str">
            <v>TNPW080512K4BEEA</v>
          </cell>
          <cell r="C1872" t="str">
            <v>RES</v>
          </cell>
          <cell r="F1872" t="str">
            <v>RES,SMD,0805,12.4K OHMS,ROHS</v>
          </cell>
        </row>
        <row r="1873">
          <cell r="A1873" t="str">
            <v>648-237622-001</v>
          </cell>
          <cell r="B1873" t="str">
            <v>CL32B106KBJNNWE</v>
          </cell>
          <cell r="C1873" t="str">
            <v>CAP</v>
          </cell>
          <cell r="F1873" t="str">
            <v>CAP,SMD,50V,X7R,1210,10UF</v>
          </cell>
        </row>
        <row r="1874">
          <cell r="A1874" t="str">
            <v>630-A56167-001</v>
          </cell>
          <cell r="B1874" t="str">
            <v>TL391BIDBVR</v>
          </cell>
          <cell r="C1874" t="str">
            <v>IC</v>
          </cell>
          <cell r="F1874" t="str">
            <v>IC,SMD,COMP,CMOS,MOS,TTL,SOT-23-5</v>
          </cell>
        </row>
        <row r="1875">
          <cell r="A1875" t="str">
            <v>648-238371-002</v>
          </cell>
          <cell r="B1875" t="str">
            <v>GRM1555C1H102FA01D</v>
          </cell>
          <cell r="C1875" t="str">
            <v>CAP</v>
          </cell>
          <cell r="F1875" t="str">
            <v>CAP,SMD,0402,CER,50V,1%,NP0,1000PF,ROHS</v>
          </cell>
        </row>
        <row r="1876">
          <cell r="A1876" t="str">
            <v>615-A00423-118</v>
          </cell>
          <cell r="B1876" t="str">
            <v>RT0402BRD071K18L</v>
          </cell>
          <cell r="C1876" t="str">
            <v>RES</v>
          </cell>
          <cell r="F1876" t="str">
            <v>RES SMD 1.18KOHM 0.1% 1/16W 0402</v>
          </cell>
        </row>
        <row r="1877">
          <cell r="A1877" t="str">
            <v>648-064017-101</v>
          </cell>
          <cell r="B1877" t="str">
            <v>EEETG1H101UP</v>
          </cell>
          <cell r="C1877" t="str">
            <v>CAP</v>
          </cell>
          <cell r="F1877" t="str">
            <v>CAP,SMD,AL,ELCTLT,TG,L-E,20%,50v,100UF R</v>
          </cell>
        </row>
        <row r="1878">
          <cell r="A1878" t="str">
            <v>668-096777-037</v>
          </cell>
          <cell r="B1878" t="str">
            <v>DLS4XP4AA35X</v>
          </cell>
          <cell r="C1878" t="str">
            <v>CONN</v>
          </cell>
          <cell r="F1878" t="str">
            <v>CONN,DSUB,37P,M,STR,BRD LCK,ROHS</v>
          </cell>
        </row>
        <row r="1879">
          <cell r="A1879" t="str">
            <v>615-901303-909</v>
          </cell>
          <cell r="B1879" t="str">
            <v>RC0805FR-07909KL</v>
          </cell>
          <cell r="C1879" t="str">
            <v>RES</v>
          </cell>
          <cell r="F1879" t="str">
            <v>RES,0805,909K,1%,1/10W,ROHS</v>
          </cell>
        </row>
        <row r="1880">
          <cell r="A1880" t="str">
            <v>723-265786-001</v>
          </cell>
          <cell r="B1880" t="str">
            <v>KFE-M3-6ET</v>
          </cell>
          <cell r="C1880" t="str">
            <v>STDF</v>
          </cell>
          <cell r="D1880" t="str">
            <v>Hardware</v>
          </cell>
          <cell r="F1880" t="str">
            <v>STDF,RND,M3,6 MM LG,CS</v>
          </cell>
        </row>
        <row r="1881">
          <cell r="A1881" t="str">
            <v>615-188550-001</v>
          </cell>
          <cell r="B1881" t="str">
            <v>RMCF0603ZT0R00</v>
          </cell>
          <cell r="C1881" t="str">
            <v>RES</v>
          </cell>
          <cell r="F1881" t="str">
            <v>RES,SMD,0 OHM,1/10W,0603</v>
          </cell>
        </row>
        <row r="1882">
          <cell r="A1882" t="str">
            <v>632-039248-001</v>
          </cell>
          <cell r="B1882" t="str">
            <v>TXS2SA-4.5V</v>
          </cell>
          <cell r="C1882" t="str">
            <v>RLY</v>
          </cell>
          <cell r="F1882" t="str">
            <v>RLY,SMD,DPDT,S-SIDE STABLE 4.5V</v>
          </cell>
        </row>
        <row r="1883">
          <cell r="A1883" t="str">
            <v>648-327894-335</v>
          </cell>
          <cell r="B1883" t="str">
            <v>C1206C335K3RACTU</v>
          </cell>
          <cell r="C1883" t="str">
            <v>CAP</v>
          </cell>
          <cell r="F1883" t="str">
            <v>CAP,SMD,1206,MLCC,3.3UF,±10TOL,25V,X7R</v>
          </cell>
        </row>
        <row r="1884">
          <cell r="A1884" t="str">
            <v>648-217854-002</v>
          </cell>
          <cell r="B1884" t="str">
            <v>GRM32ER72A105KA01L</v>
          </cell>
          <cell r="C1884" t="str">
            <v>CAP</v>
          </cell>
          <cell r="F1884" t="str">
            <v>CAP,SMD,100V,10%,X7R,1UF,1210</v>
          </cell>
        </row>
        <row r="1885">
          <cell r="A1885" t="str">
            <v>32-10022-00</v>
          </cell>
          <cell r="B1885" t="str">
            <v>MT212TB-G-A</v>
          </cell>
          <cell r="C1885" t="str">
            <v>LED</v>
          </cell>
          <cell r="F1885" t="str">
            <v>LED,GREEN RECTANGULAR</v>
          </cell>
        </row>
        <row r="1886">
          <cell r="A1886" t="str">
            <v>631-099701-003</v>
          </cell>
          <cell r="B1886" t="str">
            <v>HFBR-1531ETZ</v>
          </cell>
          <cell r="C1886" t="str">
            <v>IC</v>
          </cell>
          <cell r="F1886" t="str">
            <v>IC,XMTR,FIBER OPTIC,ROHS</v>
          </cell>
        </row>
        <row r="1887">
          <cell r="A1887" t="str">
            <v>615-A37741-001</v>
          </cell>
          <cell r="B1887" t="str">
            <v>CPF0402B442RE1</v>
          </cell>
          <cell r="C1887" t="str">
            <v>RES</v>
          </cell>
          <cell r="F1887" t="str">
            <v>RES,SMD,442OHM,±0.1%,25PPM,1/16W,0402</v>
          </cell>
        </row>
        <row r="1888">
          <cell r="A1888" t="str">
            <v>648-A42426-106</v>
          </cell>
          <cell r="B1888" t="str">
            <v>CL31B106KOHNNNE</v>
          </cell>
          <cell r="C1888" t="str">
            <v>CAP</v>
          </cell>
          <cell r="F1888" t="str">
            <v>CAP,SMD,CER,X7R,10UF,10%,16VDC,1206</v>
          </cell>
        </row>
        <row r="1889">
          <cell r="A1889" t="str">
            <v>615-052828-200</v>
          </cell>
          <cell r="B1889" t="str">
            <v>RG2012P-204-B</v>
          </cell>
          <cell r="C1889" t="str">
            <v>RES</v>
          </cell>
          <cell r="F1889" t="str">
            <v>RES,SMD,0805,MF,1/10W,0.1%,200K</v>
          </cell>
        </row>
        <row r="1890">
          <cell r="A1890" t="str">
            <v>615-068560-113</v>
          </cell>
          <cell r="B1890" t="str">
            <v>RMCF0603FT11K3</v>
          </cell>
          <cell r="C1890" t="str">
            <v>RES</v>
          </cell>
          <cell r="F1890" t="str">
            <v>RES,0603,THKF,1%,100PPM,11.3K,ROHS</v>
          </cell>
        </row>
        <row r="1891">
          <cell r="A1891" t="str">
            <v>648-232480-001</v>
          </cell>
          <cell r="B1891" t="str">
            <v>CL10B105KO8NNNC</v>
          </cell>
          <cell r="C1891" t="str">
            <v>CAP</v>
          </cell>
          <cell r="F1891" t="str">
            <v>CAP,SMD,CER,1UF,10%,X7R,16V</v>
          </cell>
        </row>
        <row r="1892">
          <cell r="A1892" t="str">
            <v>615-068559-787</v>
          </cell>
          <cell r="B1892" t="str">
            <v>AC0603FR-077K87L</v>
          </cell>
          <cell r="C1892" t="str">
            <v>RES</v>
          </cell>
          <cell r="F1892" t="str">
            <v>RES,0603,THKF,1%,1/10W,100PPM,7.87K,ROHS</v>
          </cell>
        </row>
        <row r="1893">
          <cell r="A1893" t="str">
            <v>682-138807-008</v>
          </cell>
          <cell r="B1893" t="str">
            <v>0452005.MRL</v>
          </cell>
          <cell r="C1893" t="str">
            <v>FUSE</v>
          </cell>
          <cell r="D1893" t="str">
            <v>AC Box</v>
          </cell>
          <cell r="F1893" t="str">
            <v>FUSE,SMD,5A,125V,SLOBLO,NANO2</v>
          </cell>
        </row>
        <row r="1894">
          <cell r="A1894" t="str">
            <v>608-096583-504</v>
          </cell>
          <cell r="B1894" t="str">
            <v>3269W-1-504LF</v>
          </cell>
          <cell r="C1894" t="str">
            <v>RES</v>
          </cell>
          <cell r="F1894" t="str">
            <v>RES,SMD,POT,12T,T-ADJ,0.25SQ,500K,ROHS</v>
          </cell>
        </row>
        <row r="1895">
          <cell r="A1895" t="str">
            <v>615-068559-432</v>
          </cell>
          <cell r="B1895" t="str">
            <v>RMCF0603FT4K32</v>
          </cell>
          <cell r="C1895" t="str">
            <v>RES</v>
          </cell>
          <cell r="F1895" t="str">
            <v>RES,0603,THKF,1%,1/10W,100PPM,4.32K ROHS</v>
          </cell>
        </row>
        <row r="1896">
          <cell r="A1896" t="str">
            <v>615-A00424-205</v>
          </cell>
          <cell r="B1896" t="str">
            <v>ERA-2AEB2052X</v>
          </cell>
          <cell r="C1896" t="str">
            <v>RES</v>
          </cell>
          <cell r="F1896" t="str">
            <v>RES,SMD,20.5KOHM,0.1%,1/16W,0402</v>
          </cell>
        </row>
        <row r="1897">
          <cell r="A1897" t="str">
            <v>615-068559-357</v>
          </cell>
          <cell r="B1897" t="str">
            <v>AC0603FR-073K57L</v>
          </cell>
          <cell r="C1897" t="str">
            <v>RES</v>
          </cell>
          <cell r="F1897" t="str">
            <v>RES,0603,THKF,1%,1/10W,3.57K,ROHS</v>
          </cell>
        </row>
        <row r="1898">
          <cell r="A1898" t="str">
            <v>668-A51618-026</v>
          </cell>
          <cell r="B1898" t="str">
            <v>163A17059X</v>
          </cell>
          <cell r="C1898" t="str">
            <v>CONN</v>
          </cell>
          <cell r="F1898" t="str">
            <v>CONN,PLUG,D-SUB,H DENSITY,26POSN,3A,60V</v>
          </cell>
        </row>
        <row r="1899">
          <cell r="A1899" t="str">
            <v>615-121726-049</v>
          </cell>
          <cell r="B1899" t="str">
            <v>MR04X49R9FTL</v>
          </cell>
          <cell r="C1899" t="str">
            <v>RES</v>
          </cell>
          <cell r="F1899" t="str">
            <v>RES,SMD,49.9 OHM,1/10W,1%,0402</v>
          </cell>
        </row>
        <row r="1900">
          <cell r="A1900" t="str">
            <v>630-A21767-001</v>
          </cell>
          <cell r="B1900" t="str">
            <v>ATL432LIBQDBZRQ1</v>
          </cell>
          <cell r="C1900" t="str">
            <v>IC</v>
          </cell>
          <cell r="F1900" t="str">
            <v>IC,REG,SH,ADJ,2.5-36VOUT,0.15A,SOT-23-3</v>
          </cell>
        </row>
        <row r="1901">
          <cell r="A1901" t="str">
            <v>648-225257-037</v>
          </cell>
          <cell r="B1901" t="str">
            <v>C1608C0G1H102J080AA</v>
          </cell>
          <cell r="C1901" t="str">
            <v>CAP</v>
          </cell>
          <cell r="F1901" t="str">
            <v>CAP,SMD,NPO,1.0NF,5%,50V,0603</v>
          </cell>
        </row>
        <row r="1902">
          <cell r="A1902" t="str">
            <v>615-097890-393</v>
          </cell>
          <cell r="B1902" t="str">
            <v>RC1206JR-0739KL</v>
          </cell>
          <cell r="C1902" t="str">
            <v>RES</v>
          </cell>
          <cell r="F1902" t="str">
            <v>RES,SMD,1206,39K 5% 1/8W,ROHS</v>
          </cell>
        </row>
        <row r="1903">
          <cell r="A1903" t="str">
            <v>648-325878-001</v>
          </cell>
          <cell r="B1903" t="str">
            <v>C0805C474J5RACTU</v>
          </cell>
          <cell r="C1903" t="str">
            <v>CAP</v>
          </cell>
          <cell r="F1903" t="str">
            <v>CAP,SMD,CER,.47UF,±5% TOL,50VDC,X7R,0805</v>
          </cell>
        </row>
        <row r="1904">
          <cell r="A1904" t="str">
            <v>682-117131-009</v>
          </cell>
          <cell r="B1904" t="str">
            <v>2920L200/24DR</v>
          </cell>
          <cell r="C1904" t="str">
            <v>FUSE</v>
          </cell>
          <cell r="D1904" t="str">
            <v>AC Box</v>
          </cell>
          <cell r="F1904" t="str">
            <v>FUSE,SMD,2920,RESETABLE,24V,2A,ROHS</v>
          </cell>
        </row>
        <row r="1905">
          <cell r="A1905" t="str">
            <v>615-A00422-453</v>
          </cell>
          <cell r="B1905" t="str">
            <v>ERA-2AEB4530X</v>
          </cell>
          <cell r="C1905" t="str">
            <v>RES</v>
          </cell>
          <cell r="F1905" t="str">
            <v>RES SMD 453 OHM 0.1% 1/16W 0402</v>
          </cell>
        </row>
        <row r="1906">
          <cell r="A1906" t="str">
            <v>648-099898-473</v>
          </cell>
          <cell r="B1906" t="str">
            <v>08055C473KAT2A</v>
          </cell>
          <cell r="C1906" t="str">
            <v>CAP</v>
          </cell>
          <cell r="F1906" t="str">
            <v>CAP,SMD,CER,.047UF,0805,10%,X7R,50V,ROHS</v>
          </cell>
        </row>
        <row r="1907">
          <cell r="A1907" t="str">
            <v>615-A00424-261</v>
          </cell>
          <cell r="B1907" t="str">
            <v>ERA-2AEB2612X</v>
          </cell>
          <cell r="C1907" t="str">
            <v>RES</v>
          </cell>
          <cell r="F1907" t="str">
            <v>RES,SMD,26.1KOHM,0.1%,1/16W,0402</v>
          </cell>
        </row>
        <row r="1908">
          <cell r="A1908" t="str">
            <v>682-020656-003</v>
          </cell>
          <cell r="B1908" t="str">
            <v>1812L020PR</v>
          </cell>
          <cell r="C1908" t="str">
            <v>FUSE</v>
          </cell>
          <cell r="D1908" t="str">
            <v>AC Box</v>
          </cell>
          <cell r="F1908" t="str">
            <v>FUSE,SMD,1812,6V-30V,200MA,ROHS</v>
          </cell>
        </row>
        <row r="1909">
          <cell r="A1909" t="str">
            <v>615-068560-232</v>
          </cell>
          <cell r="B1909" t="str">
            <v>CRCW060323K2FKEA</v>
          </cell>
          <cell r="C1909" t="str">
            <v>RES</v>
          </cell>
          <cell r="F1909" t="str">
            <v>RES,0603,THKF,1%,100PPM,23.2K,ROHS</v>
          </cell>
        </row>
        <row r="1910">
          <cell r="A1910" t="str">
            <v>630-341691-001</v>
          </cell>
          <cell r="B1910" t="str">
            <v>LTC4231HMS-1#PBF</v>
          </cell>
          <cell r="C1910" t="str">
            <v>IC</v>
          </cell>
          <cell r="F1910" t="str">
            <v>IC,SMD,HOT SWAP CONT,2.7-36V,4UA,12-MSOP</v>
          </cell>
        </row>
        <row r="1911">
          <cell r="A1911" t="str">
            <v>615-A00422-464</v>
          </cell>
          <cell r="B1911" t="str">
            <v>ERA-2AEB4640X</v>
          </cell>
          <cell r="C1911" t="str">
            <v>RES</v>
          </cell>
          <cell r="F1911" t="str">
            <v>RES SMD 464 OHM 0.1% 1/16W 0402</v>
          </cell>
        </row>
        <row r="1912">
          <cell r="A1912" t="str">
            <v>669-121789-001</v>
          </cell>
          <cell r="B1912" t="str">
            <v>172-978-100-201</v>
          </cell>
          <cell r="C1912" t="str">
            <v>CONT</v>
          </cell>
          <cell r="F1912" t="str">
            <v>CONT,SKT,40A</v>
          </cell>
        </row>
        <row r="1913">
          <cell r="A1913" t="str">
            <v>639-065795-001</v>
          </cell>
          <cell r="B1913" t="str">
            <v>M2022-ALC</v>
          </cell>
          <cell r="C1913" t="str">
            <v>IDCTR</v>
          </cell>
          <cell r="F1913" t="str">
            <v>IDCTR,SMD,COM MODE FLTR,ROHS</v>
          </cell>
        </row>
        <row r="1914">
          <cell r="A1914" t="str">
            <v>621-092237-102</v>
          </cell>
          <cell r="B1914" t="str">
            <v>67F5846</v>
          </cell>
          <cell r="C1914" t="str">
            <v>POT</v>
          </cell>
          <cell r="F1914" t="str">
            <v>POT,MULT TURN 1/4W,10%,1K</v>
          </cell>
        </row>
        <row r="1915">
          <cell r="A1915" t="str">
            <v>630-311294-001</v>
          </cell>
          <cell r="B1915" t="str">
            <v>LT8645SEV#PBF</v>
          </cell>
          <cell r="C1915" t="str">
            <v>IC</v>
          </cell>
          <cell r="F1915" t="str">
            <v>IC,SMD,REG,BUCK,ADJ,7A,65V,32LQFN</v>
          </cell>
        </row>
        <row r="1916">
          <cell r="A1916" t="str">
            <v>648-046808-112</v>
          </cell>
          <cell r="B1916" t="str">
            <v>6560N112J103P</v>
          </cell>
          <cell r="C1916" t="str">
            <v>CAP</v>
          </cell>
          <cell r="F1916" t="str">
            <v>CAP,SMD,NPO,1.1NF,5%,10KV</v>
          </cell>
        </row>
        <row r="1917">
          <cell r="A1917" t="str">
            <v>667-188523-001</v>
          </cell>
          <cell r="B1917" t="str">
            <v>87832-1420</v>
          </cell>
          <cell r="C1917" t="str">
            <v>CONN</v>
          </cell>
          <cell r="F1917" t="str">
            <v>CONN,SMD,HEADER,14POS,2MM,VERT</v>
          </cell>
        </row>
        <row r="1918">
          <cell r="A1918" t="str">
            <v>615-121726-105</v>
          </cell>
          <cell r="B1918" t="str">
            <v>RK73H1ETTP1004F</v>
          </cell>
          <cell r="C1918" t="str">
            <v>RES</v>
          </cell>
          <cell r="F1918" t="str">
            <v>RES,SMD,1M,1/10W,1%,0402</v>
          </cell>
        </row>
        <row r="1919">
          <cell r="A1919" t="str">
            <v>630-A54657-001</v>
          </cell>
          <cell r="B1919" t="str">
            <v>ATSAMD21E18A-AFT</v>
          </cell>
          <cell r="C1919" t="str">
            <v>IC</v>
          </cell>
          <cell r="F1919" t="str">
            <v>IC,SMD,MICRO CONT,256KB,FLASH,32-TQFP</v>
          </cell>
        </row>
        <row r="1920">
          <cell r="A1920" t="str">
            <v>730-061071-004</v>
          </cell>
          <cell r="B1920" t="str">
            <v>ORDERTOSPECIFICATION</v>
          </cell>
          <cell r="C1920" t="str">
            <v>NUT</v>
          </cell>
          <cell r="D1920" t="str">
            <v>Hardware</v>
          </cell>
          <cell r="F1920" t="str">
            <v>NUT,HEX,M4 X .7 X 3.2</v>
          </cell>
        </row>
        <row r="1921">
          <cell r="A1921" t="str">
            <v>668-007087-009</v>
          </cell>
          <cell r="B1921" t="str">
            <v>350712-4</v>
          </cell>
          <cell r="C1921" t="str">
            <v>CONN</v>
          </cell>
          <cell r="F1921" t="str">
            <v>CONN,HDR,PCB,M-ST,UNV M-N-LOK,9P,ROHS</v>
          </cell>
        </row>
        <row r="1922">
          <cell r="A1922" t="str">
            <v>668-091568-096</v>
          </cell>
          <cell r="B1922" t="str">
            <v>535032-4</v>
          </cell>
          <cell r="C1922" t="str">
            <v>CONN</v>
          </cell>
          <cell r="F1922" t="str">
            <v>CONN,DIN C TYPE,FML,96 PIN</v>
          </cell>
        </row>
        <row r="1923">
          <cell r="A1923" t="str">
            <v>668-270723-001</v>
          </cell>
          <cell r="B1923" t="str">
            <v>3007W2PCT56N40X</v>
          </cell>
          <cell r="C1923" t="str">
            <v>CONN</v>
          </cell>
          <cell r="F1923" t="str">
            <v>CONN,PLUG,MALE,D-SUB,7POSN,2ROW,7W2</v>
          </cell>
        </row>
        <row r="1924">
          <cell r="A1924" t="str">
            <v>668-132368-015</v>
          </cell>
          <cell r="B1924" t="str">
            <v>164A16579X</v>
          </cell>
          <cell r="C1924" t="str">
            <v>CONN</v>
          </cell>
          <cell r="F1924" t="str">
            <v>CONN,DSUB,RCPT,VERT PCB,SOLDER,15P,ROHS</v>
          </cell>
        </row>
        <row r="1925">
          <cell r="A1925" t="str">
            <v>630-B06281-001</v>
          </cell>
          <cell r="B1925" t="str">
            <v>74HCT7541PW118</v>
          </cell>
          <cell r="C1925" t="str">
            <v>IC</v>
          </cell>
          <cell r="F1925" t="str">
            <v>IC,SMD,BFR,3 STATE,8-BIT,6V,TSSOP20</v>
          </cell>
        </row>
        <row r="1926">
          <cell r="A1926" t="str">
            <v>723-308078-046</v>
          </cell>
          <cell r="B1926" t="str">
            <v>3050T-B-632-B-16</v>
          </cell>
          <cell r="C1926" t="str">
            <v>STDF</v>
          </cell>
          <cell r="D1926" t="str">
            <v>Hardware</v>
          </cell>
          <cell r="F1926" t="str">
            <v>STDF,RND,SWAGE,1/4,15/32",6-32,.105,ROHS</v>
          </cell>
        </row>
        <row r="1927">
          <cell r="A1927" t="str">
            <v>630-311256-001</v>
          </cell>
          <cell r="B1927" t="str">
            <v>LMZ14201HTZX/NOPB</v>
          </cell>
          <cell r="C1927" t="str">
            <v>IC</v>
          </cell>
          <cell r="F1927" t="str">
            <v>IC,SMD,BUCK,SYNC,ADJ,1A,TO-PMOD-7,ROHS</v>
          </cell>
        </row>
        <row r="1928">
          <cell r="A1928" t="str">
            <v>668-318161-001</v>
          </cell>
          <cell r="B1928" t="str">
            <v>302W2CPXX57N40X</v>
          </cell>
          <cell r="C1928" t="str">
            <v>CONN</v>
          </cell>
          <cell r="F1928" t="str">
            <v>CONN,PLUG,COMBO D-SUB,M/F,2P,30A</v>
          </cell>
        </row>
        <row r="1929">
          <cell r="A1929" t="str">
            <v>660-121917-001</v>
          </cell>
          <cell r="B1929" t="str">
            <v>2AA12-N4-I10-Y83-M</v>
          </cell>
          <cell r="C1929" t="str">
            <v>PS</v>
          </cell>
          <cell r="F1929" t="str">
            <v>PS,DC-DC CONV,HV,12V INPUT,-2KV OUT,4W</v>
          </cell>
        </row>
        <row r="1930">
          <cell r="A1930" t="str">
            <v>630-225113-001</v>
          </cell>
          <cell r="B1930" t="str">
            <v>TPS7A4701RGWR</v>
          </cell>
          <cell r="C1930" t="str">
            <v>IC</v>
          </cell>
          <cell r="F1930" t="str">
            <v>IC,SMD,LOW NOISE VREG,0.3VD,1.0A</v>
          </cell>
        </row>
        <row r="1931">
          <cell r="A1931" t="str">
            <v>662-060106-012</v>
          </cell>
          <cell r="B1931" t="str">
            <v>555-2401F</v>
          </cell>
          <cell r="C1931" t="str">
            <v>LED</v>
          </cell>
          <cell r="F1931" t="str">
            <v>L.E.D., RT ANGLE, YLW 2.2V,RoHS</v>
          </cell>
        </row>
        <row r="1932">
          <cell r="A1932" t="str">
            <v>630-197619-001</v>
          </cell>
          <cell r="B1932" t="str">
            <v>NCV8405BDTRKG</v>
          </cell>
          <cell r="C1932" t="str">
            <v>IC</v>
          </cell>
          <cell r="F1932" t="str">
            <v>IC,SMD,DRIVER,LOW SIDE,DPAK-3,ROHS</v>
          </cell>
        </row>
        <row r="1933">
          <cell r="A1933" t="str">
            <v>668-346844-003</v>
          </cell>
          <cell r="B1933" t="str">
            <v>5-103635-3</v>
          </cell>
          <cell r="C1933" t="str">
            <v>CONN</v>
          </cell>
          <cell r="F1933" t="str">
            <v>CONN,HDR,MALE,4POS,3A,RTANG,SLDR,THT</v>
          </cell>
        </row>
        <row r="1934">
          <cell r="A1934" t="str">
            <v>723-084496-010</v>
          </cell>
          <cell r="B1934" t="str">
            <v>M2145-4007-SS-20</v>
          </cell>
          <cell r="C1934" t="str">
            <v>STDF</v>
          </cell>
          <cell r="D1934" t="str">
            <v>Hardware</v>
          </cell>
          <cell r="F1934" t="str">
            <v>STDF,HEX,6MM,M/F,SST,M4X.7X10MM</v>
          </cell>
        </row>
        <row r="1935">
          <cell r="A1935" t="str">
            <v>779-002694-001</v>
          </cell>
          <cell r="B1935" t="str">
            <v>QII-0.006-00-61</v>
          </cell>
          <cell r="C1935" t="str">
            <v>HTSK</v>
          </cell>
          <cell r="F1935" t="str">
            <v>HTSK,THERMAL CONDUCTOR,TO-220</v>
          </cell>
        </row>
        <row r="1936">
          <cell r="A1936" t="str">
            <v>668-334311-001</v>
          </cell>
          <cell r="B1936" t="str">
            <v>DAMZ-3H3S-N-A197</v>
          </cell>
          <cell r="C1936" t="str">
            <v>CONN</v>
          </cell>
          <cell r="F1936" t="str">
            <v>CONN,RCPT,D-SUB,3POSN,8AWG,40A,PCB MT</v>
          </cell>
        </row>
        <row r="1937">
          <cell r="A1937" t="str">
            <v>644-059699-005</v>
          </cell>
          <cell r="B1937" t="str">
            <v>500-231</v>
          </cell>
          <cell r="C1937" t="str">
            <v>RLY</v>
          </cell>
          <cell r="F1937" t="str">
            <v>RLY,HV,REED,DPDT</v>
          </cell>
        </row>
        <row r="1938">
          <cell r="A1938" t="str">
            <v>660-169194-001</v>
          </cell>
          <cell r="B1938" t="str">
            <v>E10590</v>
          </cell>
          <cell r="C1938" t="str">
            <v>PS</v>
          </cell>
          <cell r="F1938" t="str">
            <v>PS,HV,DC-DC,8KV CT,10W</v>
          </cell>
        </row>
        <row r="1939">
          <cell r="A1939" t="str">
            <v>34-323243-00</v>
          </cell>
          <cell r="B1939" t="str">
            <v>206-122ST</v>
          </cell>
          <cell r="C1939" t="str">
            <v>SW</v>
          </cell>
          <cell r="F1939" t="str">
            <v>SWITCH,DIP,1A,50VDC,2POS,SPDT,THRU HOLE</v>
          </cell>
        </row>
        <row r="1940">
          <cell r="A1940" t="str">
            <v>39-130654-09</v>
          </cell>
          <cell r="B1940" t="str">
            <v>HM09ST29J</v>
          </cell>
          <cell r="C1940" t="str">
            <v>CONN</v>
          </cell>
          <cell r="F1940" t="str">
            <v>CONN,DSUB,9M,PCB STRT,0.25"</v>
          </cell>
        </row>
        <row r="1941">
          <cell r="A1941" t="str">
            <v>39-164243-09</v>
          </cell>
          <cell r="B1941" t="str">
            <v>2-5748003-0</v>
          </cell>
          <cell r="C1941" t="str">
            <v>CONN</v>
          </cell>
          <cell r="F1941" t="str">
            <v>CONN, DSUB,9M,PCB STRT,4-40</v>
          </cell>
        </row>
        <row r="1942">
          <cell r="A1942" t="str">
            <v>39-354268-00</v>
          </cell>
          <cell r="B1942" t="str">
            <v>350759-5</v>
          </cell>
          <cell r="C1942" t="str">
            <v>CONN</v>
          </cell>
          <cell r="F1942" t="str">
            <v>CONN,ML,2 POS,F</v>
          </cell>
        </row>
        <row r="1943">
          <cell r="A1943" t="str">
            <v>608-096583-102</v>
          </cell>
          <cell r="B1943" t="str">
            <v>3269W-1-102LF</v>
          </cell>
          <cell r="C1943" t="str">
            <v>RES</v>
          </cell>
          <cell r="F1943" t="str">
            <v>RES,SMD,POT,12T,T-ADJ,0.25SQ,1K,ROHS</v>
          </cell>
        </row>
        <row r="1944">
          <cell r="A1944" t="str">
            <v>609-034003-020</v>
          </cell>
          <cell r="B1944" t="str">
            <v>SMBJ26A</v>
          </cell>
          <cell r="C1944" t="str">
            <v>DIO</v>
          </cell>
          <cell r="F1944" t="str">
            <v>DIO,SMD,PWR,TVS,600W 26V ROHS</v>
          </cell>
        </row>
        <row r="1945">
          <cell r="A1945" t="str">
            <v>609-118138-010</v>
          </cell>
          <cell r="B1945" t="str">
            <v>SMF10A</v>
          </cell>
          <cell r="C1945" t="str">
            <v>DIO</v>
          </cell>
          <cell r="F1945" t="str">
            <v>DIO,SMD,TVS,UNI-DIR,SMF,10V,ROHS</v>
          </cell>
        </row>
        <row r="1946">
          <cell r="A1946" t="str">
            <v>609-118138-015</v>
          </cell>
          <cell r="B1946" t="str">
            <v>SMF15A</v>
          </cell>
          <cell r="C1946" t="str">
            <v>DIO</v>
          </cell>
          <cell r="F1946" t="str">
            <v>DIO,SMD,TVS,UNI-DIR,SMF,15V,ROHS</v>
          </cell>
        </row>
        <row r="1947">
          <cell r="A1947" t="str">
            <v>609-252161-001</v>
          </cell>
          <cell r="B1947" t="str">
            <v>PMEG4020EPK,315</v>
          </cell>
          <cell r="C1947" t="str">
            <v>DIO</v>
          </cell>
          <cell r="F1947" t="str">
            <v>DIO,SMD,SCHOTTKY,40V,2A,2DFN</v>
          </cell>
        </row>
        <row r="1948">
          <cell r="A1948" t="str">
            <v>609-255282-001</v>
          </cell>
          <cell r="B1948" t="str">
            <v>VESD03A1C-HD1-GS08</v>
          </cell>
          <cell r="C1948" t="str">
            <v>DIO</v>
          </cell>
          <cell r="F1948" t="str">
            <v>DIO,SMD,TVS,3.3VWM,10VC,2LLP,ROHS</v>
          </cell>
        </row>
        <row r="1949">
          <cell r="A1949" t="str">
            <v>609-282825-001</v>
          </cell>
          <cell r="B1949" t="str">
            <v>SS10PH10-M3/86A</v>
          </cell>
          <cell r="C1949" t="str">
            <v>DIO</v>
          </cell>
          <cell r="F1949" t="str">
            <v>DIO,SMD,PWR,SCHOTTKY,100V,10A,TO277A</v>
          </cell>
        </row>
        <row r="1950">
          <cell r="A1950" t="str">
            <v>609-901010-150</v>
          </cell>
          <cell r="B1950" t="str">
            <v>SMCJ12CA</v>
          </cell>
          <cell r="C1950" t="str">
            <v>DIO</v>
          </cell>
          <cell r="F1950" t="str">
            <v>DIODE,SMD,TVS,1%,1.5KW,12V</v>
          </cell>
        </row>
        <row r="1951">
          <cell r="A1951" t="str">
            <v>611-260196-001</v>
          </cell>
          <cell r="B1951" t="str">
            <v>BZX84-C10</v>
          </cell>
          <cell r="C1951" t="str">
            <v>DIO</v>
          </cell>
          <cell r="F1951" t="str">
            <v>DIO,ZENER,V RGLTR, ±5%TOL,10V,20OHM,SGL</v>
          </cell>
        </row>
        <row r="1952">
          <cell r="A1952" t="str">
            <v>615-052827-243</v>
          </cell>
          <cell r="B1952" t="str">
            <v>ERA6AEB243V</v>
          </cell>
          <cell r="C1952" t="str">
            <v>RES</v>
          </cell>
          <cell r="F1952" t="str">
            <v>RES,0805,MF,1/8W,0.1%,24K ROHS</v>
          </cell>
        </row>
        <row r="1953">
          <cell r="A1953" t="str">
            <v>615-098001-475</v>
          </cell>
          <cell r="B1953" t="str">
            <v>CRCW12064K75FKEA</v>
          </cell>
          <cell r="C1953" t="str">
            <v>RES</v>
          </cell>
          <cell r="F1953" t="str">
            <v>RES,1206,1% 1/4W,4.75K ROHS</v>
          </cell>
        </row>
        <row r="1954">
          <cell r="A1954" t="str">
            <v>615-121726-063</v>
          </cell>
          <cell r="B1954" t="str">
            <v>RK73H1ETTP5601F</v>
          </cell>
          <cell r="C1954" t="str">
            <v>RES</v>
          </cell>
          <cell r="F1954" t="str">
            <v>RES,SMD,5.6K,1/10W,1%,0402</v>
          </cell>
        </row>
        <row r="1955">
          <cell r="A1955" t="str">
            <v>615-123459-221</v>
          </cell>
          <cell r="B1955" t="str">
            <v>RC0402FR-0722R1L</v>
          </cell>
          <cell r="C1955" t="str">
            <v>RES</v>
          </cell>
          <cell r="F1955" t="str">
            <v>RES,0402,THKF,1/16W,1% 22.1 ROHS</v>
          </cell>
        </row>
        <row r="1956">
          <cell r="A1956" t="str">
            <v>615-123459-499</v>
          </cell>
          <cell r="B1956" t="str">
            <v>RC0402FR-0749R9L</v>
          </cell>
          <cell r="C1956" t="str">
            <v>RES</v>
          </cell>
          <cell r="F1956" t="str">
            <v>RES,0402,THKF,1/16W,1% 49.9 ROHS</v>
          </cell>
        </row>
        <row r="1957">
          <cell r="A1957" t="str">
            <v>615-123461-200</v>
          </cell>
          <cell r="B1957" t="str">
            <v>CRCW04022K00FKEDC</v>
          </cell>
          <cell r="C1957" t="str">
            <v>RES</v>
          </cell>
          <cell r="F1957" t="str">
            <v>RES,0402,THKF,1/16W,1% 2.00K ROHS</v>
          </cell>
        </row>
        <row r="1958">
          <cell r="A1958" t="str">
            <v>615-123461-562</v>
          </cell>
          <cell r="B1958" t="str">
            <v>RC0402FR-075K62L</v>
          </cell>
          <cell r="C1958" t="str">
            <v>RES</v>
          </cell>
          <cell r="F1958" t="str">
            <v>RES,0402,THKF,1/16W,1% 5.62K ROHS</v>
          </cell>
        </row>
        <row r="1959">
          <cell r="A1959" t="str">
            <v>615-123462-100</v>
          </cell>
          <cell r="B1959" t="str">
            <v>RC0402FR-0710KL</v>
          </cell>
          <cell r="C1959" t="str">
            <v>RES</v>
          </cell>
          <cell r="F1959" t="str">
            <v>RES,0402,THKF,1/16W,1% 10.0K ROHS</v>
          </cell>
        </row>
        <row r="1960">
          <cell r="A1960" t="str">
            <v>615-123462-412</v>
          </cell>
          <cell r="B1960" t="str">
            <v>RC0402FR-0741K2L</v>
          </cell>
          <cell r="C1960" t="str">
            <v>RES</v>
          </cell>
          <cell r="F1960" t="str">
            <v>RES,0402,THKF,1/16W,1% 41.2K ROHS</v>
          </cell>
        </row>
        <row r="1961">
          <cell r="A1961" t="str">
            <v>615-123462-619</v>
          </cell>
          <cell r="B1961" t="str">
            <v>RC0402FR-0761K9L</v>
          </cell>
          <cell r="C1961" t="str">
            <v>RES</v>
          </cell>
          <cell r="F1961" t="str">
            <v>RES,0402,THKF,1/16W,1% 61.9K ROHS</v>
          </cell>
        </row>
        <row r="1962">
          <cell r="A1962" t="str">
            <v>615-123462-665</v>
          </cell>
          <cell r="B1962" t="str">
            <v>RC0402FR-0766K5L</v>
          </cell>
          <cell r="C1962" t="str">
            <v>RES</v>
          </cell>
          <cell r="F1962" t="str">
            <v>RES,0402,THKF,1/16W,1% 66.5K ROHS</v>
          </cell>
        </row>
        <row r="1963">
          <cell r="A1963" t="str">
            <v>615-123462-681</v>
          </cell>
          <cell r="B1963" t="str">
            <v>RC0402FR-0768K1L</v>
          </cell>
          <cell r="C1963" t="str">
            <v>RES</v>
          </cell>
          <cell r="F1963" t="str">
            <v>RES,0402,THKF,1/16W,1% 68.1K ROHS</v>
          </cell>
        </row>
        <row r="1964">
          <cell r="A1964" t="str">
            <v>615-123462-698</v>
          </cell>
          <cell r="B1964" t="str">
            <v>RC0402FR-0769K8L</v>
          </cell>
          <cell r="C1964" t="str">
            <v>RES</v>
          </cell>
          <cell r="F1964" t="str">
            <v>RES,0402,THKF,1/16W,1% 69.8K ROHS</v>
          </cell>
        </row>
        <row r="1965">
          <cell r="A1965" t="str">
            <v>615-123463-187</v>
          </cell>
          <cell r="B1965" t="str">
            <v>CR0402-FX-1873GLF</v>
          </cell>
          <cell r="C1965" t="str">
            <v>RES</v>
          </cell>
          <cell r="F1965" t="str">
            <v>RES,0402,THKF,1/16W,1% 187K ROHS</v>
          </cell>
        </row>
        <row r="1966">
          <cell r="A1966" t="str">
            <v>615-123464-301</v>
          </cell>
          <cell r="B1966" t="str">
            <v>RC0402FR-073M01L</v>
          </cell>
          <cell r="C1966" t="str">
            <v>RES</v>
          </cell>
          <cell r="F1966" t="str">
            <v>RES,0402,THKF,1/16W,1% 3.01M ROHS</v>
          </cell>
        </row>
        <row r="1967">
          <cell r="A1967" t="str">
            <v>615-125553-010</v>
          </cell>
          <cell r="B1967" t="str">
            <v>LRC-LRF2512LF-01-R010-F</v>
          </cell>
          <cell r="C1967" t="str">
            <v>RES</v>
          </cell>
          <cell r="F1967" t="str">
            <v>RES,SMD,.010 OHM 2W 1% 2512,ROHS</v>
          </cell>
        </row>
        <row r="1968">
          <cell r="A1968" t="str">
            <v>615-136218-001</v>
          </cell>
          <cell r="B1968" t="str">
            <v>RC0402JR-070RL</v>
          </cell>
          <cell r="C1968" t="str">
            <v>RES</v>
          </cell>
          <cell r="F1968" t="str">
            <v>RES,SMD,0.0 OHM 1/16W 0402,ROHS</v>
          </cell>
        </row>
        <row r="1969">
          <cell r="A1969" t="str">
            <v>615-162861-146</v>
          </cell>
          <cell r="B1969" t="str">
            <v>ERA-6AEB8660V</v>
          </cell>
          <cell r="C1969" t="str">
            <v>RES</v>
          </cell>
          <cell r="F1969" t="str">
            <v>RES,0805,TF,1/8W,0.1%,25PPM,866 ROHS</v>
          </cell>
        </row>
        <row r="1970">
          <cell r="A1970" t="str">
            <v>615-210341-105</v>
          </cell>
          <cell r="B1970" t="str">
            <v>ERA-8AEB391V</v>
          </cell>
          <cell r="C1970" t="str">
            <v>RES</v>
          </cell>
          <cell r="D1970" t="str">
            <v>FF</v>
          </cell>
          <cell r="F1970" t="str">
            <v>RES,1206,TF,1/4W,0.1%,25PPM,390 ROHS</v>
          </cell>
        </row>
        <row r="1971">
          <cell r="A1971" t="str">
            <v>615-211885-010</v>
          </cell>
          <cell r="B1971" t="str">
            <v>PMR100HZPFU10L0</v>
          </cell>
          <cell r="C1971" t="str">
            <v>RES</v>
          </cell>
          <cell r="F1971" t="str">
            <v>RES,SMD,2W,6.4LG,3.2MM W,0.010OHM+/-1%</v>
          </cell>
        </row>
        <row r="1972">
          <cell r="A1972" t="str">
            <v>615-219466-001</v>
          </cell>
          <cell r="B1972" t="str">
            <v>CRCW25122R00FKEG</v>
          </cell>
          <cell r="C1972" t="str">
            <v>RES</v>
          </cell>
          <cell r="F1972" t="str">
            <v>RES,SMD,THK FILM,2.00 OHM,1%,100PPM</v>
          </cell>
        </row>
        <row r="1973">
          <cell r="A1973" t="str">
            <v>615-224835-010</v>
          </cell>
          <cell r="B1973" t="str">
            <v>PATT0603E4991BGT1</v>
          </cell>
          <cell r="C1973" t="str">
            <v>RES</v>
          </cell>
          <cell r="F1973" t="str">
            <v>RES,0603,THIN FILM,.1%,25 PPM,.15W,4.99K</v>
          </cell>
        </row>
        <row r="1974">
          <cell r="A1974" t="str">
            <v>615-275812-025</v>
          </cell>
          <cell r="B1974" t="str">
            <v>PWR163S-25-25R0FE</v>
          </cell>
          <cell r="C1974" t="str">
            <v>RES</v>
          </cell>
          <cell r="F1974" t="str">
            <v>RES,SMD,PWR,+/-1%,25W,25 OHM</v>
          </cell>
        </row>
        <row r="1975">
          <cell r="A1975" t="str">
            <v>615-275812-033</v>
          </cell>
          <cell r="B1975" t="str">
            <v>PWR163S-25-75R0FE</v>
          </cell>
          <cell r="C1975" t="str">
            <v>RES</v>
          </cell>
          <cell r="F1975" t="str">
            <v>RES,SMD,PWR,+/-1%,25W,75 OHM</v>
          </cell>
        </row>
        <row r="1976">
          <cell r="A1976" t="str">
            <v>615-311185-001</v>
          </cell>
          <cell r="B1976" t="str">
            <v>PMR18EZPFV4L00</v>
          </cell>
          <cell r="C1976" t="str">
            <v>RES</v>
          </cell>
          <cell r="F1976" t="str">
            <v>RES,SMD,0.004 OHM,1%,1W,1206,ROHS</v>
          </cell>
        </row>
        <row r="1977">
          <cell r="A1977" t="str">
            <v>615-312994-002</v>
          </cell>
          <cell r="B1977" t="str">
            <v>ERJ-1GNF22R1C</v>
          </cell>
          <cell r="C1977" t="str">
            <v>RES</v>
          </cell>
          <cell r="F1977" t="str">
            <v>RES,SMD,22.1,1%,1/20W,0201</v>
          </cell>
        </row>
        <row r="1978">
          <cell r="A1978" t="str">
            <v>615-901294-331</v>
          </cell>
          <cell r="B1978" t="str">
            <v>WCR0805LF331JPLT</v>
          </cell>
          <cell r="C1978" t="str">
            <v>RES</v>
          </cell>
          <cell r="F1978" t="str">
            <v>RES,SMD,0805,5%,1/10W,330,ROHS</v>
          </cell>
        </row>
        <row r="1979">
          <cell r="A1979" t="str">
            <v>615-901294-390</v>
          </cell>
          <cell r="B1979" t="str">
            <v>CRCW080539R0JNEA</v>
          </cell>
          <cell r="C1979" t="str">
            <v>RES</v>
          </cell>
          <cell r="F1979" t="str">
            <v>RES,SMD,0805,39 OHM,5%,1/10W,ROHS</v>
          </cell>
        </row>
        <row r="1980">
          <cell r="A1980" t="str">
            <v>615-901309-332</v>
          </cell>
          <cell r="B1980" t="str">
            <v>WCR-WCR0805LF-33R2-F-P-LT</v>
          </cell>
          <cell r="C1980" t="str">
            <v>RES</v>
          </cell>
          <cell r="F1980" t="str">
            <v>RES,0805,33.2,1/10W,ROHS</v>
          </cell>
        </row>
        <row r="1981">
          <cell r="A1981" t="str">
            <v>615-A00424-255</v>
          </cell>
          <cell r="B1981" t="str">
            <v>ERA-2AEB2552X</v>
          </cell>
          <cell r="C1981" t="str">
            <v>RES</v>
          </cell>
          <cell r="F1981" t="str">
            <v>RES,SMD,25.5KOHM,0.1%,1/16W,0402</v>
          </cell>
        </row>
        <row r="1982">
          <cell r="A1982" t="str">
            <v>615-A18150-001</v>
          </cell>
          <cell r="B1982" t="str">
            <v>HVCD3512Y1006FT-R294</v>
          </cell>
          <cell r="C1982" t="str">
            <v>RES</v>
          </cell>
          <cell r="F1982" t="str">
            <v>RES,SMD,HV,THK,100MOHM,±1%,25PPM,3512</v>
          </cell>
        </row>
        <row r="1983">
          <cell r="A1983" t="str">
            <v>619-094843-103</v>
          </cell>
          <cell r="B1983" t="str">
            <v>OD103JE</v>
          </cell>
          <cell r="C1983" t="str">
            <v>RES</v>
          </cell>
          <cell r="F1983" t="str">
            <v>RES,1/4W 10K CC</v>
          </cell>
        </row>
        <row r="1984">
          <cell r="A1984" t="str">
            <v>626-232475-001</v>
          </cell>
          <cell r="B1984" t="str">
            <v>FDMS8018</v>
          </cell>
          <cell r="C1984" t="str">
            <v>XSTR</v>
          </cell>
          <cell r="F1984" t="str">
            <v>XSTR,SMD,FIELD EFT,N-CH,30V,120A</v>
          </cell>
        </row>
        <row r="1985">
          <cell r="A1985" t="str">
            <v>626-234828-001</v>
          </cell>
          <cell r="B1985" t="str">
            <v>PSMN013-100YSEX</v>
          </cell>
          <cell r="C1985" t="str">
            <v>XSTR</v>
          </cell>
          <cell r="F1985" t="str">
            <v>XSTR,SMD,MOSFET,N-CH,100V</v>
          </cell>
        </row>
        <row r="1986">
          <cell r="A1986" t="str">
            <v>626-312996-001</v>
          </cell>
          <cell r="B1986" t="str">
            <v>MMBT3904LP-7B</v>
          </cell>
          <cell r="C1986" t="str">
            <v>XSTR</v>
          </cell>
          <cell r="F1986" t="str">
            <v>XSTR,SMD,NPN,40V,0.2A,DFN1006-3</v>
          </cell>
        </row>
        <row r="1987">
          <cell r="A1987" t="str">
            <v>626-338492-001</v>
          </cell>
          <cell r="B1987" t="str">
            <v>IRFR3910TRPBF</v>
          </cell>
          <cell r="C1987" t="str">
            <v>XSTR</v>
          </cell>
          <cell r="F1987" t="str">
            <v>XSTR,SMD,MOSFET,N-CHAN,16A,100V,79W,DPAK</v>
          </cell>
        </row>
        <row r="1988">
          <cell r="A1988" t="str">
            <v>628-196146-001</v>
          </cell>
          <cell r="B1988" t="str">
            <v>FDMS86163P</v>
          </cell>
          <cell r="C1988" t="str">
            <v>XSTR</v>
          </cell>
          <cell r="F1988" t="str">
            <v>XSTR,FIELD EFT,P CHAN,-100V,-50A,.022OHM</v>
          </cell>
        </row>
        <row r="1989">
          <cell r="A1989" t="str">
            <v>628-A20934-001</v>
          </cell>
          <cell r="B1989" t="str">
            <v>BSC011N03LSIATMA1</v>
          </cell>
          <cell r="C1989" t="str">
            <v>MOSFET</v>
          </cell>
          <cell r="F1989" t="str">
            <v>MOSFET,SMD,N-CH,30V,100A,TDSON-8</v>
          </cell>
        </row>
        <row r="1990">
          <cell r="A1990" t="str">
            <v>630-017595-001</v>
          </cell>
          <cell r="B1990" t="str">
            <v>REG102UA-3.3</v>
          </cell>
          <cell r="C1990" t="str">
            <v>IC</v>
          </cell>
          <cell r="F1990" t="str">
            <v>C,SMD, REG 102UA-3.3, SOIC8, ROHS</v>
          </cell>
        </row>
        <row r="1991">
          <cell r="A1991" t="str">
            <v>630-026753-001</v>
          </cell>
          <cell r="B1991" t="str">
            <v>SN74LVC1G125DBVR</v>
          </cell>
          <cell r="C1991" t="str">
            <v>IC</v>
          </cell>
          <cell r="F1991" t="str">
            <v>IC,SMD,74LVC1G125DBVR,BFFR,3ST OUT,SOT23</v>
          </cell>
        </row>
        <row r="1992">
          <cell r="A1992" t="str">
            <v>630-120888-001</v>
          </cell>
          <cell r="B1992" t="str">
            <v>ADS62P49IRGCT</v>
          </cell>
          <cell r="C1992" t="str">
            <v>IC</v>
          </cell>
          <cell r="F1992" t="str">
            <v>IC,SMD,14 BIT ADC, DUAL CHANNEL, 250MSPS</v>
          </cell>
        </row>
        <row r="1993">
          <cell r="A1993" t="str">
            <v>630-122551-001</v>
          </cell>
          <cell r="B1993" t="str">
            <v>CDC7005ZVA</v>
          </cell>
          <cell r="C1993" t="str">
            <v>IC</v>
          </cell>
          <cell r="F1993" t="str">
            <v>IC,SMD,CLK SYNC/JITTER CLEANER 64BGA</v>
          </cell>
        </row>
        <row r="1994">
          <cell r="A1994" t="str">
            <v>630-123074-001</v>
          </cell>
          <cell r="B1994" t="str">
            <v>MIC5318-2.5YD5TR</v>
          </cell>
          <cell r="C1994" t="str">
            <v>IC</v>
          </cell>
          <cell r="F1994" t="str">
            <v>IC,SMD,REG LDO 2.5V TSOT23-5</v>
          </cell>
        </row>
        <row r="1995">
          <cell r="A1995" t="str">
            <v>630-123320-001</v>
          </cell>
          <cell r="B1995" t="str">
            <v>TPS79650DCQR</v>
          </cell>
          <cell r="C1995" t="str">
            <v>IC</v>
          </cell>
          <cell r="F1995" t="str">
            <v>IC,SMD,LDO REG 1A 5V SOT223-6</v>
          </cell>
        </row>
        <row r="1996">
          <cell r="A1996" t="str">
            <v>630-232484-001</v>
          </cell>
          <cell r="B1996" t="str">
            <v>LM5069MM-2/NOPB</v>
          </cell>
          <cell r="C1996" t="str">
            <v>IC</v>
          </cell>
          <cell r="F1996" t="str">
            <v>IC,SMD,CTRLR,HOT,SWAP,48V</v>
          </cell>
        </row>
        <row r="1997">
          <cell r="A1997" t="str">
            <v>630-232591-001</v>
          </cell>
          <cell r="B1997" t="str">
            <v>SN74LVC2G17DCKR</v>
          </cell>
          <cell r="C1997" t="str">
            <v>IC</v>
          </cell>
          <cell r="F1997" t="str">
            <v>IC,SMD,BUFF,DUAL,SCHMITT TRIG</v>
          </cell>
        </row>
        <row r="1998">
          <cell r="A1998" t="str">
            <v>630-233866-001</v>
          </cell>
          <cell r="B1998" t="str">
            <v>INA214AIDCK</v>
          </cell>
          <cell r="C1998" t="str">
            <v>IC</v>
          </cell>
          <cell r="F1998" t="str">
            <v>IC,SMD,CURRENT MON,1%,SC70-6</v>
          </cell>
        </row>
        <row r="1999">
          <cell r="A1999" t="str">
            <v>630-237333-001</v>
          </cell>
          <cell r="B1999" t="str">
            <v>LT4256-3IGN#PBF</v>
          </cell>
          <cell r="C1999" t="str">
            <v>IC</v>
          </cell>
          <cell r="F1999" t="str">
            <v>IC,SMD,CTLR,HOTSWP,HV DET</v>
          </cell>
        </row>
        <row r="2000">
          <cell r="A2000" t="str">
            <v>630-268428-001</v>
          </cell>
          <cell r="B2000" t="str">
            <v>FT234XD-R</v>
          </cell>
          <cell r="C2000" t="str">
            <v>IC</v>
          </cell>
          <cell r="F2000" t="str">
            <v>IC,SMD,USB BRIDGE TO UART,DFN12</v>
          </cell>
        </row>
        <row r="2001">
          <cell r="A2001" t="str">
            <v>630-296511-001</v>
          </cell>
          <cell r="B2001" t="str">
            <v>SN74LVC1G139DCUR</v>
          </cell>
          <cell r="C2001" t="str">
            <v>IC</v>
          </cell>
          <cell r="F2001" t="str">
            <v>IC,SMD,2T04 LINE DECODER,VSSOP8,ROHS</v>
          </cell>
        </row>
        <row r="2002">
          <cell r="A2002" t="str">
            <v>630-327571-001</v>
          </cell>
          <cell r="B2002" t="str">
            <v>TLV76033DBZT</v>
          </cell>
          <cell r="C2002" t="str">
            <v>IC</v>
          </cell>
          <cell r="F2002" t="str">
            <v>IC,SMD,V RGLTR,3PIN,100MA,3.3V,SOT-23</v>
          </cell>
        </row>
        <row r="2003">
          <cell r="A2003" t="str">
            <v>630-900073-001</v>
          </cell>
          <cell r="B2003" t="str">
            <v>AD586LRZ</v>
          </cell>
          <cell r="C2003" t="str">
            <v>IC</v>
          </cell>
          <cell r="F2003" t="str">
            <v>IC,AD586 VREF 5V SO8</v>
          </cell>
        </row>
        <row r="2004">
          <cell r="A2004" t="str">
            <v>630-A21743-001</v>
          </cell>
          <cell r="B2004" t="str">
            <v>TLC555QDR</v>
          </cell>
          <cell r="C2004" t="str">
            <v>IC</v>
          </cell>
          <cell r="F2004" t="str">
            <v>IC,SMD,OSC,SGL,TIMER,2.1MHZ,SOIC-8</v>
          </cell>
        </row>
        <row r="2005">
          <cell r="A2005" t="str">
            <v>630-A26672-001</v>
          </cell>
          <cell r="B2005" t="str">
            <v>PCAL6524HEAZ</v>
          </cell>
          <cell r="C2005" t="str">
            <v>IC</v>
          </cell>
          <cell r="F2005" t="str">
            <v>IC,SMD,I/O EXPANDER 24,I2C,1MHZ,32-HUQFN</v>
          </cell>
        </row>
        <row r="2006">
          <cell r="A2006" t="str">
            <v>630-B00342-001</v>
          </cell>
          <cell r="B2006" t="str">
            <v>XC7A200T-1FBG484C</v>
          </cell>
          <cell r="C2006" t="str">
            <v>IC</v>
          </cell>
          <cell r="F2006" t="str">
            <v>IC,SMD,ARTIX-7,285 I/O,1V, FCBGA-484</v>
          </cell>
        </row>
        <row r="2007">
          <cell r="A2007" t="str">
            <v>631-099702-003</v>
          </cell>
          <cell r="B2007" t="str">
            <v>HFBR-2531ETZ</v>
          </cell>
          <cell r="C2007" t="str">
            <v>IC</v>
          </cell>
          <cell r="F2007" t="str">
            <v>IC,FO RECVR, HORZ, ROHS</v>
          </cell>
        </row>
        <row r="2008">
          <cell r="A2008" t="str">
            <v>635-222677-001</v>
          </cell>
          <cell r="B2008" t="str">
            <v>SG-210STF25.0000MY</v>
          </cell>
          <cell r="C2008" t="str">
            <v>OSC</v>
          </cell>
          <cell r="F2008" t="str">
            <v>OSC,SMD,XTAL,CMOS,25.00MHZ</v>
          </cell>
        </row>
        <row r="2009">
          <cell r="A2009" t="str">
            <v>639-078182-014</v>
          </cell>
          <cell r="B2009" t="str">
            <v>SD20-470-R</v>
          </cell>
          <cell r="C2009" t="str">
            <v>IDCTR</v>
          </cell>
          <cell r="F2009" t="str">
            <v>IDCTR,SMD,H-PWR, D,LP,SHLD,47UH ROHS</v>
          </cell>
        </row>
        <row r="2010">
          <cell r="A2010" t="str">
            <v>639-121558-001</v>
          </cell>
          <cell r="B2010" t="str">
            <v>BLM18AG601SN1D</v>
          </cell>
          <cell r="C2010" t="str">
            <v>IDCTR</v>
          </cell>
          <cell r="F2010" t="str">
            <v>IDCTR,SMD,FERRITE,600 OHM 500MA 0603</v>
          </cell>
        </row>
        <row r="2011">
          <cell r="A2011" t="str">
            <v>645-336281-001</v>
          </cell>
          <cell r="B2011" t="str">
            <v>PTS645SL95-2LFS</v>
          </cell>
          <cell r="C2011" t="str">
            <v>SW</v>
          </cell>
          <cell r="F2011" t="str">
            <v>SW,THRU-HOLE,SPST,1NO,9.5MM HGT,12VDC</v>
          </cell>
        </row>
        <row r="2012">
          <cell r="A2012" t="str">
            <v>646-348079-001</v>
          </cell>
          <cell r="B2012" t="str">
            <v>KSC941GLFS</v>
          </cell>
          <cell r="C2012" t="str">
            <v>SW</v>
          </cell>
          <cell r="F2012" t="str">
            <v>SW,SMD,TACTILE,SPST-NO,50MA,32VDC,3.4N</v>
          </cell>
        </row>
        <row r="2013">
          <cell r="A2013" t="str">
            <v>648-032706-202</v>
          </cell>
          <cell r="B2013" t="str">
            <v>12065A202JAT2A</v>
          </cell>
          <cell r="C2013" t="str">
            <v>CAP</v>
          </cell>
          <cell r="F2013" t="str">
            <v>CAP,SMD,COG,(NPO),1206,5%,50V,2.0NF</v>
          </cell>
        </row>
        <row r="2014">
          <cell r="A2014" t="str">
            <v>648-051878-224</v>
          </cell>
          <cell r="B2014" t="str">
            <v>NMC0603X7R224K50TRPF</v>
          </cell>
          <cell r="C2014" t="str">
            <v>CAP</v>
          </cell>
          <cell r="F2014" t="str">
            <v>CAP,SMD,0603,0.22UF,50V,10%,ROHS</v>
          </cell>
        </row>
        <row r="2015">
          <cell r="A2015" t="str">
            <v>648-054586-331</v>
          </cell>
          <cell r="B2015" t="str">
            <v>EEE1VA331P</v>
          </cell>
          <cell r="C2015" t="str">
            <v>CAP</v>
          </cell>
          <cell r="F2015" t="str">
            <v>CAP,SMD,AL,ELCTLT,330UF,20%,35V,ROHS</v>
          </cell>
        </row>
        <row r="2016">
          <cell r="A2016" t="str">
            <v>648-078567-106</v>
          </cell>
          <cell r="B2016" t="str">
            <v>GMK325BJ106KN</v>
          </cell>
          <cell r="C2016" t="str">
            <v>CAP</v>
          </cell>
          <cell r="F2016" t="str">
            <v>CAP,SMD,1210,CER,X5R,10%,35V 10UF ROHS</v>
          </cell>
        </row>
        <row r="2017">
          <cell r="A2017" t="str">
            <v>648-096579-476</v>
          </cell>
          <cell r="B2017" t="str">
            <v>TAJE476K035R</v>
          </cell>
          <cell r="C2017" t="str">
            <v>CAP</v>
          </cell>
          <cell r="F2017" t="str">
            <v>CAP,SMD,7343H,TANT,10%,35V,47UF ROHS</v>
          </cell>
        </row>
        <row r="2018">
          <cell r="A2018" t="str">
            <v>648-097893-226</v>
          </cell>
          <cell r="B2018" t="str">
            <v>TPSD226K035R0300</v>
          </cell>
          <cell r="C2018" t="str">
            <v>CAP</v>
          </cell>
          <cell r="F2018" t="str">
            <v>CAP,SMD,TANT L-ESR,35V,10%,22UF,ROHS</v>
          </cell>
        </row>
        <row r="2019">
          <cell r="A2019" t="str">
            <v>648-099898-223</v>
          </cell>
          <cell r="B2019" t="str">
            <v>08055C223KAT2A</v>
          </cell>
          <cell r="C2019" t="str">
            <v>CAP</v>
          </cell>
          <cell r="F2019" t="str">
            <v>CAP,SMD,CER,.022UF,0805,10%,X7R,50V,ROHS</v>
          </cell>
        </row>
        <row r="2020">
          <cell r="A2020" t="str">
            <v>648-099901-222</v>
          </cell>
          <cell r="B2020" t="str">
            <v>08055A222JAT2A</v>
          </cell>
          <cell r="C2020" t="str">
            <v>CAP</v>
          </cell>
          <cell r="F2020" t="str">
            <v>CAP,0805,CER,COG,5%,50V,2200PF</v>
          </cell>
        </row>
        <row r="2021">
          <cell r="A2021" t="str">
            <v>648-130628-001</v>
          </cell>
          <cell r="B2021" t="str">
            <v>EMVH500ADA101MJA0G</v>
          </cell>
          <cell r="C2021" t="str">
            <v>CAP</v>
          </cell>
          <cell r="F2021" t="str">
            <v>CAP,SMD,ALUM,100UF,20%,50V</v>
          </cell>
        </row>
        <row r="2022">
          <cell r="A2022" t="str">
            <v>648-147599-001</v>
          </cell>
          <cell r="B2022" t="str">
            <v>C1005X7R1E104K050BB</v>
          </cell>
          <cell r="C2022" t="str">
            <v>CAP</v>
          </cell>
          <cell r="F2022" t="str">
            <v>CAP,SMD,0402,CER,25V,10%,X7R,100NF,ROHS</v>
          </cell>
        </row>
        <row r="2023">
          <cell r="A2023" t="str">
            <v>648-188319-022</v>
          </cell>
          <cell r="B2023" t="str">
            <v>C3216X5R1V226M160AC</v>
          </cell>
          <cell r="C2023" t="str">
            <v>CAP</v>
          </cell>
          <cell r="F2023" t="str">
            <v>CAP,SMD,CER,1206,22UF,35V,20%,X5R,ROHS</v>
          </cell>
        </row>
        <row r="2024">
          <cell r="A2024" t="str">
            <v>648-188532-001</v>
          </cell>
          <cell r="B2024" t="str">
            <v>CC1206MKX5R5BB107</v>
          </cell>
          <cell r="C2024" t="str">
            <v>CAP</v>
          </cell>
          <cell r="F2024" t="str">
            <v>CAP,SMD,CER,100UF,±20%TOL,6.3V,X5R,1206</v>
          </cell>
        </row>
        <row r="2025">
          <cell r="A2025" t="str">
            <v>648-198869-013</v>
          </cell>
          <cell r="B2025" t="str">
            <v>1808HC102KAT1A</v>
          </cell>
          <cell r="C2025" t="str">
            <v>CAP</v>
          </cell>
          <cell r="F2025" t="str">
            <v>CAP,CER,1808,X7R,10%,3KV,1000PF ROHS</v>
          </cell>
        </row>
        <row r="2026">
          <cell r="A2026" t="str">
            <v>648-228560-050</v>
          </cell>
          <cell r="B2026" t="str">
            <v>C0402C123K3RACTU</v>
          </cell>
          <cell r="C2026" t="str">
            <v>CAP</v>
          </cell>
          <cell r="F2026" t="str">
            <v>CAP,0402,10%,X7R,25V,12000PF</v>
          </cell>
        </row>
        <row r="2027">
          <cell r="A2027" t="str">
            <v>648-228694-009</v>
          </cell>
          <cell r="B2027" t="str">
            <v>GRM1555C1H470JA01D</v>
          </cell>
          <cell r="C2027" t="str">
            <v>CAP</v>
          </cell>
          <cell r="F2027" t="str">
            <v>CAP,SMD,CER,47PF,50V,5%,NP0,0402</v>
          </cell>
        </row>
        <row r="2028">
          <cell r="A2028" t="str">
            <v>648-237615-001</v>
          </cell>
          <cell r="B2028" t="str">
            <v>C0402C333K4RACTU</v>
          </cell>
          <cell r="C2028" t="str">
            <v>CAP</v>
          </cell>
          <cell r="F2028" t="str">
            <v>CAP,SMD,CER,0.033UF,±10%TOL,16V,X7R,0402</v>
          </cell>
        </row>
        <row r="2029">
          <cell r="A2029" t="str">
            <v>648-286820-001</v>
          </cell>
          <cell r="B2029" t="str">
            <v>C0805C472K2RACAUTO</v>
          </cell>
          <cell r="C2029" t="str">
            <v>CAP</v>
          </cell>
          <cell r="F2029" t="str">
            <v>CAP,SMD,CER,4700PF,200V,X7R,0805</v>
          </cell>
        </row>
        <row r="2030">
          <cell r="A2030" t="str">
            <v>648-294185-066</v>
          </cell>
          <cell r="B2030" t="str">
            <v>C0603C512J5GAC7867</v>
          </cell>
          <cell r="C2030" t="str">
            <v>CAP</v>
          </cell>
          <cell r="F2030" t="str">
            <v>CAP,SMD,CER,5,100PF,50V,NP0,0603</v>
          </cell>
        </row>
        <row r="2031">
          <cell r="A2031" t="str">
            <v>648-303719-225</v>
          </cell>
          <cell r="B2031" t="str">
            <v>CC0805KKX7R8BB225</v>
          </cell>
          <cell r="C2031" t="str">
            <v>CAP</v>
          </cell>
          <cell r="F2031" t="str">
            <v>CAP,SMD,CER,X7R,25V,10%,2.2UF ROHS</v>
          </cell>
        </row>
        <row r="2032">
          <cell r="A2032" t="str">
            <v>648-326078-001</v>
          </cell>
          <cell r="B2032" t="str">
            <v>C0805X103K5RACAUTO</v>
          </cell>
          <cell r="C2032" t="str">
            <v>CAP</v>
          </cell>
          <cell r="F2032" t="str">
            <v>CAP,SMD,CER,.01UF,±10% TOL,50V,X7R,0805</v>
          </cell>
        </row>
        <row r="2033">
          <cell r="A2033" t="str">
            <v>660-150506-005</v>
          </cell>
          <cell r="B2033" t="str">
            <v>R-78C5.0-1.0</v>
          </cell>
          <cell r="C2033" t="str">
            <v>PS</v>
          </cell>
          <cell r="F2033" t="str">
            <v>PS,CONV,DC/DC,8-42VIN,5VOUT,1A,ROHS</v>
          </cell>
        </row>
        <row r="2034">
          <cell r="A2034" t="str">
            <v>664-068184-003</v>
          </cell>
          <cell r="B2034" t="str">
            <v>LTST-C190YKT</v>
          </cell>
          <cell r="C2034" t="str">
            <v>LED</v>
          </cell>
          <cell r="F2034" t="str">
            <v>LED,SMD,0603,ST,10MA,YEL ROHS</v>
          </cell>
        </row>
        <row r="2035">
          <cell r="A2035" t="str">
            <v>664-090139-001</v>
          </cell>
          <cell r="B2035" t="str">
            <v>V23105-A5405-A201</v>
          </cell>
          <cell r="C2035" t="str">
            <v>RLY</v>
          </cell>
          <cell r="F2035" t="str">
            <v>RLY,24VDC,DPDT,PCB MOUNT</v>
          </cell>
        </row>
        <row r="2036">
          <cell r="A2036" t="str">
            <v>664-900942-001</v>
          </cell>
          <cell r="B2036" t="str">
            <v>SML-LX1206IW-TR</v>
          </cell>
          <cell r="C2036" t="str">
            <v>LED</v>
          </cell>
          <cell r="F2036" t="str">
            <v>LED,SMD,1206,RED VERT</v>
          </cell>
        </row>
        <row r="2037">
          <cell r="A2037" t="str">
            <v>664-900942-002</v>
          </cell>
          <cell r="B2037" t="str">
            <v>SML-LX1206AW-TR</v>
          </cell>
          <cell r="C2037" t="str">
            <v>LED</v>
          </cell>
          <cell r="F2037" t="str">
            <v>LED,SMD,1206,ORN VERT</v>
          </cell>
        </row>
        <row r="2038">
          <cell r="A2038" t="str">
            <v>664-900942-003</v>
          </cell>
          <cell r="B2038" t="str">
            <v>SML-LX1206SYW-TR</v>
          </cell>
          <cell r="C2038" t="str">
            <v>LED</v>
          </cell>
          <cell r="D2038" t="str">
            <v>SIG</v>
          </cell>
          <cell r="F2038" t="str">
            <v>LED,SMD,1206,YEL,VERT</v>
          </cell>
        </row>
        <row r="2039">
          <cell r="A2039" t="str">
            <v>664-A29723-003</v>
          </cell>
          <cell r="B2039" t="str">
            <v>SML-LX1206SYC-TR</v>
          </cell>
          <cell r="C2039" t="str">
            <v>LED</v>
          </cell>
          <cell r="F2039" t="str">
            <v>LED,SMD,YEL,590NM,2V,25MA,1206,70MCD</v>
          </cell>
        </row>
        <row r="2040">
          <cell r="A2040" t="str">
            <v>667-261667-001</v>
          </cell>
          <cell r="B2040" t="str">
            <v>1734328-1</v>
          </cell>
          <cell r="C2040" t="str">
            <v>CONN</v>
          </cell>
          <cell r="F2040" t="str">
            <v>CONN,SMD,MINI USB,AB,RCPT,RT ANGLE</v>
          </cell>
        </row>
        <row r="2041">
          <cell r="A2041" t="str">
            <v>667-312203-042</v>
          </cell>
          <cell r="B2041" t="str">
            <v>2199230-3</v>
          </cell>
          <cell r="C2041" t="str">
            <v>CONN</v>
          </cell>
          <cell r="F2041" t="str">
            <v>CONN,SMD,M.2,TYPE B,67P,4.2MM</v>
          </cell>
        </row>
        <row r="2042">
          <cell r="A2042" t="str">
            <v>667-312992-001</v>
          </cell>
          <cell r="B2042">
            <v>5034801400</v>
          </cell>
          <cell r="C2042" t="str">
            <v>CONN</v>
          </cell>
          <cell r="F2042" t="str">
            <v>CONN,SMD,FFC,FPC,14POS,0.50MM,R/A</v>
          </cell>
        </row>
        <row r="2043">
          <cell r="A2043" t="str">
            <v>667-313270-001</v>
          </cell>
          <cell r="B2043">
            <v>5019400307</v>
          </cell>
          <cell r="C2043" t="str">
            <v>CONN</v>
          </cell>
          <cell r="F2043" t="str">
            <v>CONN,SMD,HEADER,1MM,W/B,3 PIN</v>
          </cell>
        </row>
        <row r="2044">
          <cell r="A2044" t="str">
            <v>667-A20843-002</v>
          </cell>
          <cell r="B2044" t="str">
            <v>10139781-122402LF</v>
          </cell>
          <cell r="C2044" t="str">
            <v>CONN</v>
          </cell>
          <cell r="F2044" t="str">
            <v>CONN,SMD,RCPT,MEZZ,0.8MM,120P,7.7MM HGT</v>
          </cell>
        </row>
        <row r="2045">
          <cell r="A2045" t="str">
            <v>668-007087-012</v>
          </cell>
          <cell r="B2045" t="str">
            <v>350713-4</v>
          </cell>
          <cell r="C2045" t="str">
            <v>CONN</v>
          </cell>
          <cell r="F2045" t="str">
            <v>CONN,HDR,PCB,M-ST,UNV M-N-LOK,12P,ROHS</v>
          </cell>
        </row>
        <row r="2046">
          <cell r="A2046" t="str">
            <v>668-007385-005</v>
          </cell>
          <cell r="B2046" t="str">
            <v>TSW-105-07-G-S</v>
          </cell>
          <cell r="C2046" t="str">
            <v>CONN</v>
          </cell>
          <cell r="F2046" t="str">
            <v>CONN,HDR,5POSN,1ROW,VERT,2.54MM PITCH</v>
          </cell>
        </row>
        <row r="2047">
          <cell r="A2047" t="str">
            <v>668-061260-002</v>
          </cell>
          <cell r="B2047" t="str">
            <v>1-770166-1</v>
          </cell>
          <cell r="C2047" t="str">
            <v>CONN</v>
          </cell>
          <cell r="F2047" t="str">
            <v>CONN,HDR,PCB,ST,MINI-U M-N-LOK,2P,ROHS</v>
          </cell>
        </row>
        <row r="2048">
          <cell r="A2048" t="str">
            <v>668-061260-003</v>
          </cell>
          <cell r="B2048" t="str">
            <v>1-770170-1</v>
          </cell>
          <cell r="C2048" t="str">
            <v>CONN</v>
          </cell>
          <cell r="F2048" t="str">
            <v>CONN,HDR,PCB,ST,MINI-U M-N-LOK,3P,ROHS</v>
          </cell>
        </row>
        <row r="2049">
          <cell r="A2049" t="str">
            <v>668-064219-026</v>
          </cell>
          <cell r="B2049" t="str">
            <v>K66X-A26S-N</v>
          </cell>
          <cell r="C2049" t="str">
            <v>CONN</v>
          </cell>
          <cell r="D2049" t="str">
            <v>Tfx</v>
          </cell>
          <cell r="F2049" t="str">
            <v>CONN,RCPT HD D-SUB,RA,26 PIN FEMALE,ROHS</v>
          </cell>
        </row>
        <row r="2050">
          <cell r="A2050" t="str">
            <v>668-096776-037</v>
          </cell>
          <cell r="B2050" t="str">
            <v>DLS4XS4AA35X</v>
          </cell>
          <cell r="C2050" t="str">
            <v>CONN</v>
          </cell>
          <cell r="F2050" t="str">
            <v>CONN,DSUB,37P,F,STR,BRD LCK,ROHS</v>
          </cell>
        </row>
        <row r="2051">
          <cell r="A2051" t="str">
            <v>668-096777-015</v>
          </cell>
          <cell r="B2051" t="str">
            <v>K85X-AD-15P-CBR</v>
          </cell>
          <cell r="C2051" t="str">
            <v>CONN</v>
          </cell>
          <cell r="F2051" t="str">
            <v>CONN,DSUB,15P,M,STR,BRD LCK,ROHS</v>
          </cell>
        </row>
        <row r="2052">
          <cell r="A2052" t="str">
            <v>668-096777-025</v>
          </cell>
          <cell r="B2052" t="str">
            <v>K85X-BD-25P-CBR</v>
          </cell>
          <cell r="C2052" t="str">
            <v>CONN</v>
          </cell>
          <cell r="F2052" t="str">
            <v>CONN,DSUB,25P,M,STR,BRD LCK,ROHS</v>
          </cell>
        </row>
        <row r="2053">
          <cell r="A2053" t="str">
            <v>668-098489-009</v>
          </cell>
          <cell r="B2053" t="str">
            <v>5747840-4</v>
          </cell>
          <cell r="C2053" t="str">
            <v>CONN</v>
          </cell>
          <cell r="F2053" t="str">
            <v>CONN,PLUG,9P,D-SUB,RTANG</v>
          </cell>
        </row>
        <row r="2054">
          <cell r="A2054" t="str">
            <v>668-098496-002</v>
          </cell>
          <cell r="B2054" t="str">
            <v>5-104363-1</v>
          </cell>
          <cell r="C2054" t="str">
            <v>CONN</v>
          </cell>
          <cell r="F2054" t="str">
            <v>CONN,HDR,2P,VERT,MTE,ROHS</v>
          </cell>
        </row>
        <row r="2055">
          <cell r="A2055" t="str">
            <v>668-121256-002</v>
          </cell>
          <cell r="B2055" t="str">
            <v>CJT-T-P-HH-ST-TH1</v>
          </cell>
          <cell r="C2055" t="str">
            <v>CONN</v>
          </cell>
          <cell r="D2055" t="str">
            <v>FF</v>
          </cell>
          <cell r="F2055" t="str">
            <v>CONN,CIRC RF TWINAX JACK ST TH 100 OHM</v>
          </cell>
        </row>
        <row r="2056">
          <cell r="A2056" t="str">
            <v>668-134411-120</v>
          </cell>
          <cell r="B2056" t="str">
            <v>MOLC-130-31-L-Q-LC</v>
          </cell>
          <cell r="C2056" t="str">
            <v>CONN</v>
          </cell>
          <cell r="F2056" t="str">
            <v>CONN,PLUG,HIGH DENSITY,.050",120POS,ROHS</v>
          </cell>
        </row>
        <row r="2057">
          <cell r="A2057" t="str">
            <v>668-700043-064</v>
          </cell>
          <cell r="B2057" t="str">
            <v>5650861-5</v>
          </cell>
          <cell r="C2057" t="str">
            <v>CONN</v>
          </cell>
          <cell r="F2057" t="str">
            <v>CONN,HDR,SCKT,64-PIN,PCMT,ROHS</v>
          </cell>
        </row>
        <row r="2058">
          <cell r="A2058" t="str">
            <v>670-097092-300</v>
          </cell>
          <cell r="B2058" t="str">
            <v>RUEF300</v>
          </cell>
          <cell r="C2058" t="str">
            <v>FUSE</v>
          </cell>
          <cell r="D2058" t="str">
            <v>AC Box</v>
          </cell>
          <cell r="F2058" t="str">
            <v>FUSE,PTC,RUEF, 3.0A ROHS</v>
          </cell>
        </row>
        <row r="2059">
          <cell r="A2059" t="str">
            <v>682-020782-001</v>
          </cell>
          <cell r="B2059" t="str">
            <v>2920L030</v>
          </cell>
          <cell r="C2059" t="str">
            <v>FUSE</v>
          </cell>
          <cell r="D2059" t="str">
            <v>AC Box</v>
          </cell>
          <cell r="F2059" t="str">
            <v>FUSE,SMD,2920,RESETABLE,300MA,ROHS</v>
          </cell>
        </row>
        <row r="2060">
          <cell r="A2060" t="str">
            <v>682-020782-002</v>
          </cell>
          <cell r="B2060" t="str">
            <v>2920L050</v>
          </cell>
          <cell r="C2060" t="str">
            <v>FUSE</v>
          </cell>
          <cell r="D2060" t="str">
            <v>AC Box</v>
          </cell>
          <cell r="F2060" t="str">
            <v>FUSE,SMD,2920,RESETABLE,500MA,ROHS</v>
          </cell>
        </row>
        <row r="2061">
          <cell r="A2061" t="str">
            <v>682-117131-004</v>
          </cell>
          <cell r="B2061" t="str">
            <v>2920L100PR</v>
          </cell>
          <cell r="C2061" t="str">
            <v>FUSE</v>
          </cell>
          <cell r="D2061" t="str">
            <v>AC Box</v>
          </cell>
          <cell r="F2061" t="str">
            <v>FUSE,SMD,2920,RESETABLE,1.1A,ROHS</v>
          </cell>
        </row>
        <row r="2062">
          <cell r="A2062" t="str">
            <v>688-234827-001</v>
          </cell>
          <cell r="B2062" t="str">
            <v>CM5740Z241B-10</v>
          </cell>
          <cell r="C2062" t="str">
            <v>FLTR</v>
          </cell>
          <cell r="F2062" t="str">
            <v>FLTR,CHOKE,ARRAY,COM MODE,240OHMS,20A</v>
          </cell>
        </row>
        <row r="2063">
          <cell r="A2063" t="str">
            <v>723-308078-009</v>
          </cell>
          <cell r="B2063" t="str">
            <v>3045A-B-632-B-16</v>
          </cell>
          <cell r="C2063" t="str">
            <v>STDF</v>
          </cell>
          <cell r="D2063" t="str">
            <v>Hardware</v>
          </cell>
          <cell r="F2063" t="str">
            <v>STDF,RND,SWAGE1/4 3/32" 6-32,0.105",ROHS</v>
          </cell>
        </row>
        <row r="2064">
          <cell r="A2064" t="str">
            <v>723-308078-068</v>
          </cell>
          <cell r="B2064" t="str">
            <v>3054-B-632-B-16</v>
          </cell>
          <cell r="C2064" t="str">
            <v>STDF</v>
          </cell>
          <cell r="D2064" t="str">
            <v>Hardware</v>
          </cell>
          <cell r="F2064" t="str">
            <v>STDF,RND,SWAGE1/4 11/16" 6-32,.105",ROHS</v>
          </cell>
        </row>
        <row r="2065">
          <cell r="A2065" t="str">
            <v>29-440946-00</v>
          </cell>
          <cell r="B2065" t="str">
            <v>GRM188R71E474KA12D</v>
          </cell>
          <cell r="C2065" t="str">
            <v>CAP</v>
          </cell>
          <cell r="F2065" t="str">
            <v>CAP,SMD,CER,0.47UF,25V,10%,0603,X7R</v>
          </cell>
        </row>
        <row r="2066">
          <cell r="A2066" t="str">
            <v>31-111801-00</v>
          </cell>
          <cell r="B2066" t="str">
            <v>5205933-3</v>
          </cell>
          <cell r="C2066" t="str">
            <v>BSHG</v>
          </cell>
          <cell r="F2066" t="str">
            <v>BSHG,STANDOFF,4-40 X .435L</v>
          </cell>
        </row>
        <row r="2067">
          <cell r="A2067" t="str">
            <v>32-449059-00</v>
          </cell>
          <cell r="B2067" t="str">
            <v>LTL-30EHJ</v>
          </cell>
          <cell r="C2067" t="str">
            <v>LED</v>
          </cell>
          <cell r="F2067" t="str">
            <v>LED,BI-COLOR,5 V,RED ORANGE/GREEN,T-1 3/</v>
          </cell>
        </row>
        <row r="2068">
          <cell r="A2068" t="str">
            <v>34-453341-00</v>
          </cell>
          <cell r="B2068" t="str">
            <v>G6K-2F-YDC24</v>
          </cell>
          <cell r="C2068" t="str">
            <v>RLY</v>
          </cell>
          <cell r="F2068" t="str">
            <v>RELAY,LOW SIGNAL,24VDC,DPDT,1A,125VAC,PC</v>
          </cell>
        </row>
        <row r="2069">
          <cell r="A2069" t="str">
            <v>39-130655-09</v>
          </cell>
          <cell r="B2069" t="str">
            <v>DEMZ9SNA197</v>
          </cell>
          <cell r="C2069" t="str">
            <v>CONN</v>
          </cell>
          <cell r="F2069" t="str">
            <v>CONN,DSUB,9F,PCB STRT,0.25"</v>
          </cell>
        </row>
        <row r="2070">
          <cell r="A2070" t="str">
            <v>608-A76244-001</v>
          </cell>
          <cell r="B2070" t="str">
            <v>TS63Y101KT20</v>
          </cell>
          <cell r="C2070" t="str">
            <v>RES</v>
          </cell>
          <cell r="F2070" t="str">
            <v>RES,SMD,POT,12T,T-ADJ,0.25SQ,100,ROHS</v>
          </cell>
        </row>
        <row r="2071">
          <cell r="A2071" t="str">
            <v>609-001387-001</v>
          </cell>
          <cell r="B2071" t="str">
            <v>MBRS360T3G</v>
          </cell>
          <cell r="C2071" t="str">
            <v>DIO</v>
          </cell>
          <cell r="F2071" t="str">
            <v>DIO,SMD,SCHOTTKY,3A,40V,MBRS340T3</v>
          </cell>
        </row>
        <row r="2072">
          <cell r="A2072" t="str">
            <v>609-004010-024</v>
          </cell>
          <cell r="B2072" t="str">
            <v>MMBZ5221BLT1G</v>
          </cell>
          <cell r="C2072" t="str">
            <v>DIO</v>
          </cell>
          <cell r="F2072" t="str">
            <v>DIO,SMD,ZENER,225MW,MMBZ,2.4V,ROHS</v>
          </cell>
        </row>
        <row r="2073">
          <cell r="A2073" t="str">
            <v>609-004010-470</v>
          </cell>
          <cell r="B2073" t="str">
            <v>MMBZ5261BLT1G</v>
          </cell>
          <cell r="C2073" t="str">
            <v>DIO</v>
          </cell>
          <cell r="F2073" t="str">
            <v>DIO,SMD,ZENER,225MW,MMBZ,47V ROHS</v>
          </cell>
        </row>
        <row r="2074">
          <cell r="A2074" t="str">
            <v>609-034003-012</v>
          </cell>
          <cell r="B2074" t="str">
            <v>SMBJ12A</v>
          </cell>
          <cell r="C2074" t="str">
            <v>DIO</v>
          </cell>
          <cell r="F2074" t="str">
            <v>DIO,SMD,PWR,TVS,600W,12V,ROHS</v>
          </cell>
        </row>
        <row r="2075">
          <cell r="A2075" t="str">
            <v>609-034003-021</v>
          </cell>
          <cell r="B2075" t="str">
            <v>SMBJ28A</v>
          </cell>
          <cell r="C2075" t="str">
            <v>DIO</v>
          </cell>
          <cell r="F2075" t="str">
            <v>DIO,SMD,PWR,TVS,600W 28V ROHS</v>
          </cell>
        </row>
        <row r="2076">
          <cell r="A2076" t="str">
            <v>609-034003-022</v>
          </cell>
          <cell r="B2076" t="str">
            <v>SMBJ30A</v>
          </cell>
          <cell r="C2076" t="str">
            <v>DIO</v>
          </cell>
          <cell r="F2076" t="str">
            <v>DIO,SMD,PWR,TVS,600W 30V ROHS</v>
          </cell>
        </row>
        <row r="2077">
          <cell r="A2077" t="str">
            <v>609-034003-024</v>
          </cell>
          <cell r="B2077" t="str">
            <v>SMBJ24A</v>
          </cell>
          <cell r="C2077" t="str">
            <v>DIO</v>
          </cell>
          <cell r="F2077" t="str">
            <v>DIO,SMD,PWR,TVS,600W,24V,ROHS</v>
          </cell>
        </row>
        <row r="2078">
          <cell r="A2078" t="str">
            <v>609-099412-689</v>
          </cell>
          <cell r="B2078" t="str">
            <v>1.5SMC6.8A</v>
          </cell>
          <cell r="C2078" t="str">
            <v>DIO</v>
          </cell>
          <cell r="F2078" t="str">
            <v>DIODE,TVS,6.8V ,1.5KW,SMC,ROHS</v>
          </cell>
        </row>
        <row r="2079">
          <cell r="A2079" t="str">
            <v>609-185158-001</v>
          </cell>
          <cell r="B2079" t="str">
            <v>SMCJ1.5KE30A-TP</v>
          </cell>
          <cell r="C2079" t="str">
            <v>DIO</v>
          </cell>
          <cell r="F2079" t="str">
            <v>DIO,SMD,TVS,25.6V,1.5KW,SMCJ1.5KE,ROHS</v>
          </cell>
        </row>
        <row r="2080">
          <cell r="A2080" t="str">
            <v>609-239535-001</v>
          </cell>
          <cell r="B2080" t="str">
            <v>SM4005PL-TP</v>
          </cell>
          <cell r="C2080" t="str">
            <v>DIO</v>
          </cell>
          <cell r="F2080" t="str">
            <v>DIO,SMD,600V,1A,SOD123FL,STD</v>
          </cell>
        </row>
        <row r="2081">
          <cell r="A2081" t="str">
            <v>609-279780-001</v>
          </cell>
          <cell r="B2081" t="str">
            <v>ESD7421N2T5G</v>
          </cell>
          <cell r="C2081" t="str">
            <v>DIO</v>
          </cell>
          <cell r="D2081" t="str">
            <v>FF</v>
          </cell>
          <cell r="F2081" t="str">
            <v>DIO,SMD,TVS,5VWM,38.1VC,SOD-882</v>
          </cell>
        </row>
        <row r="2082">
          <cell r="A2082" t="str">
            <v>609-314762-001</v>
          </cell>
          <cell r="B2082" t="str">
            <v>DF2B7M3SL,L3F</v>
          </cell>
          <cell r="C2082" t="str">
            <v>DIO</v>
          </cell>
          <cell r="F2082" t="str">
            <v>DIO,SMD,TVS,5.5V,20V,SL2</v>
          </cell>
        </row>
        <row r="2083">
          <cell r="A2083" t="str">
            <v>615-017273-010</v>
          </cell>
          <cell r="B2083" t="str">
            <v>ERJ1TRSJR10U</v>
          </cell>
          <cell r="C2083" t="str">
            <v>RES</v>
          </cell>
          <cell r="F2083" t="str">
            <v>RES,SMD,THICK FILM, 0.10 OHM</v>
          </cell>
        </row>
        <row r="2084">
          <cell r="A2084" t="str">
            <v>615-049171-102</v>
          </cell>
          <cell r="B2084" t="str">
            <v>TNPW080510K2BEEA</v>
          </cell>
          <cell r="C2084" t="str">
            <v>RES</v>
          </cell>
          <cell r="F2084" t="str">
            <v>RES,SMD,0805,10.2K OHMS,ROHS</v>
          </cell>
        </row>
        <row r="2085">
          <cell r="A2085" t="str">
            <v>615-053814-122</v>
          </cell>
          <cell r="B2085" t="str">
            <v>RMCF2512JT1K20</v>
          </cell>
          <cell r="C2085" t="str">
            <v>RES</v>
          </cell>
          <cell r="F2085" t="str">
            <v>RES,SMD,2512,TF,5%,1W,ROHS,1.2K OHM</v>
          </cell>
        </row>
        <row r="2086">
          <cell r="A2086" t="str">
            <v>615-064170-107</v>
          </cell>
          <cell r="B2086" t="str">
            <v>RG2012P-1071-B-T5</v>
          </cell>
          <cell r="C2086" t="str">
            <v>RES</v>
          </cell>
          <cell r="F2086" t="str">
            <v>RES,SMD,0805,RG,MF,0.1%,1/10W,1.07K ROHS</v>
          </cell>
        </row>
        <row r="2087">
          <cell r="A2087" t="str">
            <v>615-068556-220</v>
          </cell>
          <cell r="B2087" t="str">
            <v>RMCF0603FT2R20</v>
          </cell>
          <cell r="C2087" t="str">
            <v>RES</v>
          </cell>
          <cell r="F2087" t="str">
            <v>RES,0603,THKF,1%,1/10W,200PPM,2.2,ROHS</v>
          </cell>
        </row>
        <row r="2088">
          <cell r="A2088" t="str">
            <v>615-068558-221</v>
          </cell>
          <cell r="B2088" t="str">
            <v>RMCF0603FT221R</v>
          </cell>
          <cell r="C2088" t="str">
            <v>RES</v>
          </cell>
          <cell r="F2088" t="str">
            <v>RES,0603,THKF,1%,1/10W,100PPM, 221 ROHS</v>
          </cell>
        </row>
        <row r="2089">
          <cell r="A2089" t="str">
            <v>615-068559-102</v>
          </cell>
          <cell r="B2089" t="str">
            <v>AC0603FR-071K02L</v>
          </cell>
          <cell r="C2089" t="str">
            <v>RES</v>
          </cell>
          <cell r="F2089" t="str">
            <v>RES,0603,THKF,1%,1/10W,1.02K,ROHS</v>
          </cell>
        </row>
        <row r="2090">
          <cell r="A2090" t="str">
            <v>615-068559-115</v>
          </cell>
          <cell r="B2090" t="str">
            <v>ERJ-3EKF1151V</v>
          </cell>
          <cell r="C2090" t="str">
            <v>RES</v>
          </cell>
          <cell r="F2090" t="str">
            <v>RES,0603,THKF,1%,1/10W,1.15K,ROHS</v>
          </cell>
        </row>
        <row r="2091">
          <cell r="A2091" t="str">
            <v>615-068559-365</v>
          </cell>
          <cell r="B2091" t="str">
            <v>RMCF0603FT3K65</v>
          </cell>
          <cell r="C2091" t="str">
            <v>RES</v>
          </cell>
          <cell r="F2091" t="str">
            <v>RES,0603,THKF,1%,1/10W,3.65K,ROHS</v>
          </cell>
        </row>
        <row r="2092">
          <cell r="A2092" t="str">
            <v>615-068560-102</v>
          </cell>
          <cell r="B2092" t="str">
            <v>AC0603FR-0710K2L</v>
          </cell>
          <cell r="C2092" t="str">
            <v>RES</v>
          </cell>
          <cell r="F2092" t="str">
            <v>RES,0603,THKF,1%,1/10W,100PPM,10.2K,ROHS</v>
          </cell>
        </row>
        <row r="2093">
          <cell r="A2093" t="str">
            <v>615-097995-001</v>
          </cell>
          <cell r="B2093" t="str">
            <v>CRCW12060000Z0EA</v>
          </cell>
          <cell r="C2093" t="str">
            <v>RES</v>
          </cell>
          <cell r="F2093" t="str">
            <v>RES,1206 ZERO OHM JUMPER,ROHS</v>
          </cell>
        </row>
        <row r="2094">
          <cell r="A2094" t="str">
            <v>615-098000-100</v>
          </cell>
          <cell r="B2094" t="str">
            <v>RC1206FR-07100RL</v>
          </cell>
          <cell r="C2094" t="str">
            <v>RES</v>
          </cell>
          <cell r="F2094" t="str">
            <v>RES,1206,100 1% 1/4W,ROHS</v>
          </cell>
        </row>
        <row r="2095">
          <cell r="A2095" t="str">
            <v>615-098000-130</v>
          </cell>
          <cell r="B2095" t="str">
            <v>RC1206FR-07130RL</v>
          </cell>
          <cell r="C2095" t="str">
            <v>RES</v>
          </cell>
          <cell r="F2095" t="str">
            <v>RES,SMD,1206,130,1% 1/4W,ROHS</v>
          </cell>
        </row>
        <row r="2096">
          <cell r="A2096" t="str">
            <v>615-098000-267</v>
          </cell>
          <cell r="B2096" t="str">
            <v>RC1206FR-07267RL</v>
          </cell>
          <cell r="C2096" t="str">
            <v>RES</v>
          </cell>
          <cell r="F2096" t="str">
            <v>RES,1206,1%,1/4W,267 ROHS</v>
          </cell>
        </row>
        <row r="2097">
          <cell r="A2097" t="str">
            <v>615-098000-422</v>
          </cell>
          <cell r="B2097" t="str">
            <v>WCR1206LF-4220FPLT</v>
          </cell>
          <cell r="C2097" t="str">
            <v>RES</v>
          </cell>
          <cell r="F2097" t="str">
            <v>RES,1206,422, 1% 1/4W,ROHS</v>
          </cell>
        </row>
        <row r="2098">
          <cell r="A2098" t="str">
            <v>615-098001-562</v>
          </cell>
          <cell r="B2098" t="str">
            <v>CRCW12065K62FKEA</v>
          </cell>
          <cell r="C2098" t="str">
            <v>RES</v>
          </cell>
          <cell r="F2098" t="str">
            <v>RES,1206,1% 1/4W,5.62K ROHS</v>
          </cell>
        </row>
        <row r="2099">
          <cell r="A2099" t="str">
            <v>615-098002-100</v>
          </cell>
          <cell r="B2099" t="str">
            <v>WCR-WCR1206LF-1002-F-P-LT</v>
          </cell>
          <cell r="C2099" t="str">
            <v>RES</v>
          </cell>
          <cell r="F2099" t="str">
            <v>RES,SMD,1206,1%,1/4W,10.0K ROHS</v>
          </cell>
        </row>
        <row r="2100">
          <cell r="A2100" t="str">
            <v>615-098003-191</v>
          </cell>
          <cell r="B2100" t="str">
            <v>WCR-WCR1206LF-1913-F-P-LT</v>
          </cell>
          <cell r="C2100" t="str">
            <v>RES</v>
          </cell>
          <cell r="F2100" t="str">
            <v>RES,1206,1%,1/4W,100PPM,191K,ROHS</v>
          </cell>
        </row>
        <row r="2101">
          <cell r="A2101" t="str">
            <v>615-099414-150</v>
          </cell>
          <cell r="B2101" t="str">
            <v>RN732BTTD1502B25</v>
          </cell>
          <cell r="C2101" t="str">
            <v>RES</v>
          </cell>
          <cell r="F2101" t="str">
            <v>RES,SMD,1206,0.1%,15.0K,ROHS</v>
          </cell>
        </row>
        <row r="2102">
          <cell r="A2102" t="str">
            <v>615-116028-100</v>
          </cell>
          <cell r="B2102" t="str">
            <v>RC1206FR-071KL</v>
          </cell>
          <cell r="C2102" t="str">
            <v>RES</v>
          </cell>
          <cell r="F2102" t="str">
            <v>RES,SMD,1206,1.00K,1%,1/4W,ROHS</v>
          </cell>
        </row>
        <row r="2103">
          <cell r="A2103" t="str">
            <v>615-117189-001</v>
          </cell>
          <cell r="B2103" t="str">
            <v>RC0603JR-070RL</v>
          </cell>
          <cell r="C2103" t="str">
            <v>RES</v>
          </cell>
          <cell r="F2103" t="str">
            <v>RES,SMD,THKF,0603,JUMPER, 0 OHM,ROHS</v>
          </cell>
        </row>
        <row r="2104">
          <cell r="A2104" t="str">
            <v>615-121726-012</v>
          </cell>
          <cell r="B2104" t="str">
            <v>MR04X36R0FTL</v>
          </cell>
          <cell r="C2104" t="str">
            <v>RES</v>
          </cell>
          <cell r="F2104" t="str">
            <v>RES,SMD,36 OHM,1/10W,1%,0402</v>
          </cell>
        </row>
        <row r="2105">
          <cell r="A2105" t="str">
            <v>615-121726-054</v>
          </cell>
          <cell r="B2105" t="str">
            <v>ERJ-2RKF2401X</v>
          </cell>
          <cell r="C2105" t="str">
            <v>RES</v>
          </cell>
          <cell r="F2105" t="str">
            <v>RES,SMD,2.4K,1/10W,1%,0402</v>
          </cell>
        </row>
        <row r="2106">
          <cell r="A2106" t="str">
            <v>615-121726-071</v>
          </cell>
          <cell r="B2106" t="str">
            <v>MR04X1202FTL</v>
          </cell>
          <cell r="C2106" t="str">
            <v>RES</v>
          </cell>
          <cell r="F2106" t="str">
            <v>RES,SMD,12K,1/10W,1%,0402</v>
          </cell>
        </row>
        <row r="2107">
          <cell r="A2107" t="str">
            <v>615-121726-096</v>
          </cell>
          <cell r="B2107" t="str">
            <v>MR04X1503FTL</v>
          </cell>
          <cell r="C2107" t="str">
            <v>RES</v>
          </cell>
          <cell r="F2107" t="str">
            <v>RES,SMD,150K,1/10W,1%,0402</v>
          </cell>
        </row>
        <row r="2108">
          <cell r="A2108" t="str">
            <v>615-121726-098</v>
          </cell>
          <cell r="B2108" t="str">
            <v>RK73H1ETTP1803F</v>
          </cell>
          <cell r="C2108" t="str">
            <v>RES</v>
          </cell>
          <cell r="F2108" t="str">
            <v>RES,SMD,180K,1/10W,1%,0402</v>
          </cell>
        </row>
        <row r="2109">
          <cell r="A2109" t="str">
            <v>615-121726-189</v>
          </cell>
          <cell r="B2109" t="str">
            <v>ERJ-2RKF4992X</v>
          </cell>
          <cell r="C2109" t="str">
            <v>RES</v>
          </cell>
          <cell r="F2109" t="str">
            <v>RES,SMD,49.9K,1/10W,1%,0402</v>
          </cell>
        </row>
        <row r="2110">
          <cell r="A2110" t="str">
            <v>615-123459-100</v>
          </cell>
          <cell r="B2110" t="str">
            <v>RC0402FR-0710RL</v>
          </cell>
          <cell r="C2110" t="str">
            <v>RES</v>
          </cell>
          <cell r="F2110" t="str">
            <v>RES,0402,THKF,1/16W,1% 10.0 ROHS</v>
          </cell>
        </row>
        <row r="2111">
          <cell r="A2111" t="str">
            <v>615-123459-453</v>
          </cell>
          <cell r="B2111" t="str">
            <v>RC0402FR-0745R3L</v>
          </cell>
          <cell r="C2111" t="str">
            <v>RES</v>
          </cell>
          <cell r="F2111" t="str">
            <v>RES,0402,THKF,1/16W,1% 45.3 ROHS</v>
          </cell>
        </row>
        <row r="2112">
          <cell r="A2112" t="str">
            <v>615-123460-392</v>
          </cell>
          <cell r="B2112" t="str">
            <v>RC0402FR-07392RL</v>
          </cell>
          <cell r="C2112" t="str">
            <v>RES</v>
          </cell>
          <cell r="F2112" t="str">
            <v>RES,0402,THKF,1/16W,1% 392 ROHS</v>
          </cell>
        </row>
        <row r="2113">
          <cell r="A2113" t="str">
            <v>615-123460-590</v>
          </cell>
          <cell r="B2113" t="str">
            <v>RC0402FR-07590RL</v>
          </cell>
          <cell r="C2113" t="str">
            <v>RES</v>
          </cell>
          <cell r="F2113" t="str">
            <v>RES,0402,THKF,1/16W,1% 590 ROHS</v>
          </cell>
        </row>
        <row r="2114">
          <cell r="A2114" t="str">
            <v>615-123461-150</v>
          </cell>
          <cell r="B2114" t="str">
            <v>WR04X1501FTL</v>
          </cell>
          <cell r="C2114" t="str">
            <v>RES</v>
          </cell>
          <cell r="F2114" t="str">
            <v>RES,0402,THKF,1/16W,1% 1.50K ROHS</v>
          </cell>
        </row>
        <row r="2115">
          <cell r="A2115" t="str">
            <v>615-123461-294</v>
          </cell>
          <cell r="B2115" t="str">
            <v>CRCW04022K94FKEDC</v>
          </cell>
          <cell r="C2115" t="str">
            <v>RES</v>
          </cell>
          <cell r="F2115" t="str">
            <v>RES,0402,THKF,1/16W,1%,2.94K ROHS</v>
          </cell>
        </row>
        <row r="2116">
          <cell r="A2116" t="str">
            <v>615-123461-412</v>
          </cell>
          <cell r="B2116" t="str">
            <v>CR0402-FX-4121GLF</v>
          </cell>
          <cell r="C2116" t="str">
            <v>RES</v>
          </cell>
          <cell r="F2116" t="str">
            <v>RES,0402,THKF,1/16W,1% 4.12K ROHS</v>
          </cell>
        </row>
        <row r="2117">
          <cell r="A2117" t="str">
            <v>615-123461-464</v>
          </cell>
          <cell r="B2117" t="str">
            <v>WR04X4641FTL</v>
          </cell>
          <cell r="C2117" t="str">
            <v>RES</v>
          </cell>
          <cell r="F2117" t="str">
            <v>RES,0402,THKF,1/16W,1%,4.64K,ROHS</v>
          </cell>
        </row>
        <row r="2118">
          <cell r="A2118" t="str">
            <v>615-123461-511</v>
          </cell>
          <cell r="B2118" t="str">
            <v>CR0402-FX-5111GLF</v>
          </cell>
          <cell r="C2118" t="str">
            <v>RES</v>
          </cell>
          <cell r="F2118" t="str">
            <v>RES,0402,THKF,1/16W,1% 5.11K ROHS</v>
          </cell>
        </row>
        <row r="2119">
          <cell r="A2119" t="str">
            <v>615-123462-143</v>
          </cell>
          <cell r="B2119" t="str">
            <v>RC1005F1432CS</v>
          </cell>
          <cell r="C2119" t="str">
            <v>RES</v>
          </cell>
          <cell r="F2119" t="str">
            <v>RES,0402,THKF,1/16W,1% 14.3K ROHS</v>
          </cell>
        </row>
        <row r="2120">
          <cell r="A2120" t="str">
            <v>615-123462-150</v>
          </cell>
          <cell r="B2120" t="str">
            <v>RC0402FR-0715KL</v>
          </cell>
          <cell r="C2120" t="str">
            <v>RES</v>
          </cell>
          <cell r="F2120" t="str">
            <v>RES,0402,THKF,1/16W,1% 15.0K ROHS</v>
          </cell>
        </row>
        <row r="2121">
          <cell r="A2121" t="str">
            <v>615-123462-174</v>
          </cell>
          <cell r="B2121" t="str">
            <v>RC0402FR-0717K4L</v>
          </cell>
          <cell r="C2121" t="str">
            <v>RES</v>
          </cell>
          <cell r="F2121" t="str">
            <v>RES,0402,THKF,1/16W,1% 17.4K ROHS</v>
          </cell>
        </row>
        <row r="2122">
          <cell r="A2122" t="str">
            <v>615-123462-182</v>
          </cell>
          <cell r="B2122" t="str">
            <v>RC0402FR-0718K2L</v>
          </cell>
          <cell r="C2122" t="str">
            <v>RES</v>
          </cell>
          <cell r="F2122" t="str">
            <v>RES,0402,THKF,1/16W,1% 18.2K ROHS</v>
          </cell>
        </row>
        <row r="2123">
          <cell r="A2123" t="str">
            <v>615-123462-280</v>
          </cell>
          <cell r="B2123" t="str">
            <v>RC0402FR-0728KL</v>
          </cell>
          <cell r="C2123" t="str">
            <v>RES</v>
          </cell>
          <cell r="F2123" t="str">
            <v>RES,0402,THKF,1/16W,1%,28K,ROHS</v>
          </cell>
        </row>
        <row r="2124">
          <cell r="A2124" t="str">
            <v>615-123462-332</v>
          </cell>
          <cell r="B2124" t="str">
            <v>RK73H1ETTP3322F</v>
          </cell>
          <cell r="C2124" t="str">
            <v>RES</v>
          </cell>
          <cell r="F2124" t="str">
            <v>RES,0402,THKF,1/16W,1% 33.2K ROHS</v>
          </cell>
        </row>
        <row r="2125">
          <cell r="A2125" t="str">
            <v>615-123462-511</v>
          </cell>
          <cell r="B2125" t="str">
            <v>RC0402FR-0751K1L</v>
          </cell>
          <cell r="C2125" t="str">
            <v>RES</v>
          </cell>
          <cell r="F2125" t="str">
            <v>RES,0402,THKF,1/16W,1%,51.1K,ROHS</v>
          </cell>
        </row>
        <row r="2126">
          <cell r="A2126" t="str">
            <v>615-123462-536</v>
          </cell>
          <cell r="B2126" t="str">
            <v>RC0402FR-0753K6L</v>
          </cell>
          <cell r="C2126" t="str">
            <v>RES</v>
          </cell>
          <cell r="F2126" t="str">
            <v>RES,0402,THKF,1/16W,1% 53.6K ROHS</v>
          </cell>
        </row>
        <row r="2127">
          <cell r="A2127" t="str">
            <v>615-123462-620</v>
          </cell>
          <cell r="B2127" t="str">
            <v>RC0402FR-0762KL</v>
          </cell>
          <cell r="C2127" t="str">
            <v>RES</v>
          </cell>
          <cell r="F2127" t="str">
            <v>RES,0402,THKF,1/16W,1% 62.0K ROHS</v>
          </cell>
        </row>
        <row r="2128">
          <cell r="A2128" t="str">
            <v>615-123462-634</v>
          </cell>
          <cell r="B2128" t="str">
            <v>RC0402FR-0763K4L</v>
          </cell>
          <cell r="C2128" t="str">
            <v>RES</v>
          </cell>
          <cell r="F2128" t="str">
            <v>RES,0402,THKF,1/16W,1% 63.4K ROHS</v>
          </cell>
        </row>
        <row r="2129">
          <cell r="A2129" t="str">
            <v>615-123462-750</v>
          </cell>
          <cell r="B2129" t="str">
            <v>RC1005F753CS</v>
          </cell>
          <cell r="C2129" t="str">
            <v>RES</v>
          </cell>
          <cell r="F2129" t="str">
            <v>RES,0402,THKF,1/16W,1% 75.0K ROHS</v>
          </cell>
        </row>
        <row r="2130">
          <cell r="A2130" t="str">
            <v>615-123462-845</v>
          </cell>
          <cell r="B2130" t="str">
            <v>RC0402FR-0784K5L</v>
          </cell>
          <cell r="C2130" t="str">
            <v>RES</v>
          </cell>
          <cell r="F2130" t="str">
            <v>RES,0402,THKF,1/16W,1%,84.5K,ROHS</v>
          </cell>
        </row>
        <row r="2131">
          <cell r="A2131" t="str">
            <v>615-123462-909</v>
          </cell>
          <cell r="B2131" t="str">
            <v>RC0402FR-0790K9L</v>
          </cell>
          <cell r="C2131" t="str">
            <v>RES</v>
          </cell>
          <cell r="F2131" t="str">
            <v>RES,0402,THKF,1/16W,1% 90.9K ROHS</v>
          </cell>
        </row>
        <row r="2132">
          <cell r="A2132" t="str">
            <v>615-123462-910</v>
          </cell>
          <cell r="B2132" t="str">
            <v>RC0402FR-0791KL</v>
          </cell>
          <cell r="C2132" t="str">
            <v>RES</v>
          </cell>
          <cell r="F2132" t="str">
            <v>RES,0402,THKF,1/16W,1% 91.0K ROHS</v>
          </cell>
        </row>
        <row r="2133">
          <cell r="A2133" t="str">
            <v>615-123462-953</v>
          </cell>
          <cell r="B2133" t="str">
            <v>RC0402FR-0795K3L</v>
          </cell>
          <cell r="C2133" t="str">
            <v>RES</v>
          </cell>
          <cell r="F2133" t="str">
            <v>RES,0402,THKF,1/16W,1% 95.3K ROHS</v>
          </cell>
        </row>
        <row r="2134">
          <cell r="A2134" t="str">
            <v>615-123463-137</v>
          </cell>
          <cell r="B2134" t="str">
            <v>RC0402FR-07137KL</v>
          </cell>
          <cell r="C2134" t="str">
            <v>RES</v>
          </cell>
          <cell r="F2134" t="str">
            <v>RES,0402,THKF,1/16W,1% 137K ROHS</v>
          </cell>
        </row>
        <row r="2135">
          <cell r="A2135" t="str">
            <v>615-123463-196</v>
          </cell>
          <cell r="B2135" t="str">
            <v>CR0402-FX-1963GLF</v>
          </cell>
          <cell r="C2135" t="str">
            <v>RES</v>
          </cell>
          <cell r="F2135" t="str">
            <v>RES,0402,THKF,1/16W,1% 196K ROHS</v>
          </cell>
        </row>
        <row r="2136">
          <cell r="A2136" t="str">
            <v>615-123464-475</v>
          </cell>
          <cell r="B2136" t="str">
            <v>RC0402FR-074M75L</v>
          </cell>
          <cell r="C2136" t="str">
            <v>RES</v>
          </cell>
          <cell r="F2136" t="str">
            <v>RES,0402,THKF,1/16W,1% 4.75M ROHS</v>
          </cell>
        </row>
        <row r="2137">
          <cell r="A2137" t="str">
            <v>615-123464-999</v>
          </cell>
          <cell r="B2137" t="str">
            <v>RC0402FR-0710ML</v>
          </cell>
          <cell r="C2137" t="str">
            <v>RES</v>
          </cell>
          <cell r="F2137" t="str">
            <v>RES,0402,THKF,1/16W,1% 10M ROHS</v>
          </cell>
        </row>
        <row r="2138">
          <cell r="A2138" t="str">
            <v>615-131264-001</v>
          </cell>
          <cell r="B2138" t="str">
            <v>HVC5020K1002FT</v>
          </cell>
          <cell r="C2138" t="str">
            <v>RES</v>
          </cell>
          <cell r="F2138" t="str">
            <v>RES,SMD,THK FILM,10K,1%,100PPM,5020</v>
          </cell>
        </row>
        <row r="2139">
          <cell r="A2139" t="str">
            <v>615-138826-002</v>
          </cell>
          <cell r="B2139" t="str">
            <v>LVK12R020DER</v>
          </cell>
          <cell r="C2139" t="str">
            <v>RES</v>
          </cell>
          <cell r="F2139" t="str">
            <v>RES,1206,1/2W,0.5%,0.02 OHM ROHS</v>
          </cell>
        </row>
        <row r="2140">
          <cell r="A2140" t="str">
            <v>615-162505-004</v>
          </cell>
          <cell r="B2140" t="str">
            <v>PLT0805Z5001AST5</v>
          </cell>
          <cell r="C2140" t="str">
            <v>RES</v>
          </cell>
          <cell r="F2140" t="str">
            <v>RES,0805,TF,0.25W,0.05%,5K ROHS</v>
          </cell>
        </row>
        <row r="2141">
          <cell r="A2141" t="str">
            <v>615-188548-286</v>
          </cell>
          <cell r="B2141" t="str">
            <v>AC0402FR-07330RL</v>
          </cell>
          <cell r="C2141" t="str">
            <v>RES</v>
          </cell>
          <cell r="F2141" t="str">
            <v>RES,0402,1% 1/16W,330 OHM ROHS</v>
          </cell>
        </row>
        <row r="2142">
          <cell r="A2142" t="str">
            <v>615-218819-001</v>
          </cell>
          <cell r="B2142" t="str">
            <v>HVC2512E2504FT</v>
          </cell>
          <cell r="C2142" t="str">
            <v>RES</v>
          </cell>
          <cell r="F2142" t="str">
            <v>RES,SMD,2.5MEG,1%,25PPM,2W</v>
          </cell>
        </row>
        <row r="2143">
          <cell r="A2143" t="str">
            <v>615-228837-001</v>
          </cell>
          <cell r="B2143" t="str">
            <v>ERJ-S02F2001X</v>
          </cell>
          <cell r="C2143" t="str">
            <v>RES</v>
          </cell>
          <cell r="F2143" t="str">
            <v>RES,SMD,0402,0.1W,1%,200PPM,2K OHM</v>
          </cell>
        </row>
        <row r="2144">
          <cell r="A2144" t="str">
            <v>615-232515-001</v>
          </cell>
          <cell r="B2144" t="str">
            <v>ERJ8BWFR010V</v>
          </cell>
          <cell r="C2144" t="str">
            <v>RES</v>
          </cell>
          <cell r="F2144" t="str">
            <v>RES,SMD,1206,1%,200PPM,0.01 OHM</v>
          </cell>
        </row>
        <row r="2145">
          <cell r="A2145" t="str">
            <v>615-251042-006</v>
          </cell>
          <cell r="B2145" t="str">
            <v>RC0603FR-07562RL</v>
          </cell>
          <cell r="C2145" t="str">
            <v>RES</v>
          </cell>
          <cell r="F2145" t="str">
            <v>RES,SMD,562 OHM,±1%TOL,0.1W,75V,0603</v>
          </cell>
        </row>
        <row r="2146">
          <cell r="A2146" t="str">
            <v>615-303725-037</v>
          </cell>
          <cell r="B2146" t="str">
            <v>ERA-2AEB152X</v>
          </cell>
          <cell r="C2146" t="str">
            <v>RES</v>
          </cell>
          <cell r="F2146" t="str">
            <v>RES,SMD,1.5K,0.1%,1/16W,0402,ROHS</v>
          </cell>
        </row>
        <row r="2147">
          <cell r="A2147" t="str">
            <v>615-310567-001</v>
          </cell>
          <cell r="B2147" t="str">
            <v>ERA-3AEB103V</v>
          </cell>
          <cell r="C2147" t="str">
            <v>RES</v>
          </cell>
          <cell r="F2147" t="str">
            <v>RES,SMD,10K,0.1%,1/10W,0603,ROHS</v>
          </cell>
        </row>
        <row r="2148">
          <cell r="A2148" t="str">
            <v>615-310567-005</v>
          </cell>
          <cell r="B2148" t="str">
            <v>ERA-3AEB49R9V</v>
          </cell>
          <cell r="C2148" t="str">
            <v>RES</v>
          </cell>
          <cell r="F2148" t="str">
            <v>RES,SMD,49.9OHM,0.1%,1/10W,0603,ROHS</v>
          </cell>
        </row>
        <row r="2149">
          <cell r="A2149" t="str">
            <v>615-313014-001</v>
          </cell>
          <cell r="B2149" t="str">
            <v>EXB-18V100JX</v>
          </cell>
          <cell r="C2149" t="str">
            <v>RES</v>
          </cell>
          <cell r="F2149" t="str">
            <v>RES,SMD,ARRAY,4RES,10 OHM,0502</v>
          </cell>
        </row>
        <row r="2150">
          <cell r="A2150" t="str">
            <v>615-336992-001</v>
          </cell>
          <cell r="B2150" t="str">
            <v>RT0402BRD07120KL</v>
          </cell>
          <cell r="C2150" t="str">
            <v>RES</v>
          </cell>
          <cell r="F2150" t="str">
            <v>RES,SMD,0402,120KOHM,±.1%,1/16W</v>
          </cell>
        </row>
        <row r="2151">
          <cell r="A2151" t="str">
            <v>615-900962-007</v>
          </cell>
          <cell r="B2151" t="str">
            <v>HVC2512K1002FT</v>
          </cell>
          <cell r="C2151" t="str">
            <v>RES</v>
          </cell>
          <cell r="F2151" t="str">
            <v>RES,SMD,10K OHM,1% TOL,2W,3KV,2512</v>
          </cell>
        </row>
        <row r="2152">
          <cell r="A2152" t="str">
            <v>615-901300-976</v>
          </cell>
          <cell r="B2152" t="str">
            <v>WCR-WCR0805LF-9760-F-P-LT</v>
          </cell>
          <cell r="C2152" t="str">
            <v>RES</v>
          </cell>
          <cell r="F2152" t="str">
            <v>RES,SMD,0805,976,1%,1/10W,ROHS</v>
          </cell>
        </row>
        <row r="2153">
          <cell r="A2153" t="str">
            <v>615-901301-100</v>
          </cell>
          <cell r="B2153" t="str">
            <v>WCR-WCR0805LF-1001-F-P-LT</v>
          </cell>
          <cell r="C2153" t="str">
            <v>RES</v>
          </cell>
          <cell r="F2153" t="str">
            <v>RES,SMD,0805,1.00K,1%,1/10W,ROHS</v>
          </cell>
        </row>
        <row r="2154">
          <cell r="A2154" t="str">
            <v>615-901301-324</v>
          </cell>
          <cell r="B2154" t="str">
            <v>RC0805FR-073K24L</v>
          </cell>
          <cell r="C2154" t="str">
            <v>RES</v>
          </cell>
          <cell r="F2154" t="str">
            <v>RES,SMD,0805,3.24K,1%,1/10W,ROHS</v>
          </cell>
        </row>
        <row r="2155">
          <cell r="A2155" t="str">
            <v>615-A00422-294</v>
          </cell>
          <cell r="B2155" t="str">
            <v>ERA-2AEB2940X</v>
          </cell>
          <cell r="C2155" t="str">
            <v>RES</v>
          </cell>
          <cell r="F2155" t="str">
            <v>RES SMD 294 OHM 0.1% 1/16W 0402</v>
          </cell>
        </row>
        <row r="2156">
          <cell r="A2156" t="str">
            <v>615-A00422-576</v>
          </cell>
          <cell r="B2156" t="str">
            <v>ERA-2AEB5760X</v>
          </cell>
          <cell r="C2156" t="str">
            <v>RES</v>
          </cell>
          <cell r="F2156" t="str">
            <v>RES SMD 576 OHM 0.1% 1/16W 0402</v>
          </cell>
        </row>
        <row r="2157">
          <cell r="A2157" t="str">
            <v>615-A00424-249</v>
          </cell>
          <cell r="B2157" t="str">
            <v>RT0402BRD0724K9L</v>
          </cell>
          <cell r="C2157" t="str">
            <v>RES</v>
          </cell>
          <cell r="F2157" t="str">
            <v>RES,SMD,24.9KOHM,0.1%,1/16W,0402</v>
          </cell>
        </row>
        <row r="2158">
          <cell r="A2158" t="str">
            <v>615-A00424-270</v>
          </cell>
          <cell r="B2158" t="str">
            <v>ERA-2AEB273X</v>
          </cell>
          <cell r="C2158" t="str">
            <v>RES</v>
          </cell>
          <cell r="F2158" t="str">
            <v>RES,SMD,27.0KOHM,0.1%,1/16W,0402</v>
          </cell>
        </row>
        <row r="2159">
          <cell r="A2159" t="str">
            <v>615-A00424-280</v>
          </cell>
          <cell r="B2159" t="str">
            <v>RT0402BRD0728KL</v>
          </cell>
          <cell r="C2159" t="str">
            <v>RES</v>
          </cell>
          <cell r="F2159" t="str">
            <v>RES,SMD,28.0KOHM,0.1%,1/16W,0402</v>
          </cell>
        </row>
        <row r="2160">
          <cell r="A2160" t="str">
            <v>615-A14987-001</v>
          </cell>
          <cell r="B2160" t="str">
            <v>ESR03EZPF2201</v>
          </cell>
          <cell r="C2160" t="str">
            <v>RES</v>
          </cell>
          <cell r="F2160" t="str">
            <v>RES,SMD,2.2K OHM,±1%,1/4W,100PPM,0603</v>
          </cell>
        </row>
        <row r="2161">
          <cell r="A2161" t="str">
            <v>615-A29618-003</v>
          </cell>
          <cell r="B2161" t="str">
            <v>ERA-3AEB2491V</v>
          </cell>
          <cell r="C2161" t="str">
            <v>RES</v>
          </cell>
          <cell r="F2161" t="str">
            <v>RES,SMD,2.49K,0.1%,1/10W,0603</v>
          </cell>
        </row>
        <row r="2162">
          <cell r="A2162" t="str">
            <v>615-A40066-001</v>
          </cell>
          <cell r="B2162" t="str">
            <v>WSLP25124L000DEA</v>
          </cell>
          <cell r="C2162" t="str">
            <v>RES</v>
          </cell>
          <cell r="F2162" t="str">
            <v>RES,SMD,PWR,.004OHM,±.5%,3W,±150PPM,2512</v>
          </cell>
        </row>
        <row r="2163">
          <cell r="A2163" t="str">
            <v>622-A00763-001</v>
          </cell>
          <cell r="B2163" t="str">
            <v>HVD-W10-AE-1006-F-4</v>
          </cell>
          <cell r="C2163" t="str">
            <v>RES</v>
          </cell>
          <cell r="F2163" t="str">
            <v>RES,NTWK,HV 1000:1 DIVDR,100 MOHM,±1.0%</v>
          </cell>
        </row>
        <row r="2164">
          <cell r="A2164" t="str">
            <v>626-020953-001</v>
          </cell>
          <cell r="B2164" t="str">
            <v>ZXM61N03FTA</v>
          </cell>
          <cell r="C2164" t="str">
            <v>XSTR</v>
          </cell>
          <cell r="F2164" t="str">
            <v>XSTR,SMD,FIELD EFT,30V,ZXM61N03F, SOT23</v>
          </cell>
        </row>
        <row r="2165">
          <cell r="A2165" t="str">
            <v>626-042923-001</v>
          </cell>
          <cell r="B2165" t="str">
            <v>AUIRF5210STRL</v>
          </cell>
          <cell r="C2165" t="str">
            <v>XSTR</v>
          </cell>
          <cell r="F2165" t="str">
            <v>XSTR,SMD,FIELD EFT,P CH</v>
          </cell>
        </row>
        <row r="2166">
          <cell r="A2166" t="str">
            <v>626-297282-001</v>
          </cell>
          <cell r="B2166" t="str">
            <v>STT4P3LLH6</v>
          </cell>
          <cell r="C2166" t="str">
            <v>XSTR</v>
          </cell>
          <cell r="F2166" t="str">
            <v>XSTR,SMD,FIELD EFT,P-CH 30V 4A SOT23-6</v>
          </cell>
        </row>
        <row r="2167">
          <cell r="A2167" t="str">
            <v>626-313169-001</v>
          </cell>
          <cell r="B2167" t="str">
            <v>MMBT3906LP-7B</v>
          </cell>
          <cell r="C2167" t="str">
            <v>XSTR</v>
          </cell>
          <cell r="F2167" t="str">
            <v>XSTR,SMD,PNP,40V,0.2A,DFN1006-3</v>
          </cell>
        </row>
        <row r="2168">
          <cell r="A2168" t="str">
            <v>626-A75408-001</v>
          </cell>
          <cell r="B2168" t="str">
            <v>SQM120P04-04L_GE3</v>
          </cell>
          <cell r="C2168" t="str">
            <v>XSTR</v>
          </cell>
          <cell r="F2168" t="str">
            <v>XSTR,SMD,FIELD EFT,P-CHAN,40V,TO-263-3</v>
          </cell>
        </row>
        <row r="2169">
          <cell r="A2169" t="str">
            <v>630-000804-001</v>
          </cell>
          <cell r="B2169" t="str">
            <v>OPA4251UA</v>
          </cell>
          <cell r="C2169" t="str">
            <v>IC</v>
          </cell>
          <cell r="F2169" t="str">
            <v>IC,SMD,OPAMP,QUAD,OPA4251,ROHS</v>
          </cell>
        </row>
        <row r="2170">
          <cell r="A2170" t="str">
            <v>630-025986-001</v>
          </cell>
          <cell r="B2170" t="str">
            <v>NL27WZ17DFT2G-L22348</v>
          </cell>
          <cell r="C2170" t="str">
            <v>IC</v>
          </cell>
          <cell r="F2170" t="str">
            <v>IC,SMD,DUAL BFR,NON-INV,1.65-5.5V,SC-88</v>
          </cell>
        </row>
        <row r="2171">
          <cell r="A2171" t="str">
            <v>630-026177-001</v>
          </cell>
          <cell r="B2171" t="str">
            <v>MAX5917AESE+T</v>
          </cell>
          <cell r="C2171" t="str">
            <v>IC</v>
          </cell>
          <cell r="F2171" t="str">
            <v>IC,SMD,HOT SWAP SWITCH,POS 65V,ROHS</v>
          </cell>
        </row>
        <row r="2172">
          <cell r="A2172" t="str">
            <v>630-039440-001</v>
          </cell>
          <cell r="B2172" t="str">
            <v>SN74LVC1G14DBVR</v>
          </cell>
          <cell r="C2172" t="str">
            <v>IC</v>
          </cell>
          <cell r="F2172" t="str">
            <v>IC,SMD,SCHMIT-TRIGR INVTR,74LVC1G14,ROHS</v>
          </cell>
        </row>
        <row r="2173">
          <cell r="A2173" t="str">
            <v>630-061092-004</v>
          </cell>
          <cell r="B2173" t="str">
            <v>OPA4277UA</v>
          </cell>
          <cell r="C2173" t="str">
            <v>IC</v>
          </cell>
          <cell r="F2173" t="str">
            <v>IC,SMD,OPAMP,QUAD,OPA4277UA,SO-14,ROHS</v>
          </cell>
        </row>
        <row r="2174">
          <cell r="A2174" t="str">
            <v>630-066555-001</v>
          </cell>
          <cell r="B2174" t="str">
            <v>TPS5430DDA</v>
          </cell>
          <cell r="C2174" t="str">
            <v>IC</v>
          </cell>
          <cell r="F2174" t="str">
            <v>IC,SMD,TPS5430DDA,STEP DWN CONV,3A</v>
          </cell>
        </row>
        <row r="2175">
          <cell r="A2175" t="str">
            <v>630-087790-001</v>
          </cell>
          <cell r="B2175" t="str">
            <v>ET1100</v>
          </cell>
          <cell r="C2175" t="str">
            <v>IC</v>
          </cell>
          <cell r="F2175" t="str">
            <v>IC,SMD,ECAT CONT,ET1100,128BGA,ROHS</v>
          </cell>
        </row>
        <row r="2176">
          <cell r="A2176" t="str">
            <v>630-112897-001</v>
          </cell>
          <cell r="B2176" t="str">
            <v>SEETABULATION</v>
          </cell>
          <cell r="C2176" t="str">
            <v>IC</v>
          </cell>
          <cell r="F2176" t="str">
            <v>IC,SMD,LM339,QUAD COMP,SO14,ROHS</v>
          </cell>
        </row>
        <row r="2177">
          <cell r="A2177" t="str">
            <v>630-121244-001</v>
          </cell>
          <cell r="B2177" t="str">
            <v>LMH6559MFX/NOPB</v>
          </cell>
          <cell r="C2177" t="str">
            <v>IC</v>
          </cell>
          <cell r="F2177" t="str">
            <v>IC,SMD,BUFFER CLOSED LOOP HS SOT-23</v>
          </cell>
        </row>
        <row r="2178">
          <cell r="A2178" t="str">
            <v>630-121247-001</v>
          </cell>
          <cell r="B2178" t="str">
            <v>THS770006IRGET</v>
          </cell>
          <cell r="C2178" t="str">
            <v>IC</v>
          </cell>
          <cell r="F2178" t="str">
            <v>IC,SMD,AMP DIFF ADC DVR 16BIT 24VQFN</v>
          </cell>
        </row>
        <row r="2179">
          <cell r="A2179" t="str">
            <v>630-121762-001</v>
          </cell>
          <cell r="B2179" t="str">
            <v>CAT24C256WI-GT3</v>
          </cell>
          <cell r="C2179" t="str">
            <v>IC</v>
          </cell>
          <cell r="F2179" t="str">
            <v>IC,SMD,EEPROM,256KBIT,400KHZ,SOIC8</v>
          </cell>
        </row>
        <row r="2180">
          <cell r="A2180" t="str">
            <v>630-122313-001</v>
          </cell>
          <cell r="B2180" t="str">
            <v>SN74AUP2G08DCUR</v>
          </cell>
          <cell r="C2180" t="str">
            <v>IC</v>
          </cell>
          <cell r="F2180" t="str">
            <v>IC,SMD,GATE POS-AND DL 2INP LP 8US8</v>
          </cell>
        </row>
        <row r="2181">
          <cell r="A2181" t="str">
            <v>630-122646-001</v>
          </cell>
          <cell r="B2181" t="str">
            <v>LMZ13610TZ/NOPB</v>
          </cell>
          <cell r="C2181" t="str">
            <v>IC</v>
          </cell>
          <cell r="F2181" t="str">
            <v>IC,SMD,BUCK SYNC ADJ 10A TO-PMOD-11</v>
          </cell>
        </row>
        <row r="2182">
          <cell r="A2182" t="str">
            <v>630-122762-001</v>
          </cell>
          <cell r="B2182" t="str">
            <v>SN74LVC8T245PWR</v>
          </cell>
          <cell r="C2182" t="str">
            <v>IC</v>
          </cell>
          <cell r="F2182" t="str">
            <v>IC,SMD,BUS TRANSCVR 8BIT 24TSSOP</v>
          </cell>
        </row>
        <row r="2183">
          <cell r="A2183" t="str">
            <v>630-123295-001</v>
          </cell>
          <cell r="B2183" t="str">
            <v>TPS79633DCQR</v>
          </cell>
          <cell r="C2183" t="str">
            <v>IC</v>
          </cell>
          <cell r="F2183" t="str">
            <v>IC,SMD,LDO REG 3.3V 1A SOT223-6</v>
          </cell>
        </row>
        <row r="2184">
          <cell r="A2184" t="str">
            <v>630-124006-001</v>
          </cell>
          <cell r="B2184" t="str">
            <v>SN75451BD</v>
          </cell>
          <cell r="C2184" t="str">
            <v>IC</v>
          </cell>
          <cell r="F2184" t="str">
            <v>IC,SMD,DUAL PERIPHERAL AND DRIVERS, ROHS</v>
          </cell>
        </row>
        <row r="2185">
          <cell r="A2185" t="str">
            <v>630-165767-001</v>
          </cell>
          <cell r="B2185" t="str">
            <v>PCA9515ADR</v>
          </cell>
          <cell r="C2185" t="str">
            <v>IC</v>
          </cell>
          <cell r="F2185" t="str">
            <v>IC,SMD,DUAL BI,I2C,SMB,BUF,PCA9515A,ROHS</v>
          </cell>
        </row>
        <row r="2186">
          <cell r="A2186" t="str">
            <v>630-165775-001</v>
          </cell>
          <cell r="B2186" t="str">
            <v>SN74LV244APWRG3</v>
          </cell>
          <cell r="C2186" t="str">
            <v>IC</v>
          </cell>
          <cell r="F2186" t="str">
            <v>IC,SMD,OCT BUF/DRIVER,SN74LV244A,ROHS</v>
          </cell>
        </row>
        <row r="2187">
          <cell r="A2187" t="str">
            <v>630-176855-001</v>
          </cell>
          <cell r="B2187" t="str">
            <v>LTC6994IS6-1#TRMPBF</v>
          </cell>
          <cell r="C2187" t="str">
            <v>IC</v>
          </cell>
          <cell r="F2187" t="str">
            <v>IC,SMD,LTC6994,DELAY LINE8TAP PROG,ROHS</v>
          </cell>
        </row>
        <row r="2188">
          <cell r="A2188" t="str">
            <v>630-191234-001</v>
          </cell>
          <cell r="B2188" t="str">
            <v>ILD217T</v>
          </cell>
          <cell r="C2188" t="str">
            <v>IC</v>
          </cell>
          <cell r="F2188" t="str">
            <v>IC,SMD,ILD217T DUAL OPTO,SOIC8,ROHS</v>
          </cell>
        </row>
        <row r="2189">
          <cell r="A2189" t="str">
            <v>630-204173-001</v>
          </cell>
          <cell r="B2189" t="str">
            <v>524MILF</v>
          </cell>
          <cell r="C2189" t="str">
            <v>IC</v>
          </cell>
          <cell r="F2189" t="str">
            <v>IC,SMD,CLK BUFFER</v>
          </cell>
        </row>
        <row r="2190">
          <cell r="A2190" t="str">
            <v>630-228101-001</v>
          </cell>
          <cell r="B2190" t="str">
            <v>TPS51200DRCT</v>
          </cell>
          <cell r="C2190" t="str">
            <v>IC</v>
          </cell>
          <cell r="F2190" t="str">
            <v>IC,SMD,REG,SINK/SOURCE DDR</v>
          </cell>
        </row>
        <row r="2191">
          <cell r="A2191" t="str">
            <v>630-228108-001</v>
          </cell>
          <cell r="B2191" t="str">
            <v>MAX13035EETE+</v>
          </cell>
          <cell r="C2191" t="str">
            <v>IC</v>
          </cell>
          <cell r="F2191" t="str">
            <v>IC,SMD,BI,DIR,LEVEL TRANSL,6CH</v>
          </cell>
        </row>
        <row r="2192">
          <cell r="A2192" t="str">
            <v>630-228687-001</v>
          </cell>
          <cell r="B2192" t="str">
            <v>TCA9548ARGER</v>
          </cell>
          <cell r="C2192" t="str">
            <v>IC</v>
          </cell>
          <cell r="F2192" t="str">
            <v>IC,SMD,I2C,SW,8CH,W/RESET</v>
          </cell>
        </row>
        <row r="2193">
          <cell r="A2193" t="str">
            <v>630-228689-001</v>
          </cell>
          <cell r="B2193" t="str">
            <v>RTC-8564JE:B3:ROHS</v>
          </cell>
          <cell r="C2193" t="str">
            <v>IC</v>
          </cell>
          <cell r="F2193" t="str">
            <v>IC,SMD,RTC,CLK/CALENDAR,I2C,1.8-5.5V</v>
          </cell>
        </row>
        <row r="2194">
          <cell r="A2194" t="str">
            <v>630-232507-001</v>
          </cell>
          <cell r="B2194" t="str">
            <v>SN74AHC1G08DCKR</v>
          </cell>
          <cell r="C2194" t="str">
            <v>IC</v>
          </cell>
          <cell r="F2194" t="str">
            <v>IC,SMD,GATE,AND,1CH,2-INPUT</v>
          </cell>
        </row>
        <row r="2195">
          <cell r="A2195" t="str">
            <v>630-232598-001</v>
          </cell>
          <cell r="B2195" t="str">
            <v>TLC7733IPWR</v>
          </cell>
          <cell r="C2195" t="str">
            <v>IC</v>
          </cell>
          <cell r="F2195" t="str">
            <v>IC,SMD,2.93V,SUPPLY,MONITOR</v>
          </cell>
        </row>
        <row r="2196">
          <cell r="A2196" t="str">
            <v>630-232599-001</v>
          </cell>
          <cell r="B2196" t="str">
            <v>TLV1702AIDGKR</v>
          </cell>
          <cell r="C2196" t="str">
            <v>IC</v>
          </cell>
          <cell r="F2196" t="str">
            <v>IC,SMD,COMPARATOR,DUAL,MICROPOWER</v>
          </cell>
        </row>
        <row r="2197">
          <cell r="A2197" t="str">
            <v>630-237725-001</v>
          </cell>
          <cell r="B2197" t="str">
            <v>LTC6902CMS#PBF</v>
          </cell>
          <cell r="C2197" t="str">
            <v>IC</v>
          </cell>
          <cell r="F2197" t="str">
            <v>IC,SMD,MULT PH OSC,5KHZ-20MHZ,10-MSOP</v>
          </cell>
        </row>
        <row r="2198">
          <cell r="A2198" t="str">
            <v>630-245606-001</v>
          </cell>
          <cell r="B2198" t="str">
            <v>SN74LVC1G11DBVR</v>
          </cell>
          <cell r="C2198" t="str">
            <v>IC</v>
          </cell>
          <cell r="F2198" t="str">
            <v>IC,SMD,1CH,3-I/P AND GATE</v>
          </cell>
        </row>
        <row r="2199">
          <cell r="A2199" t="str">
            <v>630-247939-001</v>
          </cell>
          <cell r="B2199" t="str">
            <v>SN74LVC1T45DBVR</v>
          </cell>
          <cell r="C2199" t="str">
            <v>IC</v>
          </cell>
          <cell r="F2199" t="str">
            <v>IC,SMD,BUS TRANSCVR,TRI-ST,SOT23-6</v>
          </cell>
        </row>
        <row r="2200">
          <cell r="A2200" t="str">
            <v>630-248821-001</v>
          </cell>
          <cell r="B2200" t="str">
            <v>SN65HVS880PWPR</v>
          </cell>
          <cell r="C2200" t="str">
            <v>IC</v>
          </cell>
          <cell r="F2200" t="str">
            <v>IC,SMD,DI SERIALIZER,8CHAN,24V,HTSSOP28</v>
          </cell>
        </row>
        <row r="2201">
          <cell r="A2201" t="str">
            <v>630-248896-001</v>
          </cell>
          <cell r="B2201" t="str">
            <v>IS25LP128-JBLE</v>
          </cell>
          <cell r="C2201" t="str">
            <v>IC</v>
          </cell>
          <cell r="F2201" t="str">
            <v>IC,SMD,FLASH,128M,QPI/QSPI</v>
          </cell>
        </row>
        <row r="2202">
          <cell r="A2202" t="str">
            <v>630-269923-001</v>
          </cell>
          <cell r="B2202" t="str">
            <v>OPA192IDBVR</v>
          </cell>
          <cell r="C2202" t="str">
            <v>IC</v>
          </cell>
          <cell r="F2202" t="str">
            <v>IC,SMD,OP AMP,RRIO,E-TRIM,SOT23-5</v>
          </cell>
        </row>
        <row r="2203">
          <cell r="A2203" t="str">
            <v>630-309831-001</v>
          </cell>
          <cell r="B2203" t="str">
            <v>TMP464</v>
          </cell>
          <cell r="C2203" t="str">
            <v>IC</v>
          </cell>
          <cell r="F2203" t="str">
            <v>IC,SMD,DIGITAL TEMP SNR, 5CH, I2C</v>
          </cell>
        </row>
        <row r="2204">
          <cell r="A2204" t="str">
            <v>630-309833-001</v>
          </cell>
          <cell r="B2204" t="str">
            <v>CAT24M01HU5I-GT3</v>
          </cell>
          <cell r="C2204" t="str">
            <v>IC</v>
          </cell>
          <cell r="F2204" t="str">
            <v>IC,SMD,EEPROM,1MBIT,400KHZ,I2C</v>
          </cell>
        </row>
        <row r="2205">
          <cell r="A2205" t="str">
            <v>630-311553-001</v>
          </cell>
          <cell r="B2205" t="str">
            <v>DP83630SQ/NOPB</v>
          </cell>
          <cell r="C2205" t="str">
            <v>IC</v>
          </cell>
          <cell r="F2205" t="str">
            <v>IC,SMD,TXRX,ETHERNET,48WQFN,ROHS</v>
          </cell>
        </row>
        <row r="2206">
          <cell r="A2206" t="str">
            <v>630-313656-001</v>
          </cell>
          <cell r="B2206" t="str">
            <v>TLP2662(TP1,F)</v>
          </cell>
          <cell r="C2206" t="str">
            <v>IC</v>
          </cell>
          <cell r="F2206" t="str">
            <v>IC,SMD,OPTOISO,5KV,2CH,OPN,COL,8SMD</v>
          </cell>
        </row>
        <row r="2207">
          <cell r="A2207" t="str">
            <v>630-314692-001</v>
          </cell>
          <cell r="B2207" t="str">
            <v>S25FL256SAGMFIR01</v>
          </cell>
          <cell r="C2207" t="str">
            <v>IC</v>
          </cell>
          <cell r="F2207" t="str">
            <v>IC,SMD,FLASH,256MBIT,133MHZ</v>
          </cell>
        </row>
        <row r="2208">
          <cell r="A2208" t="str">
            <v>630-323468-001</v>
          </cell>
          <cell r="B2208" t="str">
            <v>MAX5903NNETT+T</v>
          </cell>
          <cell r="C2208" t="str">
            <v>IC</v>
          </cell>
          <cell r="F2208" t="str">
            <v>IC,SMD,HOT-SWAP CONTROLLER,6TDFN</v>
          </cell>
        </row>
        <row r="2209">
          <cell r="A2209" t="str">
            <v>630-340553-001</v>
          </cell>
          <cell r="B2209" t="str">
            <v>551SCMGI</v>
          </cell>
          <cell r="C2209" t="str">
            <v>IC</v>
          </cell>
          <cell r="F2209" t="str">
            <v>IC,SMD,CLOCK BFR,1-4,8PIN,1.8-3.3V,DFN</v>
          </cell>
        </row>
        <row r="2210">
          <cell r="A2210" t="str">
            <v>630-A01981-001</v>
          </cell>
          <cell r="B2210" t="str">
            <v>SN74LVC16373AZQLR</v>
          </cell>
          <cell r="C2210" t="str">
            <v>IC</v>
          </cell>
          <cell r="F2210" t="str">
            <v>IC,SMD,D LATCH,16BIT,2CKT,2.1NS,VFBGA-56</v>
          </cell>
        </row>
        <row r="2211">
          <cell r="A2211" t="str">
            <v>630-A10953-001</v>
          </cell>
          <cell r="B2211" t="str">
            <v>TCA6424ARGJR</v>
          </cell>
          <cell r="C2211" t="str">
            <v>IC</v>
          </cell>
          <cell r="F2211" t="str">
            <v>IC,SMD,I/O EXPANDER,24BIT,I2C,UQFN-32</v>
          </cell>
        </row>
        <row r="2212">
          <cell r="A2212" t="str">
            <v>630-A81982-001</v>
          </cell>
          <cell r="B2212" t="str">
            <v>LTC6655CHMS8-1.25#PBF</v>
          </cell>
          <cell r="C2212" t="str">
            <v>IC</v>
          </cell>
          <cell r="F2212" t="str">
            <v>IC,SMD,V REF,1.25V OUT,0.05%,5PPM,MSOP-8</v>
          </cell>
        </row>
        <row r="2213">
          <cell r="A2213" t="str">
            <v>631-099701-001</v>
          </cell>
          <cell r="B2213" t="str">
            <v>HFBR-1531Z</v>
          </cell>
          <cell r="C2213" t="str">
            <v>IC</v>
          </cell>
          <cell r="F2213" t="str">
            <v>IC,XMTR,FIBER OPTIC,ROHS</v>
          </cell>
        </row>
        <row r="2214">
          <cell r="A2214" t="str">
            <v>631-099702-001</v>
          </cell>
          <cell r="B2214" t="str">
            <v>HFBR-2531Z</v>
          </cell>
          <cell r="C2214" t="str">
            <v>IC</v>
          </cell>
          <cell r="F2214" t="str">
            <v>IC,FO RECVR,VERT, ROHS</v>
          </cell>
        </row>
        <row r="2215">
          <cell r="A2215" t="str">
            <v>631-900034-001</v>
          </cell>
          <cell r="B2215" t="str">
            <v>HCPL-2232-000E</v>
          </cell>
          <cell r="C2215" t="str">
            <v>IC</v>
          </cell>
          <cell r="F2215" t="str">
            <v>IC,HCPL-2231 DUAL OPTOCPLR</v>
          </cell>
        </row>
        <row r="2216">
          <cell r="A2216" t="str">
            <v>632-024421-001</v>
          </cell>
          <cell r="B2216" t="str">
            <v>TQ2SA-24V</v>
          </cell>
          <cell r="C2216" t="str">
            <v>RLY</v>
          </cell>
          <cell r="F2216" t="str">
            <v>RLY,SMD,DPDT,2FC,S-SIDE,STABLE 24V</v>
          </cell>
        </row>
        <row r="2217">
          <cell r="A2217" t="str">
            <v>632-025018-001</v>
          </cell>
          <cell r="B2217" t="str">
            <v>TQ2SA-5V</v>
          </cell>
          <cell r="C2217" t="str">
            <v>RLY</v>
          </cell>
          <cell r="F2217" t="str">
            <v>RLY,SMD,DPDT,2FC,2-SIDED,STABLE,5V</v>
          </cell>
        </row>
        <row r="2218">
          <cell r="A2218" t="str">
            <v>632-258830-001</v>
          </cell>
          <cell r="B2218" t="str">
            <v>AGQ200A24Z</v>
          </cell>
          <cell r="C2218" t="str">
            <v>RLY</v>
          </cell>
          <cell r="F2218" t="str">
            <v>RLY,SMD,SIG,24VDC,2A,230MW,2.5KOHM,DPDT</v>
          </cell>
        </row>
        <row r="2219">
          <cell r="A2219" t="str">
            <v>639-121557-001</v>
          </cell>
          <cell r="B2219" t="str">
            <v>LI0805H151R-10</v>
          </cell>
          <cell r="C2219" t="str">
            <v>IDCTR</v>
          </cell>
          <cell r="F2219" t="str">
            <v>IDCTR,SMD,FERRITE,150 OHM 800MA 0805</v>
          </cell>
        </row>
        <row r="2220">
          <cell r="A2220" t="str">
            <v>639-219254-001</v>
          </cell>
          <cell r="B2220" t="str">
            <v>BLM15PD121SN1D</v>
          </cell>
          <cell r="C2220" t="str">
            <v>IDCTR</v>
          </cell>
          <cell r="F2220" t="str">
            <v>IDCTR,SMD,FERRITE,120 OHM,1.3A</v>
          </cell>
        </row>
        <row r="2221">
          <cell r="A2221" t="str">
            <v>639-249643-002</v>
          </cell>
          <cell r="B2221" t="str">
            <v>IHLP5050CEER1R0M01</v>
          </cell>
          <cell r="C2221" t="str">
            <v>IDCTR</v>
          </cell>
          <cell r="F2221" t="str">
            <v>IDCTR,SMD,FIXED,1UH,24A,3.5 MOHM</v>
          </cell>
        </row>
        <row r="2222">
          <cell r="A2222" t="str">
            <v>639-259272-010</v>
          </cell>
          <cell r="B2222" t="str">
            <v>LSQEA201212T100K</v>
          </cell>
          <cell r="C2222" t="str">
            <v>IDCTR</v>
          </cell>
          <cell r="F2222" t="str">
            <v>IDCTR,SMD,WW,10UH,±10%TOL,150MA,0.36OHM</v>
          </cell>
        </row>
        <row r="2223">
          <cell r="A2223" t="str">
            <v>639-346699-002</v>
          </cell>
          <cell r="B2223" t="str">
            <v>IHLP5050CEERR47M01</v>
          </cell>
          <cell r="C2223" t="str">
            <v>IDCTR</v>
          </cell>
          <cell r="F2223" t="str">
            <v>IDCTR,SMD,SHIELDED,0.47UH,±20%,32A</v>
          </cell>
        </row>
        <row r="2224">
          <cell r="A2224" t="str">
            <v>644-240179-001</v>
          </cell>
          <cell r="B2224" t="str">
            <v>G4A-1A-PE-DC24</v>
          </cell>
          <cell r="C2224" t="str">
            <v>RLY</v>
          </cell>
          <cell r="F2224" t="str">
            <v>RLY,PWR,SPST-NO,1P,20A,24VDC,PCB TERM</v>
          </cell>
        </row>
        <row r="2225">
          <cell r="A2225" t="str">
            <v>644-325454-001</v>
          </cell>
          <cell r="B2225" t="str">
            <v>T9AS1D12-24</v>
          </cell>
          <cell r="C2225" t="str">
            <v>RLY</v>
          </cell>
          <cell r="F2225" t="str">
            <v>RLY,24V,SPST,NO,30VDC,240VAC,30A</v>
          </cell>
        </row>
        <row r="2226">
          <cell r="A2226" t="str">
            <v>645-000381-005</v>
          </cell>
          <cell r="B2226" t="str">
            <v>76SB05ST</v>
          </cell>
          <cell r="C2226" t="str">
            <v>SW</v>
          </cell>
          <cell r="F2226" t="str">
            <v>SW/DIP, ROCKER, SPST,ROHS</v>
          </cell>
        </row>
        <row r="2227">
          <cell r="A2227" t="str">
            <v>645-069398-001</v>
          </cell>
          <cell r="B2227" t="str">
            <v>GT11MV3BE</v>
          </cell>
          <cell r="C2227" t="str">
            <v>SW</v>
          </cell>
          <cell r="F2227" t="str">
            <v>SW,TGL,SPDT,U-MINI,SEALD,ROHS</v>
          </cell>
        </row>
        <row r="2228">
          <cell r="A2228" t="str">
            <v>645-313806-001</v>
          </cell>
          <cell r="B2228" t="str">
            <v>DRR7016C</v>
          </cell>
          <cell r="C2228" t="str">
            <v>SW</v>
          </cell>
          <cell r="F2228" t="str">
            <v>SW,DIP,MINIATURE,ROTARY,WASHABLE</v>
          </cell>
        </row>
        <row r="2229">
          <cell r="A2229" t="str">
            <v>646-097970-001</v>
          </cell>
          <cell r="B2229" t="str">
            <v>KT11P2SM34LFS</v>
          </cell>
          <cell r="C2229" t="str">
            <v>SW</v>
          </cell>
          <cell r="F2229" t="str">
            <v>SW,PB SPST MOM, ROHS</v>
          </cell>
        </row>
        <row r="2230">
          <cell r="A2230" t="str">
            <v>646-137061-005</v>
          </cell>
          <cell r="B2230" t="str">
            <v>KAE05SGGT</v>
          </cell>
          <cell r="C2230" t="str">
            <v>SW</v>
          </cell>
          <cell r="F2230" t="str">
            <v>SW,SMD,DIP,RECESSED,5POS,ROHS</v>
          </cell>
        </row>
        <row r="2231">
          <cell r="A2231" t="str">
            <v>646-313804-001</v>
          </cell>
          <cell r="B2231" t="str">
            <v>EVQ-P7B01P</v>
          </cell>
          <cell r="C2231" t="str">
            <v>SW</v>
          </cell>
          <cell r="F2231" t="str">
            <v>SW,SMD,TACTILE,SPST-NO,0.05A,12V</v>
          </cell>
        </row>
        <row r="2232">
          <cell r="A2232" t="str">
            <v>648-046368-105</v>
          </cell>
          <cell r="B2232" t="str">
            <v>GRM31CR71H105KA61L</v>
          </cell>
          <cell r="C2232" t="str">
            <v>CAP</v>
          </cell>
          <cell r="F2232" t="str">
            <v>CAP,SMD,1206,10%,X7R,50V,1UF ROHS</v>
          </cell>
        </row>
        <row r="2233">
          <cell r="A2233" t="str">
            <v>648-046368-225</v>
          </cell>
          <cell r="B2233" t="str">
            <v>CC1206KKX7R9BB225</v>
          </cell>
          <cell r="C2233" t="str">
            <v>CAP</v>
          </cell>
          <cell r="F2233" t="str">
            <v>CAP,SMD,1206,10%,X7R,50V,2.2UF ROHS</v>
          </cell>
        </row>
        <row r="2234">
          <cell r="A2234" t="str">
            <v>648-051878-104</v>
          </cell>
          <cell r="B2234" t="str">
            <v>NMC0603X7R104K50TRPF</v>
          </cell>
          <cell r="C2234" t="str">
            <v>CAP</v>
          </cell>
          <cell r="F2234" t="str">
            <v>CAP,SMD,0603,0.1UF,50V,10%,X7R,ROHS</v>
          </cell>
        </row>
        <row r="2235">
          <cell r="A2235" t="str">
            <v>648-065494-106</v>
          </cell>
          <cell r="B2235" t="str">
            <v>CL31A106KAHNNNE</v>
          </cell>
          <cell r="C2235" t="str">
            <v>CAP</v>
          </cell>
          <cell r="F2235" t="str">
            <v>CAP,SMD,1206,CER,X5R,10%,10UF,25V,ROHS</v>
          </cell>
        </row>
        <row r="2236">
          <cell r="A2236" t="str">
            <v>648-067080-001</v>
          </cell>
          <cell r="B2236" t="str">
            <v>CKG57NX7R1H106M</v>
          </cell>
          <cell r="C2236" t="str">
            <v>CAP</v>
          </cell>
          <cell r="F2236" t="str">
            <v>CAP,SMD,CER,X7R,50V,20%,10UF ROHS</v>
          </cell>
        </row>
        <row r="2237">
          <cell r="A2237" t="str">
            <v>648-067740-001</v>
          </cell>
          <cell r="B2237" t="str">
            <v>TCJY107M010R0025E</v>
          </cell>
          <cell r="C2237" t="str">
            <v>CAP</v>
          </cell>
          <cell r="F2237" t="str">
            <v>CAP,SMD,COND PLYMR,100UF,20%,10V,7343</v>
          </cell>
        </row>
        <row r="2238">
          <cell r="A2238" t="str">
            <v>648-083577-105</v>
          </cell>
          <cell r="B2238" t="str">
            <v>C1206C105K3RAC</v>
          </cell>
          <cell r="C2238" t="str">
            <v>CAP</v>
          </cell>
          <cell r="F2238" t="str">
            <v>CAP,SMD,1206,CER,X7R,10%,25V,1UF ROHS</v>
          </cell>
        </row>
        <row r="2239">
          <cell r="A2239" t="str">
            <v>648-097891-102</v>
          </cell>
          <cell r="B2239" t="str">
            <v>12065C102KAT2A</v>
          </cell>
          <cell r="C2239" t="str">
            <v>CAP</v>
          </cell>
          <cell r="F2239" t="str">
            <v>CAP,1206 1000PF 10% 50V X7R,ROHS</v>
          </cell>
        </row>
        <row r="2240">
          <cell r="A2240" t="str">
            <v>648-097891-104</v>
          </cell>
          <cell r="B2240" t="str">
            <v>C1206C104K5RAC</v>
          </cell>
          <cell r="C2240" t="str">
            <v>CAP</v>
          </cell>
          <cell r="F2240" t="str">
            <v>CAP,1206 0.1UF 10% 50V X7R,ROHS</v>
          </cell>
        </row>
        <row r="2241">
          <cell r="A2241" t="str">
            <v>648-098106-334</v>
          </cell>
          <cell r="B2241" t="str">
            <v>TAJB334K050R</v>
          </cell>
          <cell r="C2241" t="str">
            <v>CAP</v>
          </cell>
          <cell r="F2241" t="str">
            <v>CAP,3528,0.33UF,10%,50V,TANT,ROHS</v>
          </cell>
        </row>
        <row r="2242">
          <cell r="A2242" t="str">
            <v>648-099898-102</v>
          </cell>
          <cell r="B2242" t="str">
            <v>08055C102KAT2A</v>
          </cell>
          <cell r="C2242" t="str">
            <v>CAP</v>
          </cell>
          <cell r="F2242" t="str">
            <v>CAP,SMD,CER,1000PF,0805,10%,X7R,50V,ROHS</v>
          </cell>
        </row>
        <row r="2243">
          <cell r="A2243" t="str">
            <v>648-099898-103</v>
          </cell>
          <cell r="B2243" t="str">
            <v>C0805C103K5RAC</v>
          </cell>
          <cell r="C2243" t="str">
            <v>CAP</v>
          </cell>
          <cell r="F2243" t="str">
            <v>CAP,SMD,CER,0.01UF,0805,10%,X7R,50V,ROHS</v>
          </cell>
        </row>
        <row r="2244">
          <cell r="A2244" t="str">
            <v>648-099898-474</v>
          </cell>
          <cell r="B2244" t="str">
            <v>C0805C474K5RAC</v>
          </cell>
          <cell r="C2244" t="str">
            <v>CAP</v>
          </cell>
          <cell r="F2244" t="str">
            <v>CAP,SMD,CER,0.47UF,0805,10%,X7R,50V,ROHS</v>
          </cell>
        </row>
        <row r="2245">
          <cell r="A2245" t="str">
            <v>648-099901-102</v>
          </cell>
          <cell r="B2245" t="str">
            <v>GRM40COG102J050AD</v>
          </cell>
          <cell r="C2245" t="str">
            <v>CAP</v>
          </cell>
          <cell r="F2245" t="str">
            <v>CAP,SMD,CER,0805,1000PF,5%,COG,50V</v>
          </cell>
        </row>
        <row r="2246">
          <cell r="A2246" t="str">
            <v>648-121555-001</v>
          </cell>
          <cell r="B2246" t="str">
            <v>C0402C104K4RACT</v>
          </cell>
          <cell r="C2246" t="str">
            <v>CAP</v>
          </cell>
          <cell r="F2246" t="str">
            <v>CAP,SMD,0.1UF 16V 10% X7R 0402</v>
          </cell>
        </row>
        <row r="2247">
          <cell r="A2247" t="str">
            <v>648-124320-152</v>
          </cell>
          <cell r="B2247" t="str">
            <v>C0402C152K4RACTU</v>
          </cell>
          <cell r="C2247" t="str">
            <v>CAP</v>
          </cell>
          <cell r="F2247" t="str">
            <v>CAP,SMD,0402,CER,X7R,10%,16V,1500PF ROHS</v>
          </cell>
        </row>
        <row r="2248">
          <cell r="A2248" t="str">
            <v>648-129741-106</v>
          </cell>
          <cell r="B2248" t="str">
            <v>TMK325BJ106MM-T</v>
          </cell>
          <cell r="C2248" t="str">
            <v>CAP</v>
          </cell>
          <cell r="F2248" t="str">
            <v>CAP,SMD,1210,CER,25V,20%,X5R,10UF,ROHS</v>
          </cell>
        </row>
        <row r="2249">
          <cell r="A2249" t="str">
            <v>648-138818-474</v>
          </cell>
          <cell r="B2249" t="str">
            <v>C1206C474K5RACTU</v>
          </cell>
          <cell r="C2249" t="str">
            <v>CAP</v>
          </cell>
          <cell r="F2249" t="str">
            <v>CAP,1206,CER,X7R,10%,50V,0.47UF ROHS</v>
          </cell>
        </row>
        <row r="2250">
          <cell r="A2250" t="str">
            <v>648-162121-026</v>
          </cell>
          <cell r="B2250" t="str">
            <v>C0603C101J5RACTU</v>
          </cell>
          <cell r="C2250" t="str">
            <v>CAP</v>
          </cell>
          <cell r="F2250" t="str">
            <v>CAP,0603,CER,X7R,5%,50V,100PF,ROHS</v>
          </cell>
        </row>
        <row r="2251">
          <cell r="A2251" t="str">
            <v>648-162121-050</v>
          </cell>
          <cell r="B2251" t="str">
            <v>C0603C103J5RACTU</v>
          </cell>
          <cell r="C2251" t="str">
            <v>CAP</v>
          </cell>
          <cell r="F2251" t="str">
            <v>CAP,0603,CER,X7R,5%,50V,0.01UF,ROHS</v>
          </cell>
        </row>
        <row r="2252">
          <cell r="A2252" t="str">
            <v>648-162121-063</v>
          </cell>
          <cell r="B2252" t="str">
            <v>C0603C124J5RACTU</v>
          </cell>
          <cell r="C2252" t="str">
            <v>CAP</v>
          </cell>
          <cell r="F2252" t="str">
            <v>CAP,0603,CER,X7R,5%,50V,0.12UF,ROHS</v>
          </cell>
        </row>
        <row r="2253">
          <cell r="A2253" t="str">
            <v>648-188319-010</v>
          </cell>
          <cell r="B2253" t="str">
            <v>CGA5L3X5R1V106K160AB</v>
          </cell>
          <cell r="C2253" t="str">
            <v>CAP</v>
          </cell>
          <cell r="F2253" t="str">
            <v>CAP,SMD,CER,1206,10UF,35V,10%,X5R,ROHS</v>
          </cell>
        </row>
        <row r="2254">
          <cell r="A2254" t="str">
            <v>648-214434-003</v>
          </cell>
          <cell r="B2254" t="str">
            <v>C3225X7S1H106K250AB</v>
          </cell>
          <cell r="C2254" t="str">
            <v>CAP</v>
          </cell>
          <cell r="F2254" t="str">
            <v>CAP,SMD,50V,10 MF,+/-10%,2.5 MM THK,CER</v>
          </cell>
        </row>
        <row r="2255">
          <cell r="A2255" t="str">
            <v>648-221599-001</v>
          </cell>
          <cell r="B2255" t="str">
            <v>ST4040N112J103TJXW-1R</v>
          </cell>
          <cell r="C2255" t="str">
            <v>CAP</v>
          </cell>
          <cell r="F2255" t="str">
            <v>CAP,SMD,1.1NF,5%,10KV,NPO,ROHS</v>
          </cell>
        </row>
        <row r="2256">
          <cell r="A2256" t="str">
            <v>648-223290-001</v>
          </cell>
          <cell r="B2256" t="str">
            <v>C5750X6S2W225K250KA</v>
          </cell>
          <cell r="C2256" t="str">
            <v>CAP</v>
          </cell>
          <cell r="F2256" t="str">
            <v>CAP,SMD,2220,X6S,10%,450V,2.2UF</v>
          </cell>
        </row>
        <row r="2257">
          <cell r="A2257" t="str">
            <v>648-228651-001</v>
          </cell>
          <cell r="B2257" t="str">
            <v>C3216X5R1E476M160AC</v>
          </cell>
          <cell r="C2257" t="str">
            <v>CAP</v>
          </cell>
          <cell r="F2257" t="str">
            <v>CAP,SMD,MLCC,47UF,±20%,25V,X5R,1206</v>
          </cell>
        </row>
        <row r="2258">
          <cell r="A2258" t="str">
            <v>648-228660-001</v>
          </cell>
          <cell r="B2258" t="str">
            <v>ECJ-0EC1H100D</v>
          </cell>
          <cell r="C2258" t="str">
            <v>CAP</v>
          </cell>
          <cell r="F2258" t="str">
            <v>CAP,SMD,CER,10PF,±0.5PF TOL,50V,NPO,0402</v>
          </cell>
        </row>
        <row r="2259">
          <cell r="A2259" t="str">
            <v>648-228664-001</v>
          </cell>
          <cell r="B2259" t="str">
            <v>EEHZA1V151P</v>
          </cell>
          <cell r="C2259" t="str">
            <v>CAP</v>
          </cell>
          <cell r="F2259" t="str">
            <v>CAP,SMD,AL ELCTLT,150UF,±20%,35V,F SIZE</v>
          </cell>
        </row>
        <row r="2260">
          <cell r="A2260" t="str">
            <v>648-228694-001</v>
          </cell>
          <cell r="B2260" t="str">
            <v>CC0402JRNPO9BN220</v>
          </cell>
          <cell r="C2260" t="str">
            <v>CAP</v>
          </cell>
          <cell r="F2260" t="str">
            <v>CAP,SMD,CER,22PF,50V,5%,NP0,0402</v>
          </cell>
        </row>
        <row r="2261">
          <cell r="A2261" t="str">
            <v>648-228819-001</v>
          </cell>
          <cell r="B2261" t="str">
            <v>06033D105KAT2A</v>
          </cell>
          <cell r="C2261" t="str">
            <v>CAP</v>
          </cell>
          <cell r="F2261" t="str">
            <v>CAP,SMD,CER,X5R,10%,25V,1UF</v>
          </cell>
        </row>
        <row r="2262">
          <cell r="A2262" t="str">
            <v>648-228821-001</v>
          </cell>
          <cell r="B2262" t="str">
            <v>GRM32ER61C476ME15L</v>
          </cell>
          <cell r="C2262" t="str">
            <v>CAP</v>
          </cell>
          <cell r="F2262" t="str">
            <v>CAP,SMD,CER,X5R,20%,16V,47UF,1210</v>
          </cell>
        </row>
        <row r="2263">
          <cell r="A2263" t="str">
            <v>648-237625-022</v>
          </cell>
          <cell r="B2263" t="str">
            <v>02013A470JAT2A</v>
          </cell>
          <cell r="C2263" t="str">
            <v>CAP</v>
          </cell>
          <cell r="F2263" t="str">
            <v>CAP,SMD,CER,47PF,±5% TOL,25V,NP0,0201</v>
          </cell>
        </row>
        <row r="2264">
          <cell r="A2264" t="str">
            <v>648-237827-001</v>
          </cell>
          <cell r="B2264" t="str">
            <v>04023D103KAT2A</v>
          </cell>
          <cell r="C2264" t="str">
            <v>CAP</v>
          </cell>
          <cell r="F2264" t="str">
            <v>CAP,SMD,CER,10NF,±10% TOL,25V,X5R,0402</v>
          </cell>
        </row>
        <row r="2265">
          <cell r="A2265" t="str">
            <v>648-243934-001</v>
          </cell>
          <cell r="B2265" t="str">
            <v>C0402C751G5GACTU</v>
          </cell>
          <cell r="C2265" t="str">
            <v>CAP</v>
          </cell>
          <cell r="F2265" t="str">
            <v>CAP,SMD,CER,750PF,±2% TOL,50V,NPO,0402</v>
          </cell>
        </row>
        <row r="2266">
          <cell r="A2266" t="str">
            <v>648-270349-001</v>
          </cell>
          <cell r="B2266" t="str">
            <v>C2220C474J5GACTU</v>
          </cell>
          <cell r="C2266" t="str">
            <v>CAP</v>
          </cell>
          <cell r="F2266" t="str">
            <v>CAP,SMD,CER,0.47UF,50V,NP0,2220</v>
          </cell>
        </row>
        <row r="2267">
          <cell r="A2267" t="str">
            <v>648-280327-100</v>
          </cell>
          <cell r="B2267" t="str">
            <v>T527I107M006ATE100</v>
          </cell>
          <cell r="C2267" t="str">
            <v>CAP</v>
          </cell>
          <cell r="F2267" t="str">
            <v>CAP,SMD,TANT,POLYMER,ESR .100,100UF,6.3V</v>
          </cell>
        </row>
        <row r="2268">
          <cell r="A2268" t="str">
            <v>648-280567-001</v>
          </cell>
          <cell r="B2268" t="str">
            <v>16SVPG270M</v>
          </cell>
          <cell r="C2268" t="str">
            <v>CAP</v>
          </cell>
          <cell r="F2268" t="str">
            <v>CAP,SMD,ALUM POLYMER,270UF,16V,ROHS</v>
          </cell>
        </row>
        <row r="2269">
          <cell r="A2269" t="str">
            <v>648-283783-010</v>
          </cell>
          <cell r="B2269" t="str">
            <v>LMK212B7106KG-TD</v>
          </cell>
          <cell r="C2269" t="str">
            <v>CAP</v>
          </cell>
          <cell r="F2269" t="str">
            <v>CAP,SMD,0805,CER,X7R,10%,10V,10UF</v>
          </cell>
        </row>
        <row r="2270">
          <cell r="A2270" t="str">
            <v>648-313818-001</v>
          </cell>
          <cell r="B2270" t="str">
            <v>GRM033R61E104KE14J</v>
          </cell>
          <cell r="C2270" t="str">
            <v>CAP</v>
          </cell>
          <cell r="F2270" t="str">
            <v>CAP,SMD,CER,0.1UF,25V,X5R,0201</v>
          </cell>
        </row>
        <row r="2271">
          <cell r="A2271" t="str">
            <v>648-314832-001</v>
          </cell>
          <cell r="B2271" t="str">
            <v>C0402C104K8RALTU</v>
          </cell>
          <cell r="C2271" t="str">
            <v>CAP</v>
          </cell>
          <cell r="F2271" t="str">
            <v>CAP,SMD,CER,10V,X7R,10%,0402</v>
          </cell>
        </row>
        <row r="2272">
          <cell r="A2272" t="str">
            <v>648-317697-001</v>
          </cell>
          <cell r="B2272" t="str">
            <v>C3225X7R1H106K250AC</v>
          </cell>
          <cell r="C2272" t="str">
            <v>CAP</v>
          </cell>
          <cell r="F2272" t="str">
            <v>CAP,SMD,CER,10 UF,±20%,50V,X7R,1210,ROHS</v>
          </cell>
        </row>
        <row r="2273">
          <cell r="A2273" t="str">
            <v>648-346027-105</v>
          </cell>
          <cell r="B2273" t="str">
            <v>CL10B105KA8NNNC</v>
          </cell>
          <cell r="C2273" t="str">
            <v>CAP</v>
          </cell>
          <cell r="F2273" t="str">
            <v>CAP,SMD,CER,1UF,±10% TOL,25VDC,0603</v>
          </cell>
        </row>
        <row r="2274">
          <cell r="A2274" t="str">
            <v>648-901017-105</v>
          </cell>
          <cell r="B2274" t="str">
            <v>22255C105KAT2A</v>
          </cell>
          <cell r="C2274" t="str">
            <v>CAP</v>
          </cell>
          <cell r="F2274" t="str">
            <v>CAP,SMD,1UF,10%,50VDC,X7R,2255</v>
          </cell>
        </row>
        <row r="2275">
          <cell r="A2275" t="str">
            <v>648-A56053-001</v>
          </cell>
          <cell r="B2275" t="str">
            <v>2220GC273KAT1A</v>
          </cell>
          <cell r="C2275" t="str">
            <v>CAP</v>
          </cell>
          <cell r="F2275" t="str">
            <v xml:space="preserve"> CAP,SMD,CER,0.027UF,2KV,X7R,2220</v>
          </cell>
        </row>
        <row r="2276">
          <cell r="A2276" t="str">
            <v>648-A79204-001</v>
          </cell>
          <cell r="B2276" t="str">
            <v>MAL214097001E3</v>
          </cell>
          <cell r="C2276" t="str">
            <v>CAP</v>
          </cell>
          <cell r="F2276" t="str">
            <v>CAP,SMD,AL,ELCTLT,100UF,20%,35V</v>
          </cell>
        </row>
        <row r="2277">
          <cell r="A2277" t="str">
            <v>649-025996-001</v>
          </cell>
          <cell r="B2277" t="str">
            <v>B32529C0105J000</v>
          </cell>
          <cell r="C2277" t="str">
            <v>CAP</v>
          </cell>
          <cell r="F2277" t="str">
            <v>CA,POLYEST FILM,1UF,+/-5%,63VDC,RDL</v>
          </cell>
        </row>
        <row r="2278">
          <cell r="A2278" t="str">
            <v>660-085873-005</v>
          </cell>
          <cell r="B2278" t="str">
            <v>R-78B5.0-1.0</v>
          </cell>
          <cell r="C2278" t="str">
            <v>PS</v>
          </cell>
          <cell r="F2278" t="str">
            <v>PS,DC-DC,24VIN, 5.0V AT 1A,SIP3, ROHS</v>
          </cell>
        </row>
        <row r="2279">
          <cell r="A2279" t="str">
            <v>660-311291-001</v>
          </cell>
          <cell r="B2279" t="str">
            <v>LTM4622EV#PBF</v>
          </cell>
          <cell r="C2279" t="str">
            <v>PS</v>
          </cell>
          <cell r="F2279" t="str">
            <v>PS,SMD,DC-DC CONV,0.6-5.5V,2.5A,ROHS</v>
          </cell>
        </row>
        <row r="2280">
          <cell r="A2280" t="str">
            <v>662-060041-002</v>
          </cell>
          <cell r="B2280" t="str">
            <v>561-2201-060F</v>
          </cell>
          <cell r="C2280" t="str">
            <v>LED</v>
          </cell>
          <cell r="F2280" t="str">
            <v>LED CIRCUIT BOARD GR, ROHS</v>
          </cell>
        </row>
        <row r="2281">
          <cell r="A2281" t="str">
            <v>662-901562-001</v>
          </cell>
          <cell r="B2281" t="str">
            <v>550-1304F</v>
          </cell>
          <cell r="C2281" t="str">
            <v>LED</v>
          </cell>
          <cell r="F2281" t="str">
            <v>LED,5mm(T1-3/4),STRAIGHT,GREEN, ROHS</v>
          </cell>
        </row>
        <row r="2282">
          <cell r="A2282" t="str">
            <v>664-116519-004</v>
          </cell>
          <cell r="B2282" t="str">
            <v>SML-LX1206GW-TR</v>
          </cell>
          <cell r="C2282" t="str">
            <v>LED</v>
          </cell>
          <cell r="F2282" t="str">
            <v>LED,SMD,1206,VERTICAL,GREEN,ROHS</v>
          </cell>
        </row>
        <row r="2283">
          <cell r="A2283" t="str">
            <v>664-228676-001</v>
          </cell>
          <cell r="B2283" t="str">
            <v>SML-LX0603GW-TR</v>
          </cell>
          <cell r="C2283" t="str">
            <v>LED</v>
          </cell>
          <cell r="F2283" t="str">
            <v>LED,SMD,GREEN,DIFF</v>
          </cell>
        </row>
        <row r="2284">
          <cell r="A2284" t="str">
            <v>664-250154-001</v>
          </cell>
          <cell r="B2284" t="str">
            <v>LWQ38G-Q1OO-3K6L-1</v>
          </cell>
          <cell r="C2284" t="str">
            <v>LED</v>
          </cell>
          <cell r="F2284" t="str">
            <v>LED,SMD,2.85V,5MA,-40TO 85DEG C,WHT,0603</v>
          </cell>
        </row>
        <row r="2285">
          <cell r="A2285" t="str">
            <v>664-264967-005</v>
          </cell>
          <cell r="B2285" t="str">
            <v>LTST-C170TGKT</v>
          </cell>
          <cell r="C2285" t="str">
            <v>LED</v>
          </cell>
          <cell r="F2285" t="str">
            <v>LED,SMD,2V,0805,VERTICAL,GRN,ROHS</v>
          </cell>
        </row>
        <row r="2286">
          <cell r="A2286" t="str">
            <v>664-326356-001</v>
          </cell>
          <cell r="B2286" t="str">
            <v>APT2012QBC/D</v>
          </cell>
          <cell r="C2286" t="str">
            <v>LED</v>
          </cell>
          <cell r="F2286" t="str">
            <v>LED,SMD,470NM,100MCD,3.3V,20MA,BLU,0805</v>
          </cell>
        </row>
        <row r="2287">
          <cell r="A2287" t="str">
            <v>664-900935-001</v>
          </cell>
          <cell r="B2287" t="str">
            <v>HSMH-H170</v>
          </cell>
          <cell r="C2287" t="str">
            <v>LED</v>
          </cell>
          <cell r="F2287" t="str">
            <v>LED,SMD,0805,RED,VERT,ROHS</v>
          </cell>
        </row>
        <row r="2288">
          <cell r="A2288" t="str">
            <v>664-900935-004</v>
          </cell>
          <cell r="B2288" t="str">
            <v>HSMG-C170</v>
          </cell>
          <cell r="C2288" t="str">
            <v>LED</v>
          </cell>
          <cell r="F2288" t="str">
            <v>LED,SMD,0805,GRN,VERT,ROHS</v>
          </cell>
        </row>
        <row r="2289">
          <cell r="A2289" t="str">
            <v>664-900942-004</v>
          </cell>
          <cell r="B2289" t="str">
            <v>SML-LX1206GW-TR</v>
          </cell>
          <cell r="C2289" t="str">
            <v>LED</v>
          </cell>
          <cell r="F2289" t="str">
            <v>LED,SMD,1206,GRN,VERT</v>
          </cell>
        </row>
        <row r="2290">
          <cell r="A2290" t="str">
            <v>667-241935-001</v>
          </cell>
          <cell r="B2290">
            <v>5031821852</v>
          </cell>
          <cell r="C2290" t="str">
            <v>CONN</v>
          </cell>
          <cell r="F2290" t="str">
            <v>CONN,SMD,MICRO SD CARD,PUSH-PUSH,R/A</v>
          </cell>
        </row>
        <row r="2291">
          <cell r="A2291" t="str">
            <v>667-309439-001</v>
          </cell>
          <cell r="B2291" t="str">
            <v>ASP-134603-01</v>
          </cell>
          <cell r="C2291" t="str">
            <v>CONN</v>
          </cell>
          <cell r="F2291" t="str">
            <v>CONN,SMD,VITA57.1 FMC CARRIER LPC,160POS</v>
          </cell>
        </row>
        <row r="2292">
          <cell r="A2292" t="str">
            <v>667-311330-002</v>
          </cell>
          <cell r="B2292" t="str">
            <v>UMPT-04-06.5-G-V-S-W-TR</v>
          </cell>
          <cell r="C2292" t="str">
            <v>CONN</v>
          </cell>
          <cell r="F2292" t="str">
            <v>CONN,SMD,MALE,4POSN,ULTRA MICRO,15.6A</v>
          </cell>
        </row>
        <row r="2293">
          <cell r="A2293" t="str">
            <v>667-316363-001</v>
          </cell>
          <cell r="B2293">
            <v>1051620001</v>
          </cell>
          <cell r="C2293" t="str">
            <v>CONN</v>
          </cell>
          <cell r="F2293" t="str">
            <v>CONN,MICRO SD,1.45H,D/C P,.76MN</v>
          </cell>
        </row>
        <row r="2294">
          <cell r="A2294" t="str">
            <v>667-340807-042</v>
          </cell>
          <cell r="B2294" t="str">
            <v>2199230-8</v>
          </cell>
          <cell r="C2294" t="str">
            <v>CONN</v>
          </cell>
          <cell r="F2294" t="str">
            <v>CONN,SMD,M.2,TYPE A,67P,4.2MM</v>
          </cell>
        </row>
        <row r="2295">
          <cell r="A2295" t="str">
            <v>667-A28557-040</v>
          </cell>
          <cell r="B2295" t="str">
            <v>HTST-120-01-L-DV</v>
          </cell>
          <cell r="C2295" t="str">
            <v>CONN</v>
          </cell>
          <cell r="F2295" t="str">
            <v>CONN,SMD,HDR,SHRD,40PIN,2ROW,.1IN,AU PLD</v>
          </cell>
        </row>
        <row r="2296">
          <cell r="A2296" t="str">
            <v>668-005463-004</v>
          </cell>
          <cell r="B2296" t="str">
            <v>67997-104HLF</v>
          </cell>
          <cell r="C2296" t="str">
            <v>HEADER</v>
          </cell>
          <cell r="F2296" t="str">
            <v>HEADER,STRAIGHT DBL. ROW, 4 PI,ROHS</v>
          </cell>
        </row>
        <row r="2297">
          <cell r="A2297" t="str">
            <v>668-007087-002</v>
          </cell>
          <cell r="B2297" t="str">
            <v>350786-3</v>
          </cell>
          <cell r="C2297" t="str">
            <v>CONN</v>
          </cell>
          <cell r="F2297" t="str">
            <v>CONN,HDR,PCB,M-ST,UNV M-N-LOK,2P,ROHS</v>
          </cell>
        </row>
        <row r="2298">
          <cell r="A2298" t="str">
            <v>668-007087-003</v>
          </cell>
          <cell r="B2298" t="str">
            <v>350789-3</v>
          </cell>
          <cell r="C2298" t="str">
            <v>CONN</v>
          </cell>
          <cell r="F2298" t="str">
            <v>CONN,HDR,PCB,M-ST,UNV M-N-LOK,3P,ROHS</v>
          </cell>
        </row>
        <row r="2299">
          <cell r="A2299" t="str">
            <v>668-007385-002</v>
          </cell>
          <cell r="B2299" t="str">
            <v>68000-202HLF</v>
          </cell>
          <cell r="C2299" t="str">
            <v>CONN</v>
          </cell>
          <cell r="F2299" t="str">
            <v>CONN,HDR,2POSN,1ROW,VERT,2.54MM PITCH</v>
          </cell>
        </row>
        <row r="2300">
          <cell r="A2300" t="str">
            <v>668-007385-003</v>
          </cell>
          <cell r="B2300" t="str">
            <v>TSW-103-07-G-S</v>
          </cell>
          <cell r="C2300" t="str">
            <v>CONN</v>
          </cell>
          <cell r="F2300" t="str">
            <v>CONN,HDR,3POSN,1ROW,VERT,2.54MM PITCH</v>
          </cell>
        </row>
        <row r="2301">
          <cell r="A2301" t="str">
            <v>668-014495-015</v>
          </cell>
          <cell r="B2301" t="str">
            <v>K86X-ED-15S-BR15</v>
          </cell>
          <cell r="C2301" t="str">
            <v>CONN</v>
          </cell>
          <cell r="F2301" t="str">
            <v>CONN,RCPT,HIGH DENSITY DSUB,ROHS</v>
          </cell>
        </row>
        <row r="2302">
          <cell r="A2302" t="str">
            <v>668-014495-015</v>
          </cell>
          <cell r="B2302" t="str">
            <v>K86X-ED-15S-BR</v>
          </cell>
          <cell r="C2302" t="str">
            <v>CONN</v>
          </cell>
          <cell r="F2302" t="str">
            <v>CONN,RCPT,HIGH DENSITY DSUB,ROHS</v>
          </cell>
        </row>
        <row r="2303">
          <cell r="A2303" t="str">
            <v>668-014495-026</v>
          </cell>
          <cell r="B2303" t="str">
            <v>K86X-AD-26S-BR</v>
          </cell>
          <cell r="C2303" t="str">
            <v>CONN</v>
          </cell>
          <cell r="F2303" t="str">
            <v>CONN,RCPT,HIGH DENSITY DSUB,26 ROHS</v>
          </cell>
        </row>
        <row r="2304">
          <cell r="A2304" t="str">
            <v>668-014495-026</v>
          </cell>
          <cell r="B2304" t="str">
            <v>K86X-AD-26S-CBR30</v>
          </cell>
          <cell r="C2304" t="str">
            <v>CONN</v>
          </cell>
          <cell r="F2304" t="str">
            <v>CONN,RCPT,HIGH DENSITY DSUB,26 ROHS</v>
          </cell>
        </row>
        <row r="2305">
          <cell r="A2305" t="str">
            <v>668-061260-012</v>
          </cell>
          <cell r="B2305" t="str">
            <v>1-770186-1</v>
          </cell>
          <cell r="C2305" t="str">
            <v>CONN</v>
          </cell>
          <cell r="F2305" t="str">
            <v>CONN,HDR,PCB,ST,MINI-U M-N-LOK,12P,ROHS</v>
          </cell>
        </row>
        <row r="2306">
          <cell r="A2306" t="str">
            <v>668-064219-015</v>
          </cell>
          <cell r="B2306" t="str">
            <v>K66X-E15S-N</v>
          </cell>
          <cell r="C2306" t="str">
            <v>CONN</v>
          </cell>
          <cell r="F2306" t="str">
            <v>CONN,RCPT HD D-SUB,RA,15 PIN FEMALE,ROHS</v>
          </cell>
        </row>
        <row r="2307">
          <cell r="A2307" t="str">
            <v>668-096776-009</v>
          </cell>
          <cell r="B2307" t="str">
            <v>DLS1XS4AA35X</v>
          </cell>
          <cell r="C2307" t="str">
            <v>CONN</v>
          </cell>
          <cell r="F2307" t="str">
            <v>CONN,DSUB,9P,F,STR,BRD LCK,ROHS</v>
          </cell>
        </row>
        <row r="2308">
          <cell r="A2308" t="str">
            <v>668-096776-015</v>
          </cell>
          <cell r="B2308" t="str">
            <v>K85X-AD-15S-CBR</v>
          </cell>
          <cell r="C2308" t="str">
            <v>CONN</v>
          </cell>
          <cell r="F2308" t="str">
            <v>CONN,DSUB,15P,F,STR,BRD LCK,ROHS</v>
          </cell>
        </row>
        <row r="2309">
          <cell r="A2309" t="str">
            <v>668-096776-025</v>
          </cell>
          <cell r="B2309" t="str">
            <v>K85X-BD-25S-CBR</v>
          </cell>
          <cell r="C2309" t="str">
            <v>CONN</v>
          </cell>
          <cell r="F2309" t="str">
            <v>CONN,DSUB,25P,F,STR,BRD LCK,ROHS</v>
          </cell>
        </row>
        <row r="2310">
          <cell r="A2310" t="str">
            <v>668-097147-004</v>
          </cell>
          <cell r="B2310" t="str">
            <v>103414-2</v>
          </cell>
          <cell r="C2310" t="str">
            <v>CONN</v>
          </cell>
          <cell r="F2310" t="str">
            <v>CONN,HDR,PCB MT,4 POSN,3A,750VRMS,VERT</v>
          </cell>
        </row>
        <row r="2311">
          <cell r="A2311" t="str">
            <v>668-097179-275</v>
          </cell>
          <cell r="B2311" t="str">
            <v>JSX-1000</v>
          </cell>
          <cell r="C2311" t="str">
            <v>CONN</v>
          </cell>
          <cell r="F2311" t="str">
            <v>CONN,DSUB,JCK SCRW,HEX,.275,ROHS</v>
          </cell>
        </row>
        <row r="2312">
          <cell r="A2312" t="str">
            <v>668-098489-015</v>
          </cell>
          <cell r="B2312" t="str">
            <v>5747841-4</v>
          </cell>
          <cell r="C2312" t="str">
            <v>CONN</v>
          </cell>
          <cell r="F2312" t="str">
            <v>CONN,D-SUB,PCMT,RTANG,MALE,15P</v>
          </cell>
        </row>
        <row r="2313">
          <cell r="A2313" t="str">
            <v>668-098489-025</v>
          </cell>
          <cell r="B2313" t="str">
            <v>K22X-B25P-N30</v>
          </cell>
          <cell r="C2313" t="str">
            <v>CONN</v>
          </cell>
          <cell r="F2313" t="str">
            <v>CONN,PLUG,25P,D-SUB,RTANG,PCB</v>
          </cell>
        </row>
        <row r="2314">
          <cell r="A2314" t="str">
            <v>668-098496-004</v>
          </cell>
          <cell r="B2314" t="str">
            <v>5-104363-3</v>
          </cell>
          <cell r="C2314" t="str">
            <v>CONN</v>
          </cell>
          <cell r="F2314" t="str">
            <v>CONN,HDR 4P VERT MTE,ROHS</v>
          </cell>
        </row>
        <row r="2315">
          <cell r="A2315" t="str">
            <v>668-098496-005</v>
          </cell>
          <cell r="B2315" t="str">
            <v>5-104363-4</v>
          </cell>
          <cell r="C2315" t="str">
            <v>CONN</v>
          </cell>
          <cell r="F2315" t="str">
            <v>CONN,HDR 5P VERT MTE,ROHS</v>
          </cell>
        </row>
        <row r="2316">
          <cell r="A2316" t="str">
            <v>668-098496-010</v>
          </cell>
          <cell r="B2316" t="str">
            <v>5-104363-9</v>
          </cell>
          <cell r="C2316" t="str">
            <v>CONN</v>
          </cell>
          <cell r="F2316" t="str">
            <v>CONN,HDR 10P VERT MTE,ROHS</v>
          </cell>
        </row>
        <row r="2317">
          <cell r="A2317" t="str">
            <v>668-099017-009</v>
          </cell>
          <cell r="B2317" t="str">
            <v>2-5748003-0</v>
          </cell>
          <cell r="C2317" t="str">
            <v>CONN</v>
          </cell>
          <cell r="F2317" t="str">
            <v>CONN,PLUG 9P D-SUB VERT</v>
          </cell>
        </row>
        <row r="2318">
          <cell r="A2318" t="str">
            <v>668-099029-026</v>
          </cell>
          <cell r="B2318" t="str">
            <v>K86X-AD-26P-BR15</v>
          </cell>
          <cell r="C2318" t="str">
            <v>CONN</v>
          </cell>
          <cell r="F2318" t="str">
            <v>CONN,PIN,26P,DSUB,HD,VERT,ROHS</v>
          </cell>
        </row>
        <row r="2319">
          <cell r="A2319" t="str">
            <v>668-099029-026</v>
          </cell>
          <cell r="B2319" t="str">
            <v>K86X-AD-26P-BR30</v>
          </cell>
          <cell r="C2319" t="str">
            <v>CONN</v>
          </cell>
          <cell r="F2319" t="str">
            <v>CONN,PIN,26P,DSUB,HD,VERT,ROHS</v>
          </cell>
        </row>
        <row r="2320">
          <cell r="A2320" t="str">
            <v>668-102976-001</v>
          </cell>
          <cell r="B2320" t="str">
            <v>142-0701-551</v>
          </cell>
          <cell r="C2320" t="str">
            <v>CONN</v>
          </cell>
          <cell r="F2320" t="str">
            <v>CONN,RCPT,SMA, 50 OHM RT ANGLE</v>
          </cell>
        </row>
        <row r="2321">
          <cell r="A2321" t="str">
            <v>668-122879-001</v>
          </cell>
          <cell r="B2321" t="str">
            <v>73251-2201</v>
          </cell>
          <cell r="C2321" t="str">
            <v>CONN</v>
          </cell>
          <cell r="F2321" t="str">
            <v>CONN,RCPT,SMA,R/A, PCB MOUNT</v>
          </cell>
        </row>
        <row r="2322">
          <cell r="A2322" t="str">
            <v>668-132368-009</v>
          </cell>
          <cell r="B2322" t="str">
            <v>164A16569X</v>
          </cell>
          <cell r="C2322" t="str">
            <v>CONN</v>
          </cell>
          <cell r="F2322" t="str">
            <v>CONN,DSUB,RCPT,VERT PCB,SOLDER,9P,ROHS</v>
          </cell>
        </row>
        <row r="2323">
          <cell r="A2323" t="str">
            <v>668-133934-120</v>
          </cell>
          <cell r="B2323" t="str">
            <v>FOLC-130-L4-L-Q-LC</v>
          </cell>
          <cell r="C2323" t="str">
            <v>CONN</v>
          </cell>
          <cell r="F2323" t="str">
            <v>CONN,RCPT,HIGH DENSITY,.050",120POS,ROHS</v>
          </cell>
        </row>
        <row r="2324">
          <cell r="A2324" t="str">
            <v>668-187824-001</v>
          </cell>
          <cell r="B2324" t="str">
            <v>CBD7W2F37S600X/AA</v>
          </cell>
          <cell r="C2324" t="str">
            <v>CONN</v>
          </cell>
          <cell r="F2324" t="str">
            <v>CONN,DSUB,PWR PIN COMBINATION,FS,7POSN</v>
          </cell>
        </row>
        <row r="2325">
          <cell r="A2325" t="str">
            <v>668-240172-001</v>
          </cell>
          <cell r="B2325" t="str">
            <v>FTSH-105-01-L-D-K</v>
          </cell>
          <cell r="C2325" t="str">
            <v>CONN</v>
          </cell>
          <cell r="F2325" t="str">
            <v>CONN,UNSHROUDED,HDR,10POSN,2ROW,1.75A</v>
          </cell>
        </row>
        <row r="2326">
          <cell r="A2326" t="str">
            <v>668-314221-001</v>
          </cell>
          <cell r="B2326" t="str">
            <v>C10-738244-100</v>
          </cell>
          <cell r="C2326" t="str">
            <v>CONN</v>
          </cell>
          <cell r="F2326" t="str">
            <v>CONN,RCPT,PWR ENTRY,5.7MM PIN</v>
          </cell>
        </row>
        <row r="2327">
          <cell r="A2327" t="str">
            <v>668-314440-001</v>
          </cell>
          <cell r="B2327">
            <v>1439890</v>
          </cell>
          <cell r="C2327" t="str">
            <v>CONN</v>
          </cell>
          <cell r="F2327" t="str">
            <v>CONN,MALE,INSERT,5POS,GOLD SLDR</v>
          </cell>
        </row>
        <row r="2328">
          <cell r="A2328" t="str">
            <v>668-340337-001</v>
          </cell>
          <cell r="B2328" t="str">
            <v>302W2CSXX51E40X</v>
          </cell>
          <cell r="C2328" t="str">
            <v>CONN</v>
          </cell>
          <cell r="F2328" t="str">
            <v>CONN,RCPT,DSUB,COMBO FEM,2POS,30A,CU ALY</v>
          </cell>
        </row>
        <row r="2329">
          <cell r="A2329" t="str">
            <v>668-A04446-001</v>
          </cell>
          <cell r="B2329">
            <v>1416145</v>
          </cell>
          <cell r="C2329" t="str">
            <v>HSG</v>
          </cell>
          <cell r="D2329" t="str">
            <v>AC Box</v>
          </cell>
          <cell r="F2329" t="str">
            <v>HSG SCR CONN,PLUG,M12 THD,W/ O-RING</v>
          </cell>
        </row>
        <row r="2330">
          <cell r="A2330" t="str">
            <v>668-A06169-001</v>
          </cell>
          <cell r="B2330" t="str">
            <v>0826-1X2T-23-F</v>
          </cell>
          <cell r="C2330" t="str">
            <v>CONN</v>
          </cell>
          <cell r="F2330" t="str">
            <v>CONN,MAGJACK,RJ45,2PORT,90DEG,SLDR,THT</v>
          </cell>
        </row>
        <row r="2331">
          <cell r="A2331" t="str">
            <v>668-A06741-001</v>
          </cell>
          <cell r="B2331" t="str">
            <v>0826-1X1T-43-F</v>
          </cell>
          <cell r="C2331" t="str">
            <v>CONN</v>
          </cell>
          <cell r="F2331" t="str">
            <v>CONN,MAGJACK,RJ45,1P,90DEG,1000BASE-T,TH</v>
          </cell>
        </row>
        <row r="2332">
          <cell r="A2332" t="str">
            <v>669-233766-001</v>
          </cell>
          <cell r="B2332" t="str">
            <v>100410-005</v>
          </cell>
          <cell r="C2332" t="str">
            <v>CONT</v>
          </cell>
          <cell r="F2332" t="str">
            <v>CONT,PROBE,15A,6.2 OZ</v>
          </cell>
        </row>
        <row r="2333">
          <cell r="A2333" t="str">
            <v>670-006780-038</v>
          </cell>
          <cell r="B2333">
            <v>314012</v>
          </cell>
          <cell r="C2333" t="str">
            <v>FUSE</v>
          </cell>
          <cell r="D2333" t="str">
            <v>AC Box</v>
          </cell>
          <cell r="F2333" t="str">
            <v>FUSE .25x1.25 12A 250VAC,ROHS</v>
          </cell>
        </row>
        <row r="2334">
          <cell r="A2334" t="str">
            <v>670-097092-160</v>
          </cell>
          <cell r="B2334" t="str">
            <v>RUEF160</v>
          </cell>
          <cell r="C2334" t="str">
            <v>FUSE</v>
          </cell>
          <cell r="D2334" t="str">
            <v>AC Box</v>
          </cell>
          <cell r="F2334" t="str">
            <v>FUSE,PTC,RUEF, 1.60A ROHS</v>
          </cell>
        </row>
        <row r="2335">
          <cell r="A2335" t="str">
            <v>670-097092-185</v>
          </cell>
          <cell r="B2335" t="str">
            <v>RUEF185-1</v>
          </cell>
          <cell r="C2335" t="str">
            <v>FUSE</v>
          </cell>
          <cell r="D2335" t="str">
            <v>AC Box</v>
          </cell>
          <cell r="F2335" t="str">
            <v>FUSE,PTC,RUEF, 1.85A ROHS</v>
          </cell>
        </row>
        <row r="2336">
          <cell r="A2336" t="str">
            <v>670-097092-600</v>
          </cell>
          <cell r="B2336" t="str">
            <v>RUEF600K</v>
          </cell>
          <cell r="C2336" t="str">
            <v>FUSE</v>
          </cell>
          <cell r="D2336" t="str">
            <v>AC Box</v>
          </cell>
          <cell r="F2336" t="str">
            <v>FUSE,PTC,RUEF, 6.0A ROHS</v>
          </cell>
        </row>
        <row r="2337">
          <cell r="A2337" t="str">
            <v>670-332664-001</v>
          </cell>
          <cell r="B2337" t="str">
            <v>KLKR030.T</v>
          </cell>
          <cell r="C2337" t="str">
            <v>FUSE</v>
          </cell>
          <cell r="D2337" t="str">
            <v>AC Box</v>
          </cell>
          <cell r="F2337" t="str">
            <v>FUSE,FAST-ACT,30A,600VAC/300VDC,5AG</v>
          </cell>
        </row>
        <row r="2338">
          <cell r="A2338" t="str">
            <v>670-334423-001</v>
          </cell>
          <cell r="B2338">
            <v>751.05050000000006</v>
          </cell>
          <cell r="C2338" t="str">
            <v>FUSE CLIP</v>
          </cell>
          <cell r="D2338" t="str">
            <v>AC Box</v>
          </cell>
          <cell r="F2338" t="str">
            <v>FUSE CLIP,SLDR TERM,1500V,CU ALY,AG PLD</v>
          </cell>
        </row>
        <row r="2339">
          <cell r="A2339" t="str">
            <v>670-A39955-001</v>
          </cell>
          <cell r="B2339" t="str">
            <v>1A1119-10-R</v>
          </cell>
          <cell r="C2339" t="str">
            <v>CLIP</v>
          </cell>
          <cell r="D2339" t="str">
            <v>AC Box</v>
          </cell>
          <cell r="F2339" t="str">
            <v>CLIP,1/4 IN DIA FU,ANGLED LEAD,CRTG BRS</v>
          </cell>
        </row>
        <row r="2340">
          <cell r="A2340" t="str">
            <v>671-096377-010</v>
          </cell>
          <cell r="B2340" t="str">
            <v>TP-105-01-00</v>
          </cell>
          <cell r="C2340" t="str">
            <v>TP</v>
          </cell>
          <cell r="F2340" t="str">
            <v>TP LOOPED .035 HOLE,1 POS,BLK</v>
          </cell>
        </row>
        <row r="2341">
          <cell r="A2341" t="str">
            <v>671-219755-002</v>
          </cell>
          <cell r="B2341">
            <v>5001</v>
          </cell>
          <cell r="C2341" t="str">
            <v>TP</v>
          </cell>
          <cell r="F2341" t="str">
            <v>TP,PCB,MINIATURE LOOP,BLACK</v>
          </cell>
        </row>
        <row r="2342">
          <cell r="A2342" t="str">
            <v>674-043051-001</v>
          </cell>
          <cell r="B2342">
            <v>5016</v>
          </cell>
          <cell r="C2342" t="str">
            <v>TERM</v>
          </cell>
          <cell r="F2342" t="str">
            <v>TERM,SMD,TEST POINT</v>
          </cell>
        </row>
        <row r="2343">
          <cell r="A2343" t="str">
            <v>682-020656-001</v>
          </cell>
          <cell r="B2343" t="str">
            <v>1812L010DR</v>
          </cell>
          <cell r="C2343" t="str">
            <v>FUSE</v>
          </cell>
          <cell r="D2343" t="str">
            <v>AC Box</v>
          </cell>
          <cell r="F2343" t="str">
            <v>FUSE,SMD,1812,6V-30V,XXX,ROHS</v>
          </cell>
        </row>
        <row r="2344">
          <cell r="A2344" t="str">
            <v>682-020656-006</v>
          </cell>
          <cell r="B2344" t="str">
            <v>1812L075/24DR</v>
          </cell>
          <cell r="C2344" t="str">
            <v>FUSE</v>
          </cell>
          <cell r="D2344" t="str">
            <v>AC Box</v>
          </cell>
          <cell r="F2344" t="str">
            <v>FUSE,SMD,1812,RESET,750MA,ROHS</v>
          </cell>
        </row>
        <row r="2345">
          <cell r="A2345" t="str">
            <v>682-020656-014</v>
          </cell>
          <cell r="B2345" t="str">
            <v>1812L110/33MR</v>
          </cell>
          <cell r="C2345" t="str">
            <v>FUSE</v>
          </cell>
          <cell r="D2345" t="str">
            <v>AC Box</v>
          </cell>
          <cell r="F2345" t="str">
            <v>FUSE,SMD,1812,33V,1.10A,ROHS</v>
          </cell>
        </row>
        <row r="2346">
          <cell r="A2346" t="str">
            <v>682-020656-016</v>
          </cell>
          <cell r="B2346" t="str">
            <v>1812L125/6PR</v>
          </cell>
          <cell r="C2346" t="str">
            <v>FUSE</v>
          </cell>
          <cell r="D2346" t="str">
            <v>AC Box</v>
          </cell>
          <cell r="F2346" t="str">
            <v>FUSE,SMD,1812,6V,1.25A,ROHS</v>
          </cell>
        </row>
        <row r="2347">
          <cell r="A2347" t="str">
            <v>682-020656-018</v>
          </cell>
          <cell r="B2347" t="str">
            <v>1812L150/24MR</v>
          </cell>
          <cell r="C2347" t="str">
            <v>FUSE</v>
          </cell>
          <cell r="D2347" t="str">
            <v>AC Box</v>
          </cell>
          <cell r="F2347" t="str">
            <v>FUSE,SMD,1812,24V,1.5A,ROHS</v>
          </cell>
        </row>
        <row r="2348">
          <cell r="A2348" t="str">
            <v>682-020657-001</v>
          </cell>
          <cell r="B2348" t="str">
            <v>1206L035YR</v>
          </cell>
          <cell r="C2348" t="str">
            <v>FUSE</v>
          </cell>
          <cell r="D2348" t="str">
            <v>AC Box</v>
          </cell>
          <cell r="F2348" t="str">
            <v>FUSE,SMD,1206,RESET,6V,350MA,ROHS</v>
          </cell>
        </row>
        <row r="2349">
          <cell r="A2349" t="str">
            <v>682-020782-003</v>
          </cell>
          <cell r="B2349" t="str">
            <v>2920L075</v>
          </cell>
          <cell r="C2349" t="str">
            <v>FUSE</v>
          </cell>
          <cell r="D2349" t="str">
            <v>AC Box</v>
          </cell>
          <cell r="F2349" t="str">
            <v>FUSE,SMD,2920,RESETABLE,750MA,ROHS</v>
          </cell>
        </row>
        <row r="2350">
          <cell r="A2350" t="str">
            <v>682-020782-006</v>
          </cell>
          <cell r="B2350" t="str">
            <v>2920L150</v>
          </cell>
          <cell r="C2350" t="str">
            <v>FUSE</v>
          </cell>
          <cell r="D2350" t="str">
            <v>AC Box</v>
          </cell>
          <cell r="F2350" t="str">
            <v>FUSE,SMD,2920,RESETABLE,33V,1.5A,ROHS</v>
          </cell>
        </row>
        <row r="2351">
          <cell r="A2351" t="str">
            <v>682-020782-007</v>
          </cell>
          <cell r="B2351" t="str">
            <v>2920L185</v>
          </cell>
          <cell r="C2351" t="str">
            <v>FUSE</v>
          </cell>
          <cell r="D2351" t="str">
            <v>AC Box</v>
          </cell>
          <cell r="F2351" t="str">
            <v>FUSE,SMD,2920,RESETABLE,33V,1.85A,ROHS</v>
          </cell>
        </row>
        <row r="2352">
          <cell r="A2352" t="str">
            <v>682-020782-009</v>
          </cell>
          <cell r="B2352" t="str">
            <v>2920L200/24</v>
          </cell>
          <cell r="C2352" t="str">
            <v>FUSE</v>
          </cell>
          <cell r="D2352" t="str">
            <v>AC Box</v>
          </cell>
          <cell r="F2352" t="str">
            <v>FUSE,SMD,2920,RESETABLE,24V,2.0A,ROHS</v>
          </cell>
        </row>
        <row r="2353">
          <cell r="A2353" t="str">
            <v>682-041989-005</v>
          </cell>
          <cell r="B2353" t="str">
            <v>MICROSMD005F</v>
          </cell>
          <cell r="C2353" t="str">
            <v>FUSE</v>
          </cell>
          <cell r="D2353" t="str">
            <v>AC Box</v>
          </cell>
          <cell r="F2353" t="str">
            <v>FUSE,SMD,MICROSMD 50MA, PTC,ROHS</v>
          </cell>
        </row>
        <row r="2354">
          <cell r="A2354" t="str">
            <v>682-098857-030</v>
          </cell>
          <cell r="B2354" t="str">
            <v>SMD030F-2</v>
          </cell>
          <cell r="C2354" t="str">
            <v>FUSE</v>
          </cell>
          <cell r="D2354" t="str">
            <v>AC Box</v>
          </cell>
          <cell r="F2354" t="str">
            <v>FUSE,SMD,0.3A,60V,RSTBL,PTC,ROHS</v>
          </cell>
        </row>
        <row r="2355">
          <cell r="A2355" t="str">
            <v>682-098857-100</v>
          </cell>
          <cell r="B2355" t="str">
            <v>SMD100F-2</v>
          </cell>
          <cell r="C2355" t="str">
            <v>FUSE</v>
          </cell>
          <cell r="D2355" t="str">
            <v>AC Box</v>
          </cell>
          <cell r="F2355" t="str">
            <v>FUSE,SMD,1.1A,30V,RSTBL,PTC,ROHS</v>
          </cell>
        </row>
        <row r="2356">
          <cell r="A2356" t="str">
            <v>682-117131-001</v>
          </cell>
          <cell r="B2356" t="str">
            <v>2920L030DR</v>
          </cell>
          <cell r="C2356" t="str">
            <v>FUSE</v>
          </cell>
          <cell r="D2356" t="str">
            <v>AC Box</v>
          </cell>
          <cell r="F2356" t="str">
            <v>FUSE,SMD,2920,RESETABLE,60V,0.3A,ROHS</v>
          </cell>
        </row>
        <row r="2357">
          <cell r="A2357" t="str">
            <v>682-117131-006</v>
          </cell>
          <cell r="B2357" t="str">
            <v>2920L150DR</v>
          </cell>
          <cell r="C2357" t="str">
            <v>FUSE</v>
          </cell>
          <cell r="D2357" t="str">
            <v>AC Box</v>
          </cell>
          <cell r="F2357" t="str">
            <v>FUSE,SMD,2920,RESETABLE,33V,1.5A,ROHS</v>
          </cell>
        </row>
        <row r="2358">
          <cell r="A2358" t="str">
            <v>723-265786-007</v>
          </cell>
          <cell r="B2358" t="str">
            <v>KFE-M3-12ET</v>
          </cell>
          <cell r="C2358" t="str">
            <v>STDF</v>
          </cell>
          <cell r="D2358" t="str">
            <v>Hardware</v>
          </cell>
          <cell r="F2358" t="str">
            <v>STDF,RND,M3,12 MM LG,CS</v>
          </cell>
        </row>
        <row r="2359">
          <cell r="A2359" t="str">
            <v>723-299192-001</v>
          </cell>
          <cell r="B2359" t="str">
            <v>SMTSO-143-4ET</v>
          </cell>
          <cell r="C2359" t="str">
            <v>STDF</v>
          </cell>
          <cell r="D2359" t="str">
            <v>Hardware</v>
          </cell>
          <cell r="F2359" t="str">
            <v>STDF,RND,SMT,0.125 LONG</v>
          </cell>
        </row>
        <row r="2360">
          <cell r="A2360" t="str">
            <v>615-052828-100</v>
          </cell>
          <cell r="B2360" t="str">
            <v>ERA-6AEB104</v>
          </cell>
          <cell r="C2360" t="str">
            <v>RES</v>
          </cell>
          <cell r="F2360" t="str">
            <v>RES,SMD,0805,MF,1/10W,0.1%,100K</v>
          </cell>
        </row>
        <row r="2361">
          <cell r="A2361" t="str">
            <v>615-064170-475</v>
          </cell>
          <cell r="B2361" t="str">
            <v>RT0805BRD074K75L</v>
          </cell>
          <cell r="C2361" t="str">
            <v>RES</v>
          </cell>
          <cell r="F2361" t="str">
            <v>RES,SMD,0805,RG,MF,0.1%,1/10W,4.75K ROHS</v>
          </cell>
        </row>
        <row r="2362">
          <cell r="A2362" t="str">
            <v>615-121726-055</v>
          </cell>
          <cell r="B2362" t="str">
            <v>MR04X2701FTL</v>
          </cell>
          <cell r="C2362" t="str">
            <v>RES</v>
          </cell>
          <cell r="F2362" t="str">
            <v>RES,SMD,2.7K,1/10W,1%,0402</v>
          </cell>
        </row>
        <row r="2363">
          <cell r="A2363" t="str">
            <v>615-A12497-100</v>
          </cell>
          <cell r="B2363" t="str">
            <v>PTN0805E1000BST1</v>
          </cell>
          <cell r="C2363" t="str">
            <v>RES</v>
          </cell>
          <cell r="F2363" t="str">
            <v>RES,SMD,THIN FILM,0.2W,100OHM,±0.1%,0805</v>
          </cell>
        </row>
        <row r="2364">
          <cell r="A2364" t="str">
            <v>630-265675-001</v>
          </cell>
          <cell r="B2364" t="str">
            <v>THS4631DGNR</v>
          </cell>
          <cell r="C2364" t="str">
            <v>IC</v>
          </cell>
          <cell r="F2364" t="str">
            <v>IC,SMD,OP AMP,HS,FET-INPUT,HVSSOP-8</v>
          </cell>
        </row>
        <row r="2365">
          <cell r="A2365" t="str">
            <v>630-309830-001</v>
          </cell>
          <cell r="B2365" t="str">
            <v>DP83867ISRGZ</v>
          </cell>
          <cell r="C2365" t="str">
            <v>IC</v>
          </cell>
          <cell r="F2365" t="str">
            <v>IC,SMD,PHY,10/100/1000 ETRNET,HI IMNTY</v>
          </cell>
        </row>
        <row r="2366">
          <cell r="A2366" t="str">
            <v>648-068442-100</v>
          </cell>
          <cell r="B2366" t="str">
            <v>NMC0603NPO100C50TRPF</v>
          </cell>
          <cell r="C2366" t="str">
            <v>CAP</v>
          </cell>
          <cell r="F2366" t="str">
            <v>CAP,0603,CER,COG,50V,10PF,ROHS</v>
          </cell>
        </row>
        <row r="2367">
          <cell r="A2367" t="str">
            <v>648-102428-001</v>
          </cell>
          <cell r="B2367" t="str">
            <v>12063D226KAT2A</v>
          </cell>
          <cell r="C2367" t="str">
            <v>CAP</v>
          </cell>
          <cell r="F2367" t="str">
            <v>CAP,SMD,1206,X5R,10%,25V,22UF ROHS</v>
          </cell>
        </row>
        <row r="2368">
          <cell r="A2368" t="str">
            <v>648-121712-225</v>
          </cell>
          <cell r="B2368" t="str">
            <v>MSASJ105SB5225MFNA01</v>
          </cell>
          <cell r="C2368" t="str">
            <v>CAP</v>
          </cell>
          <cell r="F2368" t="str">
            <v>CAP,SMD,CER,2.2UF,6.3VDC,20%,X5R,0402</v>
          </cell>
        </row>
        <row r="2369">
          <cell r="A2369" t="str">
            <v>648-228557-001</v>
          </cell>
          <cell r="B2369" t="str">
            <v>MSASJ31LAB5107MTNA01</v>
          </cell>
          <cell r="C2369" t="str">
            <v>CAP</v>
          </cell>
          <cell r="F2369" t="str">
            <v>CAP,SMD,CER,100UF,6.3VDC,20%,X5R,1206</v>
          </cell>
        </row>
        <row r="2370">
          <cell r="A2370" t="str">
            <v>648-243932-001</v>
          </cell>
          <cell r="B2370" t="str">
            <v>GJM1555C1H5R0WB01D</v>
          </cell>
          <cell r="C2370" t="str">
            <v>CAP</v>
          </cell>
          <cell r="F2370" t="str">
            <v>CAP,SMD,CER,5PF,±.05PF TOL,C0G,50V,0402</v>
          </cell>
        </row>
        <row r="2371">
          <cell r="A2371" t="str">
            <v>648-337687-001</v>
          </cell>
          <cell r="B2371" t="str">
            <v>EEFGX0D471R</v>
          </cell>
          <cell r="C2371" t="str">
            <v>CAP</v>
          </cell>
          <cell r="F2371" t="str">
            <v>CAP,SMD,AL ELCTLT,470UF,2V,±20%TOL,7343</v>
          </cell>
        </row>
        <row r="2372">
          <cell r="A2372" t="str">
            <v>664-188514-001</v>
          </cell>
          <cell r="B2372" t="str">
            <v>HSMN-C190</v>
          </cell>
          <cell r="C2372" t="str">
            <v>LED</v>
          </cell>
          <cell r="F2372" t="str">
            <v>LED,SMD,CHIP,INGAN BLUE,TOP MOUNT</v>
          </cell>
        </row>
        <row r="2373">
          <cell r="A2373" t="str">
            <v>668-242448-001</v>
          </cell>
          <cell r="B2373" t="str">
            <v>142-4701-501</v>
          </cell>
          <cell r="C2373" t="str">
            <v>CONN</v>
          </cell>
          <cell r="F2373" t="str">
            <v>CONN,BLKHD,RTANG,JACK,18GHZ,PCB MT,SMA</v>
          </cell>
        </row>
        <row r="2374">
          <cell r="A2374" t="str">
            <v>609-A26590-001</v>
          </cell>
          <cell r="B2374" t="str">
            <v>DF2B6.8M1ACT</v>
          </cell>
          <cell r="C2374" t="str">
            <v>DIO</v>
          </cell>
          <cell r="F2374" t="str">
            <v>DIO,SMD,TVS,5V,2.5A,50W,SOD-882</v>
          </cell>
        </row>
        <row r="2375">
          <cell r="A2375" t="str">
            <v>615-240182-002</v>
          </cell>
          <cell r="B2375" t="str">
            <v>CRCW251220R0FKEG</v>
          </cell>
          <cell r="C2375" t="str">
            <v>RES</v>
          </cell>
          <cell r="F2375" t="str">
            <v>RES,SMD,THK FILM,HP,20OHM,1%,1.5W</v>
          </cell>
        </row>
        <row r="2376">
          <cell r="A2376" t="str">
            <v>639-249643-001</v>
          </cell>
          <cell r="B2376" t="str">
            <v>IHLP5050CEER2R2M01</v>
          </cell>
          <cell r="C2376" t="str">
            <v>IDCTR</v>
          </cell>
          <cell r="F2376" t="str">
            <v>IDCTR,SMD,FIXED,2.2UH,16A,8 MOHM</v>
          </cell>
        </row>
        <row r="2377">
          <cell r="A2377" t="str">
            <v>648-241285-001</v>
          </cell>
          <cell r="B2377" t="str">
            <v>1825WA102KAT2A</v>
          </cell>
          <cell r="C2377" t="str">
            <v>CAP</v>
          </cell>
          <cell r="F2377" t="str">
            <v>CAP,SMD,CER,1000PF,2.5KV,NP0,1825</v>
          </cell>
        </row>
        <row r="2378">
          <cell r="A2378" t="str">
            <v>648-A26397-010</v>
          </cell>
          <cell r="B2378" t="str">
            <v>GRM21BC71E106KE11L</v>
          </cell>
          <cell r="C2378" t="str">
            <v>CAP</v>
          </cell>
          <cell r="F2378" t="str">
            <v>CAP,SMD,CER,10UF,±10%,25V,X7S,0805</v>
          </cell>
        </row>
        <row r="2379">
          <cell r="A2379" t="str">
            <v>682-020656-020</v>
          </cell>
          <cell r="B2379" t="str">
            <v>1812L050/30PR</v>
          </cell>
          <cell r="C2379" t="str">
            <v>FUSE</v>
          </cell>
          <cell r="D2379" t="str">
            <v>AC Box</v>
          </cell>
          <cell r="F2379" t="str">
            <v>FUSE,SMD,1812,30V,500MA,ROHS</v>
          </cell>
        </row>
        <row r="2380">
          <cell r="A2380" t="str">
            <v>682-098857-050</v>
          </cell>
          <cell r="B2380" t="str">
            <v>SMD050F-2</v>
          </cell>
          <cell r="C2380" t="str">
            <v>FUSE</v>
          </cell>
          <cell r="D2380" t="str">
            <v>AC Box</v>
          </cell>
          <cell r="F2380" t="str">
            <v>FUSE,SMD,0.5A,60V,RSTBL,PTC,ROHS</v>
          </cell>
        </row>
        <row r="2381">
          <cell r="A2381" t="str">
            <v>615-116028-210</v>
          </cell>
          <cell r="B2381" t="str">
            <v>CRCW12062K10FKEA</v>
          </cell>
          <cell r="C2381" t="str">
            <v>RES</v>
          </cell>
          <cell r="F2381" t="str">
            <v>RES,SMD,1206,2.10K,1%,1/4W,ROHS</v>
          </cell>
        </row>
        <row r="2382">
          <cell r="A2382" t="str">
            <v>615-123463-249</v>
          </cell>
          <cell r="B2382" t="str">
            <v>RC0402FR-07249KL</v>
          </cell>
          <cell r="C2382" t="str">
            <v>RES</v>
          </cell>
          <cell r="F2382" t="str">
            <v>RES,0402,THKF,1/16W,1% 249K ROHS</v>
          </cell>
        </row>
        <row r="2383">
          <cell r="A2383" t="str">
            <v>615-312994-347</v>
          </cell>
          <cell r="B2383" t="str">
            <v>ERJ-1GNF1102C</v>
          </cell>
          <cell r="C2383" t="str">
            <v>RES</v>
          </cell>
          <cell r="F2383" t="str">
            <v>RES,SMD,11.0K,1%,1/20W,0201</v>
          </cell>
        </row>
        <row r="2384">
          <cell r="A2384" t="str">
            <v>615-313172-001</v>
          </cell>
          <cell r="B2384" t="str">
            <v>CRCW020195K3FKED</v>
          </cell>
          <cell r="C2384" t="str">
            <v>RES</v>
          </cell>
          <cell r="F2384" t="str">
            <v>RES,SMD,95.3K,1%,1/20W,0201</v>
          </cell>
        </row>
        <row r="2385">
          <cell r="A2385" t="str">
            <v>630-257556-001</v>
          </cell>
          <cell r="B2385" t="str">
            <v>LTC2928IUHF#PBF</v>
          </cell>
          <cell r="C2385" t="str">
            <v>IC</v>
          </cell>
          <cell r="F2385" t="str">
            <v>IC,SMD,PWR SUPPLY,SEQUENCER,38-QFN</v>
          </cell>
        </row>
        <row r="2386">
          <cell r="A2386" t="str">
            <v>630-313803-001</v>
          </cell>
          <cell r="B2386" t="str">
            <v>LTC6994-CDCB2#TRMPBF</v>
          </cell>
          <cell r="C2386" t="str">
            <v>IC</v>
          </cell>
          <cell r="F2386" t="str">
            <v>IC,SMD,DELAY,LINE,8TAP,PROG,6DFN</v>
          </cell>
        </row>
        <row r="2387">
          <cell r="A2387" t="str">
            <v>648-078566-476</v>
          </cell>
          <cell r="B2387" t="str">
            <v>T495X476K035ATE230</v>
          </cell>
          <cell r="C2387" t="str">
            <v>CAP</v>
          </cell>
          <cell r="F2387" t="str">
            <v>CAP,TANT,SP-PWR,L-ESR,10%,35V 47UF ROHS</v>
          </cell>
        </row>
        <row r="2388">
          <cell r="A2388" t="str">
            <v>648-317701-001</v>
          </cell>
          <cell r="B2388" t="str">
            <v>CL03A473KQ3NNNC</v>
          </cell>
          <cell r="C2388" t="str">
            <v>CAP</v>
          </cell>
          <cell r="F2388" t="str">
            <v>CAP,SMD,CER,47NF,±10%,X5R,6.3V,0201</v>
          </cell>
        </row>
        <row r="2389">
          <cell r="A2389" t="str">
            <v>648-333041-001</v>
          </cell>
          <cell r="B2389" t="str">
            <v>GRM033C71C104KE14D</v>
          </cell>
          <cell r="C2389" t="str">
            <v>CAP</v>
          </cell>
          <cell r="F2389" t="str">
            <v>CAP,SMD,CER,0.10UF, ±10% TOL,16VDC,0201</v>
          </cell>
        </row>
        <row r="2390">
          <cell r="A2390" t="str">
            <v>664-259010-001</v>
          </cell>
          <cell r="B2390" t="str">
            <v>5913501833F</v>
          </cell>
          <cell r="C2390" t="str">
            <v>LED</v>
          </cell>
          <cell r="F2390" t="str">
            <v>LED,SMD,PRISM,3MM,RND,RED,GRN,BLU</v>
          </cell>
        </row>
        <row r="2391">
          <cell r="A2391" t="str">
            <v>648-097994-102</v>
          </cell>
          <cell r="B2391" t="str">
            <v>12065A102JAT2A</v>
          </cell>
          <cell r="C2391" t="str">
            <v>CAP</v>
          </cell>
          <cell r="F2391" t="str">
            <v>CAP,1206,1000PF, 5%, 50V,COG</v>
          </cell>
        </row>
        <row r="2392">
          <cell r="A2392" t="str">
            <v>615-313014-008</v>
          </cell>
          <cell r="B2392" t="str">
            <v>EXB-18V390JX</v>
          </cell>
          <cell r="C2392" t="str">
            <v>RES</v>
          </cell>
          <cell r="F2392" t="str">
            <v>RES,SMD,ARRAY,4RES,39 OHM,0502</v>
          </cell>
        </row>
        <row r="2393">
          <cell r="A2393" t="str">
            <v>648-345763-001</v>
          </cell>
          <cell r="B2393" t="str">
            <v>GRM188R61E106MA73D</v>
          </cell>
          <cell r="C2393" t="str">
            <v>CAP</v>
          </cell>
          <cell r="F2393" t="str">
            <v>CAP,SMD,CER,X5R,10UF,±20%,25V,0603</v>
          </cell>
        </row>
        <row r="2394">
          <cell r="A2394" t="str">
            <v>615-122918-241</v>
          </cell>
          <cell r="B2394" t="str">
            <v>RG1608P241BT5</v>
          </cell>
          <cell r="C2394" t="str">
            <v>RES</v>
          </cell>
          <cell r="F2394" t="str">
            <v>RES,SMD,240 OHM,0.1%,0603</v>
          </cell>
        </row>
        <row r="2395">
          <cell r="A2395" t="str">
            <v>630-145201-001</v>
          </cell>
          <cell r="B2395" t="str">
            <v>SN74LVC2T45DCT</v>
          </cell>
          <cell r="C2395" t="str">
            <v>IC</v>
          </cell>
          <cell r="F2395" t="str">
            <v>IC,SMD,2B DUAL SUPP TRANSCEIVER</v>
          </cell>
        </row>
        <row r="2396">
          <cell r="A2396" t="str">
            <v>630-232491-001</v>
          </cell>
          <cell r="B2396" t="str">
            <v>DRV8711DCP</v>
          </cell>
          <cell r="C2396" t="str">
            <v>IC</v>
          </cell>
          <cell r="F2396" t="str">
            <v>IC,SMD,MOTOR,CONTRLR,38HTSSOP,ROHS</v>
          </cell>
        </row>
        <row r="2397">
          <cell r="A2397" t="str">
            <v>630-305810-001</v>
          </cell>
          <cell r="B2397" t="str">
            <v>SN74LVC1G126DBVR</v>
          </cell>
          <cell r="C2397" t="str">
            <v>IC</v>
          </cell>
          <cell r="F2397" t="str">
            <v>IC,SMD,BUS BFR,3-STATE,NON-INV,SOT23-5</v>
          </cell>
        </row>
        <row r="2398">
          <cell r="A2398" t="str">
            <v>639-261976-002</v>
          </cell>
          <cell r="B2398" t="str">
            <v>IHLM2525CZER1R0M01</v>
          </cell>
          <cell r="C2398" t="str">
            <v>IDCTR</v>
          </cell>
          <cell r="F2398" t="str">
            <v>IDCTR,SMD,FIXED,1UH,11A,10 MOHM</v>
          </cell>
        </row>
        <row r="2399">
          <cell r="A2399" t="str">
            <v>639-262499-001</v>
          </cell>
          <cell r="B2399" t="str">
            <v>IHLP1212AEERR47M11</v>
          </cell>
          <cell r="C2399" t="str">
            <v>IDCTR</v>
          </cell>
          <cell r="F2399" t="str">
            <v>IDCTR,SMD,FIXED,0.47UH,6.7A,15 MOHM</v>
          </cell>
        </row>
        <row r="2400">
          <cell r="A2400" t="str">
            <v>648-311190-001</v>
          </cell>
          <cell r="B2400" t="str">
            <v>EMVH500ARA331MKG5S</v>
          </cell>
          <cell r="C2400" t="str">
            <v>CAP</v>
          </cell>
          <cell r="F2400" t="str">
            <v>CAP,SMD,ALUM,330UF,20%,50V,ROHS</v>
          </cell>
        </row>
        <row r="2401">
          <cell r="A2401" t="str">
            <v>615-121726-104</v>
          </cell>
          <cell r="B2401" t="str">
            <v>ERJ-2RKF1003X</v>
          </cell>
          <cell r="C2401" t="str">
            <v>RES</v>
          </cell>
          <cell r="F2401" t="str">
            <v>RES,SMD,100K,1/10W,1%,0402</v>
          </cell>
        </row>
        <row r="2402">
          <cell r="A2402" t="str">
            <v>648-223182-004</v>
          </cell>
          <cell r="B2402" t="str">
            <v>C2012X6S0G476M125AC</v>
          </cell>
          <cell r="C2402" t="str">
            <v>CAP</v>
          </cell>
          <cell r="F2402" t="str">
            <v>CAP,SMD,0805,X6S,20%,4V,47UF</v>
          </cell>
        </row>
        <row r="2403">
          <cell r="A2403" t="str">
            <v>648-223186-011</v>
          </cell>
          <cell r="B2403" t="str">
            <v>C1005X6S0G475M050BC</v>
          </cell>
          <cell r="C2403" t="str">
            <v>CAP</v>
          </cell>
          <cell r="F2403" t="str">
            <v>CAP,SMD,0402,X6S,20%,4V,4.7UF</v>
          </cell>
        </row>
        <row r="2404">
          <cell r="A2404" t="str">
            <v>609-067465-001</v>
          </cell>
          <cell r="B2404" t="str">
            <v>1N5711WS-7-F</v>
          </cell>
          <cell r="C2404" t="str">
            <v>DIO</v>
          </cell>
          <cell r="F2404" t="str">
            <v>DIO,SMD,SIG,SCHOTTKY,1N5711WS ROHS</v>
          </cell>
        </row>
        <row r="2405">
          <cell r="A2405" t="str">
            <v>615-121726-100</v>
          </cell>
          <cell r="B2405" t="str">
            <v>RK73H1ETTP2203F</v>
          </cell>
          <cell r="C2405" t="str">
            <v>RES</v>
          </cell>
          <cell r="F2405" t="str">
            <v>RES,SMD,220K,1/10W,1%,0402</v>
          </cell>
        </row>
        <row r="2406">
          <cell r="A2406" t="str">
            <v>615-123463-154</v>
          </cell>
          <cell r="B2406" t="str">
            <v>WR04X1543FTL</v>
          </cell>
          <cell r="C2406" t="str">
            <v>RES</v>
          </cell>
          <cell r="F2406" t="str">
            <v>RES,0402,THKF,1/16W,1% 154K ROHS</v>
          </cell>
        </row>
        <row r="2407">
          <cell r="A2407" t="str">
            <v>615-312994-273</v>
          </cell>
          <cell r="B2407" t="str">
            <v>ERJ-1GNF2491C</v>
          </cell>
          <cell r="C2407" t="str">
            <v>RES</v>
          </cell>
          <cell r="F2407" t="str">
            <v>RES,SMD,2.49K,1%,1/20W,0201</v>
          </cell>
        </row>
        <row r="2408">
          <cell r="A2408" t="str">
            <v>615-313014-002</v>
          </cell>
          <cell r="B2408" t="str">
            <v>EXB-18V220JX</v>
          </cell>
          <cell r="C2408" t="str">
            <v>RES</v>
          </cell>
          <cell r="F2408" t="str">
            <v>RES,SMD,ARRAY,4RES,22 OHM,0502</v>
          </cell>
        </row>
        <row r="2409">
          <cell r="A2409" t="str">
            <v>630-259422-001</v>
          </cell>
          <cell r="B2409" t="str">
            <v>MT41K256M8DA-125AIT:K</v>
          </cell>
          <cell r="C2409" t="str">
            <v>IC</v>
          </cell>
          <cell r="F2409" t="str">
            <v>IC,SMD,DDR3L,SDRAM,2GB,800MHZ</v>
          </cell>
        </row>
        <row r="2410">
          <cell r="A2410" t="str">
            <v>648-237036-001</v>
          </cell>
          <cell r="B2410" t="str">
            <v>MSASE105SB7104KFNA01</v>
          </cell>
          <cell r="C2410" t="str">
            <v>CAP</v>
          </cell>
          <cell r="F2410" t="str">
            <v>CAP,SMD,CER,100NF,±10% TOL,16V,X7R,0402</v>
          </cell>
        </row>
        <row r="2411">
          <cell r="A2411" t="str">
            <v>664-068184-001</v>
          </cell>
          <cell r="B2411" t="str">
            <v>LTST-C190GKT</v>
          </cell>
          <cell r="C2411" t="str">
            <v>LED</v>
          </cell>
          <cell r="F2411" t="str">
            <v>LED,SMD,0603,ST,10MA,GRN ROHS</v>
          </cell>
        </row>
        <row r="2412">
          <cell r="A2412" t="str">
            <v>723-265786-006</v>
          </cell>
          <cell r="B2412" t="str">
            <v>KFE-M3-10ET</v>
          </cell>
          <cell r="C2412" t="str">
            <v>STDF</v>
          </cell>
          <cell r="D2412" t="str">
            <v>Hardware</v>
          </cell>
          <cell r="F2412" t="str">
            <v>STDF,RND,M3,10 MM LG,CS</v>
          </cell>
        </row>
        <row r="2413">
          <cell r="A2413" t="str">
            <v>615-123461-121</v>
          </cell>
          <cell r="B2413" t="str">
            <v>RC0402FR-071K21L</v>
          </cell>
          <cell r="C2413" t="str">
            <v>RES</v>
          </cell>
          <cell r="F2413" t="str">
            <v>RES,0402,THKF,1/16W,1% 1.21K ROHS</v>
          </cell>
        </row>
        <row r="2414">
          <cell r="A2414" t="str">
            <v>615-232516-001</v>
          </cell>
          <cell r="B2414" t="str">
            <v>ERJ-8CWFR033V</v>
          </cell>
          <cell r="C2414" t="str">
            <v>RES</v>
          </cell>
          <cell r="F2414" t="str">
            <v>RES,SMD,1206,1%,50PPM,0.033 OHM</v>
          </cell>
        </row>
        <row r="2415">
          <cell r="A2415" t="str">
            <v>626-312210-001</v>
          </cell>
          <cell r="B2415" t="str">
            <v>FDMQ8403</v>
          </cell>
          <cell r="C2415" t="str">
            <v>XSTR</v>
          </cell>
          <cell r="F2415" t="str">
            <v>XSTR,SMD,FET,4N-CH,100V,3.1A,12-MLP,ROHS</v>
          </cell>
        </row>
        <row r="2416">
          <cell r="A2416" t="str">
            <v>648-068442-331</v>
          </cell>
          <cell r="B2416" t="str">
            <v>C0603C331J5GACTU</v>
          </cell>
          <cell r="C2416" t="str">
            <v>CAP</v>
          </cell>
          <cell r="F2416" t="str">
            <v>CAP, 0603, CERAMIC COG, � 5%, 50V, 330PF</v>
          </cell>
        </row>
        <row r="2417">
          <cell r="A2417" t="str">
            <v>648-124219-683</v>
          </cell>
          <cell r="B2417" t="str">
            <v>NMC0402X7R683K16TRPF</v>
          </cell>
          <cell r="C2417" t="str">
            <v>CAP</v>
          </cell>
          <cell r="F2417" t="str">
            <v>CAP,SMD,0402,0.068UF,16V,10%,X7R,ROHS</v>
          </cell>
        </row>
        <row r="2418">
          <cell r="A2418" t="str">
            <v>648-188534-005</v>
          </cell>
          <cell r="B2418" t="str">
            <v>06036D106MAT2A</v>
          </cell>
          <cell r="C2418" t="str">
            <v>CAP</v>
          </cell>
          <cell r="F2418" t="str">
            <v>CAP,SMD,6.3V,20%,X5R,10UF,0603</v>
          </cell>
        </row>
        <row r="2419">
          <cell r="A2419" t="str">
            <v>648-188546-004</v>
          </cell>
          <cell r="B2419" t="str">
            <v>MSASJ21GBB5476MTNA01</v>
          </cell>
          <cell r="C2419" t="str">
            <v>CAP</v>
          </cell>
          <cell r="F2419" t="str">
            <v>CAP,SMD,CER,47UF,6.3VDC,20%,X5R,0805</v>
          </cell>
        </row>
        <row r="2420">
          <cell r="A2420" t="str">
            <v>648-315620-001</v>
          </cell>
          <cell r="B2420" t="str">
            <v>C0402C221K4RAC7867</v>
          </cell>
          <cell r="C2420" t="str">
            <v>CAP</v>
          </cell>
          <cell r="F2420" t="str">
            <v>CAP,SMD,CER,220PF,10%,16V,X7R,0402</v>
          </cell>
        </row>
        <row r="2421">
          <cell r="A2421" t="str">
            <v>668-111553-002</v>
          </cell>
          <cell r="B2421" t="str">
            <v>302W2CSXX69E40X</v>
          </cell>
          <cell r="C2421" t="str">
            <v>CONN</v>
          </cell>
          <cell r="F2421" t="str">
            <v>CONN,RCPT,D-SUB,POWER,2P,COMBO,ROHS</v>
          </cell>
        </row>
        <row r="2422">
          <cell r="A2422" t="str">
            <v>615-312994-343</v>
          </cell>
          <cell r="B2422" t="str">
            <v>ERJ-1GNF1002C</v>
          </cell>
          <cell r="C2422" t="str">
            <v>RES</v>
          </cell>
          <cell r="F2422" t="str">
            <v>RES,SMD,10K,1%,1/20W,0201</v>
          </cell>
        </row>
        <row r="2423">
          <cell r="A2423" t="str">
            <v>648-317699-001</v>
          </cell>
          <cell r="B2423" t="str">
            <v>C3216JB0J107M160AB</v>
          </cell>
          <cell r="C2423" t="str">
            <v>CAP</v>
          </cell>
          <cell r="F2423" t="str">
            <v>CAP,SMD,CER,JB,100UF,6.3V,20%,1206,ROHS</v>
          </cell>
        </row>
        <row r="2424">
          <cell r="A2424" t="str">
            <v>648-317700-001</v>
          </cell>
          <cell r="B2424" t="str">
            <v>MBASJ105SB7474KFNA01</v>
          </cell>
          <cell r="C2424" t="str">
            <v>CAP</v>
          </cell>
          <cell r="F2424" t="str">
            <v>CAP,SMD,CER,0.47UF,6.3VDC,10%,X7R,0402</v>
          </cell>
        </row>
        <row r="2425">
          <cell r="A2425" t="str">
            <v>670-331219-001</v>
          </cell>
          <cell r="B2425">
            <v>751.00559999999996</v>
          </cell>
          <cell r="C2425" t="str">
            <v>FUSE CLIP</v>
          </cell>
          <cell r="D2425" t="str">
            <v>AC Box</v>
          </cell>
          <cell r="F2425" t="str">
            <v>FUSE CLIP,600VAC/DC,16A,PCB MT,BRONZE</v>
          </cell>
        </row>
        <row r="2426">
          <cell r="A2426" t="str">
            <v>648-314833-001</v>
          </cell>
          <cell r="B2426" t="str">
            <v>C1206C475K6RACTU</v>
          </cell>
          <cell r="C2426" t="str">
            <v>CAP</v>
          </cell>
          <cell r="F2426" t="str">
            <v>CAP,SMD,CER,4.7UF,35V,X7R,10%,1206,ROHS</v>
          </cell>
        </row>
        <row r="2427">
          <cell r="A2427" t="str">
            <v>668-064175-001</v>
          </cell>
          <cell r="B2427">
            <v>22.1084</v>
          </cell>
          <cell r="C2427" t="str">
            <v>CONN</v>
          </cell>
          <cell r="F2427" t="str">
            <v>CONN,MULTILAM,SA484,PLUG ROHS</v>
          </cell>
        </row>
        <row r="2428">
          <cell r="A2428" t="str">
            <v>609-A26532-001</v>
          </cell>
          <cell r="B2428" t="str">
            <v>CRS30I40A(TE85L,QM</v>
          </cell>
          <cell r="C2428" t="str">
            <v>DIO</v>
          </cell>
          <cell r="F2428" t="str">
            <v>DIO,SMD,SCHOTTKY,40A,3A,SOD-123F</v>
          </cell>
        </row>
        <row r="2429">
          <cell r="A2429" t="str">
            <v>615-312994-003</v>
          </cell>
          <cell r="B2429" t="str">
            <v>RMCF0201FT4K70</v>
          </cell>
          <cell r="C2429" t="str">
            <v>RES</v>
          </cell>
          <cell r="F2429" t="str">
            <v>RES,SMD,4.7K,1%,1/20W,0201</v>
          </cell>
        </row>
        <row r="2430">
          <cell r="A2430" t="str">
            <v>648-317702-001</v>
          </cell>
          <cell r="B2430" t="str">
            <v>GRM033R6YA104ME14D</v>
          </cell>
          <cell r="C2430" t="str">
            <v>CAP</v>
          </cell>
          <cell r="F2430" t="str">
            <v>CAP,SMD,CER,0.1UF,±20%,X5R,35V,0201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</sheetNames>
    <sheetDataSet>
      <sheetData sheetId="0"/>
      <sheetData sheetId="1">
        <row r="1">
          <cell r="B1" t="str">
            <v>Item</v>
          </cell>
          <cell r="C1" t="str">
            <v>Name</v>
          </cell>
          <cell r="D1" t="str">
            <v>Item Description</v>
          </cell>
          <cell r="E1" t="str">
            <v>Lot Quantity</v>
          </cell>
        </row>
        <row r="2">
          <cell r="B2" t="str">
            <v>0452002.MRL</v>
          </cell>
          <cell r="C2" t="str">
            <v>Littelfuse, Inc.</v>
          </cell>
          <cell r="D2" t="str">
            <v>FUSE,SMD,2A,125V,SLOBLO,NANO2</v>
          </cell>
          <cell r="E2">
            <v>1000</v>
          </cell>
        </row>
        <row r="3">
          <cell r="B3" t="str">
            <v>06035C104JAT2A</v>
          </cell>
          <cell r="C3" t="str">
            <v>AVX Corporation</v>
          </cell>
          <cell r="D3" t="str">
            <v>CAP,CERAMIC,100NF,50V,5%,SMT,0603,X7R</v>
          </cell>
          <cell r="E3">
            <v>3933</v>
          </cell>
        </row>
        <row r="4">
          <cell r="B4" t="str">
            <v>0650R9120-13</v>
          </cell>
          <cell r="C4" t="str">
            <v>Bel Fuse</v>
          </cell>
          <cell r="D4" t="str">
            <v>FUSE,AXIAL LEAD,12A,250V,5X20,FAST-ACT</v>
          </cell>
          <cell r="E4">
            <v>1000</v>
          </cell>
        </row>
        <row r="5">
          <cell r="B5" t="str">
            <v>0686F2000-01</v>
          </cell>
          <cell r="C5" t="str">
            <v>Bel Fuse</v>
          </cell>
          <cell r="D5" t="str">
            <v>FUSE,SMD,2A,32VAC/63VDC,FAST ACT,0603</v>
          </cell>
          <cell r="E5">
            <v>4930</v>
          </cell>
        </row>
        <row r="6">
          <cell r="B6" t="str">
            <v>0686F5000-01</v>
          </cell>
          <cell r="C6" t="str">
            <v>Bel Fuse</v>
          </cell>
          <cell r="D6" t="str">
            <v>FUSE,SMD,5A,32VAC/63VDC,FAST ACT,0603</v>
          </cell>
          <cell r="E6">
            <v>5000</v>
          </cell>
        </row>
        <row r="7">
          <cell r="B7" t="str">
            <v>08051A151JAT2A</v>
          </cell>
          <cell r="C7" t="str">
            <v>Kemet Electronics Corp</v>
          </cell>
          <cell r="D7" t="str">
            <v>CAP,SMD,0805,COG,5%,100V,150PF ROHS</v>
          </cell>
          <cell r="E7">
            <v>4000</v>
          </cell>
        </row>
        <row r="8">
          <cell r="B8" t="str">
            <v>08051A220FAT2A</v>
          </cell>
          <cell r="C8" t="str">
            <v>AVX Corporation</v>
          </cell>
          <cell r="D8" t="str">
            <v>CAP,0805,CER,C0G,1%,100V,22PF ROHS</v>
          </cell>
          <cell r="E8">
            <v>3820</v>
          </cell>
        </row>
        <row r="9">
          <cell r="B9" t="str">
            <v>09.03290.01</v>
          </cell>
          <cell r="C9" t="str">
            <v>Eoz Solutions</v>
          </cell>
          <cell r="D9" t="str">
            <v>SW,PCB,SLIDE ACTR,0.5A,12V,AXIAL PIN,BLK</v>
          </cell>
          <cell r="E9">
            <v>184</v>
          </cell>
        </row>
        <row r="10">
          <cell r="B10">
            <v>9552156612741</v>
          </cell>
          <cell r="C10" t="str">
            <v>Harting Electronics GmBH &amp; Co KG</v>
          </cell>
          <cell r="D10" t="str">
            <v>CONN,RCPT,D-SUB,SIZE 2,15POSN,5A,STR,SMD</v>
          </cell>
          <cell r="E10">
            <v>139</v>
          </cell>
        </row>
        <row r="11">
          <cell r="B11" t="str">
            <v>1.5SMC18A</v>
          </cell>
          <cell r="C11" t="str">
            <v>Littelfuse, Inc.</v>
          </cell>
          <cell r="D11" t="str">
            <v>DIODE,TVS,18V ,1.5KW,SMC,ROHS</v>
          </cell>
          <cell r="E11">
            <v>73</v>
          </cell>
        </row>
        <row r="12">
          <cell r="B12" t="str">
            <v>1.5SMC30A</v>
          </cell>
          <cell r="C12" t="str">
            <v>Littelfuse, Inc.</v>
          </cell>
          <cell r="D12" t="str">
            <v>TVS Diode Single Uni-Dir 25.6V 1.5KW 2-P</v>
          </cell>
          <cell r="E12">
            <v>2254</v>
          </cell>
        </row>
        <row r="13">
          <cell r="B13" t="str">
            <v>‎1.5SMC36A‎</v>
          </cell>
          <cell r="C13" t="str">
            <v>Littelfuse Inc</v>
          </cell>
          <cell r="D13" t="str">
            <v>DIODE,TVS,36V ,1.5KW,SMC,ROHS</v>
          </cell>
          <cell r="E13">
            <v>3000</v>
          </cell>
        </row>
        <row r="14">
          <cell r="B14" t="str">
            <v>10080054-079LF</v>
          </cell>
          <cell r="C14" t="str">
            <v>FCI Deutschland GmbH</v>
          </cell>
          <cell r="D14" t="str">
            <v>CONN,PLUG,HEADER,20 PIN,VERT,ROHS</v>
          </cell>
          <cell r="E14">
            <v>311</v>
          </cell>
        </row>
        <row r="15">
          <cell r="B15" t="str">
            <v>10090926-P444VLF</v>
          </cell>
          <cell r="C15" t="str">
            <v>Amphenol ICC</v>
          </cell>
          <cell r="D15" t="str">
            <v>CONN,D-SUB,H-DENSITY,MALE,44POSN,RTANG</v>
          </cell>
          <cell r="E15">
            <v>200</v>
          </cell>
        </row>
        <row r="16">
          <cell r="B16" t="str">
            <v>10090929-S154XLF</v>
          </cell>
          <cell r="C16" t="str">
            <v>Amphenol ICC</v>
          </cell>
          <cell r="D16" t="str">
            <v>CONN,RCPT,DSUB HD,15 POSN,2.5A,W/BD LOCK</v>
          </cell>
          <cell r="E16">
            <v>264</v>
          </cell>
        </row>
        <row r="17">
          <cell r="B17" t="str">
            <v>10090929-S264XLF</v>
          </cell>
          <cell r="C17" t="str">
            <v>Amphenol FCI (ICC)</v>
          </cell>
          <cell r="D17" t="str">
            <v>26POS 3ROW VERT AU D-SUB RCPT</v>
          </cell>
          <cell r="E17">
            <v>1534</v>
          </cell>
        </row>
        <row r="18">
          <cell r="B18" t="str">
            <v>10090929-S444XLF</v>
          </cell>
          <cell r="C18" t="str">
            <v>Amphenol ICC</v>
          </cell>
          <cell r="D18" t="str">
            <v>CONN,RCPT,DSUB HD,44 POSN,2.5A,W/BD LOCK</v>
          </cell>
          <cell r="E18">
            <v>961</v>
          </cell>
        </row>
        <row r="19">
          <cell r="B19" t="str">
            <v>101247-001</v>
          </cell>
          <cell r="C19" t="str">
            <v>Smiths Interconnect</v>
          </cell>
          <cell r="D19" t="str">
            <v>CONT,SPR PROBE,20A,17.93MM OA LG</v>
          </cell>
          <cell r="E19">
            <v>48</v>
          </cell>
        </row>
        <row r="20">
          <cell r="B20" t="str">
            <v>10139085-124402LF</v>
          </cell>
          <cell r="C20" t="str">
            <v>Amphenol ICC</v>
          </cell>
          <cell r="D20" t="str">
            <v>CONN,SMD,PLUG,MEZZ,0.8MM,120P,7.7MM HGT</v>
          </cell>
          <cell r="E20">
            <v>399</v>
          </cell>
        </row>
        <row r="21">
          <cell r="B21" t="str">
            <v>101X15N220MV4E</v>
          </cell>
          <cell r="C21" t="str">
            <v>Johanson</v>
          </cell>
          <cell r="D21" t="str">
            <v>CAP,SMD,X2Y,22PF,20%,100V,0805</v>
          </cell>
          <cell r="E21">
            <v>3918</v>
          </cell>
        </row>
        <row r="22">
          <cell r="B22" t="str">
            <v>10236-6212PC</v>
          </cell>
          <cell r="C22" t="str">
            <v>3M</v>
          </cell>
          <cell r="D22" t="str">
            <v>CONN,MINI-D,STR PCB MT 36 PINS,ROHS</v>
          </cell>
          <cell r="E22">
            <v>200</v>
          </cell>
        </row>
        <row r="23">
          <cell r="B23" t="str">
            <v>10-89-7060</v>
          </cell>
          <cell r="C23" t="str">
            <v>Molex LLC</v>
          </cell>
          <cell r="D23" t="str">
            <v>HEADER,STR,DBL ROW,6 CKT,ROHS</v>
          </cell>
          <cell r="E23">
            <v>3000</v>
          </cell>
        </row>
        <row r="24">
          <cell r="B24" t="str">
            <v>12065C473KAT2A</v>
          </cell>
          <cell r="C24" t="str">
            <v>KYOCERA AVX</v>
          </cell>
          <cell r="D24" t="str">
            <v>CAP,1206,.047UF,10%,50V,X7R,ROHS</v>
          </cell>
          <cell r="E24">
            <v>4000</v>
          </cell>
        </row>
        <row r="25">
          <cell r="B25" t="str">
            <v>13-000121</v>
          </cell>
          <cell r="C25" t="str">
            <v>CONEC Elektronische Bauelemente GmbH</v>
          </cell>
          <cell r="D25" t="str">
            <v>CONN, DSUB,7W2_M,PCB STRT,4-40</v>
          </cell>
          <cell r="E25">
            <v>197</v>
          </cell>
        </row>
        <row r="26">
          <cell r="B26">
            <v>132291</v>
          </cell>
          <cell r="C26" t="str">
            <v>Amphenol RF</v>
          </cell>
          <cell r="D26" t="str">
            <v>Connector; RF; SMA Straight PCB Jack Thr</v>
          </cell>
          <cell r="E26">
            <v>50</v>
          </cell>
        </row>
        <row r="27">
          <cell r="B27" t="str">
            <v>1410-G110-L2F1-S01-4A</v>
          </cell>
          <cell r="C27" t="str">
            <v>E-T-A Engineering Technology</v>
          </cell>
          <cell r="D27" t="str">
            <v>CB,THRM,1P,4A,28 VDC,240 VAC,PCB MTG</v>
          </cell>
          <cell r="E27">
            <v>196</v>
          </cell>
        </row>
        <row r="28">
          <cell r="B28" t="str">
            <v>1410-G110-L2F1-S01-6.3A</v>
          </cell>
          <cell r="C28" t="str">
            <v>E-T-A Engineering Technology</v>
          </cell>
          <cell r="D28" t="str">
            <v>CB,PC MT,6.3A</v>
          </cell>
          <cell r="E28">
            <v>50</v>
          </cell>
        </row>
        <row r="29">
          <cell r="B29" t="str">
            <v>1410-L110-L1F1-S01-6.3A</v>
          </cell>
          <cell r="C29" t="str">
            <v>E-T-A Engineering Technology</v>
          </cell>
          <cell r="D29" t="str">
            <v>CB,6.3A,1P,24V,2,PC MOUNT,THERMAL</v>
          </cell>
          <cell r="E29">
            <v>100</v>
          </cell>
        </row>
        <row r="30">
          <cell r="B30" t="str">
            <v>1410-L110-L1F1-S01-8A</v>
          </cell>
          <cell r="C30" t="str">
            <v>E-T-A Engineering Technology</v>
          </cell>
          <cell r="D30" t="str">
            <v>CB,8A,PC MOUNT</v>
          </cell>
          <cell r="E30">
            <v>49</v>
          </cell>
        </row>
        <row r="31">
          <cell r="B31" t="str">
            <v>142-0701-501</v>
          </cell>
          <cell r="C31" t="str">
            <v>Norcomp Inc</v>
          </cell>
          <cell r="D31" t="str">
            <v>CONN,COAX,SMA,RTANG,18GHZ,PCB MT, GOLD</v>
          </cell>
          <cell r="E31">
            <v>183</v>
          </cell>
        </row>
        <row r="32">
          <cell r="B32">
            <v>1424241</v>
          </cell>
          <cell r="C32" t="str">
            <v>Phoenix Contact</v>
          </cell>
          <cell r="D32" t="str">
            <v>CONN,RCPT,M8,B,5P,STRAIGHT,THRU HOLE</v>
          </cell>
          <cell r="E32">
            <v>38</v>
          </cell>
        </row>
        <row r="33">
          <cell r="B33" t="str">
            <v>15A24-N15-I10-1</v>
          </cell>
          <cell r="C33" t="str">
            <v>Advanced Energy Industries Inc</v>
          </cell>
          <cell r="D33" t="str">
            <v>PS,HV,DC-DC CONV,15W,24V,0TO -15KVDC,I10</v>
          </cell>
          <cell r="E33">
            <v>60</v>
          </cell>
        </row>
        <row r="34">
          <cell r="B34" t="str">
            <v>15A24-P15-I10-1</v>
          </cell>
          <cell r="C34" t="str">
            <v>Advanced Energy Industries Inc</v>
          </cell>
          <cell r="D34" t="str">
            <v>PS,HV,DC-DC CONV,15W,24V,0TO +15KVDC,I10</v>
          </cell>
          <cell r="E34">
            <v>60</v>
          </cell>
        </row>
        <row r="35">
          <cell r="B35" t="str">
            <v>163A16169X</v>
          </cell>
          <cell r="C35" t="str">
            <v>CONEC Elektronische Bauelemente GmbH</v>
          </cell>
          <cell r="D35" t="str">
            <v>CONN,PLUG,DSUB,15POS,VERT,7.5A,125V</v>
          </cell>
          <cell r="E35">
            <v>50</v>
          </cell>
        </row>
        <row r="36">
          <cell r="B36" t="str">
            <v>164A16589X</v>
          </cell>
          <cell r="C36" t="str">
            <v>CONEC Elektronische Bauelemente GmbH</v>
          </cell>
          <cell r="D36" t="str">
            <v>CONN,DSUB,RCPT,VERT PCB,SOLDER,25P,ROHS</v>
          </cell>
          <cell r="E36">
            <v>239</v>
          </cell>
        </row>
        <row r="37">
          <cell r="B37" t="str">
            <v>164A17369X</v>
          </cell>
          <cell r="C37" t="str">
            <v>CONEC Elektronische Bauelemente GmbH</v>
          </cell>
          <cell r="D37" t="str">
            <v>CONN,RCPT,D-SUB,H DENSITY,26POSN,3A,60V</v>
          </cell>
          <cell r="E37">
            <v>37</v>
          </cell>
        </row>
        <row r="38">
          <cell r="B38" t="str">
            <v>164A17379X</v>
          </cell>
          <cell r="C38" t="str">
            <v>CONEC Elektronische Bauelemente GmbH</v>
          </cell>
          <cell r="D38" t="str">
            <v>CONN,RCPT,D-SUB,H DENSITY,44POSN,3A,60V</v>
          </cell>
          <cell r="E38">
            <v>52</v>
          </cell>
        </row>
        <row r="39">
          <cell r="B39" t="str">
            <v>171-009-213R051</v>
          </cell>
          <cell r="C39" t="str">
            <v>Norcomp Inc</v>
          </cell>
          <cell r="D39" t="str">
            <v>CONN,RCPT,D-SUB,9POSN,5A,W/BD LOCK</v>
          </cell>
          <cell r="E39">
            <v>240</v>
          </cell>
        </row>
        <row r="40">
          <cell r="B40" t="str">
            <v>171-015-213R051</v>
          </cell>
          <cell r="C40" t="str">
            <v>Norcomp Inc</v>
          </cell>
          <cell r="D40" t="str">
            <v>CONN,RCPT,D-SUB,15POSN,5A,W/BD LOCK</v>
          </cell>
          <cell r="E40">
            <v>240</v>
          </cell>
        </row>
        <row r="41">
          <cell r="B41">
            <v>1720420301</v>
          </cell>
          <cell r="C41" t="str">
            <v>Molex LLC</v>
          </cell>
          <cell r="D41" t="str">
            <v>CONN,HDR,VERTICAL,3POS,NO BRD LCK</v>
          </cell>
          <cell r="E41">
            <v>385</v>
          </cell>
        </row>
        <row r="42">
          <cell r="B42">
            <v>1720420302</v>
          </cell>
          <cell r="C42" t="str">
            <v>Molex LLC</v>
          </cell>
          <cell r="D42" t="str">
            <v>CONN,HDR,VERTICAL,3POS,</v>
          </cell>
          <cell r="E42">
            <v>60</v>
          </cell>
        </row>
        <row r="43">
          <cell r="B43">
            <v>1720420401</v>
          </cell>
          <cell r="C43" t="str">
            <v>Molex LLC</v>
          </cell>
          <cell r="D43" t="str">
            <v>CONN,HDR,VERTICAL,4POS,NO BRD LCK</v>
          </cell>
          <cell r="E43">
            <v>60</v>
          </cell>
        </row>
        <row r="44">
          <cell r="B44">
            <v>1720420601</v>
          </cell>
          <cell r="C44" t="str">
            <v>Molex LLC</v>
          </cell>
          <cell r="D44" t="str">
            <v>CONN,HDR,VERTICAL,6POS,NO BRD LCK</v>
          </cell>
          <cell r="E44">
            <v>210</v>
          </cell>
        </row>
        <row r="45">
          <cell r="B45" t="str">
            <v>172043-0206</v>
          </cell>
          <cell r="C45" t="str">
            <v>Molex LLC</v>
          </cell>
          <cell r="D45" t="str">
            <v>CONN,HDR,RTANG,2POSN,30A,600V,W/BD LOCK</v>
          </cell>
          <cell r="E45">
            <v>525</v>
          </cell>
        </row>
        <row r="46">
          <cell r="B46" t="str">
            <v>173113-0154</v>
          </cell>
          <cell r="C46" t="str">
            <v>Molex LLC</v>
          </cell>
          <cell r="D46" t="str">
            <v>CONN,PLUG,D-SUB,PCB,26 PIN,RTANG,5A MAX</v>
          </cell>
          <cell r="E46">
            <v>100</v>
          </cell>
        </row>
        <row r="47">
          <cell r="B47" t="str">
            <v>173113-0157</v>
          </cell>
          <cell r="C47" t="str">
            <v>Molex LLC</v>
          </cell>
          <cell r="D47" t="str">
            <v>CONN,RCPT,D-SUB,PCB,26 PIN,RTANG,5A MAX</v>
          </cell>
          <cell r="E47">
            <v>100</v>
          </cell>
        </row>
        <row r="48">
          <cell r="B48" t="str">
            <v>1-770174-1</v>
          </cell>
          <cell r="C48" t="str">
            <v>TE Connectivity Ltd</v>
          </cell>
          <cell r="D48" t="str">
            <v>CONN,HDR,PCB,ST,MINI-U M-N-LOK,4P,ROHS</v>
          </cell>
          <cell r="E48">
            <v>153</v>
          </cell>
        </row>
        <row r="49">
          <cell r="B49" t="str">
            <v>1-770178-1</v>
          </cell>
          <cell r="C49" t="str">
            <v>TE Connectivity Ltd</v>
          </cell>
          <cell r="D49" t="str">
            <v>CONN,HDR,PCB,ST,MINI-U M-N-LOK,6P,ROHS</v>
          </cell>
          <cell r="E49">
            <v>123</v>
          </cell>
        </row>
        <row r="50">
          <cell r="B50" t="str">
            <v>1-770182-1</v>
          </cell>
          <cell r="C50" t="str">
            <v>TE Connectivity Ltd</v>
          </cell>
          <cell r="D50" t="str">
            <v>CONN,HDR,PCB,ST,MINI-U M-N-LOK,9P,ROHS</v>
          </cell>
          <cell r="E50">
            <v>380</v>
          </cell>
        </row>
        <row r="51">
          <cell r="B51" t="str">
            <v>1-770966-0</v>
          </cell>
          <cell r="C51" t="str">
            <v>TE Connectivity Ltd</v>
          </cell>
          <cell r="D51" t="str">
            <v>CONN,HDR 2P R/A MINI M-N-L</v>
          </cell>
          <cell r="E51">
            <v>500</v>
          </cell>
        </row>
        <row r="52">
          <cell r="B52" t="str">
            <v>1-770968-0</v>
          </cell>
          <cell r="C52" t="str">
            <v>TE Connectivity Ltd</v>
          </cell>
          <cell r="D52" t="str">
            <v>CONN,HDR 4P R/A MINI M-N-L</v>
          </cell>
          <cell r="E52">
            <v>200</v>
          </cell>
        </row>
        <row r="53">
          <cell r="B53" t="str">
            <v>1-770969-0</v>
          </cell>
          <cell r="C53" t="str">
            <v>TE Connectivity Ltd</v>
          </cell>
          <cell r="D53" t="str">
            <v>CONN,HDR 6P R/A MINI M-N-L</v>
          </cell>
          <cell r="E53">
            <v>100</v>
          </cell>
        </row>
        <row r="54">
          <cell r="B54" t="str">
            <v>178-009-313R571</v>
          </cell>
          <cell r="C54" t="str">
            <v>Norcomp Inc</v>
          </cell>
          <cell r="D54" t="str">
            <v>CONN,DSUB,DUAL PORT,F/M,9P/9P ROHS</v>
          </cell>
          <cell r="E54">
            <v>57</v>
          </cell>
        </row>
        <row r="55">
          <cell r="B55" t="str">
            <v>178-015-313R571</v>
          </cell>
          <cell r="C55" t="str">
            <v>Norcomp Inc</v>
          </cell>
          <cell r="D55" t="str">
            <v>CONN,DSUB,DUAL PORT,15P/15P,F/M ROHS</v>
          </cell>
          <cell r="E55">
            <v>69</v>
          </cell>
        </row>
        <row r="56">
          <cell r="B56" t="str">
            <v>178-025-313R571</v>
          </cell>
          <cell r="C56" t="str">
            <v>Norcomp Inc</v>
          </cell>
          <cell r="D56" t="str">
            <v>CONN,DSUB,DUAL PORT,F/M,25P/25P ROHS</v>
          </cell>
          <cell r="E56">
            <v>47</v>
          </cell>
        </row>
        <row r="57">
          <cell r="B57" t="str">
            <v>1-794065-1</v>
          </cell>
          <cell r="C57" t="str">
            <v>TE Connectivity Ltd</v>
          </cell>
          <cell r="D57" t="str">
            <v>CONN,HDR,PCB,ST,MINI-U M-N-LOK,8P,ROHS</v>
          </cell>
          <cell r="E57">
            <v>183</v>
          </cell>
        </row>
        <row r="58">
          <cell r="B58" t="str">
            <v>1-794066-1</v>
          </cell>
          <cell r="C58" t="str">
            <v>TE Connectivity Ltd</v>
          </cell>
          <cell r="D58" t="str">
            <v>CONN,HDR,PCB,ST,MINI-U M-N-LOK,12P,ROHS</v>
          </cell>
          <cell r="E58">
            <v>200</v>
          </cell>
        </row>
        <row r="59">
          <cell r="B59" t="str">
            <v>180-078-113R001</v>
          </cell>
          <cell r="C59" t="str">
            <v>Norcomp Inc</v>
          </cell>
          <cell r="D59" t="str">
            <v>CONN,PLUG,D-SUB,HD,78POSN,STR,3A,SLDR</v>
          </cell>
          <cell r="E59">
            <v>250</v>
          </cell>
        </row>
        <row r="60">
          <cell r="B60" t="str">
            <v>180-078-213R001</v>
          </cell>
          <cell r="C60" t="str">
            <v>Norcomp Inc</v>
          </cell>
          <cell r="D60" t="str">
            <v>CONN,RCPT,D-SUB,HD,78POSN,STR,3A,SLDR</v>
          </cell>
          <cell r="E60">
            <v>250</v>
          </cell>
        </row>
        <row r="61">
          <cell r="B61" t="str">
            <v>181-015-113R531</v>
          </cell>
          <cell r="C61" t="str">
            <v>Norcomp Inc</v>
          </cell>
          <cell r="D61" t="str">
            <v>CONN,PLUG,D-SUB,HD,15POSN,RTANG,4-40INSR</v>
          </cell>
          <cell r="E61">
            <v>270</v>
          </cell>
        </row>
        <row r="62">
          <cell r="B62" t="str">
            <v>181-062-113R561</v>
          </cell>
          <cell r="C62" t="str">
            <v>Norcomp Inc</v>
          </cell>
          <cell r="D62" t="str">
            <v>CONN,PLUG,D-SUB,HD,62POSN,RTANG,4-40SCR</v>
          </cell>
          <cell r="E62">
            <v>280</v>
          </cell>
        </row>
        <row r="63">
          <cell r="B63" t="str">
            <v>1812L075/33DR</v>
          </cell>
          <cell r="C63" t="str">
            <v>Littelfuse, Inc.</v>
          </cell>
          <cell r="D63" t="str">
            <v>FUSE,SMD,1812,33V,750MA,ROHS</v>
          </cell>
          <cell r="E63">
            <v>1016</v>
          </cell>
        </row>
        <row r="64">
          <cell r="B64" t="str">
            <v>1812L110PR</v>
          </cell>
          <cell r="C64" t="str">
            <v>Littelfuse, Inc.</v>
          </cell>
          <cell r="D64" t="str">
            <v>FUSE,SMD,1812,6V-30V,XXX,ROHS</v>
          </cell>
          <cell r="E64">
            <v>1987</v>
          </cell>
        </row>
        <row r="65">
          <cell r="B65" t="str">
            <v>1812L160PR</v>
          </cell>
          <cell r="C65" t="str">
            <v>Littelfuse, Inc.</v>
          </cell>
          <cell r="D65" t="str">
            <v>FUSE,SMD,1812,8V,1.6A,ROHS</v>
          </cell>
          <cell r="E65">
            <v>1999</v>
          </cell>
        </row>
        <row r="66">
          <cell r="B66" t="str">
            <v>1812L200THPR</v>
          </cell>
          <cell r="C66" t="str">
            <v>Littelfuse, Inc.</v>
          </cell>
          <cell r="D66" t="str">
            <v>FUSE,SMD,1812,8V,2.0A,ROHS</v>
          </cell>
          <cell r="E66">
            <v>2000</v>
          </cell>
        </row>
        <row r="67">
          <cell r="B67" t="str">
            <v>1825910-6</v>
          </cell>
          <cell r="C67" t="str">
            <v>TE Connectivity Ltd</v>
          </cell>
          <cell r="D67" t="str">
            <v>SWITCH,PUSH BUT,SPST,50MA,24V,1.40MM HT</v>
          </cell>
          <cell r="E67">
            <v>1490</v>
          </cell>
        </row>
        <row r="68">
          <cell r="B68">
            <v>1843224</v>
          </cell>
          <cell r="C68" t="str">
            <v>Phoenix Contact</v>
          </cell>
          <cell r="D68" t="str">
            <v>CONN,HDR,PCB,2POSN,8A,160V,3.5MM,GRN</v>
          </cell>
          <cell r="E68">
            <v>250</v>
          </cell>
        </row>
        <row r="69">
          <cell r="B69">
            <v>1843237</v>
          </cell>
          <cell r="C69" t="str">
            <v>Phoenix Contact</v>
          </cell>
          <cell r="D69" t="str">
            <v>CONN,HDR,PCB,3POSN,8A,160V,3.5MM,GRN</v>
          </cell>
          <cell r="E69">
            <v>250</v>
          </cell>
        </row>
        <row r="70">
          <cell r="B70" t="str">
            <v>1N4148W-TP</v>
          </cell>
          <cell r="C70" t="str">
            <v>Micro Commercial Components</v>
          </cell>
          <cell r="D70" t="str">
            <v>DIO,SMD,1N4148W,FASTSW,200MW,SOD123,ROHS</v>
          </cell>
          <cell r="E70">
            <v>2170</v>
          </cell>
        </row>
        <row r="71">
          <cell r="B71" t="str">
            <v>1N914ATR</v>
          </cell>
          <cell r="C71" t="str">
            <v>On Semiconductor</v>
          </cell>
          <cell r="D71" t="str">
            <v>DIO,SIG,GEN PURP, 100V, DO-35</v>
          </cell>
          <cell r="E71">
            <v>9778</v>
          </cell>
        </row>
        <row r="72">
          <cell r="B72" t="str">
            <v>1SMB5914BT3G</v>
          </cell>
          <cell r="C72" t="str">
            <v>Onsemi</v>
          </cell>
          <cell r="D72" t="str">
            <v>1SMB5919BT3G</v>
          </cell>
          <cell r="E72">
            <v>4970</v>
          </cell>
        </row>
        <row r="73">
          <cell r="B73" t="str">
            <v>200-015-263R001</v>
          </cell>
          <cell r="C73" t="str">
            <v>Norcomp Inc</v>
          </cell>
          <cell r="D73" t="str">
            <v>CONN,SMD,DSUB,HD,RCPT,15POSN,RTANG,2A</v>
          </cell>
          <cell r="E73">
            <v>210</v>
          </cell>
        </row>
        <row r="74">
          <cell r="B74">
            <v>2005280040</v>
          </cell>
          <cell r="C74" t="str">
            <v>Molex LLC</v>
          </cell>
          <cell r="D74" t="str">
            <v>CONN,SMD,FFC/FPC,4CKT,1A,125V,BOT,RTANG</v>
          </cell>
          <cell r="E74">
            <v>86</v>
          </cell>
        </row>
        <row r="75">
          <cell r="B75" t="str">
            <v>206509-1</v>
          </cell>
          <cell r="C75" t="str">
            <v>TE Connectivity Ltd</v>
          </cell>
          <cell r="D75" t="str">
            <v>KEYING PLUG,D CONN</v>
          </cell>
          <cell r="E75">
            <v>2</v>
          </cell>
        </row>
        <row r="76">
          <cell r="B76" t="str">
            <v>20SVPF56MX</v>
          </cell>
          <cell r="C76" t="str">
            <v>Panasonic</v>
          </cell>
          <cell r="D76" t="str">
            <v>CAP,SMD,AL POLYMER,56UF,20V,±20%,B6</v>
          </cell>
          <cell r="E76">
            <v>1500</v>
          </cell>
        </row>
        <row r="77">
          <cell r="B77" t="str">
            <v>20TQC100MYF</v>
          </cell>
          <cell r="C77" t="str">
            <v>Panasonic Corp</v>
          </cell>
          <cell r="D77" t="str">
            <v>CAP 100UF TT 20V 20% 7343</v>
          </cell>
          <cell r="E77">
            <v>2499</v>
          </cell>
        </row>
        <row r="78">
          <cell r="B78" t="str">
            <v>22-28-4110</v>
          </cell>
          <cell r="C78" t="str">
            <v>Molex LLC</v>
          </cell>
          <cell r="D78" t="str">
            <v>CONN,HDR,11POSN,1ROW,VERT,2.54MM PITCH</v>
          </cell>
          <cell r="E78">
            <v>199</v>
          </cell>
        </row>
        <row r="79">
          <cell r="B79" t="str">
            <v>24FC512-I/SN</v>
          </cell>
          <cell r="C79" t="str">
            <v>Microchip Technology Inc</v>
          </cell>
          <cell r="D79" t="str">
            <v>IC,SMD,EEPROM,512KBIT,1MHZ,8SOIC</v>
          </cell>
          <cell r="E79">
            <v>40</v>
          </cell>
        </row>
        <row r="80">
          <cell r="B80" t="str">
            <v>251R14S3R3BV4T</v>
          </cell>
          <cell r="C80" t="str">
            <v>Johanson</v>
          </cell>
          <cell r="D80" t="str">
            <v>CAP,SMD,CER,3.3PF,250V,C0G/NP0,0603</v>
          </cell>
          <cell r="E80">
            <v>4000</v>
          </cell>
        </row>
        <row r="81">
          <cell r="B81" t="str">
            <v>251R15S101JV4E</v>
          </cell>
          <cell r="C81" t="str">
            <v>Johanson</v>
          </cell>
          <cell r="D81" t="str">
            <v>CAP,SMD,0805,NPO,5%,250V,100PF ROHS</v>
          </cell>
          <cell r="E81">
            <v>4000</v>
          </cell>
        </row>
        <row r="82">
          <cell r="B82" t="str">
            <v>251R15S300JV4E</v>
          </cell>
          <cell r="C82" t="str">
            <v>Johanson</v>
          </cell>
          <cell r="D82" t="str">
            <v>CAP,SMD,0805,NPO,5%,250V,30PF,ROHS</v>
          </cell>
          <cell r="E82">
            <v>4000</v>
          </cell>
        </row>
        <row r="83">
          <cell r="B83" t="str">
            <v>2-5747706-0</v>
          </cell>
          <cell r="C83" t="str">
            <v>Tyco</v>
          </cell>
          <cell r="D83" t="str">
            <v>CONNECTOR, 9 PIN D SHELL</v>
          </cell>
          <cell r="E83">
            <v>8</v>
          </cell>
        </row>
        <row r="84">
          <cell r="B84" t="str">
            <v>2-5747707-0</v>
          </cell>
          <cell r="C84" t="str">
            <v>TE Connectivity Ltd</v>
          </cell>
          <cell r="D84" t="str">
            <v>CONN,D-SUB,15,F,PCB STRT,BRD LOCK,4-40 I</v>
          </cell>
          <cell r="E84">
            <v>52</v>
          </cell>
        </row>
        <row r="85">
          <cell r="B85" t="str">
            <v>2-747708-0</v>
          </cell>
          <cell r="C85" t="str">
            <v>ITT Interconnect Solutions</v>
          </cell>
          <cell r="D85" t="str">
            <v>CONN,DSUB,25F,PCB STRT,0.25"</v>
          </cell>
          <cell r="E85">
            <v>5</v>
          </cell>
        </row>
        <row r="86">
          <cell r="B86" t="str">
            <v>282834-2</v>
          </cell>
          <cell r="C86" t="str">
            <v>TE Connectivity Ltd</v>
          </cell>
          <cell r="D86" t="str">
            <v>TERM BLK,2 CKT,16-30AWG,2.54MM,10A,THT</v>
          </cell>
          <cell r="E86">
            <v>492</v>
          </cell>
        </row>
        <row r="87">
          <cell r="B87" t="str">
            <v>282834-3</v>
          </cell>
          <cell r="C87" t="str">
            <v>TE Connectivity Ltd</v>
          </cell>
          <cell r="D87" t="str">
            <v>TERM BLK,3 CKT,16-30AWG,2.54MM,10A,THT</v>
          </cell>
          <cell r="E87">
            <v>199</v>
          </cell>
        </row>
        <row r="88">
          <cell r="B88" t="str">
            <v>282834-5</v>
          </cell>
          <cell r="C88" t="str">
            <v>TE Connectivity Ltd</v>
          </cell>
          <cell r="D88" t="str">
            <v>TERM BLK,5 CKT,16-30AWG,2.54MM,10A,THT</v>
          </cell>
          <cell r="E88">
            <v>299</v>
          </cell>
        </row>
        <row r="89">
          <cell r="B89" t="str">
            <v>2920L050DR</v>
          </cell>
          <cell r="C89" t="str">
            <v>Littlefuse Inc</v>
          </cell>
          <cell r="D89" t="str">
            <v>PTC Resettable Fuse, 1.4ohm, Surface Mou</v>
          </cell>
          <cell r="E89">
            <v>911</v>
          </cell>
        </row>
        <row r="90">
          <cell r="B90" t="str">
            <v>2920L075DR</v>
          </cell>
          <cell r="C90" t="str">
            <v>Littelfuse, Inc.</v>
          </cell>
          <cell r="D90" t="str">
            <v>FUSE,SMD,2920,RESETABLE,30V,0.75A,ROHS</v>
          </cell>
          <cell r="E90">
            <v>1116</v>
          </cell>
        </row>
        <row r="91">
          <cell r="B91" t="str">
            <v>2920L500/24SLDR</v>
          </cell>
          <cell r="C91" t="str">
            <v>Littelfuse, Inc.</v>
          </cell>
          <cell r="D91" t="str">
            <v>FUSE,SMD,PPTC,24V,5A,2920,ROHS</v>
          </cell>
          <cell r="E91">
            <v>1500</v>
          </cell>
        </row>
        <row r="92">
          <cell r="B92" t="str">
            <v>2920L600/24SLER</v>
          </cell>
          <cell r="C92" t="str">
            <v>Littelfuse, Inc.</v>
          </cell>
          <cell r="D92" t="str">
            <v>FUSE,SMD,PPTC,24V,6A,2920,ROHS</v>
          </cell>
          <cell r="E92">
            <v>2500</v>
          </cell>
        </row>
        <row r="93">
          <cell r="B93" t="str">
            <v>2SA1416S-TD-E</v>
          </cell>
          <cell r="C93" t="str">
            <v>On Semiconductor</v>
          </cell>
          <cell r="D93" t="str">
            <v>XSTR,SMD,PNP,100V,1A,500MW,SOT-89,ROHS</v>
          </cell>
          <cell r="E93">
            <v>610</v>
          </cell>
        </row>
        <row r="94">
          <cell r="B94" t="str">
            <v>3003W3SXX56N40X</v>
          </cell>
          <cell r="C94" t="str">
            <v>Conec</v>
          </cell>
          <cell r="D94" t="str">
            <v>CONN,DSUB,FEMALE,R/A,3W3,20A</v>
          </cell>
          <cell r="E94">
            <v>240</v>
          </cell>
        </row>
        <row r="95">
          <cell r="B95" t="str">
            <v>3003W3SXX69E40X</v>
          </cell>
          <cell r="C95" t="str">
            <v>CONEC Elektronische Bauelemente GmbH</v>
          </cell>
          <cell r="D95" t="str">
            <v>CONN,RCPT,D-SUB,POWER,3P,ROHS</v>
          </cell>
          <cell r="E95">
            <v>181</v>
          </cell>
        </row>
        <row r="96">
          <cell r="B96" t="str">
            <v>3005W5PXX49E40X</v>
          </cell>
          <cell r="C96" t="str">
            <v>CONEC Elektronische Bauelemente GmbH</v>
          </cell>
          <cell r="D96" t="str">
            <v>CONN,PLUG,DSUB,5 PIN,20 AMP</v>
          </cell>
          <cell r="E96">
            <v>60</v>
          </cell>
        </row>
        <row r="97">
          <cell r="B97" t="str">
            <v>3005W5SXX69E40X</v>
          </cell>
          <cell r="C97" t="str">
            <v>Amphenol Corp</v>
          </cell>
          <cell r="D97" t="str">
            <v>CONN,RCPT,D-SUB,POWER,5P,ROHS</v>
          </cell>
          <cell r="E97">
            <v>140</v>
          </cell>
        </row>
        <row r="98">
          <cell r="B98" t="str">
            <v>3007W2SCR50E20X</v>
          </cell>
          <cell r="C98" t="str">
            <v>CONEC Elektronische Bauelemente GmbH</v>
          </cell>
          <cell r="D98" t="str">
            <v>CONN,RCPT,DSUB,MINIATURE,7 POS,ST</v>
          </cell>
          <cell r="E98">
            <v>100</v>
          </cell>
        </row>
        <row r="99">
          <cell r="B99" t="str">
            <v>3007W2SCT56N40X</v>
          </cell>
          <cell r="C99" t="str">
            <v>CONEC Elektronische Bauelemente GmbH</v>
          </cell>
          <cell r="D99" t="str">
            <v>CONN,RCPT,FEM SKT,D-SUB,7W2,90DEG,20A</v>
          </cell>
          <cell r="E99">
            <v>220</v>
          </cell>
        </row>
        <row r="100">
          <cell r="B100" t="str">
            <v>3008W8SXX69E40X</v>
          </cell>
          <cell r="C100" t="str">
            <v>CONEC Elektronische Bauelemente GmbH</v>
          </cell>
          <cell r="D100" t="str">
            <v>CONN,RCPT,D-SUB,POWER,8P,ROHS</v>
          </cell>
          <cell r="E100">
            <v>95</v>
          </cell>
        </row>
        <row r="101">
          <cell r="B101" t="str">
            <v>3020-20-0300-00</v>
          </cell>
          <cell r="C101" t="str">
            <v>CnC Tech</v>
          </cell>
          <cell r="D101" t="str">
            <v>CONN,SMD,IDC BOX HDR,2.54MM,20 CONT,500V</v>
          </cell>
          <cell r="E101">
            <v>80</v>
          </cell>
        </row>
        <row r="102">
          <cell r="B102" t="str">
            <v>302W2CPXX51E40X</v>
          </cell>
          <cell r="C102" t="str">
            <v>CONEC Elektronische Bauelemente GmbH</v>
          </cell>
          <cell r="D102" t="str">
            <v>CONN,PLUG,COMBO-D,2W2C,30A,SHL SIZE 1</v>
          </cell>
          <cell r="E102">
            <v>35</v>
          </cell>
        </row>
        <row r="103">
          <cell r="B103" t="str">
            <v>302W2CSXX55N40X</v>
          </cell>
          <cell r="C103" t="str">
            <v>Conec</v>
          </cell>
          <cell r="D103" t="str">
            <v>CONN,RCPT,DSUB,F/M,RA,2PIN,15A</v>
          </cell>
          <cell r="E103">
            <v>210</v>
          </cell>
        </row>
        <row r="104">
          <cell r="B104" t="str">
            <v>302W2CSXX56N40X</v>
          </cell>
          <cell r="C104" t="str">
            <v>Conec</v>
          </cell>
          <cell r="D104" t="str">
            <v>D Type Connector 2 Contact Fem</v>
          </cell>
          <cell r="E104">
            <v>20</v>
          </cell>
        </row>
        <row r="105">
          <cell r="B105" t="str">
            <v>302W2CSXX71E40X</v>
          </cell>
          <cell r="C105" t="str">
            <v>CONEC Elektronische Bauelemente GmbH</v>
          </cell>
          <cell r="D105" t="str">
            <v>CONN,RCPT,D-SUB,PWR,30A,2P,COMBO,ROHS</v>
          </cell>
          <cell r="E105">
            <v>30</v>
          </cell>
        </row>
        <row r="106">
          <cell r="B106" t="str">
            <v>303W3CSXX69E40X</v>
          </cell>
          <cell r="C106" t="str">
            <v>CONEC Elektronische Bauelemente GmbH</v>
          </cell>
          <cell r="D106" t="str">
            <v>CONN,RCPT,D-SUB,POWER,3P,COMBO,ROHS</v>
          </cell>
          <cell r="E106">
            <v>113</v>
          </cell>
        </row>
        <row r="107">
          <cell r="B107" t="str">
            <v>303W3CSXX69E40X</v>
          </cell>
          <cell r="C107" t="str">
            <v>CONEC Elektronische Bauelemente GmbH</v>
          </cell>
          <cell r="D107" t="str">
            <v>CONN,RCPT,D-SUB,POWER,3P,COMBO,ROHS</v>
          </cell>
          <cell r="E107">
            <v>17</v>
          </cell>
        </row>
        <row r="108">
          <cell r="B108" t="str">
            <v>3048-B-632-B-16</v>
          </cell>
          <cell r="C108" t="str">
            <v>Raf Electronics Hardware</v>
          </cell>
          <cell r="D108" t="str">
            <v>STDF,RND,SWAGE1/4 5/16" 6-32,0.105",ROHS</v>
          </cell>
          <cell r="E108">
            <v>174</v>
          </cell>
        </row>
        <row r="109">
          <cell r="B109">
            <v>3116</v>
          </cell>
          <cell r="C109" t="str">
            <v>Keystone</v>
          </cell>
          <cell r="D109" t="str">
            <v>WASHER,INSUL,FIBRE</v>
          </cell>
          <cell r="E109">
            <v>1000</v>
          </cell>
        </row>
        <row r="110">
          <cell r="B110" t="str">
            <v>31201.5P</v>
          </cell>
          <cell r="C110" t="str">
            <v>Littelfuse, Inc.</v>
          </cell>
          <cell r="D110" t="str">
            <v>FUSE .25x1.25 1-1/2A 250VAC,ROHS</v>
          </cell>
          <cell r="E110">
            <v>200</v>
          </cell>
        </row>
        <row r="111">
          <cell r="B111">
            <v>314010</v>
          </cell>
          <cell r="C111" t="str">
            <v>Future Electronics Corporation</v>
          </cell>
          <cell r="D111" t="str">
            <v>FUSE .25x1.25 10A 250VAC,ROHS</v>
          </cell>
          <cell r="E111">
            <v>119</v>
          </cell>
        </row>
        <row r="112">
          <cell r="B112" t="str">
            <v>3-1462039-7</v>
          </cell>
          <cell r="C112" t="str">
            <v>TE Connectivity Ltd</v>
          </cell>
          <cell r="D112" t="str">
            <v>Relay</v>
          </cell>
          <cell r="E112">
            <v>829</v>
          </cell>
        </row>
        <row r="113">
          <cell r="B113">
            <v>32208550</v>
          </cell>
          <cell r="C113" t="str">
            <v>Heraeus Materials Ltd</v>
          </cell>
          <cell r="D113" t="str">
            <v>SNSR,TEMP,PT100,M222,-50 TO 300DEG C,PT</v>
          </cell>
          <cell r="E113">
            <v>999</v>
          </cell>
        </row>
        <row r="114">
          <cell r="B114" t="str">
            <v>3296W-1-104LF</v>
          </cell>
          <cell r="C114" t="str">
            <v>Bourns Inc</v>
          </cell>
          <cell r="D114" t="str">
            <v>POT TRIM,100K,25T,PCMT,ROHS</v>
          </cell>
          <cell r="E114">
            <v>485</v>
          </cell>
        </row>
        <row r="115">
          <cell r="B115" t="str">
            <v>3296W-1-254LF</v>
          </cell>
          <cell r="C115" t="str">
            <v>Bourns Inc</v>
          </cell>
          <cell r="D115" t="str">
            <v>POT TRIM,250K,25T,PCMT,ROHS</v>
          </cell>
          <cell r="E115">
            <v>185</v>
          </cell>
        </row>
        <row r="116">
          <cell r="B116" t="str">
            <v>3296W-1-302LF</v>
          </cell>
          <cell r="C116" t="str">
            <v>Bourns Inc</v>
          </cell>
          <cell r="D116" t="str">
            <v>POT TRIM,3K,25T,PCMT,ROHS</v>
          </cell>
          <cell r="E116">
            <v>500</v>
          </cell>
        </row>
        <row r="117">
          <cell r="B117" t="str">
            <v>3296W-1-505LF</v>
          </cell>
          <cell r="C117" t="str">
            <v>Bourns Inc</v>
          </cell>
          <cell r="D117" t="str">
            <v>POT TRIM,5MEG,25T,PCMT,ROHS</v>
          </cell>
          <cell r="E117">
            <v>1998</v>
          </cell>
        </row>
        <row r="118">
          <cell r="B118" t="str">
            <v>3299W-1-100LF</v>
          </cell>
          <cell r="C118" t="str">
            <v>Vishay Semiconductors</v>
          </cell>
          <cell r="D118" t="str">
            <v>POT,TRIM,CERMET,25 TURN,10 OHM, ROHS</v>
          </cell>
          <cell r="E118">
            <v>250</v>
          </cell>
        </row>
        <row r="119">
          <cell r="B119" t="str">
            <v>3299W-1-101LF</v>
          </cell>
          <cell r="C119" t="str">
            <v>Bourns Inc</v>
          </cell>
          <cell r="D119" t="str">
            <v>POT, TRIM, CERMET, 25 TURN, ROHS</v>
          </cell>
          <cell r="E119">
            <v>500</v>
          </cell>
        </row>
        <row r="120">
          <cell r="B120" t="str">
            <v>3299W-1-253LF</v>
          </cell>
          <cell r="C120" t="str">
            <v>Bourns Inc</v>
          </cell>
          <cell r="D120" t="str">
            <v>POT,TRIM,CERMET,25 TURN,25Kohm, ROHS</v>
          </cell>
          <cell r="E120">
            <v>500</v>
          </cell>
        </row>
        <row r="121">
          <cell r="B121" t="str">
            <v>32K101-400L5</v>
          </cell>
          <cell r="C121" t="str">
            <v>Rosenberger</v>
          </cell>
          <cell r="D121" t="str">
            <v>CONN,RCPT,RF,SMA,480V,50 OHM,STR,PCB MT</v>
          </cell>
          <cell r="E121">
            <v>376</v>
          </cell>
        </row>
        <row r="122">
          <cell r="B122" t="str">
            <v>34.81.7.024.9024</v>
          </cell>
          <cell r="C122" t="str">
            <v>Finder</v>
          </cell>
          <cell r="D122" t="str">
            <v>RLY,SSR,1 NO,24VDC INPUT,24VDC,6A,SIP-4</v>
          </cell>
          <cell r="E122">
            <v>100</v>
          </cell>
        </row>
        <row r="123">
          <cell r="B123" t="str">
            <v>345-010-521-201</v>
          </cell>
          <cell r="C123" t="str">
            <v>Edac</v>
          </cell>
          <cell r="D123" t="str">
            <v>CONN,RCPT,CARD EDGE,10POSN,1200VAC,3A</v>
          </cell>
          <cell r="E123">
            <v>400</v>
          </cell>
        </row>
        <row r="124">
          <cell r="B124" t="str">
            <v>345-060-521-202</v>
          </cell>
          <cell r="C124" t="str">
            <v>Edac</v>
          </cell>
          <cell r="D124" t="str">
            <v>CONN,RCPT,CARD EDGE,60POSN,1200VAC,3A</v>
          </cell>
          <cell r="E124">
            <v>250</v>
          </cell>
        </row>
        <row r="125">
          <cell r="B125" t="str">
            <v>350711-4</v>
          </cell>
          <cell r="C125" t="str">
            <v>TE Connectivity Ltd</v>
          </cell>
          <cell r="D125" t="str">
            <v>CONN,HDR,PCB,M-ST,UNV M-N-LOK,6P,ROHS</v>
          </cell>
          <cell r="E125">
            <v>100</v>
          </cell>
        </row>
        <row r="126">
          <cell r="B126" t="str">
            <v>350759-4</v>
          </cell>
          <cell r="C126" t="str">
            <v>TE Connectivity Ltd</v>
          </cell>
          <cell r="D126" t="str">
            <v>CONN,RCPT,PWR,2CKT,PRE-TIN,INLINE,UL94V2</v>
          </cell>
          <cell r="E126">
            <v>100</v>
          </cell>
        </row>
        <row r="127">
          <cell r="B127" t="str">
            <v>350786-1</v>
          </cell>
          <cell r="C127" t="str">
            <v>TE Connectivity Ltd</v>
          </cell>
          <cell r="D127" t="str">
            <v>CONN,PLUG,2POSN,UNIV MATE-LOCK,600V,19A</v>
          </cell>
          <cell r="E127">
            <v>100</v>
          </cell>
        </row>
        <row r="128">
          <cell r="B128" t="str">
            <v>350792-3</v>
          </cell>
          <cell r="C128" t="str">
            <v>TE Connectivity Ltd</v>
          </cell>
          <cell r="D128" t="str">
            <v>CONN,HDR,PCB,M-ST,UNV M-N-LOK,4P,ROHS</v>
          </cell>
          <cell r="E128">
            <v>88</v>
          </cell>
        </row>
        <row r="129">
          <cell r="B129" t="str">
            <v>350824-1</v>
          </cell>
          <cell r="C129" t="str">
            <v>TE Connectivity Ltd</v>
          </cell>
          <cell r="D129" t="str">
            <v>CONN,RCPT,2POSN,UNIV MATE-LOCK,600V,19A</v>
          </cell>
          <cell r="E129">
            <v>500</v>
          </cell>
        </row>
        <row r="130">
          <cell r="B130" t="str">
            <v>350825-1</v>
          </cell>
          <cell r="C130" t="str">
            <v>TE Connectivity Ltd</v>
          </cell>
          <cell r="D130" t="str">
            <v>CONN,MATE-N-LOK,3 POS,FEMALE</v>
          </cell>
          <cell r="E130">
            <v>500</v>
          </cell>
        </row>
        <row r="131">
          <cell r="B131" t="str">
            <v>3518-BLACK</v>
          </cell>
          <cell r="C131" t="str">
            <v>3M</v>
          </cell>
          <cell r="D131" t="str">
            <v>Headers &amp; Wire Housings POLARIZING KEY</v>
          </cell>
          <cell r="E131">
            <v>200</v>
          </cell>
        </row>
        <row r="132">
          <cell r="B132" t="str">
            <v>35F0121-1SR-10</v>
          </cell>
          <cell r="C132" t="str">
            <v>Laird Technologies Inc</v>
          </cell>
          <cell r="D132" t="str">
            <v>IDCTR,SMD,FERRITE,10A,90 OHM,ROHS</v>
          </cell>
          <cell r="E132">
            <v>2500</v>
          </cell>
        </row>
        <row r="133">
          <cell r="B133" t="str">
            <v>3-794620-6</v>
          </cell>
          <cell r="C133" t="str">
            <v>TE Connectivity Ltd</v>
          </cell>
          <cell r="D133" t="str">
            <v>CONN,MATE-N-LOK,MICTRO 6 POS RIGHT ANGLE</v>
          </cell>
          <cell r="E133">
            <v>286</v>
          </cell>
        </row>
        <row r="134">
          <cell r="B134" t="str">
            <v>43045-0200</v>
          </cell>
          <cell r="C134" t="str">
            <v>Molex LLC</v>
          </cell>
          <cell r="D134" t="str">
            <v>CONN,HDR,RTANG,2 ROWS,2 CKT,PCB MT</v>
          </cell>
          <cell r="E134">
            <v>500</v>
          </cell>
        </row>
        <row r="135">
          <cell r="B135" t="str">
            <v>43045-0600</v>
          </cell>
          <cell r="C135" t="str">
            <v>Molex LLC</v>
          </cell>
          <cell r="D135" t="str">
            <v>CONN,HDR,RTANG,2 ROWS,6 CKT,PCB MT</v>
          </cell>
          <cell r="E135">
            <v>600</v>
          </cell>
        </row>
        <row r="136">
          <cell r="B136" t="str">
            <v>43045-1000</v>
          </cell>
          <cell r="C136" t="str">
            <v>Molex LLC</v>
          </cell>
          <cell r="D136" t="str">
            <v>CONN,HDR,RTANG,2 ROWS,10 CKT,PCB MT</v>
          </cell>
          <cell r="E136">
            <v>1224</v>
          </cell>
        </row>
        <row r="137">
          <cell r="B137" t="str">
            <v>43045-1200</v>
          </cell>
          <cell r="C137" t="str">
            <v>Molex LLC</v>
          </cell>
          <cell r="D137" t="str">
            <v>CONN,HDR,RTANG,2 ROWS,12 CKT,PCB MT</v>
          </cell>
          <cell r="E137">
            <v>1008</v>
          </cell>
        </row>
        <row r="138">
          <cell r="B138" t="str">
            <v>43160-0105</v>
          </cell>
          <cell r="C138" t="str">
            <v>Molex LLC</v>
          </cell>
          <cell r="D138" t="str">
            <v>CONN,HDR,5CKT,7.5MM PITCH,18A,600V,TH</v>
          </cell>
          <cell r="E138">
            <v>200</v>
          </cell>
        </row>
        <row r="139">
          <cell r="B139" t="str">
            <v>43160-0106</v>
          </cell>
          <cell r="C139" t="str">
            <v>Molex LLC</v>
          </cell>
          <cell r="D139" t="str">
            <v>CONN,HDR,6CKT,7.5MM PITCH,18A,600V,TH</v>
          </cell>
          <cell r="E139">
            <v>200</v>
          </cell>
        </row>
        <row r="140">
          <cell r="B140" t="str">
            <v>43160-6302</v>
          </cell>
          <cell r="C140" t="str">
            <v>Molex LLC</v>
          </cell>
          <cell r="D140" t="str">
            <v>CONN,HDR,2CKT,18A,VERT MT,THROUGH-HOLE</v>
          </cell>
          <cell r="E140">
            <v>1050</v>
          </cell>
        </row>
        <row r="141">
          <cell r="B141" t="str">
            <v>4750-2-28</v>
          </cell>
          <cell r="C141" t="str">
            <v>Raf Electronics Hardware</v>
          </cell>
          <cell r="D141" t="str">
            <v>JACK SCRW,1/4L,3/16H</v>
          </cell>
          <cell r="E141">
            <v>35</v>
          </cell>
        </row>
        <row r="142">
          <cell r="B142">
            <v>4857</v>
          </cell>
          <cell r="C142" t="str">
            <v>Keystone</v>
          </cell>
          <cell r="D142" t="str">
            <v>SPCR,FORCE FIT,#6 SCR SIZE,.250IN LG,SST</v>
          </cell>
          <cell r="E142">
            <v>100</v>
          </cell>
        </row>
        <row r="143">
          <cell r="B143" t="str">
            <v>4AA24-N20-I10-M-K0065-Q4</v>
          </cell>
          <cell r="C143" t="str">
            <v>Advanced Energy Industries Inc</v>
          </cell>
          <cell r="D143" t="str">
            <v>PS,DC-DC CONV,HV,24V,4KV,ADJ</v>
          </cell>
          <cell r="E143">
            <v>51</v>
          </cell>
        </row>
        <row r="144">
          <cell r="B144" t="str">
            <v>4NSLWPP</v>
          </cell>
          <cell r="C144" t="str">
            <v>Not Known Yet</v>
          </cell>
          <cell r="D144" t="str">
            <v>WSHR,SPLTLK,PHOS BRNZ</v>
          </cell>
          <cell r="E144">
            <v>1000</v>
          </cell>
        </row>
        <row r="145">
          <cell r="B145">
            <v>5000</v>
          </cell>
          <cell r="C145" t="str">
            <v>Keystone</v>
          </cell>
          <cell r="D145" t="str">
            <v>CONNECTOR, ELEC, PCB TEST POINT - MINIAT</v>
          </cell>
          <cell r="E145">
            <v>100</v>
          </cell>
        </row>
        <row r="146">
          <cell r="B146">
            <v>5003</v>
          </cell>
          <cell r="C146" t="str">
            <v>Keystone</v>
          </cell>
          <cell r="D146" t="str">
            <v>TP,PCB,MINIATURE LOOP,ORANGE</v>
          </cell>
          <cell r="E146">
            <v>100</v>
          </cell>
        </row>
        <row r="147">
          <cell r="B147" t="str">
            <v>501864-8090</v>
          </cell>
          <cell r="C147" t="str">
            <v>Molex LLC</v>
          </cell>
          <cell r="D147" t="str">
            <v>CONN,RCPT,HSG,FFC,80POSN,0.5A,50V,PCB MT</v>
          </cell>
          <cell r="E147">
            <v>60</v>
          </cell>
        </row>
        <row r="148">
          <cell r="B148">
            <v>5019530307</v>
          </cell>
          <cell r="C148" t="str">
            <v>Molex LLC</v>
          </cell>
          <cell r="D148" t="str">
            <v>CONN,SMD,HDR,3PIN,1MM PITCH,SN PLD,RTANG</v>
          </cell>
          <cell r="E148">
            <v>24</v>
          </cell>
        </row>
        <row r="149">
          <cell r="B149">
            <v>5019530307</v>
          </cell>
          <cell r="C149" t="str">
            <v>Molex LLC</v>
          </cell>
          <cell r="D149" t="str">
            <v>CONN,SMD,HDR,3PIN,1MM PITCH,SN PLD,RTANG</v>
          </cell>
          <cell r="E149">
            <v>1254</v>
          </cell>
        </row>
        <row r="150">
          <cell r="B150">
            <v>5026</v>
          </cell>
          <cell r="C150" t="str">
            <v>Keystone</v>
          </cell>
          <cell r="D150" t="str">
            <v>CONT,JUMPER,0.200 PITCH</v>
          </cell>
          <cell r="E150">
            <v>100</v>
          </cell>
        </row>
        <row r="151">
          <cell r="B151">
            <v>5031590600</v>
          </cell>
          <cell r="C151" t="str">
            <v>Molex LLC</v>
          </cell>
          <cell r="D151" t="str">
            <v>CONN,RCPT,6POSN,1.5MM PITCH,BEIGE</v>
          </cell>
          <cell r="E151">
            <v>1621</v>
          </cell>
        </row>
        <row r="152">
          <cell r="B152" t="str">
            <v>503398-1892</v>
          </cell>
          <cell r="C152" t="str">
            <v>Molex LLC</v>
          </cell>
          <cell r="D152" t="str">
            <v>Conn Micro SD Card SKT 8 POS 1.1mm Solde</v>
          </cell>
          <cell r="E152">
            <v>24</v>
          </cell>
        </row>
        <row r="153">
          <cell r="B153">
            <v>5051104091</v>
          </cell>
          <cell r="C153" t="str">
            <v>Molex LLC</v>
          </cell>
          <cell r="D153" t="str">
            <v>CONN,FFC/FPC,BOT CONT,.5MM,40CKT,.5A,50V</v>
          </cell>
          <cell r="E153">
            <v>3000</v>
          </cell>
        </row>
        <row r="154">
          <cell r="B154" t="str">
            <v>50865-5</v>
          </cell>
          <cell r="C154" t="str">
            <v>TE Connectivity Ltd</v>
          </cell>
          <cell r="D154" t="str">
            <v>CONT,SKT,MINIATURE SPRING SOCKET</v>
          </cell>
          <cell r="E154">
            <v>2000</v>
          </cell>
        </row>
        <row r="155">
          <cell r="B155" t="str">
            <v>50SVPK120M</v>
          </cell>
          <cell r="C155" t="str">
            <v>Panasonic</v>
          </cell>
          <cell r="D155" t="str">
            <v>CAP,SMD,AL,ELCTLT,20%,50V,120UF,10MM DIA</v>
          </cell>
          <cell r="E155">
            <v>294</v>
          </cell>
        </row>
        <row r="156">
          <cell r="B156" t="str">
            <v>5-103634-2</v>
          </cell>
          <cell r="C156" t="str">
            <v>TE Connectivity Ltd</v>
          </cell>
          <cell r="D156" t="str">
            <v>CONN,HDR,SHRD,3POSN,3A,600V,1ROW,TH</v>
          </cell>
          <cell r="E156">
            <v>208</v>
          </cell>
        </row>
        <row r="157">
          <cell r="B157" t="str">
            <v>5-103635-1</v>
          </cell>
          <cell r="C157" t="str">
            <v>TE Connectivity Ltd</v>
          </cell>
          <cell r="D157" t="str">
            <v>CONN,HDR,MALE,2POS,3A,RTANG,SLDR,THT</v>
          </cell>
          <cell r="E157">
            <v>71</v>
          </cell>
        </row>
        <row r="158">
          <cell r="B158" t="str">
            <v>5-103635-2</v>
          </cell>
          <cell r="C158" t="str">
            <v>AMP</v>
          </cell>
          <cell r="D158" t="str">
            <v>3 PIN 1 ROW R/A MALE SHRD .1</v>
          </cell>
          <cell r="E158">
            <v>208</v>
          </cell>
        </row>
        <row r="159">
          <cell r="B159" t="str">
            <v>5-103635-4</v>
          </cell>
          <cell r="C159" t="str">
            <v>TE Connectivity Ltd</v>
          </cell>
          <cell r="D159" t="str">
            <v>CONN,HDR,MALE,5POS,3A,RTANG,SLDR,THT</v>
          </cell>
          <cell r="E159">
            <v>500</v>
          </cell>
        </row>
        <row r="160">
          <cell r="B160" t="str">
            <v>5-103673-3</v>
          </cell>
          <cell r="C160" t="str">
            <v>TE Connectivity Ltd</v>
          </cell>
          <cell r="D160" t="str">
            <v>CONN,HDR,4P,RTANG,MTE</v>
          </cell>
          <cell r="E160">
            <v>81</v>
          </cell>
        </row>
        <row r="161">
          <cell r="B161" t="str">
            <v>5-104935-2</v>
          </cell>
          <cell r="C161" t="str">
            <v>TE Connectivity Ltd</v>
          </cell>
          <cell r="D161" t="str">
            <v>CONN,HDR,SHRD,8POSN,600V,3A,RTANG,THT</v>
          </cell>
          <cell r="E161">
            <v>207</v>
          </cell>
        </row>
        <row r="162">
          <cell r="B162" t="str">
            <v>5-1375583-1</v>
          </cell>
          <cell r="C162" t="str">
            <v>TE Connectivity Ltd</v>
          </cell>
          <cell r="D162" t="str">
            <v>CONN,HDR,SHRD,PCB,VERT,1ROW,2POSN,3A</v>
          </cell>
          <cell r="E162">
            <v>1483</v>
          </cell>
        </row>
        <row r="163">
          <cell r="B163" t="str">
            <v>5-147278-3</v>
          </cell>
          <cell r="C163" t="str">
            <v>TE Connectivity Ltd</v>
          </cell>
          <cell r="D163" t="str">
            <v>CONN,SMD,RT ANGL MTE,4 POS</v>
          </cell>
          <cell r="E163">
            <v>290</v>
          </cell>
        </row>
        <row r="164">
          <cell r="B164" t="str">
            <v>5-1814832-2</v>
          </cell>
          <cell r="C164" t="str">
            <v>TE Connectivity Ltd</v>
          </cell>
          <cell r="D164" t="str">
            <v>CONN,SMD,HDR,40PIN,VERT,2ROW,2.54MM</v>
          </cell>
          <cell r="E164">
            <v>350</v>
          </cell>
        </row>
        <row r="165">
          <cell r="B165" t="str">
            <v>5227161-7</v>
          </cell>
          <cell r="C165" t="str">
            <v>TE Connectivity Ltd</v>
          </cell>
          <cell r="D165" t="str">
            <v>CONN,BNC,JACK,RF,1POSN,50OHM,WHT,RTANG</v>
          </cell>
          <cell r="E165">
            <v>70</v>
          </cell>
        </row>
        <row r="166">
          <cell r="B166" t="str">
            <v>5256-RC</v>
          </cell>
          <cell r="C166" t="str">
            <v>Bourns Inc</v>
          </cell>
          <cell r="D166" t="str">
            <v>IDCTR,FERRITE,CHOKE,500UH,20PCT,2A,AXL</v>
          </cell>
          <cell r="E166">
            <v>500</v>
          </cell>
        </row>
        <row r="167">
          <cell r="B167" t="str">
            <v>53253-0670</v>
          </cell>
          <cell r="C167" t="str">
            <v>Molex LLC</v>
          </cell>
          <cell r="D167" t="str">
            <v>CONN,HDR,PCB,6POSN,2A,125V,VERT MT,NYL</v>
          </cell>
          <cell r="E167">
            <v>200</v>
          </cell>
        </row>
        <row r="168">
          <cell r="B168" t="str">
            <v>532602B02500G</v>
          </cell>
          <cell r="C168" t="str">
            <v>Aavid Thermalloy</v>
          </cell>
          <cell r="D168" t="str">
            <v>HTSK,TO-220,1.5IN</v>
          </cell>
          <cell r="E168">
            <v>230</v>
          </cell>
        </row>
        <row r="169">
          <cell r="B169" t="str">
            <v>550-2205F</v>
          </cell>
          <cell r="C169" t="str">
            <v>Dialight</v>
          </cell>
          <cell r="D169" t="str">
            <v>LED,PCB,RA,5MM,HIGH,EFF GRN ROHS</v>
          </cell>
          <cell r="E169">
            <v>75</v>
          </cell>
        </row>
        <row r="170">
          <cell r="B170" t="str">
            <v>5520258-3</v>
          </cell>
          <cell r="C170" t="str">
            <v>TE Connectivity Ltd</v>
          </cell>
          <cell r="D170" t="str">
            <v>CONN,MDLR JK,6P6,RJ11,VERT</v>
          </cell>
          <cell r="E170">
            <v>200</v>
          </cell>
        </row>
        <row r="171">
          <cell r="B171" t="str">
            <v>5535097-5</v>
          </cell>
          <cell r="C171" t="str">
            <v>TE Connectivity Ltd</v>
          </cell>
          <cell r="D171" t="str">
            <v>CONN,RCPT,120P,TYPE C,VERT,3 X 40</v>
          </cell>
          <cell r="E171">
            <v>570</v>
          </cell>
        </row>
        <row r="172">
          <cell r="B172" t="str">
            <v>555-2301F</v>
          </cell>
          <cell r="C172" t="str">
            <v>Dialight</v>
          </cell>
          <cell r="D172" t="str">
            <v>LED Low-Power Uni-Color Green 565nm 2-Pi</v>
          </cell>
          <cell r="E172">
            <v>500</v>
          </cell>
        </row>
        <row r="173">
          <cell r="B173" t="str">
            <v>5557969-1</v>
          </cell>
          <cell r="C173" t="str">
            <v>TE Connectivity Ltd</v>
          </cell>
          <cell r="D173" t="str">
            <v>CONN,MDLR JK,8P8,RJ45,VERT SH,ROHS</v>
          </cell>
          <cell r="E173">
            <v>119</v>
          </cell>
        </row>
        <row r="174">
          <cell r="B174" t="str">
            <v>564R30GAS10</v>
          </cell>
          <cell r="C174" t="str">
            <v>Vishay Semiconductors</v>
          </cell>
          <cell r="D174" t="str">
            <v>CAP,CER DISC,3KV 20%,10000PF,ROHS</v>
          </cell>
          <cell r="E174">
            <v>400</v>
          </cell>
        </row>
        <row r="175">
          <cell r="B175" t="str">
            <v>564R60GAS10</v>
          </cell>
          <cell r="C175" t="str">
            <v>Vishay Semiconductors</v>
          </cell>
          <cell r="D175" t="str">
            <v>CAP,CER,DISC,0.01UF,±20%,6KV,Z5U,RDL</v>
          </cell>
          <cell r="E175">
            <v>50</v>
          </cell>
        </row>
        <row r="176">
          <cell r="B176" t="str">
            <v>5650919-5</v>
          </cell>
          <cell r="C176" t="str">
            <v>TE Connectivity Ltd</v>
          </cell>
          <cell r="D176" t="str">
            <v>CONN,PLUG,DIN,120 PIN,VERT,ROHS</v>
          </cell>
          <cell r="E176">
            <v>401</v>
          </cell>
        </row>
        <row r="177">
          <cell r="B177" t="str">
            <v>5747843-4</v>
          </cell>
          <cell r="C177" t="str">
            <v>Kycon, Inc.</v>
          </cell>
          <cell r="D177" t="str">
            <v>CONN,PLUG,37P,D-SUB,RTANG,PCB</v>
          </cell>
          <cell r="E177">
            <v>60</v>
          </cell>
        </row>
        <row r="178">
          <cell r="B178" t="str">
            <v>5747846-6</v>
          </cell>
          <cell r="C178" t="str">
            <v>TE Connectivity Ltd</v>
          </cell>
          <cell r="D178" t="str">
            <v>CONN,RCPT,RTANG,D-SUB,25POSN,2ROW,6A</v>
          </cell>
          <cell r="E178">
            <v>232</v>
          </cell>
        </row>
        <row r="179">
          <cell r="B179" t="str">
            <v>5750638-1</v>
          </cell>
          <cell r="C179" t="str">
            <v>TE Connectivity Ltd</v>
          </cell>
          <cell r="D179" t="str">
            <v>CONN,D-SUB,15,M,PCB STRT,BRD LOCK,4-40 I</v>
          </cell>
          <cell r="E179">
            <v>208</v>
          </cell>
        </row>
        <row r="180">
          <cell r="B180" t="str">
            <v>593D106X9035D2TE3</v>
          </cell>
          <cell r="C180" t="str">
            <v>Vishay Semiconductors</v>
          </cell>
          <cell r="D180" t="str">
            <v>CAP,SMD,TANT L-ESR,35V,10%,10UF,ROHS</v>
          </cell>
          <cell r="E180">
            <v>500</v>
          </cell>
        </row>
        <row r="181">
          <cell r="B181" t="str">
            <v>598-8610-307F</v>
          </cell>
          <cell r="C181" t="str">
            <v>Dialight</v>
          </cell>
          <cell r="D181" t="str">
            <v>LED,SMD,3 WAY ALINGAP/INGAN R/G/B 1210</v>
          </cell>
          <cell r="E181">
            <v>2805</v>
          </cell>
        </row>
        <row r="182">
          <cell r="B182" t="str">
            <v>600F220FT250XT</v>
          </cell>
          <cell r="C182" t="str">
            <v>AVX Corporation</v>
          </cell>
          <cell r="D182" t="str">
            <v>CAP,SMD,NPO,22PF,1%,250V,0805</v>
          </cell>
          <cell r="E182">
            <v>500</v>
          </cell>
        </row>
        <row r="183">
          <cell r="B183" t="str">
            <v>6-104910-4</v>
          </cell>
          <cell r="C183" t="str">
            <v>TE Connectivity Ltd</v>
          </cell>
          <cell r="D183" t="str">
            <v>CONN,HDR,PCB,3A,600V,15PIN,SHRD,VERT,BLK</v>
          </cell>
          <cell r="E183">
            <v>1001</v>
          </cell>
        </row>
        <row r="184">
          <cell r="B184" t="str">
            <v>61082-101400LF</v>
          </cell>
          <cell r="C184" t="str">
            <v>FCI Deutschland GmbH</v>
          </cell>
          <cell r="D184" t="str">
            <v>CONT,SKT,100POS,0.8MM,DUAL,SMD</v>
          </cell>
          <cell r="E184">
            <v>50</v>
          </cell>
        </row>
        <row r="185">
          <cell r="B185" t="str">
            <v>61082-102400LF</v>
          </cell>
          <cell r="C185" t="str">
            <v>Amphenol ICC</v>
          </cell>
          <cell r="D185" t="str">
            <v>CONN,SMD,RCPT,2ROW,100POSN,0.8MM PITCH</v>
          </cell>
          <cell r="E185">
            <v>155</v>
          </cell>
        </row>
        <row r="186">
          <cell r="B186" t="str">
            <v>61083-124402LF</v>
          </cell>
          <cell r="C186" t="str">
            <v>Amphenol ICC</v>
          </cell>
          <cell r="D186" t="str">
            <v>CONN,SMD,HDR,2 ROW,0.8MM,120POSN,7.7MM</v>
          </cell>
          <cell r="E186">
            <v>313</v>
          </cell>
        </row>
        <row r="187">
          <cell r="B187" t="str">
            <v>6-1393144-8</v>
          </cell>
          <cell r="C187" t="str">
            <v>Potter And Bromfield</v>
          </cell>
          <cell r="D187" t="str">
            <v>RELAY,2 POLE,24V,INDUSTRIAL</v>
          </cell>
          <cell r="E187">
            <v>100</v>
          </cell>
        </row>
        <row r="188">
          <cell r="B188" t="str">
            <v>6-1419128-6</v>
          </cell>
          <cell r="C188" t="str">
            <v>TE Connectivity Ltd</v>
          </cell>
          <cell r="D188" t="str">
            <v>RLY,SPST-NO,24VDC,10A,STD TYPE,PCB MNT</v>
          </cell>
          <cell r="E188">
            <v>500</v>
          </cell>
        </row>
        <row r="189">
          <cell r="B189" t="str">
            <v>640497-1</v>
          </cell>
          <cell r="C189" t="str">
            <v>TE Connectivity Ltd</v>
          </cell>
          <cell r="D189" t="str">
            <v>CONN,RCPT,2POSN,HDR,MR SER,250V,9A</v>
          </cell>
          <cell r="E189">
            <v>100</v>
          </cell>
        </row>
        <row r="190">
          <cell r="B190" t="str">
            <v>65474-010LF</v>
          </cell>
          <cell r="C190" t="str">
            <v>Amphenol FCI</v>
          </cell>
          <cell r="D190" t="str">
            <v>JUMPER  FEMALE .100 CENTERS,ROHS</v>
          </cell>
          <cell r="E190">
            <v>439</v>
          </cell>
        </row>
        <row r="191">
          <cell r="B191" t="str">
            <v>65863-075LF</v>
          </cell>
          <cell r="C191" t="str">
            <v>3M</v>
          </cell>
          <cell r="D191" t="str">
            <v>CONN,HDR,PCB MT,.100 CTR 26P,ROHS</v>
          </cell>
          <cell r="E191">
            <v>250</v>
          </cell>
        </row>
        <row r="192">
          <cell r="B192" t="str">
            <v>67997-102HLF</v>
          </cell>
          <cell r="C192" t="str">
            <v>FCI Deutschland GmbH</v>
          </cell>
          <cell r="D192" t="str">
            <v>HEADER, STRAIGHT DBL ROW,2 PIN,ROHS</v>
          </cell>
          <cell r="E192">
            <v>1000</v>
          </cell>
        </row>
        <row r="193">
          <cell r="B193" t="str">
            <v>67997-110HLF</v>
          </cell>
          <cell r="C193" t="str">
            <v>Amphenol FCI</v>
          </cell>
          <cell r="D193" t="str">
            <v>HEADER,STRAIGHT,DOUBLE ROW,10C,ROHS</v>
          </cell>
          <cell r="E193">
            <v>347</v>
          </cell>
        </row>
        <row r="194">
          <cell r="B194" t="str">
            <v>684S7W2103L461</v>
          </cell>
          <cell r="C194" t="str">
            <v>Norcomp Inc</v>
          </cell>
          <cell r="D194" t="str">
            <v>CONN,COMBO-D,7W2,250V,RTANG,PCB MT</v>
          </cell>
          <cell r="E194">
            <v>43</v>
          </cell>
        </row>
        <row r="195">
          <cell r="B195">
            <v>731385033</v>
          </cell>
          <cell r="C195" t="str">
            <v>Molex LLC</v>
          </cell>
          <cell r="D195" t="str">
            <v>CONN,RCPT,BNC,50 OHM,PCB R/A,BH MT,GRND</v>
          </cell>
          <cell r="E195">
            <v>280</v>
          </cell>
        </row>
        <row r="196">
          <cell r="B196">
            <v>732055033</v>
          </cell>
          <cell r="C196" t="str">
            <v>Molex LLC</v>
          </cell>
          <cell r="D196" t="str">
            <v>CONN,RCPT,TNC,50 OHM,RT ANGLE</v>
          </cell>
          <cell r="E196">
            <v>50</v>
          </cell>
        </row>
        <row r="197">
          <cell r="B197">
            <v>734152063</v>
          </cell>
          <cell r="C197" t="str">
            <v>Molex LLC</v>
          </cell>
          <cell r="D197" t="str">
            <v>CONN MMCX JACK STR 50 OHM SMD</v>
          </cell>
          <cell r="E197">
            <v>100</v>
          </cell>
        </row>
        <row r="198">
          <cell r="B198" t="str">
            <v>739-103</v>
          </cell>
          <cell r="C198" t="str">
            <v>Wago</v>
          </cell>
          <cell r="D198" t="str">
            <v>TERM BLK,3P,5MM PITCH,300V,10A,PCB MT</v>
          </cell>
          <cell r="E198">
            <v>280</v>
          </cell>
        </row>
        <row r="199">
          <cell r="B199">
            <v>7443551370</v>
          </cell>
          <cell r="C199" t="str">
            <v>Wurth Elektronik GmBH &amp; Co KG</v>
          </cell>
          <cell r="D199" t="str">
            <v>IDCTR,SMD,WW,3.7UH,±20%,17A,SHLD,1365</v>
          </cell>
          <cell r="E199">
            <v>335</v>
          </cell>
        </row>
        <row r="200">
          <cell r="B200" t="str">
            <v>7466004R</v>
          </cell>
          <cell r="C200" t="str">
            <v>Wurth Elektronik GmBH &amp; Co KG</v>
          </cell>
          <cell r="D200" t="str">
            <v>TERM,SMD,PCB,WIRE TO BD,M4 THD,50A,BRS</v>
          </cell>
          <cell r="E200">
            <v>387</v>
          </cell>
        </row>
        <row r="201">
          <cell r="B201" t="str">
            <v>747844-4</v>
          </cell>
          <cell r="C201" t="str">
            <v>Kycon, Inc.</v>
          </cell>
          <cell r="D201" t="str">
            <v>CONN,RCPT 9P D-SUB RTANG</v>
          </cell>
          <cell r="E201">
            <v>190</v>
          </cell>
        </row>
        <row r="202">
          <cell r="B202" t="str">
            <v>747846-4</v>
          </cell>
          <cell r="C202" t="str">
            <v>TE Connectivity Ltd</v>
          </cell>
          <cell r="D202" t="str">
            <v>CONN,RCPT 25P D-SUB RTANG</v>
          </cell>
          <cell r="E202">
            <v>249</v>
          </cell>
        </row>
        <row r="203">
          <cell r="B203" t="str">
            <v>747847-4</v>
          </cell>
          <cell r="C203" t="str">
            <v>TE Connectivity Ltd</v>
          </cell>
          <cell r="D203" t="str">
            <v>CONN,RCPT 37P D-SUB RTANG</v>
          </cell>
          <cell r="E203">
            <v>520</v>
          </cell>
        </row>
        <row r="204">
          <cell r="B204" t="str">
            <v>747-LF2104NTR</v>
          </cell>
          <cell r="C204" t="str">
            <v>Littelfuse, Inc.</v>
          </cell>
          <cell r="D204" t="str">
            <v>Gate Drivers Half-Bridge DRVR 130mA SOIC</v>
          </cell>
          <cell r="E204">
            <v>145</v>
          </cell>
        </row>
        <row r="205">
          <cell r="B205" t="str">
            <v>74ACT11030D</v>
          </cell>
          <cell r="C205" t="str">
            <v>Texas Instruments</v>
          </cell>
          <cell r="D205" t="str">
            <v>IC,SMD,8 INPUT,NAND,14PIN,4.5-5.5V,SOIC</v>
          </cell>
          <cell r="E205">
            <v>499</v>
          </cell>
        </row>
        <row r="206">
          <cell r="B206" t="str">
            <v>74HC85D,653</v>
          </cell>
          <cell r="C206" t="str">
            <v>NXP Semiconductors</v>
          </cell>
          <cell r="D206" t="str">
            <v>IC,SMD,74HC85 4-BIT COMP SO16,ROHS</v>
          </cell>
          <cell r="E206">
            <v>2495</v>
          </cell>
        </row>
        <row r="207">
          <cell r="B207" t="str">
            <v>74LCX125MTC</v>
          </cell>
          <cell r="C207" t="str">
            <v>Fairchild Semiconductor</v>
          </cell>
          <cell r="D207" t="str">
            <v>IC,SMD,QUAD BFR,NON INVERTING,TSSOP-14</v>
          </cell>
          <cell r="E207">
            <v>122</v>
          </cell>
        </row>
        <row r="208">
          <cell r="B208" t="str">
            <v>76HPSB02GWRT</v>
          </cell>
          <cell r="C208" t="str">
            <v>Grayhill</v>
          </cell>
          <cell r="D208" t="str">
            <v>SW,SMD,DIP STRAIGHT 2 POLES,ROHS</v>
          </cell>
          <cell r="E208">
            <v>500</v>
          </cell>
        </row>
        <row r="209">
          <cell r="B209" t="str">
            <v>76HPSB04GWRT</v>
          </cell>
          <cell r="C209" t="str">
            <v>Grayhill</v>
          </cell>
          <cell r="D209" t="str">
            <v>SW,SMD,DIP STRAIGHT 4 POLES,ROHS</v>
          </cell>
          <cell r="E209">
            <v>500</v>
          </cell>
        </row>
        <row r="210">
          <cell r="B210" t="str">
            <v>76HPSB06GWRT</v>
          </cell>
          <cell r="C210" t="str">
            <v>Grayhill</v>
          </cell>
          <cell r="D210" t="str">
            <v>SW,SMD,DIP STRAIGHT 6 POLES,ROHS</v>
          </cell>
          <cell r="E210">
            <v>487</v>
          </cell>
        </row>
        <row r="211">
          <cell r="B211" t="str">
            <v>76HPSB10GWRT</v>
          </cell>
          <cell r="C211" t="str">
            <v>Grayhill</v>
          </cell>
          <cell r="D211" t="str">
            <v>SW,SMD,DIP STRAIGHT 10 POLES,ROHS</v>
          </cell>
          <cell r="E211">
            <v>480</v>
          </cell>
        </row>
        <row r="212">
          <cell r="B212" t="str">
            <v>76SB03T</v>
          </cell>
          <cell r="C212" t="str">
            <v>Grayhill</v>
          </cell>
          <cell r="D212" t="str">
            <v>Switch DIP ON OFF SPST 3 Raised Rocker 0</v>
          </cell>
          <cell r="E212">
            <v>216</v>
          </cell>
        </row>
        <row r="213">
          <cell r="B213" t="str">
            <v>76SB08ST</v>
          </cell>
          <cell r="C213" t="str">
            <v>Grayhill</v>
          </cell>
          <cell r="D213" t="str">
            <v>Switch DIP ON OFF SPST 8 Raised Rocker 0</v>
          </cell>
          <cell r="E213">
            <v>469</v>
          </cell>
        </row>
        <row r="214">
          <cell r="B214">
            <v>7779</v>
          </cell>
          <cell r="C214" t="str">
            <v>Keystone</v>
          </cell>
          <cell r="D214" t="str">
            <v>TERM,PCB,6-32THD,15A,THM,HORIZ MT</v>
          </cell>
          <cell r="E214">
            <v>100</v>
          </cell>
        </row>
        <row r="215">
          <cell r="B215">
            <v>7786</v>
          </cell>
          <cell r="C215" t="str">
            <v>Keystone</v>
          </cell>
          <cell r="D215" t="str">
            <v>TERM,PCB,6-32,30A</v>
          </cell>
          <cell r="E215">
            <v>100</v>
          </cell>
        </row>
        <row r="216">
          <cell r="B216">
            <v>8321</v>
          </cell>
          <cell r="C216" t="str">
            <v>Keystone</v>
          </cell>
          <cell r="D216" t="str">
            <v>SPCR,NYL,LED,T-1 3/4,BI-LEAD,0.30 IN LG</v>
          </cell>
          <cell r="E216">
            <v>200</v>
          </cell>
        </row>
        <row r="217">
          <cell r="B217" t="str">
            <v>84WR200KLF</v>
          </cell>
          <cell r="C217" t="str">
            <v>Bi Technologies</v>
          </cell>
          <cell r="D217" t="str">
            <v>RES,SMD,POT,12T,T-ADJ,0.25SQ,200K,ROHS</v>
          </cell>
          <cell r="E217">
            <v>500</v>
          </cell>
        </row>
        <row r="218">
          <cell r="B218" t="str">
            <v>84WR20KLF</v>
          </cell>
          <cell r="C218" t="str">
            <v>Vishay Semiconductors</v>
          </cell>
          <cell r="D218" t="str">
            <v>RES,SMD,POT,12T,T-ADJ,0.25SQ,20K,ROHS</v>
          </cell>
          <cell r="E218">
            <v>500</v>
          </cell>
        </row>
        <row r="219">
          <cell r="B219" t="str">
            <v>84WR2KLF</v>
          </cell>
          <cell r="C219" t="str">
            <v>Vishay Semiconductors</v>
          </cell>
          <cell r="D219" t="str">
            <v>RES,SMD,POT,12T,T-ADJ,0.25SQ,2K,ROHS</v>
          </cell>
          <cell r="E219">
            <v>500</v>
          </cell>
        </row>
        <row r="220">
          <cell r="B220" t="str">
            <v>87438-0443</v>
          </cell>
          <cell r="C220" t="str">
            <v>Molex LLC</v>
          </cell>
          <cell r="D220" t="str">
            <v>CONN,HDR,SMD,RTANG,1.5MM PITCH,4CKT</v>
          </cell>
          <cell r="E220">
            <v>995</v>
          </cell>
        </row>
        <row r="221">
          <cell r="B221" t="str">
            <v>87831-1420</v>
          </cell>
          <cell r="C221" t="str">
            <v>Molex LLC</v>
          </cell>
          <cell r="D221" t="str">
            <v>Conn Shrouded Header (4 Sides) HDR 14 PO</v>
          </cell>
          <cell r="E221">
            <v>32</v>
          </cell>
        </row>
        <row r="222">
          <cell r="B222" t="str">
            <v>901-144</v>
          </cell>
          <cell r="C222" t="str">
            <v>Amphenol Corp</v>
          </cell>
          <cell r="D222" t="str">
            <v>CONN,RCPT,SMA,STR,PCB,4 POST, ROHS</v>
          </cell>
          <cell r="E222">
            <v>180</v>
          </cell>
        </row>
        <row r="223">
          <cell r="B223" t="str">
            <v>91601-316LF</v>
          </cell>
          <cell r="C223" t="str">
            <v>Amphenol ICC</v>
          </cell>
          <cell r="D223" t="str">
            <v>CONN,SMD,RCPT,16POSN,1ROW,.1IN PITCH</v>
          </cell>
          <cell r="E223">
            <v>2010</v>
          </cell>
        </row>
        <row r="224">
          <cell r="B224" t="str">
            <v>9290-05-00</v>
          </cell>
          <cell r="C224" t="str">
            <v>COTO_TEC</v>
          </cell>
          <cell r="D224" t="str">
            <v>RLY,SMD,REED,SPST-NO,5VDC COIL V,GULLWG</v>
          </cell>
          <cell r="E224">
            <v>109</v>
          </cell>
        </row>
        <row r="225">
          <cell r="B225" t="str">
            <v>93LC56BT-I/OT</v>
          </cell>
          <cell r="C225" t="str">
            <v>Microchip Technology Inc</v>
          </cell>
          <cell r="D225" t="str">
            <v>iC 2K SERIAL INTFC. EEPROM SOT23-6</v>
          </cell>
          <cell r="E225">
            <v>183</v>
          </cell>
        </row>
        <row r="226">
          <cell r="B226">
            <v>9551666816741</v>
          </cell>
          <cell r="C226" t="str">
            <v>Harting Ltd</v>
          </cell>
          <cell r="D226" t="str">
            <v>CONN,SMD,D-SUB,MR,7.3MM,9P ROHS</v>
          </cell>
          <cell r="E226">
            <v>142</v>
          </cell>
        </row>
        <row r="227">
          <cell r="B227">
            <v>9552666816741</v>
          </cell>
          <cell r="C227" t="str">
            <v>Harting Ltd</v>
          </cell>
          <cell r="D227" t="str">
            <v>CONN D-SUB PLUG 15P SMD R/A SLDR</v>
          </cell>
          <cell r="E227">
            <v>200</v>
          </cell>
        </row>
        <row r="228">
          <cell r="B228">
            <v>9564517512</v>
          </cell>
          <cell r="C228" t="str">
            <v>Harting Electronics GmBH &amp; Co KG</v>
          </cell>
          <cell r="D228" t="str">
            <v>CONN,RCPT,DSUB,HD,ST,FEM,62P,ROHS</v>
          </cell>
          <cell r="E228">
            <v>100</v>
          </cell>
        </row>
        <row r="229">
          <cell r="B229" t="str">
            <v>ABC-8-R</v>
          </cell>
          <cell r="C229" t="str">
            <v>BUSSMANN</v>
          </cell>
          <cell r="D229" t="str">
            <v>FUSE .25x1.25 8A 250VAC,ROHS</v>
          </cell>
          <cell r="E229">
            <v>1000</v>
          </cell>
        </row>
        <row r="230">
          <cell r="B230" t="str">
            <v>ABM8G-24.000MHZ-18-D2Y-T</v>
          </cell>
          <cell r="C230" t="str">
            <v>Abracon</v>
          </cell>
          <cell r="D230" t="str">
            <v>CRYSTAL, SMD, 2.6X3.3, 24MHz, +/-20ppm,</v>
          </cell>
          <cell r="E230">
            <v>978</v>
          </cell>
        </row>
        <row r="231">
          <cell r="B231" t="str">
            <v>AC0402FR-0722K1L</v>
          </cell>
          <cell r="C231" t="str">
            <v>Vishay Semiconductors</v>
          </cell>
          <cell r="D231" t="str">
            <v>RES,0402,1% 1/16W,22.1K ROHS</v>
          </cell>
          <cell r="E231">
            <v>10000</v>
          </cell>
        </row>
        <row r="232">
          <cell r="B232" t="str">
            <v>AC0402FR-0733RL</v>
          </cell>
          <cell r="C232" t="str">
            <v>Yageo Corp</v>
          </cell>
          <cell r="D232" t="str">
            <v>RES,0402,1% 1/16W,33.0 OHM ROHS</v>
          </cell>
          <cell r="E232">
            <v>10000</v>
          </cell>
        </row>
        <row r="233">
          <cell r="B233" t="str">
            <v>AC0402FR-0749R9L</v>
          </cell>
          <cell r="C233" t="str">
            <v>Yageo Corp</v>
          </cell>
          <cell r="D233" t="str">
            <v>RES,0402,1% 1/16W,49.9 OHM ROHS</v>
          </cell>
          <cell r="E233">
            <v>10000</v>
          </cell>
        </row>
        <row r="234">
          <cell r="B234" t="str">
            <v>AC0603FR-0710KL</v>
          </cell>
          <cell r="C234" t="str">
            <v>Stackpole Electronics Inc</v>
          </cell>
          <cell r="D234" t="str">
            <v>RES,SMD,10KOHM,±1% TOL,0.1W,0603</v>
          </cell>
          <cell r="E234">
            <v>5000</v>
          </cell>
        </row>
        <row r="235">
          <cell r="B235" t="str">
            <v>AC0603FR-072KL</v>
          </cell>
          <cell r="C235" t="str">
            <v>Panasonic Corp</v>
          </cell>
          <cell r="D235" t="str">
            <v>RES,0603,THKF,1%,1/10W,100PPM,2K ROHS</v>
          </cell>
          <cell r="E235">
            <v>4591</v>
          </cell>
        </row>
        <row r="236">
          <cell r="B236" t="str">
            <v>AC0603FR-073K24L</v>
          </cell>
          <cell r="C236" t="str">
            <v>Yageo Corp</v>
          </cell>
          <cell r="D236" t="str">
            <v>RES,SMD,THKF,1%,1/10W,100PPM,3.24K,ROHS</v>
          </cell>
          <cell r="E236">
            <v>4945</v>
          </cell>
        </row>
        <row r="237">
          <cell r="B237" t="str">
            <v>AC0603FR-0749K9L</v>
          </cell>
          <cell r="C237" t="str">
            <v>Vishay Semiconductors</v>
          </cell>
          <cell r="D237" t="str">
            <v>RES,0603,THKF,1%,1/10W,100PPM,49.9K ROHS</v>
          </cell>
          <cell r="E237">
            <v>4935</v>
          </cell>
        </row>
        <row r="238">
          <cell r="B238" t="str">
            <v>AC0603FR-074K12L</v>
          </cell>
          <cell r="C238" t="str">
            <v>Yageo Corp</v>
          </cell>
          <cell r="D238" t="str">
            <v>RES,0603,THKF,1%,1/10W,100PPM,4.12K ROHS</v>
          </cell>
          <cell r="E238">
            <v>4945</v>
          </cell>
        </row>
        <row r="239">
          <cell r="B239" t="str">
            <v>AC0805FR-0710KL</v>
          </cell>
          <cell r="C239" t="str">
            <v>Yageo Corp</v>
          </cell>
          <cell r="D239" t="str">
            <v>RES,SMD,0805,TF,1%,1/8W,10K,ROHS</v>
          </cell>
          <cell r="E239">
            <v>10000</v>
          </cell>
        </row>
        <row r="240">
          <cell r="B240" t="str">
            <v>AD5689RARUZ</v>
          </cell>
          <cell r="C240" t="str">
            <v>Analog Devices Inc</v>
          </cell>
          <cell r="D240" t="str">
            <v>IC,SMD,DAC,16BIT,SRL</v>
          </cell>
          <cell r="E240">
            <v>96</v>
          </cell>
        </row>
        <row r="241">
          <cell r="B241" t="str">
            <v>AD587JRZ</v>
          </cell>
          <cell r="C241" t="str">
            <v>Analog Devices Inc</v>
          </cell>
          <cell r="D241" t="str">
            <v>IC,AD587 VREF 10V SO8,ROHS</v>
          </cell>
          <cell r="E241">
            <v>60</v>
          </cell>
        </row>
        <row r="242">
          <cell r="B242" t="str">
            <v>AD8510ARMZ</v>
          </cell>
          <cell r="C242" t="str">
            <v>Analog Devices Inc</v>
          </cell>
          <cell r="D242" t="str">
            <v>IC,SMD,JFET OPAMP,AD8510,ROHS</v>
          </cell>
          <cell r="E242">
            <v>138</v>
          </cell>
        </row>
        <row r="243">
          <cell r="B243" t="str">
            <v>AD9467BCPZ-250</v>
          </cell>
          <cell r="C243" t="str">
            <v>Analog Devices Inc</v>
          </cell>
          <cell r="D243" t="str">
            <v>16 BIT 250 MSPS A TO D CONVERTER</v>
          </cell>
          <cell r="E243">
            <v>11</v>
          </cell>
        </row>
        <row r="244">
          <cell r="B244" t="str">
            <v>AD9518-4ABCPZ</v>
          </cell>
          <cell r="C244" t="str">
            <v>Analog Devices Inc</v>
          </cell>
          <cell r="D244" t="str">
            <v>IC,SMD,CLK GEN,6-OUT,1.6GHZ VCO,LFCSP-48</v>
          </cell>
          <cell r="E244">
            <v>89</v>
          </cell>
        </row>
        <row r="245">
          <cell r="B245" t="str">
            <v>ADA4817-1ACPZ-R7</v>
          </cell>
          <cell r="C245" t="str">
            <v>Analog Devices Inc</v>
          </cell>
          <cell r="D245" t="str">
            <v>IC,SMD,OPAMP,1 CKT,870V/US,LFCSP-8</v>
          </cell>
          <cell r="E245">
            <v>60</v>
          </cell>
        </row>
        <row r="246">
          <cell r="B246" t="str">
            <v>ADG1419BRMZ</v>
          </cell>
          <cell r="C246" t="str">
            <v>Analog Devices Inc</v>
          </cell>
          <cell r="D246" t="str">
            <v>IC,SMD,ANALOG SW,SPDT,MSOP,ADG1419BRMZ</v>
          </cell>
          <cell r="E246">
            <v>170</v>
          </cell>
        </row>
        <row r="247">
          <cell r="B247" t="str">
            <v>ADS1015IDGSR</v>
          </cell>
          <cell r="C247" t="str">
            <v>Texas Instruments</v>
          </cell>
          <cell r="D247" t="str">
            <v>4-Channel Single ADC Delta-Sigma 3.3ksps</v>
          </cell>
          <cell r="E247">
            <v>250</v>
          </cell>
        </row>
        <row r="248">
          <cell r="B248" t="str">
            <v>ADS7953SDBTR</v>
          </cell>
          <cell r="C248" t="str">
            <v>Texas Instruments</v>
          </cell>
          <cell r="D248" t="str">
            <v>12 Bit Analog to Digital Converter 16 In</v>
          </cell>
          <cell r="E248">
            <v>500</v>
          </cell>
        </row>
        <row r="249">
          <cell r="B249" t="str">
            <v>ADS8688IDBTR</v>
          </cell>
          <cell r="C249" t="str">
            <v>Texas Instruments</v>
          </cell>
          <cell r="D249" t="str">
            <v>IC,SMD,ADC,16 BIT,500 KSPS,8 CHAN MUX</v>
          </cell>
          <cell r="E249">
            <v>23</v>
          </cell>
        </row>
        <row r="250">
          <cell r="B250" t="str">
            <v>AFBR-1539Z</v>
          </cell>
          <cell r="C250" t="str">
            <v>Broadcom</v>
          </cell>
          <cell r="D250" t="str">
            <v>TRANSMITTER,FIBRE OPTIC CONN,685NM,10MBD</v>
          </cell>
          <cell r="E250">
            <v>200</v>
          </cell>
        </row>
        <row r="251">
          <cell r="B251" t="str">
            <v>AGC-1-R</v>
          </cell>
          <cell r="C251" t="str">
            <v>Eaton</v>
          </cell>
          <cell r="D251" t="str">
            <v>FUSE .25x1.25 1A 250VAC,ROHS</v>
          </cell>
          <cell r="E251">
            <v>1000</v>
          </cell>
        </row>
        <row r="252">
          <cell r="B252" t="str">
            <v>A-HDF26PP/Z-UNC3</v>
          </cell>
          <cell r="C252" t="str">
            <v>Assmann WSW Components GmbH</v>
          </cell>
          <cell r="D252" t="str">
            <v>CONN,RCPT,D-SUB,26 POSN,3ROW,3A,THT</v>
          </cell>
          <cell r="E252">
            <v>28</v>
          </cell>
        </row>
        <row r="253">
          <cell r="B253" t="str">
            <v>AHEF1000</v>
          </cell>
          <cell r="C253" t="str">
            <v>Littelfuse, Inc.</v>
          </cell>
          <cell r="D253" t="str">
            <v>FUSE,PTC 10A AXIAL</v>
          </cell>
          <cell r="E253">
            <v>176</v>
          </cell>
        </row>
        <row r="254">
          <cell r="B254" t="str">
            <v>APC0603T4K99Z</v>
          </cell>
          <cell r="C254" t="str">
            <v>Ohmite</v>
          </cell>
          <cell r="D254" t="str">
            <v>RES,SMD,THIN FILM,4.99K,.01%,1/16W,0603</v>
          </cell>
          <cell r="E254">
            <v>5000</v>
          </cell>
        </row>
        <row r="255">
          <cell r="B255" t="str">
            <v>APTD1608CGCK</v>
          </cell>
          <cell r="C255" t="str">
            <v>Kingbright Electronic Co Ltd</v>
          </cell>
          <cell r="D255" t="str">
            <v>LED,SMD,570NM,190MCD,2.1V,GRN,1608</v>
          </cell>
          <cell r="E255">
            <v>2000</v>
          </cell>
        </row>
        <row r="256">
          <cell r="B256" t="str">
            <v>APTD2012LCGCK</v>
          </cell>
          <cell r="C256" t="str">
            <v>Kingbright Electronic Co Ltd</v>
          </cell>
          <cell r="D256" t="str">
            <v>LED,SMD,570NM,40MCD,1.9V,GRN,2X1.25MM</v>
          </cell>
          <cell r="E256">
            <v>2948</v>
          </cell>
        </row>
        <row r="257">
          <cell r="B257" t="str">
            <v>AQY272AX</v>
          </cell>
          <cell r="C257" t="str">
            <v>Panasonic</v>
          </cell>
          <cell r="D257" t="str">
            <v>RLY,PHOTO MOS,FLAT PWR,4 PIN,2A,ROHS</v>
          </cell>
          <cell r="E257">
            <v>91</v>
          </cell>
        </row>
        <row r="258">
          <cell r="B258" t="str">
            <v>ASP-134604-01</v>
          </cell>
          <cell r="C258" t="str">
            <v>Samtec Inc</v>
          </cell>
          <cell r="D258" t="str">
            <v>CONN,SMD,VITA57.1 FMC MEZZ LPC, 160POS</v>
          </cell>
          <cell r="E258">
            <v>54</v>
          </cell>
        </row>
        <row r="259">
          <cell r="B259" t="str">
            <v>ASP-134604-04</v>
          </cell>
          <cell r="C259" t="str">
            <v>Samtec Inc</v>
          </cell>
          <cell r="D259" t="str">
            <v>CONN,SMD,VITA57.1 FMC MEZZ LPC,160POS,PB</v>
          </cell>
          <cell r="E259">
            <v>200</v>
          </cell>
        </row>
        <row r="260">
          <cell r="B260" t="str">
            <v>ATQR12</v>
          </cell>
          <cell r="C260" t="str">
            <v>Eaton</v>
          </cell>
          <cell r="D260" t="str">
            <v>FUSE,CLASS CC,600V,TIME DLY,12 AMP</v>
          </cell>
          <cell r="E260">
            <v>50</v>
          </cell>
        </row>
        <row r="261">
          <cell r="B261" t="str">
            <v>ATQR15</v>
          </cell>
          <cell r="C261" t="str">
            <v>Mersen</v>
          </cell>
          <cell r="D261" t="str">
            <v>Mersen ATQR FIBREGLASS CARTRID GE FUSE,</v>
          </cell>
          <cell r="E261">
            <v>100</v>
          </cell>
        </row>
        <row r="262">
          <cell r="B262" t="str">
            <v>ATS-55230K-C1-R0</v>
          </cell>
          <cell r="C262" t="str">
            <v>Advanced Thermal Solutions</v>
          </cell>
          <cell r="D262" t="str">
            <v>HTSK,SQ,BGA,23X23X14.5MM,BLK-ANODIZED</v>
          </cell>
          <cell r="E262">
            <v>199</v>
          </cell>
        </row>
        <row r="263">
          <cell r="B263" t="str">
            <v>B2B-XH-AM(LF)(SN)</v>
          </cell>
          <cell r="C263" t="str">
            <v>J.S.T. MFG. CO.,LTD.</v>
          </cell>
          <cell r="D263" t="str">
            <v>CONN,HDR,SHRD,TOPENTRY,2P,WHT,BD GDE,TH</v>
          </cell>
          <cell r="E263">
            <v>4000</v>
          </cell>
        </row>
        <row r="264">
          <cell r="B264" t="str">
            <v>B5B-XH-AM(LF)(SN)</v>
          </cell>
          <cell r="C264" t="str">
            <v>J.S.T. MFG. CO.,LTD.</v>
          </cell>
          <cell r="D264" t="str">
            <v>CONN,HDR,SHRD,TOPENTRY,5P,WHT,BD GDE,TH</v>
          </cell>
          <cell r="E264">
            <v>500</v>
          </cell>
        </row>
        <row r="265">
          <cell r="B265" t="str">
            <v>BAT54ALT1G</v>
          </cell>
          <cell r="C265" t="str">
            <v>On Semiconductor</v>
          </cell>
          <cell r="D265" t="str">
            <v>Rectifier Diode Schottky 0.2A 5ns 3-Pin</v>
          </cell>
          <cell r="E265">
            <v>2900</v>
          </cell>
        </row>
        <row r="266">
          <cell r="B266" t="str">
            <v>BAT54SWT1G</v>
          </cell>
          <cell r="C266" t="str">
            <v>On Semiconductor</v>
          </cell>
          <cell r="D266" t="str">
            <v>DIODE,SCHOTTKY,DUAL SERIES,SOT-323</v>
          </cell>
          <cell r="E266">
            <v>3000</v>
          </cell>
        </row>
        <row r="267">
          <cell r="B267" t="str">
            <v>BK/ABC-4-R</v>
          </cell>
          <cell r="C267" t="str">
            <v>Eaton</v>
          </cell>
          <cell r="D267" t="str">
            <v>4 A 250 V AC 125 V DC Fuse Cartridge, Ce</v>
          </cell>
          <cell r="E267">
            <v>100</v>
          </cell>
        </row>
        <row r="268">
          <cell r="B268" t="str">
            <v>BK1/S505H-2-R</v>
          </cell>
          <cell r="C268" t="str">
            <v>Eaton Corp</v>
          </cell>
          <cell r="D268" t="str">
            <v>Electric Fuse, Time Delay Blow,</v>
          </cell>
          <cell r="E268">
            <v>1000</v>
          </cell>
        </row>
        <row r="269">
          <cell r="B269" t="str">
            <v>BK1/S505H-4-R</v>
          </cell>
          <cell r="C269" t="str">
            <v>Eaton</v>
          </cell>
          <cell r="D269" t="str">
            <v>FUSE,CRTG,4A,600VAC/400DC,5X20MM</v>
          </cell>
          <cell r="E269">
            <v>200</v>
          </cell>
        </row>
        <row r="270">
          <cell r="B270" t="str">
            <v>BK1/S505H-5-R</v>
          </cell>
          <cell r="C270" t="str">
            <v>Eaton</v>
          </cell>
          <cell r="D270" t="str">
            <v>FUSE,CRTG,5A,600VAC/400DC,5X20MM</v>
          </cell>
          <cell r="E270">
            <v>989</v>
          </cell>
        </row>
        <row r="271">
          <cell r="B271" t="str">
            <v>BK1-S505H-6.3-R</v>
          </cell>
          <cell r="C271" t="str">
            <v>Eaton</v>
          </cell>
          <cell r="D271" t="str">
            <v>FUSE CERM 6.3A 600VAC 400VDC</v>
          </cell>
          <cell r="E271">
            <v>200</v>
          </cell>
        </row>
        <row r="272">
          <cell r="B272" t="str">
            <v>BK1-S505H-8-R</v>
          </cell>
          <cell r="C272" t="str">
            <v>BUSSMANN</v>
          </cell>
          <cell r="D272" t="str">
            <v>FUSE CERM 8A 500VAC 400VDC 5X20</v>
          </cell>
          <cell r="E272">
            <v>1000</v>
          </cell>
        </row>
        <row r="273">
          <cell r="B273" t="str">
            <v>BSC080N03LSGATMA1</v>
          </cell>
          <cell r="C273" t="str">
            <v>Infineon Technologies</v>
          </cell>
          <cell r="D273" t="str">
            <v>MOSFET,SMD,N-CH,30V,53A,TDSON-8</v>
          </cell>
          <cell r="E273">
            <v>5000</v>
          </cell>
        </row>
        <row r="274">
          <cell r="B274" t="str">
            <v>BSR14</v>
          </cell>
          <cell r="C274" t="str">
            <v>On Semiconductor</v>
          </cell>
          <cell r="D274" t="str">
            <v>IC, ANALOG MULTIPLEXER, SWITCH, 240MHZ</v>
          </cell>
          <cell r="E274">
            <v>2991</v>
          </cell>
        </row>
        <row r="275">
          <cell r="B275" t="str">
            <v>BSS84AK,215</v>
          </cell>
          <cell r="C275" t="str">
            <v>NXP Semiconductors</v>
          </cell>
          <cell r="D275" t="str">
            <v>P-Channel 50 V 420 mW 0.35 nC Surface Mo</v>
          </cell>
          <cell r="E275">
            <v>9750</v>
          </cell>
        </row>
        <row r="276">
          <cell r="B276" t="str">
            <v>BST13T1ACR</v>
          </cell>
          <cell r="C276" t="str">
            <v>CIT Relay and Switch</v>
          </cell>
          <cell r="D276" t="str">
            <v>SW,TGL,SPDT,ON-OFF-ON,3A,120VAC,THT</v>
          </cell>
          <cell r="E276">
            <v>200</v>
          </cell>
        </row>
        <row r="277">
          <cell r="B277" t="str">
            <v>BWR-15/330-D48A-C</v>
          </cell>
          <cell r="C277" t="str">
            <v>Murata</v>
          </cell>
          <cell r="D277" t="str">
            <v>PS,DC/DC,24/15V,ROHS</v>
          </cell>
          <cell r="E277">
            <v>60</v>
          </cell>
        </row>
        <row r="278">
          <cell r="B278" t="str">
            <v>C0402C471J5GAC7867</v>
          </cell>
          <cell r="C278" t="str">
            <v>Kemet Electronics Corp</v>
          </cell>
          <cell r="D278" t="str">
            <v>CAP,SMD,CER,470PF,50V,NP0,0402,ROHS</v>
          </cell>
          <cell r="E278">
            <v>10000</v>
          </cell>
        </row>
        <row r="279">
          <cell r="B279" t="str">
            <v>C0603C101F5GAC</v>
          </cell>
          <cell r="C279" t="str">
            <v>Kemet Electronics Corp</v>
          </cell>
          <cell r="D279" t="str">
            <v>CAP,SMD,0603,CER,C0G,1%,50V,100PF</v>
          </cell>
          <cell r="E279">
            <v>3947</v>
          </cell>
        </row>
        <row r="280">
          <cell r="B280" t="str">
            <v>C0603C123J3GACTU</v>
          </cell>
          <cell r="C280" t="str">
            <v>Kemet Electronics Corp</v>
          </cell>
          <cell r="D280" t="str">
            <v>CAP,SMD,CER,0.012UF,5%,25V,C0G,0603</v>
          </cell>
          <cell r="E280">
            <v>3766</v>
          </cell>
        </row>
        <row r="281">
          <cell r="B281" t="str">
            <v>C0603C153J3GACTU</v>
          </cell>
          <cell r="C281" t="str">
            <v>Kemet Electronics Corp</v>
          </cell>
          <cell r="D281" t="str">
            <v>CAP,SMD,CER,0.015UF,5%,25V,C0G,0603</v>
          </cell>
          <cell r="E281">
            <v>3808</v>
          </cell>
        </row>
        <row r="282">
          <cell r="B282" t="str">
            <v>C0603C180J5GACTU</v>
          </cell>
          <cell r="C282" t="str">
            <v>Kemet Electronics Corp</v>
          </cell>
          <cell r="D282" t="str">
            <v>SMT CAP 18PF 0603 NPO 50V</v>
          </cell>
          <cell r="E282">
            <v>4000</v>
          </cell>
        </row>
        <row r="283">
          <cell r="B283" t="str">
            <v>C0603C221F5GAC</v>
          </cell>
          <cell r="C283" t="str">
            <v>Kemet Electronics Corp</v>
          </cell>
          <cell r="D283" t="str">
            <v>CAP,SMD,0603,CER,C0G,1%,50V,220PF</v>
          </cell>
          <cell r="E283">
            <v>4000</v>
          </cell>
        </row>
        <row r="284">
          <cell r="B284" t="str">
            <v>C0603C470F5GAC</v>
          </cell>
          <cell r="C284" t="str">
            <v>Kemet Electronics Corp</v>
          </cell>
          <cell r="D284" t="str">
            <v>CAP,SMD,0603,CER,C0G,1%,50V,47PF</v>
          </cell>
          <cell r="E284">
            <v>4000</v>
          </cell>
        </row>
        <row r="285">
          <cell r="B285" t="str">
            <v>C0603H103J3GAC7867</v>
          </cell>
          <cell r="C285" t="str">
            <v>Kemet Electronics Corp</v>
          </cell>
          <cell r="D285" t="str">
            <v>10000 pF ±5% 25V Ceramic Capacitor C0G,</v>
          </cell>
          <cell r="E285">
            <v>4000</v>
          </cell>
        </row>
        <row r="286">
          <cell r="B286" t="str">
            <v>C0603X5R1A474M030BC</v>
          </cell>
          <cell r="C286" t="str">
            <v>TDK Corp</v>
          </cell>
          <cell r="D286" t="str">
            <v>CAP,SMD,CER,470NF,20%,10V,X5R,0201</v>
          </cell>
          <cell r="E286">
            <v>13044</v>
          </cell>
        </row>
        <row r="287">
          <cell r="B287" t="str">
            <v>C0805C101F5GAC</v>
          </cell>
          <cell r="C287" t="str">
            <v>Kemet Electronics Corp</v>
          </cell>
          <cell r="D287" t="str">
            <v>CAP,SMD,C0G,100PF,1%,50V,0805</v>
          </cell>
          <cell r="E287">
            <v>4000</v>
          </cell>
        </row>
        <row r="288">
          <cell r="B288" t="str">
            <v>C0805C103F3GACTU</v>
          </cell>
          <cell r="C288" t="str">
            <v>Kemet Electronics Corp</v>
          </cell>
          <cell r="D288" t="str">
            <v>CAP,.01UF,25V,CERAMIC,+/-1%,SMT</v>
          </cell>
          <cell r="E288">
            <v>4000</v>
          </cell>
        </row>
        <row r="289">
          <cell r="B289" t="str">
            <v>C0805C103J5GAC</v>
          </cell>
          <cell r="C289" t="str">
            <v>Kemet Electronics Corp</v>
          </cell>
          <cell r="D289" t="str">
            <v>CAP,0805,COG,5%,50V,10000PF</v>
          </cell>
          <cell r="E289">
            <v>3910</v>
          </cell>
        </row>
        <row r="290">
          <cell r="B290" t="str">
            <v>C1005X5R0J475K050</v>
          </cell>
          <cell r="C290" t="str">
            <v>TDK Corp</v>
          </cell>
          <cell r="D290" t="str">
            <v>CAP,CER,0402,X5R,10%,6.3V,4.7UF ROHS</v>
          </cell>
          <cell r="E290">
            <v>10000</v>
          </cell>
        </row>
        <row r="291">
          <cell r="B291" t="str">
            <v>C1005X5R1C225K050BC</v>
          </cell>
          <cell r="C291" t="str">
            <v>TDK Corp</v>
          </cell>
          <cell r="D291" t="str">
            <v>CAP,SMD,CER,2.2UF,16V,X5R,0402,ROHS</v>
          </cell>
          <cell r="E291">
            <v>8744</v>
          </cell>
        </row>
        <row r="292">
          <cell r="B292" t="str">
            <v>C1206C123K5RACTU</v>
          </cell>
          <cell r="C292" t="str">
            <v>Yageo Corp</v>
          </cell>
          <cell r="D292" t="str">
            <v>CAP,1206,CER,X7R,10%,50V,12NF ROHS</v>
          </cell>
          <cell r="E292">
            <v>4000</v>
          </cell>
        </row>
        <row r="293">
          <cell r="B293" t="str">
            <v>C1608X5R1H474K080AB</v>
          </cell>
          <cell r="C293" t="str">
            <v>TDK Corp</v>
          </cell>
          <cell r="D293" t="str">
            <v>CAP,SMD,MLCC,470NF,10%,50V,X5R,0603</v>
          </cell>
          <cell r="E293">
            <v>3775</v>
          </cell>
        </row>
        <row r="294">
          <cell r="B294" t="str">
            <v>C3225X7R1H106K250AC</v>
          </cell>
          <cell r="C294" t="str">
            <v>TDK Corp</v>
          </cell>
          <cell r="D294" t="str">
            <v>SMD Chip Resistor, 165 kohm, ± 1%, 100 m</v>
          </cell>
          <cell r="E294">
            <v>1000</v>
          </cell>
        </row>
        <row r="295">
          <cell r="B295" t="str">
            <v>C4532C0G3F101K160KA</v>
          </cell>
          <cell r="C295" t="str">
            <v>TDK Corp</v>
          </cell>
          <cell r="D295" t="str">
            <v>CAP,1812,COG,10%,3KV,100PF ROHS</v>
          </cell>
          <cell r="E295">
            <v>1000</v>
          </cell>
        </row>
        <row r="296">
          <cell r="B296" t="str">
            <v>C5750X7R1H106K</v>
          </cell>
          <cell r="C296" t="str">
            <v>TDK Corp</v>
          </cell>
          <cell r="D296" t="str">
            <v>CAP,5750,CER,X7R,10%,50V,10UF</v>
          </cell>
          <cell r="E296">
            <v>400</v>
          </cell>
        </row>
        <row r="297">
          <cell r="B297" t="str">
            <v>CBD3W3F00000/AA</v>
          </cell>
          <cell r="C297" t="str">
            <v>Positronic</v>
          </cell>
          <cell r="D297" t="str">
            <v>CONN,COMBO-D,FEM,3W3,SHELL SIZE 2,ROHS</v>
          </cell>
          <cell r="E297">
            <v>500</v>
          </cell>
        </row>
        <row r="298">
          <cell r="B298" t="str">
            <v>CBD7W2F37S00X/AA</v>
          </cell>
          <cell r="C298" t="str">
            <v>Positronic</v>
          </cell>
          <cell r="D298" t="str">
            <v>CONN,RCPT,COMBO-D,7W2,SN PLD SHL,TH</v>
          </cell>
          <cell r="E298">
            <v>88</v>
          </cell>
        </row>
        <row r="299">
          <cell r="B299" t="str">
            <v>CBD7W2F57R7N0X/AA</v>
          </cell>
          <cell r="C299" t="str">
            <v>Positronic</v>
          </cell>
          <cell r="D299" t="str">
            <v>CONN,COMBO-D,7W2,FEM,PCB,RA</v>
          </cell>
          <cell r="E299">
            <v>60</v>
          </cell>
        </row>
        <row r="300">
          <cell r="B300" t="str">
            <v>CC0402JRNPO9BN180</v>
          </cell>
          <cell r="C300" t="str">
            <v>Yageo Corp</v>
          </cell>
          <cell r="D300" t="str">
            <v>CAP,SMD,CER,18PF,50V,5%,NP0,0402</v>
          </cell>
          <cell r="E300">
            <v>10000</v>
          </cell>
        </row>
        <row r="301">
          <cell r="B301" t="str">
            <v>CC0402KRX7R9BB333</v>
          </cell>
          <cell r="C301" t="str">
            <v>Yageo Corp</v>
          </cell>
          <cell r="D301" t="str">
            <v>CAP,SMD,0402,CER,X7R,10%,50V,33NF ROHS</v>
          </cell>
          <cell r="E301">
            <v>9687</v>
          </cell>
        </row>
        <row r="302">
          <cell r="B302" t="str">
            <v>CC0402KRX7R9BB681</v>
          </cell>
          <cell r="C302" t="str">
            <v>Yageo Corp</v>
          </cell>
          <cell r="D302" t="str">
            <v>CAP,SMD,0402,CER,X7R,10%,50V,680PF ROHS</v>
          </cell>
          <cell r="E302">
            <v>10000</v>
          </cell>
        </row>
        <row r="303">
          <cell r="B303" t="str">
            <v>CC0603JRNPO8BN101</v>
          </cell>
          <cell r="C303" t="str">
            <v>Yageo Corp</v>
          </cell>
          <cell r="D303" t="str">
            <v>CAP,SMD,CER,100PF,±5% TOL,25V,C0G,0603</v>
          </cell>
          <cell r="E303">
            <v>4000</v>
          </cell>
        </row>
        <row r="304">
          <cell r="B304" t="str">
            <v>CC0603KRX7R9BB222</v>
          </cell>
          <cell r="C304" t="str">
            <v>Yageo Corp</v>
          </cell>
          <cell r="D304" t="str">
            <v>CAP,SMD,0603,2200PF,50V,10%,X7R,ROHS</v>
          </cell>
          <cell r="E304">
            <v>4000</v>
          </cell>
        </row>
        <row r="305">
          <cell r="B305" t="str">
            <v>CC0805FRNPO9BN820</v>
          </cell>
          <cell r="C305" t="str">
            <v>Cal-Chip Electronics Inc</v>
          </cell>
          <cell r="D305" t="str">
            <v>CAP,SMD,CER,82PF,1% TOL,50V,C0G,0805</v>
          </cell>
          <cell r="E305">
            <v>4000</v>
          </cell>
        </row>
        <row r="306">
          <cell r="B306" t="str">
            <v>CC1210KKX7R0BB105</v>
          </cell>
          <cell r="C306" t="str">
            <v>Yageo Corp</v>
          </cell>
          <cell r="D306" t="str">
            <v>CAP,SMD,MLCC,1UF,10%,100VDC,X7R,1210</v>
          </cell>
          <cell r="E306">
            <v>2000</v>
          </cell>
        </row>
        <row r="307">
          <cell r="B307" t="str">
            <v>CC1210MKX5R7BB476</v>
          </cell>
          <cell r="C307" t="str">
            <v>Yageo Corp</v>
          </cell>
          <cell r="D307" t="str">
            <v>4K99 OHM 1% 0.2W/70C</v>
          </cell>
          <cell r="E307">
            <v>450</v>
          </cell>
        </row>
        <row r="308">
          <cell r="B308" t="str">
            <v>CC12H1.5A-TR</v>
          </cell>
          <cell r="C308" t="str">
            <v>Eaton</v>
          </cell>
          <cell r="D308" t="str">
            <v>Surface Mount Fuses 1.5A TR Chip Fuse</v>
          </cell>
          <cell r="E308">
            <v>3000</v>
          </cell>
        </row>
        <row r="309">
          <cell r="B309" t="str">
            <v>CCHD-957X-25-49.152</v>
          </cell>
          <cell r="C309" t="str">
            <v>Crystek</v>
          </cell>
          <cell r="D309" t="str">
            <v>OSC,SMD,LO NOISE,49.152 MHZ,CMOS OUT</v>
          </cell>
          <cell r="E309">
            <v>16</v>
          </cell>
        </row>
        <row r="310">
          <cell r="B310" t="str">
            <v>CD74ACT109M96</v>
          </cell>
          <cell r="C310" t="str">
            <v>Texas Instruments</v>
          </cell>
          <cell r="D310" t="str">
            <v>IC,SMD,DUAL JK FLIP-FLOP,4.5-5.5V,SOIC16</v>
          </cell>
          <cell r="E310">
            <v>200</v>
          </cell>
        </row>
        <row r="311">
          <cell r="B311" t="str">
            <v>CD74HCT368M</v>
          </cell>
          <cell r="C311" t="str">
            <v>Texas Instruments</v>
          </cell>
          <cell r="D311" t="str">
            <v>IC,SMD,BFR,INVERTING,4.5-5.5V,SOIC-16</v>
          </cell>
          <cell r="E311">
            <v>2500</v>
          </cell>
        </row>
        <row r="312">
          <cell r="B312" t="str">
            <v>CDSOD323-T12C</v>
          </cell>
          <cell r="C312" t="str">
            <v>Bourns Inc</v>
          </cell>
          <cell r="D312" t="str">
            <v>DIO,SMD,ZENER,TVS,12VWM,28.3VC,SOD323</v>
          </cell>
          <cell r="E312">
            <v>3000</v>
          </cell>
        </row>
        <row r="313">
          <cell r="B313" t="str">
            <v>CF1/2CT52R471J</v>
          </cell>
          <cell r="C313" t="str">
            <v>KOA Speer Electronics Inc</v>
          </cell>
          <cell r="D313" t="str">
            <v>RES 1/2W 5% 470 CF, ROHS</v>
          </cell>
          <cell r="E313">
            <v>4000</v>
          </cell>
        </row>
        <row r="314">
          <cell r="B314" t="str">
            <v>CF14JT100K</v>
          </cell>
          <cell r="C314" t="str">
            <v>KOA Speer Electronics Inc</v>
          </cell>
          <cell r="D314" t="str">
            <v>RES 1/4W 5% 100K CF,ROHS</v>
          </cell>
          <cell r="E314">
            <v>5000</v>
          </cell>
        </row>
        <row r="315">
          <cell r="B315" t="str">
            <v>CFR-25JB-52-2K7</v>
          </cell>
          <cell r="C315" t="str">
            <v>Yageo Corp</v>
          </cell>
          <cell r="D315" t="str">
            <v>RES,CARBON FILM,2.7K OHM,1/4W,+/-5%,250V</v>
          </cell>
          <cell r="E315">
            <v>500</v>
          </cell>
        </row>
        <row r="316">
          <cell r="B316" t="str">
            <v>CFR-25JB-52-4K7</v>
          </cell>
          <cell r="C316" t="str">
            <v>Yageo Corp</v>
          </cell>
          <cell r="D316" t="str">
            <v>RES,CARBON FILM,4.7K OHM,1/4W,+/-5%,250V</v>
          </cell>
          <cell r="E316">
            <v>10000</v>
          </cell>
        </row>
        <row r="317">
          <cell r="B317" t="str">
            <v>CGA9N1X7R1V476M230KC</v>
          </cell>
          <cell r="C317" t="str">
            <v>TDK Corp</v>
          </cell>
          <cell r="D317" t="str">
            <v>CAP,SMD,MLCC,47UF,20%,35VDC,X7R,2220</v>
          </cell>
          <cell r="E317">
            <v>90</v>
          </cell>
        </row>
        <row r="318">
          <cell r="B318" t="str">
            <v>CL05B224KO5NNNC</v>
          </cell>
          <cell r="C318" t="str">
            <v>Samsung</v>
          </cell>
          <cell r="D318" t="str">
            <v>Ceramic Capacitor, Multilayer, Ceramic,</v>
          </cell>
          <cell r="E318">
            <v>9999</v>
          </cell>
        </row>
        <row r="319">
          <cell r="B319" t="str">
            <v>CL10B103KA8NNNC</v>
          </cell>
          <cell r="C319" t="str">
            <v>Samsung Electro-Mechanics</v>
          </cell>
          <cell r="D319" t="str">
            <v>CAP,SMD,CER,0.01UF,±10% TOL,25VDC,0603</v>
          </cell>
          <cell r="E319">
            <v>4000</v>
          </cell>
        </row>
        <row r="320">
          <cell r="B320" t="str">
            <v>CL21A106KAYNNNE</v>
          </cell>
          <cell r="C320" t="str">
            <v>Samsung Electro-Mechanics</v>
          </cell>
          <cell r="D320" t="str">
            <v>CAP,SMD,10UF,25V,10% TOL,X5R,CER</v>
          </cell>
          <cell r="E320">
            <v>1999</v>
          </cell>
        </row>
        <row r="321">
          <cell r="B321" t="str">
            <v>CL21A476MQYNNNE</v>
          </cell>
          <cell r="C321" t="str">
            <v>Samsung Electro-Mechanics</v>
          </cell>
          <cell r="D321" t="str">
            <v>CAP,SMD,MLCC,47UF,20%,6.3V,X5R,0805</v>
          </cell>
          <cell r="E321">
            <v>386</v>
          </cell>
        </row>
        <row r="322">
          <cell r="B322" t="str">
            <v>CL31B106KBHNNNE</v>
          </cell>
          <cell r="C322" t="str">
            <v>Samsung Electro-Mechanics</v>
          </cell>
          <cell r="D322" t="str">
            <v>CAP CER 10UF 50V X7R 1206</v>
          </cell>
          <cell r="E322">
            <v>1938</v>
          </cell>
        </row>
        <row r="323">
          <cell r="B323" t="str">
            <v>CL32A106KLULNNE</v>
          </cell>
          <cell r="C323" t="str">
            <v>Samsung Electro-Mechanics</v>
          </cell>
          <cell r="D323" t="str">
            <v>CAP,SMD,MLCC,10UF,35V,10%,X5R,1210</v>
          </cell>
          <cell r="E323">
            <v>2000</v>
          </cell>
        </row>
        <row r="324">
          <cell r="B324" t="str">
            <v>CMP0603AFX-1000ELF</v>
          </cell>
          <cell r="C324" t="str">
            <v>Bourns Inc</v>
          </cell>
          <cell r="D324" t="str">
            <v>RES,SMD,THK FILM,100 OHM,1%,0.25W,0603</v>
          </cell>
          <cell r="E324">
            <v>5000</v>
          </cell>
        </row>
        <row r="325">
          <cell r="B325" t="str">
            <v>CNY17-2</v>
          </cell>
          <cell r="C325" t="str">
            <v>Vishay</v>
          </cell>
          <cell r="D325" t="str">
            <v>OPTOISO 5KV TRANS W/BASE 6DIP</v>
          </cell>
          <cell r="E325">
            <v>2000</v>
          </cell>
        </row>
        <row r="326">
          <cell r="B326" t="str">
            <v>CNY17-4</v>
          </cell>
          <cell r="C326" t="str">
            <v>Vishay Semiconductors</v>
          </cell>
          <cell r="D326" t="str">
            <v>IC,OPTOCOUPLER,XSTR OUTPUT</v>
          </cell>
          <cell r="E326">
            <v>5988</v>
          </cell>
        </row>
        <row r="327">
          <cell r="B327" t="str">
            <v>CPC1303GR</v>
          </cell>
          <cell r="C327" t="str">
            <v>Littelfuse, Inc.</v>
          </cell>
          <cell r="D327" t="str">
            <v>IC,SMD,SINGLE TRNSTOR OPTOCPL TTL COMP</v>
          </cell>
          <cell r="E327">
            <v>457</v>
          </cell>
        </row>
        <row r="328">
          <cell r="B328" t="str">
            <v>CPF0402B12RE1</v>
          </cell>
          <cell r="C328" t="str">
            <v>TE Connectivity Ltd</v>
          </cell>
          <cell r="D328" t="str">
            <v>RES,SMD,12OHM,±0.1%,25PPM,1/16W,0402</v>
          </cell>
          <cell r="E328">
            <v>1000</v>
          </cell>
        </row>
        <row r="329">
          <cell r="B329" t="str">
            <v>CRCW04020000Z0EDHP</v>
          </cell>
          <cell r="C329" t="str">
            <v>Vishay Intertechnology Inc</v>
          </cell>
          <cell r="D329" t="str">
            <v>0 Ohms Jumper 0.2W, 1/5W Chip Resistor 0</v>
          </cell>
          <cell r="E329">
            <v>9078</v>
          </cell>
        </row>
        <row r="330">
          <cell r="B330" t="str">
            <v>CRCW040212K1FKED</v>
          </cell>
          <cell r="C330" t="str">
            <v>Vishay Semiconductors</v>
          </cell>
          <cell r="D330" t="str">
            <v>Fx Res, Metal Glaze/thick Film,</v>
          </cell>
          <cell r="E330">
            <v>10000</v>
          </cell>
        </row>
        <row r="331">
          <cell r="B331" t="str">
            <v>CRCW04021R00FKED</v>
          </cell>
          <cell r="C331" t="str">
            <v>Vishay Semiconductors</v>
          </cell>
          <cell r="D331" t="str">
            <v>Fx Res, Metal Glaze/thick Film, 0.063W,</v>
          </cell>
          <cell r="E331">
            <v>10000</v>
          </cell>
        </row>
        <row r="332">
          <cell r="B332" t="str">
            <v>CRCW0603100KFKEA</v>
          </cell>
          <cell r="C332" t="str">
            <v>Vishay Intertechnology Inc</v>
          </cell>
          <cell r="D332" t="str">
            <v>STANDARD THICK FILM CHIP RESISTOR</v>
          </cell>
          <cell r="E332">
            <v>5000</v>
          </cell>
        </row>
        <row r="333">
          <cell r="B333" t="str">
            <v>CRCW0603102KFKEA</v>
          </cell>
          <cell r="C333" t="str">
            <v>Vishay Semiconductors</v>
          </cell>
          <cell r="D333" t="str">
            <v>RES,SMD,102KOHM,TOL 1%,0603, 0.1W</v>
          </cell>
          <cell r="E333">
            <v>5000</v>
          </cell>
        </row>
        <row r="334">
          <cell r="B334" t="str">
            <v>CRCW0603365RFKEA</v>
          </cell>
          <cell r="C334" t="str">
            <v>Panasonic</v>
          </cell>
          <cell r="D334" t="str">
            <v>RES,0603,THKF,1%,1/10W,100PPM,365 ROHS</v>
          </cell>
          <cell r="E334">
            <v>5000</v>
          </cell>
        </row>
        <row r="335">
          <cell r="B335" t="str">
            <v>CRCW0603432KFKEA</v>
          </cell>
          <cell r="C335" t="str">
            <v>Vishay Semiconductors</v>
          </cell>
          <cell r="D335" t="str">
            <v>RES,SMD,432KOHM,TOL 1%,0603, 0.1W</v>
          </cell>
          <cell r="E335">
            <v>5000</v>
          </cell>
        </row>
        <row r="336">
          <cell r="B336" t="str">
            <v>CRCW0805180KJNEA</v>
          </cell>
          <cell r="C336" t="str">
            <v>Vishay Semiconductors</v>
          </cell>
          <cell r="D336" t="str">
            <v>RES,SMD,0805,180K,5%,1/10W,ROHS</v>
          </cell>
          <cell r="E336">
            <v>5000</v>
          </cell>
        </row>
        <row r="337">
          <cell r="B337" t="str">
            <v>CRCW080551R0FKEAHP</v>
          </cell>
          <cell r="C337" t="str">
            <v>Vishay Semiconductors</v>
          </cell>
          <cell r="D337" t="str">
            <v>RES,SMD,THK FILM,51OHM,+/-1%,0.5W,0805</v>
          </cell>
          <cell r="E337">
            <v>5000</v>
          </cell>
        </row>
        <row r="338">
          <cell r="B338" t="str">
            <v>CRCW12060000Z0EBC</v>
          </cell>
          <cell r="C338" t="str">
            <v>Vishay Semiconductors</v>
          </cell>
          <cell r="D338" t="str">
            <v>RES,SMD,JMPR,1/4W,THK FILM,1206</v>
          </cell>
          <cell r="E338">
            <v>9500</v>
          </cell>
        </row>
        <row r="339">
          <cell r="B339" t="str">
            <v>CRCW12061K91FKEA</v>
          </cell>
          <cell r="C339" t="str">
            <v>Vishay Dale</v>
          </cell>
          <cell r="D339" t="str">
            <v>RES,1206,1% 1/4W,1.91K ROHS</v>
          </cell>
          <cell r="E339">
            <v>5000</v>
          </cell>
        </row>
        <row r="340">
          <cell r="B340" t="str">
            <v>CRCW12061M00FKEAC</v>
          </cell>
          <cell r="C340" t="str">
            <v>Vishay Semiconductors</v>
          </cell>
          <cell r="D340" t="str">
            <v>RES,SMD,1M OHM,1%,100PPM,0.25W,1206</v>
          </cell>
          <cell r="E340">
            <v>5000</v>
          </cell>
        </row>
        <row r="341">
          <cell r="B341" t="str">
            <v>CRCW12061M02FKEA</v>
          </cell>
          <cell r="C341" t="str">
            <v>Vishay Dale</v>
          </cell>
          <cell r="D341" t="str">
            <v>RES,SMD,1206,1.02M OHM,1%,1/4W,ROHS</v>
          </cell>
          <cell r="E341">
            <v>5000</v>
          </cell>
        </row>
        <row r="342">
          <cell r="B342" t="str">
            <v>CRCW12062K49FKEA</v>
          </cell>
          <cell r="C342" t="str">
            <v>Vishay Dale</v>
          </cell>
          <cell r="D342" t="str">
            <v>RES,1206,1% 1/4W,2.49K ROHS</v>
          </cell>
          <cell r="E342">
            <v>5000</v>
          </cell>
        </row>
        <row r="343">
          <cell r="B343" t="str">
            <v>CRCW12067K15FKEA</v>
          </cell>
          <cell r="C343" t="str">
            <v>Yageo Corp</v>
          </cell>
          <cell r="D343" t="str">
            <v>RES,1206,1% 1/4W,7.15K ROHS</v>
          </cell>
          <cell r="E343">
            <v>5999</v>
          </cell>
        </row>
        <row r="344">
          <cell r="B344" t="str">
            <v>CRCW12068K45FKEA</v>
          </cell>
          <cell r="C344" t="str">
            <v>IRC Company Ltd</v>
          </cell>
          <cell r="D344" t="str">
            <v>RES,SMD,1206,8.45K,1%,1/4W,ROHS</v>
          </cell>
          <cell r="E344">
            <v>4999</v>
          </cell>
        </row>
        <row r="345">
          <cell r="B345" t="str">
            <v>CRCW20102K20JNEF</v>
          </cell>
          <cell r="C345" t="str">
            <v>KOA Speer Electronics Inc</v>
          </cell>
          <cell r="D345" t="str">
            <v>RESISTOR,SMD,2010,2.2K OHM,5% 1/2W,ROHS</v>
          </cell>
          <cell r="E345">
            <v>4000</v>
          </cell>
        </row>
        <row r="346">
          <cell r="B346" t="str">
            <v>CRCW20102K70JNEF</v>
          </cell>
          <cell r="C346" t="str">
            <v>Vishay Semiconductors</v>
          </cell>
          <cell r="D346" t="str">
            <v>RES,SMD,THKF,2.7K,2010 5% 1/2W</v>
          </cell>
          <cell r="E346">
            <v>4000</v>
          </cell>
        </row>
        <row r="347">
          <cell r="B347" t="str">
            <v>CRCW201039R0JNEF</v>
          </cell>
          <cell r="C347" t="str">
            <v>KOA Speer Electronics Inc</v>
          </cell>
          <cell r="D347" t="str">
            <v>RESISTOR,SMD,2010,39 OHM,5% 1/2W,ROHS</v>
          </cell>
          <cell r="E347">
            <v>8000</v>
          </cell>
        </row>
        <row r="348">
          <cell r="B348" t="str">
            <v>CRCW20103K00JNEF</v>
          </cell>
          <cell r="C348" t="str">
            <v>KOA Speer Electronics Inc</v>
          </cell>
          <cell r="D348" t="str">
            <v>RESISTOR,SMD,2010,3K OHM,5% 1/2W,ROHS</v>
          </cell>
          <cell r="E348">
            <v>8000</v>
          </cell>
        </row>
        <row r="349">
          <cell r="B349" t="str">
            <v>CRCW25121K00FKEG</v>
          </cell>
          <cell r="C349" t="str">
            <v>Vishay Intertechnology Inc</v>
          </cell>
          <cell r="D349" t="str">
            <v>RES SMD 1K OHM 1% 1W 2512</v>
          </cell>
          <cell r="E349">
            <v>4000</v>
          </cell>
        </row>
        <row r="350">
          <cell r="B350" t="str">
            <v>CRCW25121K00JNEG</v>
          </cell>
          <cell r="C350" t="str">
            <v>Vishay Semiconductors</v>
          </cell>
          <cell r="D350" t="str">
            <v>RES,SMD,2512,THKF,5%,1W,1K,ROHS</v>
          </cell>
          <cell r="E350">
            <v>1984</v>
          </cell>
        </row>
        <row r="351">
          <cell r="B351" t="str">
            <v>CRCW25121K10JNEG</v>
          </cell>
          <cell r="C351" t="str">
            <v>Vishay Semiconductors</v>
          </cell>
          <cell r="D351" t="str">
            <v>RES,2512,1.1K,5%,1W</v>
          </cell>
          <cell r="E351">
            <v>2000</v>
          </cell>
        </row>
        <row r="352">
          <cell r="B352" t="str">
            <v>CRGP0603F1M0</v>
          </cell>
          <cell r="C352" t="str">
            <v>TE Connectivity Ltd</v>
          </cell>
          <cell r="D352" t="str">
            <v>RES,SMD,1MOHM,+/-1%,200PPM,1/4W,0603</v>
          </cell>
          <cell r="E352">
            <v>5000</v>
          </cell>
        </row>
        <row r="353">
          <cell r="B353" t="str">
            <v>CY8C5468AXI-LP106</v>
          </cell>
          <cell r="C353" t="str">
            <v>Cypress</v>
          </cell>
          <cell r="D353" t="str">
            <v>IC MCU 32BIT 256KB FLASH 100TQFP</v>
          </cell>
          <cell r="E353">
            <v>450</v>
          </cell>
        </row>
        <row r="354">
          <cell r="B354" t="str">
            <v>D3W3P36A6GX08LF</v>
          </cell>
          <cell r="C354" t="str">
            <v>Amphenol Corp</v>
          </cell>
          <cell r="D354" t="str">
            <v>CONN,PLUG,DSUB,RT. ANGLE,3 PIN,30A</v>
          </cell>
          <cell r="E354">
            <v>400</v>
          </cell>
        </row>
        <row r="355">
          <cell r="B355" t="str">
            <v>DAC60501ZDGSR</v>
          </cell>
          <cell r="C355" t="str">
            <v>Texas Instruments</v>
          </cell>
          <cell r="D355" t="str">
            <v>SINGLE CHAN DAC 12BIT- ZEROCODE</v>
          </cell>
          <cell r="E355">
            <v>250</v>
          </cell>
        </row>
        <row r="356">
          <cell r="B356" t="str">
            <v>dac7718SRGZR</v>
          </cell>
          <cell r="C356" t="str">
            <v>Texas Instruments</v>
          </cell>
          <cell r="D356" t="str">
            <v>TAPE &amp; REEL | |Digital to Analog Convert</v>
          </cell>
          <cell r="E356">
            <v>250</v>
          </cell>
        </row>
        <row r="357">
          <cell r="B357" t="str">
            <v>DAMC3H3PJK87</v>
          </cell>
          <cell r="C357" t="str">
            <v>ITT Cannon</v>
          </cell>
          <cell r="D357" t="str">
            <v>CONN,COMBO-D,PLUG,3PIN,R/A,THROUGH HOLE</v>
          </cell>
          <cell r="E357">
            <v>70</v>
          </cell>
        </row>
        <row r="358">
          <cell r="B358" t="str">
            <v>DAMN3H3PNK87</v>
          </cell>
          <cell r="C358" t="str">
            <v>ITT Cannon</v>
          </cell>
          <cell r="D358" t="str">
            <v>CONN,D-SUB,3M,PCB STRT,W/STOFF</v>
          </cell>
          <cell r="E358">
            <v>60</v>
          </cell>
        </row>
        <row r="359">
          <cell r="B359" t="str">
            <v>DAMZ15PNK87</v>
          </cell>
          <cell r="C359" t="str">
            <v>ITT Cannon</v>
          </cell>
          <cell r="D359" t="str">
            <v>CONN,DSUB,15M,PCB STRT,0.25"</v>
          </cell>
          <cell r="E359">
            <v>30</v>
          </cell>
        </row>
        <row r="360">
          <cell r="B360" t="str">
            <v>DAMZ-15S-N-A197</v>
          </cell>
          <cell r="C360" t="str">
            <v>ITT Interconnect Solutions</v>
          </cell>
          <cell r="D360" t="str">
            <v>CONN,D-SUB,SKT,15PIN,7.5A,PCB MT,BD LOCK</v>
          </cell>
          <cell r="E360">
            <v>18</v>
          </cell>
        </row>
        <row r="361">
          <cell r="B361" t="str">
            <v>DAMZ7H2SNA197</v>
          </cell>
          <cell r="C361" t="str">
            <v>ITT Cannon</v>
          </cell>
          <cell r="D361" t="str">
            <v>CONN,COMBO-D,7W2,FEM,PCB,STRT,NO JACKS</v>
          </cell>
          <cell r="E361">
            <v>94</v>
          </cell>
        </row>
        <row r="362">
          <cell r="B362" t="str">
            <v>DAO7W2P300H30LF</v>
          </cell>
          <cell r="C362" t="str">
            <v>Amphenol ICC</v>
          </cell>
          <cell r="D362" t="str">
            <v>CONN,COMBO D-SUB,PIN,DA,7W2,30A,THD INSR</v>
          </cell>
          <cell r="E362">
            <v>114</v>
          </cell>
        </row>
        <row r="363">
          <cell r="B363" t="str">
            <v>DAO7W2S300G40LF</v>
          </cell>
          <cell r="C363" t="str">
            <v>Amphenol FCI</v>
          </cell>
          <cell r="D363" t="str">
            <v>CONN,RCPT,COMBO-D,7W2,40A PWR,UNC 4-40</v>
          </cell>
          <cell r="E363">
            <v>94</v>
          </cell>
        </row>
        <row r="364">
          <cell r="B364" t="str">
            <v>DAT72415-HR</v>
          </cell>
          <cell r="C364" t="str">
            <v>Cynergy 3</v>
          </cell>
          <cell r="D364" t="str">
            <v>RLY,REED SW,SPNO,2A,1000VAC/DC,5VDC,TH</v>
          </cell>
          <cell r="E364">
            <v>50</v>
          </cell>
        </row>
        <row r="365">
          <cell r="B365" t="str">
            <v>DFLS130L-7</v>
          </cell>
          <cell r="C365" t="str">
            <v>Diodes Inc</v>
          </cell>
          <cell r="D365" t="str">
            <v>Rectifier Diode Schottky 30V 1A 2-Pin Po</v>
          </cell>
          <cell r="E365">
            <v>3000</v>
          </cell>
        </row>
        <row r="366">
          <cell r="B366" t="str">
            <v>DFLT5V0A-7</v>
          </cell>
          <cell r="C366" t="str">
            <v>Diodes Inc</v>
          </cell>
          <cell r="D366" t="str">
            <v>DIO,SMD,PWR,TVS,255W,5V  ROHS</v>
          </cell>
          <cell r="E366">
            <v>3000</v>
          </cell>
        </row>
        <row r="367">
          <cell r="B367" t="str">
            <v>DG4051EEQ-T1-GE3</v>
          </cell>
          <cell r="C367" t="str">
            <v>Vishay Semiconductors</v>
          </cell>
          <cell r="D367" t="str">
            <v>IC,SMD,ANALOG MUX,1CKT,8CH,78OHM,TSSOP16</v>
          </cell>
          <cell r="E367">
            <v>3000</v>
          </cell>
        </row>
        <row r="368">
          <cell r="B368" t="str">
            <v>DM53744-25</v>
          </cell>
          <cell r="C368" t="str">
            <v>ITT Cannon</v>
          </cell>
          <cell r="D368" t="str">
            <v>CONTACT,D-SUB POWER,RCPT,FEMALE,20A,12AW</v>
          </cell>
          <cell r="E368">
            <v>200</v>
          </cell>
        </row>
        <row r="369">
          <cell r="B369" t="str">
            <v>DRP-03</v>
          </cell>
          <cell r="C369" t="str">
            <v>Meanwell Ltd</v>
          </cell>
          <cell r="D369" t="str">
            <v>BRKT,MOUNT,DIN RAIL,50X45 MM,AL. 6063-T5</v>
          </cell>
          <cell r="E369">
            <v>100</v>
          </cell>
        </row>
        <row r="370">
          <cell r="B370" t="str">
            <v>DRV8825PWPR</v>
          </cell>
          <cell r="C370" t="str">
            <v>Texas Instruments</v>
          </cell>
          <cell r="D370" t="str">
            <v>IC,STEPPER MOTOR CNTRLR,2.5A,24V,HTSSOP-</v>
          </cell>
          <cell r="E370">
            <v>100</v>
          </cell>
        </row>
        <row r="371">
          <cell r="B371" t="str">
            <v>DW-25-07-G-D-200</v>
          </cell>
          <cell r="C371" t="str">
            <v>Samtec Inc</v>
          </cell>
          <cell r="D371" t="str">
            <v>CONN,HDR,BD STACK,50PIN,VERT,2ROW,2.54MM</v>
          </cell>
          <cell r="E371">
            <v>500</v>
          </cell>
        </row>
        <row r="372">
          <cell r="B372" t="str">
            <v>ECE80US24</v>
          </cell>
          <cell r="C372" t="str">
            <v>Xp Power</v>
          </cell>
          <cell r="D372" t="str">
            <v>PS,AC-DC,85-264V INPUT,24V,3.33A,TH</v>
          </cell>
          <cell r="E372">
            <v>52</v>
          </cell>
        </row>
        <row r="373">
          <cell r="B373" t="str">
            <v>ECP-U1C104MA5</v>
          </cell>
          <cell r="C373" t="str">
            <v>Panasonic</v>
          </cell>
          <cell r="D373" t="str">
            <v>CAP,SMD,FILM 0.1UF 16V</v>
          </cell>
          <cell r="E373">
            <v>3000</v>
          </cell>
        </row>
        <row r="374">
          <cell r="B374" t="str">
            <v>ECS-120-20-30B-TR</v>
          </cell>
          <cell r="C374" t="str">
            <v>Ecs Inc</v>
          </cell>
          <cell r="D374" t="str">
            <v>OSC,SMD,XTAL,12MHZ,20PF</v>
          </cell>
          <cell r="E374">
            <v>978</v>
          </cell>
        </row>
        <row r="375">
          <cell r="B375" t="str">
            <v>EEE-1VA100SR</v>
          </cell>
          <cell r="C375" t="str">
            <v>Panasonic</v>
          </cell>
          <cell r="D375" t="str">
            <v>CAP,SMD,10UF,20%,35V,ALUM,VERT,ROHS</v>
          </cell>
          <cell r="E375">
            <v>1000</v>
          </cell>
        </row>
        <row r="376">
          <cell r="B376" t="str">
            <v>EEE-1VA220WR</v>
          </cell>
          <cell r="C376" t="str">
            <v>Panasonic</v>
          </cell>
          <cell r="D376" t="str">
            <v>CAP,SMD,AL,ELCTLT,22UF,EEE1,20%,35V,ROHS</v>
          </cell>
          <cell r="E376">
            <v>1000</v>
          </cell>
        </row>
        <row r="377">
          <cell r="B377" t="str">
            <v>EEE-FK1V221P</v>
          </cell>
          <cell r="C377" t="str">
            <v>Panasonic</v>
          </cell>
          <cell r="D377" t="str">
            <v>Cap Aluminum Lytic 220uF 35V 20% (8 X 10</v>
          </cell>
          <cell r="E377">
            <v>500</v>
          </cell>
        </row>
        <row r="378">
          <cell r="B378" t="str">
            <v>EEEFT1C102AP</v>
          </cell>
          <cell r="C378" t="str">
            <v>Panasonic</v>
          </cell>
          <cell r="D378" t="str">
            <v>CAP,SMD,ELCTLT,AL,1000UF,20%,16V,HTM</v>
          </cell>
          <cell r="E378">
            <v>499</v>
          </cell>
        </row>
        <row r="379">
          <cell r="B379" t="str">
            <v>EEHZT1H101V</v>
          </cell>
          <cell r="C379" t="str">
            <v>Panasonic</v>
          </cell>
          <cell r="D379" t="str">
            <v>CAP,SMD,AL,ELCTLT,100UF,20%,50V,VIB PRF</v>
          </cell>
          <cell r="E379">
            <v>500</v>
          </cell>
        </row>
        <row r="380">
          <cell r="B380" t="str">
            <v>EEV107M035A9HAA</v>
          </cell>
          <cell r="C380" t="str">
            <v>Kemet Electronics Corp</v>
          </cell>
          <cell r="D380" t="str">
            <v>CAP,SMD,ELCTLT,20%,35V,100UF,6.3MM DIA</v>
          </cell>
          <cell r="E380">
            <v>1000</v>
          </cell>
        </row>
        <row r="381">
          <cell r="B381" t="str">
            <v>EEV-TG1H102M</v>
          </cell>
          <cell r="C381" t="str">
            <v>Panasonic</v>
          </cell>
          <cell r="D381" t="str">
            <v>1000 µF 50 V Aluminum Electrolytic Capac</v>
          </cell>
          <cell r="E381">
            <v>250</v>
          </cell>
        </row>
        <row r="382">
          <cell r="B382" t="str">
            <v>EKY-500ELL222MMP1S</v>
          </cell>
          <cell r="C382" t="str">
            <v>Nippon Chemi-Con Corporation</v>
          </cell>
          <cell r="D382" t="str">
            <v>CAP,AL-ELCTLT,2200UF,50VDC,±20% TOL,ROHS</v>
          </cell>
          <cell r="E382">
            <v>500</v>
          </cell>
        </row>
        <row r="383">
          <cell r="B383" t="str">
            <v>ELM1-6MM</v>
          </cell>
          <cell r="C383" t="str">
            <v>Bivar</v>
          </cell>
          <cell r="D383" t="str">
            <v>SPACER,LED T1-3/4 2P 6MM</v>
          </cell>
          <cell r="E383">
            <v>1000</v>
          </cell>
        </row>
        <row r="384">
          <cell r="B384" t="str">
            <v>ER1641-101KM</v>
          </cell>
          <cell r="C384" t="str">
            <v>API Delevan</v>
          </cell>
          <cell r="D384" t="str">
            <v>IDCTR,RF,.1UH,.025OHM,10%TOL</v>
          </cell>
          <cell r="E384">
            <v>60</v>
          </cell>
        </row>
        <row r="385">
          <cell r="B385" t="str">
            <v>ERA-2AEB101X</v>
          </cell>
          <cell r="C385" t="str">
            <v>Panasonic</v>
          </cell>
          <cell r="D385" t="str">
            <v>RES SMD 100 OHM 0.1% 1/16W 0402</v>
          </cell>
          <cell r="E385">
            <v>9947</v>
          </cell>
        </row>
        <row r="386">
          <cell r="B386" t="str">
            <v>ERA-2AEB1182X</v>
          </cell>
          <cell r="C386" t="str">
            <v>Panasonic</v>
          </cell>
          <cell r="D386" t="str">
            <v>RES,SMD,11.8KOHM,0.1%,1/16W,0402</v>
          </cell>
          <cell r="E386">
            <v>9817</v>
          </cell>
        </row>
        <row r="387">
          <cell r="B387" t="str">
            <v>ERA-2AEB1370X</v>
          </cell>
          <cell r="C387" t="str">
            <v>Panasonic</v>
          </cell>
          <cell r="D387" t="str">
            <v>RES,SMD,0402,137 OHM,0.1%,1/16W,ROHS</v>
          </cell>
          <cell r="E387">
            <v>10000</v>
          </cell>
        </row>
        <row r="388">
          <cell r="B388" t="str">
            <v>ERA-2AEB161X</v>
          </cell>
          <cell r="C388" t="str">
            <v>Yageo Corp</v>
          </cell>
          <cell r="D388" t="str">
            <v>RES SMD 160 OHM 0.1% 1/16W 0402</v>
          </cell>
          <cell r="E388">
            <v>10000</v>
          </cell>
        </row>
        <row r="389">
          <cell r="B389" t="str">
            <v>ERA-2AEB2261X</v>
          </cell>
          <cell r="C389" t="str">
            <v>Yageo Corp</v>
          </cell>
          <cell r="D389" t="str">
            <v>RES SMD 2.26KOHM 0.1% 1/16W 0402</v>
          </cell>
          <cell r="E389">
            <v>9999</v>
          </cell>
        </row>
        <row r="390">
          <cell r="B390" t="str">
            <v>ERA-2AEB2370X</v>
          </cell>
          <cell r="C390" t="str">
            <v>Panasonic Corp</v>
          </cell>
          <cell r="D390" t="str">
            <v>RES SMD 237 OHM 0.1% 1/16W 0402</v>
          </cell>
          <cell r="E390">
            <v>10000</v>
          </cell>
        </row>
        <row r="391">
          <cell r="B391" t="str">
            <v>ERA-2AEB271X</v>
          </cell>
          <cell r="C391" t="str">
            <v>Panasonic</v>
          </cell>
          <cell r="D391" t="str">
            <v>RES,SMD,270,0.1%,1/16W,0402,ROHS</v>
          </cell>
          <cell r="E391">
            <v>10000</v>
          </cell>
        </row>
        <row r="392">
          <cell r="B392" t="str">
            <v>ERA-2AEB2742X</v>
          </cell>
          <cell r="C392" t="str">
            <v>Panasonic</v>
          </cell>
          <cell r="D392" t="str">
            <v>RES,SMD,27.4KOHM,0.1%,1/16W,0402</v>
          </cell>
          <cell r="E392">
            <v>10000</v>
          </cell>
        </row>
        <row r="393">
          <cell r="B393" t="str">
            <v>ERA-2AEB3321X</v>
          </cell>
          <cell r="C393" t="str">
            <v>Yageo Corp</v>
          </cell>
          <cell r="D393" t="str">
            <v>RES SMD 3.32KOHM 0.1% 1/16W 0402</v>
          </cell>
          <cell r="E393">
            <v>10000</v>
          </cell>
        </row>
        <row r="394">
          <cell r="B394" t="str">
            <v>ERA-2AEB4120X</v>
          </cell>
          <cell r="C394" t="str">
            <v>Panasonic</v>
          </cell>
          <cell r="D394" t="str">
            <v>RES SMD 412 OHM 0.1% 1/16W 0402</v>
          </cell>
          <cell r="E394">
            <v>10000</v>
          </cell>
        </row>
        <row r="395">
          <cell r="B395" t="str">
            <v>ERA-2AEB5230X</v>
          </cell>
          <cell r="C395" t="str">
            <v>Panasonic</v>
          </cell>
          <cell r="D395" t="str">
            <v>RES,SMD,0402,523OHM,0.1%,1/16W,ROHS</v>
          </cell>
          <cell r="E395">
            <v>17129</v>
          </cell>
        </row>
        <row r="396">
          <cell r="B396" t="str">
            <v>ERA-3AEB1182V</v>
          </cell>
          <cell r="C396" t="str">
            <v>Panasonic</v>
          </cell>
          <cell r="D396" t="str">
            <v>RES,SMD,11.8K,0.1%,1/10W,0603,ROHS</v>
          </cell>
          <cell r="E396">
            <v>5000</v>
          </cell>
        </row>
        <row r="397">
          <cell r="B397" t="str">
            <v>ERA-3AEB512V</v>
          </cell>
          <cell r="C397" t="str">
            <v>Panasonic</v>
          </cell>
          <cell r="D397" t="str">
            <v>RES,SMD,5.1K,0.1%,1/10W,0603,ROHS</v>
          </cell>
          <cell r="E397">
            <v>5000</v>
          </cell>
        </row>
        <row r="398">
          <cell r="B398" t="str">
            <v>ERA3VPB1502V</v>
          </cell>
          <cell r="C398" t="str">
            <v>Panasonic</v>
          </cell>
          <cell r="D398" t="str">
            <v>RES,SMD,THIN FILM,15KOHM,15PPM,±.1%,0603</v>
          </cell>
          <cell r="E398">
            <v>5000</v>
          </cell>
        </row>
        <row r="399">
          <cell r="B399" t="str">
            <v>ERA6AEB102V</v>
          </cell>
          <cell r="C399" t="str">
            <v>Panasonic</v>
          </cell>
          <cell r="D399" t="str">
            <v>RES,0805,0.1%,1/8W,25PPM,1K ROHS</v>
          </cell>
          <cell r="E399">
            <v>5000</v>
          </cell>
        </row>
        <row r="400">
          <cell r="B400" t="str">
            <v>ERA-6AEB123V</v>
          </cell>
          <cell r="C400" t="str">
            <v>Panasonic</v>
          </cell>
          <cell r="D400" t="str">
            <v>RES,0805,TF,1/8W,0.1%,25PPM,12K ROHS</v>
          </cell>
          <cell r="E400">
            <v>5000</v>
          </cell>
        </row>
        <row r="401">
          <cell r="B401" t="str">
            <v>ERA-6AEB153V</v>
          </cell>
          <cell r="C401" t="str">
            <v>Panasonic</v>
          </cell>
          <cell r="D401" t="str">
            <v>RES,0805,TF,1/8W,0.1%,25PPM,15K ROHS</v>
          </cell>
          <cell r="E401">
            <v>4846</v>
          </cell>
        </row>
        <row r="402">
          <cell r="B402" t="str">
            <v>ERA6AEB154</v>
          </cell>
          <cell r="C402" t="str">
            <v>Susumu Co Ltd</v>
          </cell>
          <cell r="D402" t="str">
            <v>RES,SMD,0805,MF,1/8W,0.1%,150K ROHS</v>
          </cell>
          <cell r="E402">
            <v>5000</v>
          </cell>
        </row>
        <row r="403">
          <cell r="B403" t="str">
            <v>ERA-6AEB221V</v>
          </cell>
          <cell r="C403" t="str">
            <v>Panasonic</v>
          </cell>
          <cell r="D403" t="str">
            <v>Thin Film Resistors - SMD 0805 220ohm 1/</v>
          </cell>
          <cell r="E403">
            <v>4945</v>
          </cell>
        </row>
        <row r="404">
          <cell r="B404" t="str">
            <v>ERA-6AEB2370V</v>
          </cell>
          <cell r="C404" t="str">
            <v>Susumu Co Ltd</v>
          </cell>
          <cell r="D404" t="str">
            <v>RES,0805,TF,1/8W,0.1%,25PPM,237 ROHS</v>
          </cell>
          <cell r="E404">
            <v>4767</v>
          </cell>
        </row>
        <row r="405">
          <cell r="B405" t="str">
            <v>ERA-6AEB241V</v>
          </cell>
          <cell r="C405" t="str">
            <v>Panasonic</v>
          </cell>
          <cell r="D405" t="str">
            <v>RES,0805,TF,1/8W,0.1%,25PPM,240 ROHS</v>
          </cell>
          <cell r="E405">
            <v>9989</v>
          </cell>
        </row>
        <row r="406">
          <cell r="B406" t="str">
            <v>ERA-6AEB394V</v>
          </cell>
          <cell r="C406" t="str">
            <v>Panasonic</v>
          </cell>
          <cell r="D406" t="str">
            <v>RES,SMD,0805,MF,1/8W,0.1%,390K ROHS</v>
          </cell>
          <cell r="E406">
            <v>5000</v>
          </cell>
        </row>
        <row r="407">
          <cell r="B407" t="str">
            <v>ERA-6AEB4990V</v>
          </cell>
          <cell r="C407" t="str">
            <v>Susumu Co Ltd</v>
          </cell>
          <cell r="D407" t="str">
            <v>RES,0805,TF,1/8W,0.1%,25PPM,499 ROHS</v>
          </cell>
          <cell r="E407">
            <v>5000</v>
          </cell>
        </row>
        <row r="408">
          <cell r="B408" t="str">
            <v>ERA6AEB5361V</v>
          </cell>
          <cell r="C408" t="str">
            <v>Panasonic</v>
          </cell>
          <cell r="D408" t="str">
            <v>RES,SMD,0805,RG,MF,0.1%,1/10W,5.36K</v>
          </cell>
          <cell r="E408">
            <v>5000</v>
          </cell>
        </row>
        <row r="409">
          <cell r="B409" t="str">
            <v>ERA-6AEB563V</v>
          </cell>
          <cell r="C409" t="str">
            <v>Panasonic</v>
          </cell>
          <cell r="D409" t="str">
            <v>RES,SMD,0805,MF,1/8W,0.1%,56K ROHS</v>
          </cell>
          <cell r="E409">
            <v>5000</v>
          </cell>
        </row>
        <row r="410">
          <cell r="B410" t="str">
            <v>ERA6AEB684</v>
          </cell>
          <cell r="C410" t="str">
            <v>Panasonic Corp</v>
          </cell>
          <cell r="D410" t="str">
            <v>RES,SMD,0805,MF,1/8W,0.1%,680K,ROHS</v>
          </cell>
          <cell r="E410">
            <v>5000</v>
          </cell>
        </row>
        <row r="411">
          <cell r="B411" t="str">
            <v>ERA-6AEB752V</v>
          </cell>
          <cell r="C411" t="str">
            <v>Panasonic</v>
          </cell>
          <cell r="D411" t="str">
            <v>Thin Film Resistors - SMD 0805 1/8W 7.5K</v>
          </cell>
          <cell r="E411">
            <v>5000</v>
          </cell>
        </row>
        <row r="412">
          <cell r="B412" t="str">
            <v>ERA-8AEB4023V</v>
          </cell>
          <cell r="C412" t="str">
            <v>Panasonic</v>
          </cell>
          <cell r="D412" t="str">
            <v>RES,1206,TF,0.1%,25 PPM,402K ROHS</v>
          </cell>
          <cell r="E412">
            <v>5000</v>
          </cell>
        </row>
        <row r="413">
          <cell r="B413" t="str">
            <v>ERA-8AEB4530V</v>
          </cell>
          <cell r="C413" t="str">
            <v>Panasonic</v>
          </cell>
          <cell r="D413" t="str">
            <v>RES,SMD,453,0.1%,1/4W,1206,ROHS</v>
          </cell>
          <cell r="E413">
            <v>5000</v>
          </cell>
        </row>
        <row r="414">
          <cell r="B414" t="str">
            <v>ERJ-1GNF4990C</v>
          </cell>
          <cell r="C414" t="str">
            <v>Panasonic</v>
          </cell>
          <cell r="D414" t="str">
            <v>RES,SMD,499,1%,1/20W,0201</v>
          </cell>
          <cell r="E414">
            <v>14372</v>
          </cell>
        </row>
        <row r="415">
          <cell r="B415" t="str">
            <v>ERJ-1GNF5761C</v>
          </cell>
          <cell r="C415" t="str">
            <v>Panasonic</v>
          </cell>
          <cell r="D415" t="str">
            <v>RES,SMD,5.76K,1%,1/20W,0201</v>
          </cell>
          <cell r="E415">
            <v>14341</v>
          </cell>
        </row>
        <row r="416">
          <cell r="B416" t="str">
            <v>ERJ1TRQFR36U</v>
          </cell>
          <cell r="C416" t="str">
            <v>Panasonic</v>
          </cell>
          <cell r="D416" t="str">
            <v>RES,SMD,1W,+/-1%TOL,0.36OHM,THK FILM</v>
          </cell>
          <cell r="E416">
            <v>4000</v>
          </cell>
        </row>
        <row r="417">
          <cell r="B417" t="str">
            <v>ERJ1TRQFR43U</v>
          </cell>
          <cell r="C417" t="str">
            <v>Panasonic</v>
          </cell>
          <cell r="D417" t="str">
            <v>RES,SMD,1W,+/-1%TOL,0.43OHM,THK FILM</v>
          </cell>
          <cell r="E417">
            <v>4000</v>
          </cell>
        </row>
        <row r="418">
          <cell r="B418" t="str">
            <v>ERJ-1TRQFR56U</v>
          </cell>
          <cell r="C418" t="str">
            <v>Panasonic Electronic Components</v>
          </cell>
          <cell r="D418" t="str">
            <v>560 mOhms ±1% 1W Chip Resistor 2512 (643</v>
          </cell>
          <cell r="E418">
            <v>4000</v>
          </cell>
        </row>
        <row r="419">
          <cell r="B419" t="str">
            <v>ERJ-2RKF1201X</v>
          </cell>
          <cell r="C419" t="str">
            <v>Panasonic Corp</v>
          </cell>
          <cell r="D419" t="str">
            <v>1.2K OHM 1% 1/10W 0402</v>
          </cell>
          <cell r="E419">
            <v>10000</v>
          </cell>
        </row>
        <row r="420">
          <cell r="B420" t="str">
            <v>ERJ-2RKF20R0X</v>
          </cell>
          <cell r="C420" t="str">
            <v>KOA Speer Electronics Inc</v>
          </cell>
          <cell r="D420" t="str">
            <v>RES,SMD,20 OHM,1/10W,1%,0402</v>
          </cell>
          <cell r="E420">
            <v>9880</v>
          </cell>
        </row>
        <row r="421">
          <cell r="B421" t="str">
            <v>ERJ-2RKF33R0X</v>
          </cell>
          <cell r="C421" t="str">
            <v>Panasonic Corp</v>
          </cell>
          <cell r="D421" t="str">
            <v>33OHM 1/10W 1% 0402</v>
          </cell>
          <cell r="E421">
            <v>10000</v>
          </cell>
        </row>
        <row r="422">
          <cell r="B422" t="str">
            <v>ERJ-2RKF5491X</v>
          </cell>
          <cell r="C422" t="str">
            <v>Panasonic Corp</v>
          </cell>
          <cell r="D422" t="str">
            <v>RES,SMD,5.49K,1/10W,1%,0402</v>
          </cell>
          <cell r="E422">
            <v>9999</v>
          </cell>
        </row>
        <row r="423">
          <cell r="B423" t="str">
            <v>ERJ-2RKF6042X</v>
          </cell>
          <cell r="C423" t="str">
            <v>KOA Speer Electronics Inc</v>
          </cell>
          <cell r="D423" t="str">
            <v>RES,SMD,60.4K OHM,1/10W,1%,0402</v>
          </cell>
          <cell r="E423">
            <v>10000</v>
          </cell>
        </row>
        <row r="424">
          <cell r="B424" t="str">
            <v>ERJ-3EKF4701V</v>
          </cell>
          <cell r="C424" t="str">
            <v>Panasonic</v>
          </cell>
          <cell r="D424" t="str">
            <v>RES,SMD,1%TOL,0.1W,±100PPM,4.7KOHM,0603</v>
          </cell>
          <cell r="E424">
            <v>5000</v>
          </cell>
        </row>
        <row r="425">
          <cell r="B425" t="str">
            <v>ERJ-6ENF1000V</v>
          </cell>
          <cell r="C425" t="str">
            <v>Panasonic</v>
          </cell>
          <cell r="D425" t="str">
            <v>RES,THICK FILM,100 OHM,1/8W,1%,150V,SMT</v>
          </cell>
          <cell r="E425">
            <v>5000</v>
          </cell>
        </row>
        <row r="426">
          <cell r="B426" t="str">
            <v>ERJ-6ENF10R0V</v>
          </cell>
          <cell r="C426" t="str">
            <v>Panasonic</v>
          </cell>
          <cell r="D426" t="str">
            <v>RES,SMD,0805,10OHM,±1%,1/8W,THK FILM</v>
          </cell>
          <cell r="E426">
            <v>5000</v>
          </cell>
        </row>
        <row r="427">
          <cell r="B427" t="str">
            <v>ERJ-6ENF4701V</v>
          </cell>
          <cell r="C427" t="str">
            <v>Panasonic</v>
          </cell>
          <cell r="D427" t="str">
            <v>ERJ Series 0805 4.7 kOhm 0.125 W ±1 % ±1</v>
          </cell>
          <cell r="E427">
            <v>5000</v>
          </cell>
        </row>
        <row r="428">
          <cell r="B428" t="str">
            <v>ERJ-8BQFR51V</v>
          </cell>
          <cell r="C428" t="str">
            <v>Panasonic</v>
          </cell>
          <cell r="D428" t="str">
            <v>RES,SMD,0.5W,1%,0.510,1206,ROHS</v>
          </cell>
          <cell r="E428">
            <v>4762</v>
          </cell>
        </row>
        <row r="429">
          <cell r="B429" t="str">
            <v>ERJ-8BSFR16V</v>
          </cell>
          <cell r="C429" t="str">
            <v>Panasonic</v>
          </cell>
          <cell r="D429" t="str">
            <v>RES,SMD,0.5W,1%,0.160,1206,ROHS</v>
          </cell>
          <cell r="E429">
            <v>4775</v>
          </cell>
        </row>
        <row r="430">
          <cell r="B430" t="str">
            <v>ERJ-PA3F6801V</v>
          </cell>
          <cell r="C430" t="str">
            <v>Panasonic</v>
          </cell>
          <cell r="D430" t="str">
            <v>Thick Film Resistors - SMD 0603 6.8Kohm</v>
          </cell>
          <cell r="E430">
            <v>5000</v>
          </cell>
        </row>
        <row r="431">
          <cell r="B431" t="str">
            <v>ERJ-PB6D2701V</v>
          </cell>
          <cell r="C431" t="str">
            <v>Panasonic</v>
          </cell>
          <cell r="D431" t="str">
            <v>RES,SMD,THK FILM,2.7KOHM,0.5%,1/4W,0805</v>
          </cell>
          <cell r="E431">
            <v>4999</v>
          </cell>
        </row>
        <row r="432">
          <cell r="B432" t="str">
            <v>ERJUP3F2003V</v>
          </cell>
          <cell r="C432" t="str">
            <v>Panasonic</v>
          </cell>
          <cell r="D432" t="str">
            <v>RES,SMD,THK FILM,200K OHM,1%,0.25W,0603</v>
          </cell>
          <cell r="E432">
            <v>5000</v>
          </cell>
        </row>
        <row r="433">
          <cell r="B433" t="str">
            <v>ESD7551N2T5G</v>
          </cell>
          <cell r="C433" t="str">
            <v>On Semiconductor</v>
          </cell>
          <cell r="D433" t="str">
            <v>DIO,SMD,3.3V,ESD CLAMP</v>
          </cell>
          <cell r="E433">
            <v>7940</v>
          </cell>
        </row>
        <row r="434">
          <cell r="B434" t="str">
            <v>ESR03EZPF1004</v>
          </cell>
          <cell r="C434" t="str">
            <v>Rohm Semiconductor</v>
          </cell>
          <cell r="D434" t="str">
            <v>RES,SMD,1M OHM,±1%,1/4W,100PPM,0603</v>
          </cell>
          <cell r="E434">
            <v>5000</v>
          </cell>
        </row>
        <row r="435">
          <cell r="B435" t="str">
            <v>ESR03EZPF2002</v>
          </cell>
          <cell r="C435" t="str">
            <v>Rohm Semiconductor</v>
          </cell>
          <cell r="D435" t="str">
            <v>RES,SMD,20K OHM,1%,1/4W,100PPM,0603</v>
          </cell>
          <cell r="E435">
            <v>5000</v>
          </cell>
        </row>
        <row r="436">
          <cell r="B436" t="str">
            <v>ESR03EZPF7502</v>
          </cell>
          <cell r="C436" t="str">
            <v>Rohm Semiconductor</v>
          </cell>
          <cell r="D436" t="str">
            <v>RES,SMD,75K OHM,+/-1%,1/4W,100PPM,0603</v>
          </cell>
          <cell r="E436">
            <v>5000</v>
          </cell>
        </row>
        <row r="437">
          <cell r="B437" t="str">
            <v>ESW-120-23-G-D</v>
          </cell>
          <cell r="C437" t="str">
            <v>Samtec Inc</v>
          </cell>
          <cell r="D437" t="str">
            <v>CONN,SKT,STP,40POSN,2ROW,2.54MM PITCH,TH</v>
          </cell>
          <cell r="E437">
            <v>55</v>
          </cell>
        </row>
        <row r="438">
          <cell r="B438" t="str">
            <v>FC4016D/AA</v>
          </cell>
          <cell r="C438" t="str">
            <v>Positronic</v>
          </cell>
          <cell r="D438" t="str">
            <v>CONTACT,D-PWR,FEM,16AWG</v>
          </cell>
          <cell r="E438">
            <v>248</v>
          </cell>
        </row>
        <row r="439">
          <cell r="B439" t="str">
            <v>FDD8447L</v>
          </cell>
          <cell r="C439" t="str">
            <v>On Semiconductor</v>
          </cell>
          <cell r="D439" t="str">
            <v>POWER FIELD-EFFECT TRANSISTOR, 2</v>
          </cell>
          <cell r="E439">
            <v>2484</v>
          </cell>
        </row>
        <row r="440">
          <cell r="B440" t="str">
            <v>FDD8453LZ</v>
          </cell>
          <cell r="C440" t="str">
            <v>On Semiconductor</v>
          </cell>
          <cell r="D440" t="str">
            <v>XSTR,SMD,FIELD EFT,N-CHAN,40V,50A,D-PAK</v>
          </cell>
          <cell r="E440">
            <v>2500</v>
          </cell>
        </row>
        <row r="441">
          <cell r="B441" t="str">
            <v>FDMS8460</v>
          </cell>
          <cell r="C441" t="str">
            <v>Onsemi</v>
          </cell>
          <cell r="D441" t="str">
            <v>Trans MOSFET N-CH Si 40V 25A 8-Pin PQFN</v>
          </cell>
          <cell r="E441">
            <v>2940</v>
          </cell>
        </row>
        <row r="442">
          <cell r="B442" t="str">
            <v>FDMS86152</v>
          </cell>
          <cell r="C442" t="str">
            <v>On Semiconductor</v>
          </cell>
          <cell r="D442" t="str">
            <v>XSTR,SMD,FIELD EFT,N CHAN,100V,45A</v>
          </cell>
          <cell r="E442">
            <v>60</v>
          </cell>
        </row>
        <row r="443">
          <cell r="B443" t="str">
            <v>FSV1550V</v>
          </cell>
          <cell r="C443" t="str">
            <v>On Semiconductor</v>
          </cell>
          <cell r="D443" t="str">
            <v>DIO,SMD,SCHOTTKY,790MV,15A,TO-277-3</v>
          </cell>
          <cell r="E443">
            <v>5000</v>
          </cell>
        </row>
        <row r="444">
          <cell r="B444" t="str">
            <v>FT2232HL-REEL</v>
          </cell>
          <cell r="C444" t="str">
            <v>Ftdi</v>
          </cell>
          <cell r="D444" t="str">
            <v>IC USB HS DUAL UART/FIFO 64-LQFP</v>
          </cell>
          <cell r="E444">
            <v>1000</v>
          </cell>
        </row>
        <row r="445">
          <cell r="B445" t="str">
            <v>FXWA9306L8X</v>
          </cell>
          <cell r="C445" t="str">
            <v>On Semiconductor</v>
          </cell>
          <cell r="D445" t="str">
            <v>IC,SMD,V LVL TRANSLATOR,2CHAN,I2C,BI-DIR</v>
          </cell>
          <cell r="E445">
            <v>4920</v>
          </cell>
        </row>
        <row r="446">
          <cell r="B446" t="str">
            <v>G2RL-1-DC24</v>
          </cell>
          <cell r="C446" t="str">
            <v>Omron Electronic</v>
          </cell>
          <cell r="D446" t="str">
            <v>RLY,PWR,1POLE,SPDT,24VDC,12A,FLUX PROT</v>
          </cell>
          <cell r="E446">
            <v>200</v>
          </cell>
        </row>
        <row r="447">
          <cell r="B447" t="str">
            <v>G5V-1-DC24</v>
          </cell>
          <cell r="C447" t="str">
            <v>Nais</v>
          </cell>
          <cell r="D447" t="str">
            <v>RLY,SPDT,24VDC,150MW,PCB MT</v>
          </cell>
          <cell r="E447">
            <v>500</v>
          </cell>
        </row>
        <row r="448">
          <cell r="B448" t="str">
            <v>G6D-1A-ASI-DC24</v>
          </cell>
          <cell r="C448" t="str">
            <v>Omron Electronic</v>
          </cell>
          <cell r="D448" t="str">
            <v>RELAY,SPST,24VDC,PWR PCB,OMRON</v>
          </cell>
          <cell r="E448">
            <v>499</v>
          </cell>
        </row>
        <row r="449">
          <cell r="B449" t="str">
            <v>GCM1555C1H681FA16D</v>
          </cell>
          <cell r="C449" t="str">
            <v>Murata</v>
          </cell>
          <cell r="D449" t="str">
            <v>CAP,SMD,CER,680PF,+/-1%,50V,C0G,0402</v>
          </cell>
          <cell r="E449">
            <v>10000</v>
          </cell>
        </row>
        <row r="450">
          <cell r="B450" t="str">
            <v>GCM1885C1H202FA16J</v>
          </cell>
          <cell r="C450" t="str">
            <v>Murata</v>
          </cell>
          <cell r="D450" t="str">
            <v>CAP,SMD,CER,2000PF,+/-1%,50V,C0G,0603</v>
          </cell>
          <cell r="E450">
            <v>10000</v>
          </cell>
        </row>
        <row r="451">
          <cell r="B451" t="str">
            <v>GCM1885C1H332FA16D</v>
          </cell>
          <cell r="C451" t="str">
            <v>Murata</v>
          </cell>
          <cell r="D451" t="str">
            <v>CAP,SMD,CER,3300PF,+/-1%,50V,C0G,0603</v>
          </cell>
          <cell r="E451">
            <v>4000</v>
          </cell>
        </row>
        <row r="452">
          <cell r="B452" t="str">
            <v>GCM1885C1H392FA16J</v>
          </cell>
          <cell r="C452" t="str">
            <v>Murata Manufacturing Co Ltd</v>
          </cell>
          <cell r="D452" t="str">
            <v>Cap Ceramic 0.0039uF 50V C0G 1% Pad SMD</v>
          </cell>
          <cell r="E452">
            <v>4000</v>
          </cell>
        </row>
        <row r="453">
          <cell r="B453" t="str">
            <v>GMC10CG330F100NT</v>
          </cell>
          <cell r="C453" t="str">
            <v>Kemet Electronics Corp</v>
          </cell>
          <cell r="D453" t="str">
            <v>CAP,SMD,CER,33PF,±1%,100V,C0G,0603</v>
          </cell>
          <cell r="E453">
            <v>4000</v>
          </cell>
        </row>
        <row r="454">
          <cell r="B454" t="str">
            <v>GQM1875G2E100JB12D</v>
          </cell>
          <cell r="C454" t="str">
            <v>Murata</v>
          </cell>
          <cell r="D454" t="str">
            <v>CAP,SMD,CER,10PF,+/-5%TOL,250V,X8G,0603</v>
          </cell>
          <cell r="E454">
            <v>4000</v>
          </cell>
        </row>
        <row r="455">
          <cell r="B455" t="str">
            <v>GRF1-J-P-08-E-RA-TH1-E</v>
          </cell>
          <cell r="C455" t="str">
            <v>Samtec Inc</v>
          </cell>
          <cell r="D455" t="str">
            <v>CONN,RA,JACK,RF,8POS</v>
          </cell>
          <cell r="E455">
            <v>10</v>
          </cell>
        </row>
        <row r="456">
          <cell r="B456" t="str">
            <v>GRM155R71A474KE01D</v>
          </cell>
          <cell r="C456" t="str">
            <v>Murata Manufacturing Co Ltd</v>
          </cell>
          <cell r="D456" t="str">
            <v>CAP CER 0.47UF 10V 10% X7R 0402</v>
          </cell>
          <cell r="E456">
            <v>8734</v>
          </cell>
        </row>
        <row r="457">
          <cell r="B457" t="str">
            <v>GRM21BR61H106KE43K</v>
          </cell>
          <cell r="C457" t="str">
            <v>Murata</v>
          </cell>
          <cell r="D457" t="str">
            <v>CAP,SMD,CER,10UF,+/-10%,50V,X5R,0805</v>
          </cell>
          <cell r="E457">
            <v>9206</v>
          </cell>
        </row>
        <row r="458">
          <cell r="B458" t="str">
            <v>GRM3195C1H203JA01D</v>
          </cell>
          <cell r="C458" t="str">
            <v>Murata</v>
          </cell>
          <cell r="D458" t="str">
            <v>CAP,SMD,CER,0.02UF,+/-5%,50V,NP0,1206</v>
          </cell>
          <cell r="E458">
            <v>4000</v>
          </cell>
        </row>
        <row r="459">
          <cell r="B459" t="str">
            <v>GRM31C5C1H104JA01L</v>
          </cell>
          <cell r="C459" t="str">
            <v>Murata</v>
          </cell>
          <cell r="D459" t="str">
            <v>CAP,SMD,CER,0.1UF,50V,NP0,1206</v>
          </cell>
          <cell r="E459">
            <v>1900</v>
          </cell>
        </row>
        <row r="460">
          <cell r="B460" t="str">
            <v>GRM32ER71A476KE15L</v>
          </cell>
          <cell r="C460" t="str">
            <v>Murata Manufacturing Co Ltd</v>
          </cell>
          <cell r="D460" t="str">
            <v>CAP CER 47UF 10V 20% X7R 1210</v>
          </cell>
          <cell r="E460">
            <v>841</v>
          </cell>
        </row>
        <row r="461">
          <cell r="B461" t="str">
            <v>GRM32ER71A476ME15L</v>
          </cell>
          <cell r="D461" t="str">
            <v>CAP CER 47UF 10V 20% X7R 1210</v>
          </cell>
          <cell r="E461">
            <v>945</v>
          </cell>
        </row>
        <row r="462">
          <cell r="B462" t="str">
            <v>GRM32ER71H106KA12L</v>
          </cell>
          <cell r="C462" t="str">
            <v>Murata Manufacturing Co Ltd</v>
          </cell>
          <cell r="D462" t="str">
            <v>CAPCER10UF+10 PERC -10 PERC 50V-DC1210X7</v>
          </cell>
          <cell r="E462">
            <v>754</v>
          </cell>
        </row>
        <row r="463">
          <cell r="B463" t="str">
            <v>GRT188R61H105KE13D</v>
          </cell>
          <cell r="C463" t="str">
            <v>Murata</v>
          </cell>
          <cell r="D463" t="str">
            <v>CAP,SMD,CER,1UF,+/-10%,50V,X5R,0603</v>
          </cell>
          <cell r="E463">
            <v>3946</v>
          </cell>
        </row>
        <row r="464">
          <cell r="B464" t="str">
            <v>GSGX-NS-2-88</v>
          </cell>
          <cell r="C464" t="str">
            <v>Kycon, Inc.</v>
          </cell>
          <cell r="D464" t="str">
            <v>CONN,MDLR,RJ45,RA,1X2,SH,ROHS</v>
          </cell>
          <cell r="E464">
            <v>220</v>
          </cell>
        </row>
        <row r="465">
          <cell r="B465" t="str">
            <v>HCPL-2231-300E</v>
          </cell>
          <cell r="C465" t="str">
            <v>Broadcom</v>
          </cell>
          <cell r="D465" t="str">
            <v>IC,SMD,HCPL-2231,DUAL OPTOCOUPLER, ROHS</v>
          </cell>
          <cell r="E465">
            <v>200</v>
          </cell>
        </row>
        <row r="466">
          <cell r="B466" t="str">
            <v>HLE-103-02-F-DV</v>
          </cell>
          <cell r="C466" t="str">
            <v>Samtec Inc</v>
          </cell>
          <cell r="D466" t="str">
            <v>CONN,SMD,RCPT,3POSN,2 ROW,2.54MM PITCH</v>
          </cell>
          <cell r="E466">
            <v>222</v>
          </cell>
        </row>
        <row r="467">
          <cell r="B467" t="str">
            <v>HPP845E031R4</v>
          </cell>
          <cell r="C467" t="str">
            <v>TE Connectivity Ltd</v>
          </cell>
          <cell r="D467" t="str">
            <v>IC,SENSOR HUMID/TEMP 3V I2C 2% SMD</v>
          </cell>
          <cell r="E467">
            <v>399</v>
          </cell>
        </row>
        <row r="468">
          <cell r="B468" t="str">
            <v>HSMH-C110</v>
          </cell>
          <cell r="C468" t="str">
            <v>Lumex</v>
          </cell>
          <cell r="D468" t="str">
            <v>LED,SMD,RT,HSM-C110,RED,ROHS</v>
          </cell>
          <cell r="E468">
            <v>3000</v>
          </cell>
        </row>
        <row r="469">
          <cell r="B469" t="str">
            <v>HVCC153Y6P102KEAX</v>
          </cell>
          <cell r="C469" t="str">
            <v>Vishay Semiconductors</v>
          </cell>
          <cell r="D469" t="str">
            <v>CAP,CER,DISC,1000PF,15KVDC,10% TOL,RDL</v>
          </cell>
          <cell r="E469">
            <v>250</v>
          </cell>
        </row>
        <row r="470">
          <cell r="B470" t="str">
            <v>HW-03-08-F-D-350-SM</v>
          </cell>
          <cell r="C470" t="str">
            <v>Samtec Inc</v>
          </cell>
          <cell r="D470" t="str">
            <v>CONN,SMD,HDR,3POSN,2 ROW,2.54MM PITCH</v>
          </cell>
          <cell r="E470">
            <v>200</v>
          </cell>
        </row>
        <row r="471">
          <cell r="B471" t="str">
            <v>IAUC100N04S6L014ATMA1</v>
          </cell>
          <cell r="C471" t="str">
            <v>Infineon Technologies</v>
          </cell>
          <cell r="D471" t="str">
            <v>Trans MOSFET N-CH 40V 100A Automotive 8-</v>
          </cell>
          <cell r="E471">
            <v>4705</v>
          </cell>
        </row>
        <row r="472">
          <cell r="B472" t="str">
            <v>IAUC80N04S6L032ATMA1</v>
          </cell>
          <cell r="C472" t="str">
            <v>Infineon Technologies</v>
          </cell>
          <cell r="D472" t="str">
            <v>XSTR,SMD,MOSFET,N-CHAN,40V,80A,TDSON-8</v>
          </cell>
          <cell r="E472">
            <v>4870</v>
          </cell>
        </row>
        <row r="473">
          <cell r="B473" t="str">
            <v>ICD15S13E6GV00LF</v>
          </cell>
          <cell r="C473" t="str">
            <v>Amphenol FCI (ICC)</v>
          </cell>
          <cell r="D473" t="str">
            <v>CONN,RCPT,DSUB,HD,R/A,15P,3A</v>
          </cell>
          <cell r="E473">
            <v>300</v>
          </cell>
        </row>
        <row r="474">
          <cell r="B474" t="str">
            <v>ICD44S13E4GX00LF</v>
          </cell>
          <cell r="C474" t="str">
            <v>Amphenol ICC</v>
          </cell>
          <cell r="D474" t="str">
            <v>CONN,D-SUB,H-DENSITY,FEM,44POSN,3A,RTANG</v>
          </cell>
          <cell r="E474">
            <v>200</v>
          </cell>
        </row>
        <row r="475">
          <cell r="B475" t="str">
            <v>IF-E98</v>
          </cell>
          <cell r="C475" t="str">
            <v>Industrial Fiber Optics Inc</v>
          </cell>
          <cell r="D475" t="str">
            <v>LED,FIBER OPT,50MBPS,650NM,1.9V FWD,RED</v>
          </cell>
          <cell r="E475">
            <v>200</v>
          </cell>
        </row>
        <row r="476">
          <cell r="B476" t="str">
            <v>ILD207T</v>
          </cell>
          <cell r="C476" t="str">
            <v>Vishay Semiconductor Opto Division</v>
          </cell>
          <cell r="D476" t="str">
            <v>OPTOISOLTR 4KV 2CH TRANS 8-SOIC</v>
          </cell>
          <cell r="E476">
            <v>1671</v>
          </cell>
        </row>
        <row r="477">
          <cell r="B477" t="str">
            <v>INA128U/2K5</v>
          </cell>
          <cell r="C477" t="str">
            <v>Texas Instruments</v>
          </cell>
          <cell r="D477" t="str">
            <v>Precision, 130-dB CMRR, 700-µA, Low-Powe</v>
          </cell>
          <cell r="E477">
            <v>250</v>
          </cell>
        </row>
        <row r="478">
          <cell r="B478" t="str">
            <v>INA188IDR</v>
          </cell>
          <cell r="C478" t="str">
            <v>Texas Instruments</v>
          </cell>
          <cell r="D478" t="str">
            <v>Zero-Drift Amplifier 1 Circuit Rail-to-R</v>
          </cell>
          <cell r="E478">
            <v>253</v>
          </cell>
        </row>
        <row r="479">
          <cell r="B479" t="str">
            <v>INA826AIDGKR</v>
          </cell>
          <cell r="C479" t="str">
            <v>Texas Instruments</v>
          </cell>
          <cell r="D479" t="str">
            <v>Precision, 220-uA supply current</v>
          </cell>
          <cell r="E479">
            <v>2500</v>
          </cell>
        </row>
        <row r="480">
          <cell r="B480" t="str">
            <v>IPL1-102-02-L-D-K</v>
          </cell>
          <cell r="C480" t="str">
            <v>Samtec Inc</v>
          </cell>
          <cell r="D480" t="str">
            <v>CONN,SMD,PWR,SHROUDED,4POS,ROHS</v>
          </cell>
          <cell r="E480">
            <v>261</v>
          </cell>
        </row>
        <row r="481">
          <cell r="B481" t="str">
            <v>IRF1310NSTRLPBF</v>
          </cell>
          <cell r="C481" t="str">
            <v>Infineon Technologies</v>
          </cell>
          <cell r="D481" t="str">
            <v>XSTR,FIELD EFT,PWR MOSFET,N-CH</v>
          </cell>
          <cell r="E481">
            <v>751</v>
          </cell>
        </row>
        <row r="482">
          <cell r="B482" t="str">
            <v>IRFR3710ZTRPBF</v>
          </cell>
          <cell r="C482" t="str">
            <v>International Rectifier</v>
          </cell>
          <cell r="D482" t="str">
            <v>TRANSISTOR FET, N-CHANNEL, TO-252AA</v>
          </cell>
          <cell r="E482">
            <v>2000</v>
          </cell>
        </row>
        <row r="483">
          <cell r="B483" t="str">
            <v>ISC012N04LM6ATMA1</v>
          </cell>
          <cell r="C483" t="str">
            <v>Infineon Technologies</v>
          </cell>
          <cell r="D483" t="str">
            <v>XSTR,SMD,FIELD EFT,N-CH,40V,238A</v>
          </cell>
          <cell r="E483">
            <v>52</v>
          </cell>
        </row>
        <row r="484">
          <cell r="B484" t="str">
            <v>IXTA80N075L2</v>
          </cell>
          <cell r="C484" t="str">
            <v>IXYS Corp</v>
          </cell>
          <cell r="D484" t="str">
            <v>Tstor NMFET 75V 80A TO-263AA</v>
          </cell>
          <cell r="E484">
            <v>45</v>
          </cell>
        </row>
        <row r="485">
          <cell r="B485" t="str">
            <v>IXTT120N15P</v>
          </cell>
          <cell r="C485" t="str">
            <v>Littlefuse Inc</v>
          </cell>
          <cell r="D485" t="str">
            <v>XSTR,SMD,MOSFET,N-CH,150V,120A,TO-268</v>
          </cell>
          <cell r="E485">
            <v>100</v>
          </cell>
        </row>
        <row r="486">
          <cell r="B486" t="str">
            <v>IXTT220N20X4HV</v>
          </cell>
          <cell r="C486" t="str">
            <v>IXYS Corp</v>
          </cell>
          <cell r="D486" t="str">
            <v>XSTR,SMD,FIELD EFT,N-CH,200V,TO-268HV</v>
          </cell>
          <cell r="E486">
            <v>210</v>
          </cell>
        </row>
        <row r="487">
          <cell r="B487" t="str">
            <v>JSX-1055</v>
          </cell>
          <cell r="C487" t="str">
            <v>Kycon, Inc.</v>
          </cell>
          <cell r="D487" t="str">
            <v>CONN,DSUB,JCK SCRW,HEX,.216,ROHS</v>
          </cell>
          <cell r="E487">
            <v>987</v>
          </cell>
        </row>
        <row r="488">
          <cell r="B488" t="str">
            <v>JSX-1055-5.9</v>
          </cell>
          <cell r="C488" t="str">
            <v>Kycon, Inc.</v>
          </cell>
          <cell r="D488" t="str">
            <v>CONN,DSUB,JCK SCRW,HEX,.217</v>
          </cell>
          <cell r="E488">
            <v>146</v>
          </cell>
        </row>
        <row r="489">
          <cell r="B489" t="str">
            <v>JW1FSN-DC24V</v>
          </cell>
          <cell r="C489" t="str">
            <v>Panasonic</v>
          </cell>
          <cell r="D489" t="str">
            <v>RLY,PWR,SPDT,24V,10A,SEALED,AG-NI,THT</v>
          </cell>
          <cell r="E489">
            <v>60</v>
          </cell>
        </row>
        <row r="490">
          <cell r="B490" t="str">
            <v>K202XHT-E9P-N</v>
          </cell>
          <cell r="C490" t="str">
            <v>Kycon, Inc.</v>
          </cell>
          <cell r="D490" t="str">
            <v>CONN,SMD,D-SUB,PLUG,9POSN,RTANG,AU FLASH</v>
          </cell>
          <cell r="E490">
            <v>26</v>
          </cell>
        </row>
        <row r="491">
          <cell r="B491" t="str">
            <v>K42X-E9S/P-A4N</v>
          </cell>
          <cell r="C491" t="str">
            <v>Kycon, Inc.</v>
          </cell>
          <cell r="D491" t="str">
            <v>CONN,DSUB,DUAL PORT,9P/9P,F/M,ROHS</v>
          </cell>
          <cell r="E491">
            <v>270</v>
          </cell>
        </row>
        <row r="492">
          <cell r="B492" t="str">
            <v>K42XHT-C37S/S-A4N</v>
          </cell>
          <cell r="C492" t="str">
            <v>Kycon, Inc.</v>
          </cell>
          <cell r="D492" t="str">
            <v>CONN,DSUB,F-F,37PIN,30V,2A,HTM,DUAL PORT</v>
          </cell>
          <cell r="E492">
            <v>1005</v>
          </cell>
        </row>
        <row r="493">
          <cell r="B493" t="str">
            <v>K66X-B44P-N</v>
          </cell>
          <cell r="C493" t="str">
            <v>Kycon, Inc.</v>
          </cell>
          <cell r="D493" t="str">
            <v>CONN,HD,D-SUB,RT ANGL,MALE,44 PIN,ROHS</v>
          </cell>
          <cell r="E493">
            <v>48</v>
          </cell>
        </row>
        <row r="494">
          <cell r="B494" t="str">
            <v>K66X-B44S-N</v>
          </cell>
          <cell r="C494" t="str">
            <v>Kycon, Inc.</v>
          </cell>
          <cell r="D494" t="str">
            <v>CONN,RCPT,HD D-SUB, RA, FEMALE,ROHS,44P</v>
          </cell>
          <cell r="E494">
            <v>36</v>
          </cell>
        </row>
        <row r="495">
          <cell r="B495" t="str">
            <v>K81C335</v>
          </cell>
          <cell r="C495" t="str">
            <v>Tyco</v>
          </cell>
          <cell r="D495" t="str">
            <v>RLY,SPDT,10KV,5A, 26.5V, PCB</v>
          </cell>
          <cell r="E495">
            <v>47</v>
          </cell>
        </row>
        <row r="496">
          <cell r="B496" t="str">
            <v>K86X-BD-44S-BR</v>
          </cell>
          <cell r="C496" t="str">
            <v>Kycon, Inc.</v>
          </cell>
          <cell r="D496" t="str">
            <v>CONN,RCPT,HIGH DENSITY DSUB,44 ROHS</v>
          </cell>
          <cell r="E496">
            <v>867</v>
          </cell>
        </row>
        <row r="497">
          <cell r="B497" t="str">
            <v>K86X-ED-15P-BR</v>
          </cell>
          <cell r="C497" t="str">
            <v>Kycon, Inc.</v>
          </cell>
          <cell r="D497" t="str">
            <v>CONN,PIN,15P,DSUB,HD,VERT,ROHS</v>
          </cell>
          <cell r="E497">
            <v>1005</v>
          </cell>
        </row>
        <row r="498">
          <cell r="B498" t="str">
            <v>KAN1104RT</v>
          </cell>
          <cell r="C498" t="str">
            <v>E-Switch</v>
          </cell>
          <cell r="D498" t="str">
            <v>SW,SMD,DIP,SPST,4CKT,.025A/24VDC,1.27MM</v>
          </cell>
          <cell r="E498">
            <v>75</v>
          </cell>
        </row>
        <row r="499">
          <cell r="B499" t="str">
            <v>KCM55QR71H226KH13K</v>
          </cell>
          <cell r="C499" t="str">
            <v>Murata</v>
          </cell>
          <cell r="D499" t="str">
            <v>CAP,SMD,MLCC,22UF,+/-10%,50VDC,X7R</v>
          </cell>
          <cell r="E499">
            <v>1000</v>
          </cell>
        </row>
        <row r="500">
          <cell r="B500" t="str">
            <v>KFB3-M3-8ET</v>
          </cell>
          <cell r="C500" t="str">
            <v>Penn Engineering</v>
          </cell>
          <cell r="D500" t="str">
            <v>STDF,RND,FLARE MT,M3X0.5 THD,8MM LG,BRS</v>
          </cell>
          <cell r="E500">
            <v>4000</v>
          </cell>
        </row>
        <row r="501">
          <cell r="B501" t="str">
            <v>KFE-M3-12-ET</v>
          </cell>
          <cell r="C501" t="str">
            <v>Penn Engineering</v>
          </cell>
          <cell r="D501" t="str">
            <v>STDF,RND,PCB,M3,12MM LONG</v>
          </cell>
          <cell r="E501">
            <v>75</v>
          </cell>
        </row>
        <row r="502">
          <cell r="B502" t="str">
            <v>KFS2-440</v>
          </cell>
          <cell r="C502" t="str">
            <v>Captive Fastener Corporation</v>
          </cell>
          <cell r="D502" t="str">
            <v>Captive KFS2-440 Nut, Broaching, 300 Ser</v>
          </cell>
          <cell r="E502">
            <v>1000</v>
          </cell>
        </row>
        <row r="503">
          <cell r="B503" t="str">
            <v>KLKR005.T</v>
          </cell>
          <cell r="C503" t="str">
            <v>Littelfuse, Inc.</v>
          </cell>
          <cell r="D503" t="str">
            <v>FUSE,FAST-ACT,5A,600VAC/300VDC,5AG</v>
          </cell>
          <cell r="E503">
            <v>100</v>
          </cell>
        </row>
        <row r="504">
          <cell r="B504" t="str">
            <v>KLKR010.T</v>
          </cell>
          <cell r="C504" t="str">
            <v>Littelfuse, Inc.</v>
          </cell>
          <cell r="D504" t="str">
            <v>FUSE,FAST-ACT,10A,600VAC/300VDC,5AG</v>
          </cell>
          <cell r="E504">
            <v>100</v>
          </cell>
        </row>
        <row r="505">
          <cell r="B505" t="str">
            <v>KLKR015.T</v>
          </cell>
          <cell r="C505" t="str">
            <v>Littelfuse, Inc.</v>
          </cell>
          <cell r="D505" t="str">
            <v>FUSE,FAST-ACT,15A,600VAC/300VDC,5AG</v>
          </cell>
          <cell r="E505">
            <v>100</v>
          </cell>
        </row>
        <row r="506">
          <cell r="B506" t="str">
            <v>L717SDBH25POL2RM8C309</v>
          </cell>
          <cell r="C506" t="str">
            <v>ITT Interconnect Solutions</v>
          </cell>
          <cell r="D506" t="str">
            <v>CONN,DSUB,25M,PCB STRT,W/STOFF</v>
          </cell>
          <cell r="E506">
            <v>26</v>
          </cell>
        </row>
        <row r="507">
          <cell r="B507" t="str">
            <v>L77DA15SF179A</v>
          </cell>
          <cell r="C507" t="str">
            <v>Amphenol ICC</v>
          </cell>
          <cell r="D507" t="str">
            <v>CONN,D-SUB,RCPT,15 POSN,WIRE-WRAP TERMN</v>
          </cell>
          <cell r="E507">
            <v>172</v>
          </cell>
        </row>
        <row r="508">
          <cell r="B508" t="str">
            <v>L77TWA7W2S</v>
          </cell>
          <cell r="C508" t="str">
            <v>Amphenol Corp</v>
          </cell>
          <cell r="D508" t="str">
            <v>CONN,DB15F,7W2,5SIG 2PWR</v>
          </cell>
          <cell r="E508">
            <v>101</v>
          </cell>
        </row>
        <row r="509">
          <cell r="B509" t="str">
            <v>LBQ39G-L2OO-35-1</v>
          </cell>
          <cell r="C509" t="str">
            <v>Osram</v>
          </cell>
          <cell r="D509" t="str">
            <v>LED,SMD,2.85V,5MA,470NM,BLU,0603</v>
          </cell>
          <cell r="E509">
            <v>4000</v>
          </cell>
        </row>
        <row r="510">
          <cell r="B510" t="str">
            <v>LC4064V-75TN48E</v>
          </cell>
          <cell r="C510" t="str">
            <v>Lattice Semiconductor Corp</v>
          </cell>
          <cell r="D510" t="str">
            <v>IC,SMD,CPLD,32 I/O,5V TOLERNT,7.5NS,ROHS</v>
          </cell>
          <cell r="E510">
            <v>60</v>
          </cell>
        </row>
        <row r="511">
          <cell r="B511" t="str">
            <v>LM211QDREP</v>
          </cell>
          <cell r="C511" t="str">
            <v>Texas Instruments</v>
          </cell>
          <cell r="D511" t="str">
            <v>IC,SMD,DIFF COMPARATOR,3.5-30V,SOIC-8</v>
          </cell>
          <cell r="E511">
            <v>2500</v>
          </cell>
        </row>
        <row r="512">
          <cell r="B512" t="str">
            <v>LM25085QMYX/NOPB</v>
          </cell>
          <cell r="C512" t="str">
            <v>Texas Instruments</v>
          </cell>
          <cell r="D512" t="str">
            <v>Buck Regulator Positive Output Step-Down</v>
          </cell>
          <cell r="E512">
            <v>1000</v>
          </cell>
        </row>
        <row r="513">
          <cell r="B513" t="str">
            <v>LM2907MX-8/NOPB</v>
          </cell>
          <cell r="C513" t="str">
            <v>Texas Instruments</v>
          </cell>
          <cell r="D513" t="str">
            <v>IC,SMD,F/V CONVERTOR</v>
          </cell>
          <cell r="E513">
            <v>2249</v>
          </cell>
        </row>
        <row r="514">
          <cell r="B514" t="str">
            <v>LM311MX/NOPB</v>
          </cell>
          <cell r="C514" t="str">
            <v>Texas Instruments</v>
          </cell>
          <cell r="D514" t="str">
            <v>LM311 COMPARATOR 8 PIN</v>
          </cell>
          <cell r="E514">
            <v>2500</v>
          </cell>
        </row>
        <row r="515">
          <cell r="B515" t="str">
            <v>LM339MX/NOPB</v>
          </cell>
          <cell r="C515" t="str">
            <v>Texas Instruments</v>
          </cell>
          <cell r="D515" t="str">
            <v>IC COMPARATOR 4 GEN PUR 14SOIC</v>
          </cell>
          <cell r="E515">
            <v>2494</v>
          </cell>
        </row>
        <row r="516">
          <cell r="B516" t="str">
            <v>LM358DG</v>
          </cell>
          <cell r="C516" t="str">
            <v>National Semiconductor</v>
          </cell>
          <cell r="D516" t="str">
            <v>IC, LM358, DUAL OP AMP, SO8, ROHS</v>
          </cell>
          <cell r="E516">
            <v>3700</v>
          </cell>
        </row>
        <row r="517">
          <cell r="B517" t="str">
            <v>LM358MX/NOPB</v>
          </cell>
          <cell r="C517" t="str">
            <v>Texas Instruments</v>
          </cell>
          <cell r="D517" t="str">
            <v>IC SM LM358M Dual OP AMP SO8</v>
          </cell>
          <cell r="E517">
            <v>2490</v>
          </cell>
        </row>
        <row r="518">
          <cell r="B518" t="str">
            <v>LM4040AIM3-2.5/NOPB</v>
          </cell>
          <cell r="C518" t="str">
            <v>Texas Instruments</v>
          </cell>
          <cell r="D518" t="str">
            <v>Ic Lm4040aim3-2.5nop Ref Prec Volt Micro</v>
          </cell>
          <cell r="E518">
            <v>795</v>
          </cell>
        </row>
        <row r="519">
          <cell r="B519" t="str">
            <v>LM555CMX/NOPB</v>
          </cell>
          <cell r="C519" t="str">
            <v>Texas Instruments</v>
          </cell>
          <cell r="D519" t="str">
            <v>IC,SMD,LM555CM,TIMER,ROHS</v>
          </cell>
          <cell r="E519">
            <v>2500</v>
          </cell>
        </row>
        <row r="520">
          <cell r="B520" t="str">
            <v>LM7321MAX/NOPB</v>
          </cell>
          <cell r="C520" t="str">
            <v>Texas Instruments</v>
          </cell>
          <cell r="D520" t="str">
            <v>Op Amp Single High Output Current Amplif</v>
          </cell>
          <cell r="E520">
            <v>200</v>
          </cell>
        </row>
        <row r="521">
          <cell r="B521" t="str">
            <v>LM7332MAX/NOPB</v>
          </cell>
          <cell r="C521" t="str">
            <v>Texas Instruments</v>
          </cell>
          <cell r="D521" t="str">
            <v>IC, LM7332MAX/NOPB, OPERATIONAL AMPLIFIE</v>
          </cell>
          <cell r="E521">
            <v>2500</v>
          </cell>
        </row>
        <row r="522">
          <cell r="B522" t="str">
            <v>LM74CIMX-3/NOPB</v>
          </cell>
          <cell r="C522" t="str">
            <v>Texas Instruments</v>
          </cell>
          <cell r="D522" t="str">
            <v>IC,SMD,TEMP SENSOR,SPI 8SOIC</v>
          </cell>
          <cell r="E522">
            <v>2500</v>
          </cell>
        </row>
        <row r="523">
          <cell r="B523" t="str">
            <v>LM7812SX/NOPB</v>
          </cell>
          <cell r="C523" t="str">
            <v>Texas Instruments</v>
          </cell>
          <cell r="D523" t="str">
            <v>IC,SMD,V RGLTR,FXD OUT,35V,TO-263-3</v>
          </cell>
          <cell r="E523">
            <v>195</v>
          </cell>
        </row>
        <row r="524">
          <cell r="B524" t="str">
            <v>LM78M05CDTX/NOPB</v>
          </cell>
          <cell r="C524" t="str">
            <v>Texas Instruments</v>
          </cell>
          <cell r="D524" t="str">
            <v>Linear Voltage Regulator IC Positive Fix</v>
          </cell>
          <cell r="E524">
            <v>4990</v>
          </cell>
        </row>
        <row r="525">
          <cell r="B525" t="str">
            <v>LM94022BIMGX/NOPB</v>
          </cell>
          <cell r="C525" t="str">
            <v>Texas Instruments</v>
          </cell>
          <cell r="D525" t="str">
            <v>IC,SMD,TEMP SENSOR MULTI-GAIN SC70-5</v>
          </cell>
          <cell r="E525">
            <v>3000</v>
          </cell>
        </row>
        <row r="526">
          <cell r="B526" t="str">
            <v>LMK063BBJ474MPLF</v>
          </cell>
          <cell r="C526" t="str">
            <v>Taiyo Yuden Co Ltd</v>
          </cell>
          <cell r="D526" t="str">
            <v>CAP,SMD,MLCC,0.47UF,±20%,10V,X5R,0201</v>
          </cell>
          <cell r="E526">
            <v>15000</v>
          </cell>
        </row>
        <row r="527">
          <cell r="B527" t="str">
            <v>LMK316BJ476ML-T</v>
          </cell>
          <cell r="C527" t="str">
            <v>Taiyo Yuden</v>
          </cell>
          <cell r="D527" t="str">
            <v>Multilayer Ceramic Capacitors MLCC - SMD</v>
          </cell>
          <cell r="E527">
            <v>1960</v>
          </cell>
        </row>
        <row r="528">
          <cell r="B528" t="str">
            <v>LMP8640MKX-T/NOPB</v>
          </cell>
          <cell r="C528" t="str">
            <v>Texas Instruments</v>
          </cell>
          <cell r="D528" t="str">
            <v>IC,SMD,CURRENT SENSE OPAMP,6SOT</v>
          </cell>
          <cell r="E528">
            <v>1000</v>
          </cell>
        </row>
        <row r="529">
          <cell r="B529" t="str">
            <v>LMV431BIMFX/NOPB</v>
          </cell>
          <cell r="C529" t="str">
            <v>Texas Instruments</v>
          </cell>
          <cell r="D529" t="str">
            <v>IC VREF SHUNT ADJ 0.5% SOT23-3</v>
          </cell>
          <cell r="E529">
            <v>1000</v>
          </cell>
        </row>
        <row r="530">
          <cell r="B530" t="str">
            <v>LMZ14202TZ-ADJ/NOPB</v>
          </cell>
          <cell r="C530" t="str">
            <v>Texas Instruments</v>
          </cell>
          <cell r="D530" t="str">
            <v>IC,SMD,DC-DC CONV,6V-42V,2A</v>
          </cell>
          <cell r="E530">
            <v>9</v>
          </cell>
        </row>
        <row r="531">
          <cell r="B531" t="str">
            <v>LPD25-25B</v>
          </cell>
          <cell r="C531" t="str">
            <v>Alpha Company Ltd</v>
          </cell>
          <cell r="D531" t="str">
            <v>HTSK,LP DROP,25.4SQX25MM,ANODIZED,AL,BLK</v>
          </cell>
          <cell r="E531">
            <v>100</v>
          </cell>
        </row>
        <row r="532">
          <cell r="B532" t="str">
            <v>LS7184NS</v>
          </cell>
          <cell r="C532" t="str">
            <v>Lsi Computer Systems</v>
          </cell>
          <cell r="D532" t="str">
            <v>IC,SMD,QUAD CLK CNVTR</v>
          </cell>
          <cell r="E532">
            <v>75</v>
          </cell>
        </row>
        <row r="533">
          <cell r="B533" t="str">
            <v>LSL29K-H1J2-1-Z</v>
          </cell>
          <cell r="C533" t="str">
            <v>Osram</v>
          </cell>
          <cell r="D533" t="str">
            <v>LED,SMD,1.8V,7.1MCD,630NM,RED,0603</v>
          </cell>
          <cell r="E533">
            <v>5000</v>
          </cell>
        </row>
        <row r="534">
          <cell r="B534" t="str">
            <v>LT1491ACS#PBF</v>
          </cell>
          <cell r="C534" t="str">
            <v>Analog Devices Inc</v>
          </cell>
          <cell r="D534" t="str">
            <v>IC,SMD, QUAD MPOWER RTR I/O OP-AMP,ROHS</v>
          </cell>
          <cell r="E534">
            <v>13</v>
          </cell>
        </row>
        <row r="535">
          <cell r="B535" t="str">
            <v>LT3065EDD#PBF</v>
          </cell>
          <cell r="C535" t="str">
            <v>Linear Technology Corp</v>
          </cell>
          <cell r="D535" t="str">
            <v>IC,SMD,VOLT REG,POS ADJ,500MA,DFN10</v>
          </cell>
          <cell r="E535">
            <v>100</v>
          </cell>
        </row>
        <row r="536">
          <cell r="B536" t="str">
            <v>LT3090EDD#PBF</v>
          </cell>
          <cell r="C536" t="str">
            <v>Analog Devices Inc</v>
          </cell>
          <cell r="D536" t="str">
            <v>IC REG LIN NEG ADJ 600MA 10DFN</v>
          </cell>
          <cell r="E536">
            <v>100</v>
          </cell>
        </row>
        <row r="537">
          <cell r="B537" t="str">
            <v>LT3741EFE#PBF</v>
          </cell>
          <cell r="C537" t="str">
            <v>Analog Devices Inc</v>
          </cell>
          <cell r="D537" t="str">
            <v>IC,SMD,DC-DC CONT,STEP DN,6-36V,TSSOP-20</v>
          </cell>
          <cell r="E537">
            <v>24</v>
          </cell>
        </row>
        <row r="538">
          <cell r="B538" t="str">
            <v>LT6654AHS6-3.3#TRMPBF</v>
          </cell>
          <cell r="C538" t="str">
            <v>Analog Devices Inc</v>
          </cell>
          <cell r="D538" t="str">
            <v>IC,SMD,V REF,3.3VOUT,TSOT-23-6</v>
          </cell>
          <cell r="E538">
            <v>499</v>
          </cell>
        </row>
        <row r="539">
          <cell r="B539" t="str">
            <v>LT8645SHV-2#PBF</v>
          </cell>
          <cell r="C539" t="str">
            <v>Analog Devices Inc</v>
          </cell>
          <cell r="D539" t="str">
            <v>IC,SMD,REG,BUCK,ADJ,8A,65V OUT,32-LQFN</v>
          </cell>
          <cell r="E539">
            <v>330</v>
          </cell>
        </row>
        <row r="540">
          <cell r="B540" t="str">
            <v>LTC1859CG#PBF</v>
          </cell>
          <cell r="C540" t="str">
            <v>Analog Devices Inc</v>
          </cell>
          <cell r="D540" t="str">
            <v>IC ADC 16BIT SAR 28SSOP</v>
          </cell>
          <cell r="E540">
            <v>63</v>
          </cell>
        </row>
        <row r="541">
          <cell r="B541" t="str">
            <v>LTC2666CUH-16#PBF</v>
          </cell>
          <cell r="C541" t="str">
            <v>Analog Devices Inc</v>
          </cell>
          <cell r="D541" t="str">
            <v>IC,SMD,DAC,16-BIT,8CHAN,QFN32,0-70DEG C</v>
          </cell>
          <cell r="E541">
            <v>60</v>
          </cell>
        </row>
        <row r="542">
          <cell r="B542" t="str">
            <v>LTC2666IUH-16#PBF</v>
          </cell>
          <cell r="C542" t="str">
            <v>Analog Devices Inc</v>
          </cell>
          <cell r="D542" t="str">
            <v>IC,SMD,DAC,16-BIT,8CHAN,QFN32,0-70DEG C</v>
          </cell>
          <cell r="E542">
            <v>73</v>
          </cell>
        </row>
        <row r="543">
          <cell r="B543" t="str">
            <v>LTC3260IDE#PBF</v>
          </cell>
          <cell r="C543" t="str">
            <v>Linear Technology Corp</v>
          </cell>
          <cell r="D543" t="str">
            <v>IC,DUAL PWR SPLY,CH PMP,100MA,DFN,125C</v>
          </cell>
          <cell r="E543">
            <v>81</v>
          </cell>
        </row>
        <row r="544">
          <cell r="B544" t="str">
            <v>LTC4231IMS-2#PBF</v>
          </cell>
          <cell r="C544" t="str">
            <v>Analog Devices Inc</v>
          </cell>
          <cell r="D544" t="str">
            <v>IC,SMD,LOW V CONT,2.7-36V,4UA,MSOP-12</v>
          </cell>
          <cell r="E544">
            <v>9</v>
          </cell>
        </row>
        <row r="545">
          <cell r="B545" t="str">
            <v>LTC4231IMS-2#PBF</v>
          </cell>
          <cell r="C545" t="str">
            <v>Analog Devices Inc</v>
          </cell>
          <cell r="D545" t="str">
            <v>IC,SMD,LOW V CONT,2.7-36V,4UA,MSOP-12</v>
          </cell>
          <cell r="E545">
            <v>259</v>
          </cell>
        </row>
        <row r="546">
          <cell r="B546" t="str">
            <v>LTC6752ISC6-1#TRPBF</v>
          </cell>
          <cell r="C546" t="str">
            <v>Analog Devices Inc</v>
          </cell>
          <cell r="D546" t="str">
            <v>Comparator General Purpose CMOS SC-70-6</v>
          </cell>
          <cell r="E546">
            <v>500</v>
          </cell>
        </row>
        <row r="547">
          <cell r="B547" t="str">
            <v>LTL-4233</v>
          </cell>
          <cell r="C547" t="str">
            <v>Lite-On Semiconductor Corp</v>
          </cell>
          <cell r="D547" t="str">
            <v>LED,T-1 3/4,GREEN,LOW CURRENT</v>
          </cell>
          <cell r="E547">
            <v>477</v>
          </cell>
        </row>
        <row r="548">
          <cell r="B548" t="str">
            <v>LTM8055EY#PBF</v>
          </cell>
          <cell r="C548" t="str">
            <v>Analog Devices Inc</v>
          </cell>
          <cell r="D548" t="str">
            <v>Switching Voltage Regulators 36VIN</v>
          </cell>
          <cell r="E548">
            <v>60</v>
          </cell>
        </row>
        <row r="549">
          <cell r="B549" t="str">
            <v>LTQ39G-Q1OO-25-1</v>
          </cell>
          <cell r="C549" t="str">
            <v>Osram</v>
          </cell>
          <cell r="D549" t="str">
            <v>LED,SMD,CHIPLED 0603,2.85V,5MA,TRUE GRN</v>
          </cell>
          <cell r="E549">
            <v>2514</v>
          </cell>
        </row>
        <row r="550">
          <cell r="B550" t="str">
            <v>LTST-C190KRKT</v>
          </cell>
          <cell r="C550" t="str">
            <v>Lite-On Semiconductor Corp</v>
          </cell>
          <cell r="D550" t="str">
            <v>LED,SMD,0603,ST,10MA,RED ROHS | CE!</v>
          </cell>
          <cell r="E550">
            <v>7840</v>
          </cell>
        </row>
        <row r="551">
          <cell r="B551" t="str">
            <v>LTV-845</v>
          </cell>
          <cell r="C551" t="str">
            <v>Lite-On Semiconductor Corp</v>
          </cell>
          <cell r="D551" t="str">
            <v>IC,PHOTOCOUPLER,4 CHAN,35V,50 MA,DIP16</v>
          </cell>
          <cell r="E551">
            <v>157</v>
          </cell>
        </row>
        <row r="552">
          <cell r="B552" t="str">
            <v>LVK12R050CER</v>
          </cell>
          <cell r="C552" t="str">
            <v>Ohmite</v>
          </cell>
          <cell r="D552" t="str">
            <v>RES,SMD,CUR SNS,.05OHM,0.25%TOL,.5W,1206</v>
          </cell>
          <cell r="E552">
            <v>4880</v>
          </cell>
        </row>
        <row r="553">
          <cell r="B553" t="str">
            <v>M2022-ASL</v>
          </cell>
          <cell r="C553" t="str">
            <v>Coilcraft Inc</v>
          </cell>
          <cell r="D553" t="str">
            <v>IDCTR,SMD,COMM,MODE,EMI,FLTR,11.5UH</v>
          </cell>
          <cell r="E553">
            <v>587</v>
          </cell>
        </row>
        <row r="554">
          <cell r="B554" t="str">
            <v>M-542CT</v>
          </cell>
          <cell r="C554" t="str">
            <v>Kemet Electronics Corp</v>
          </cell>
          <cell r="D554" t="str">
            <v>IDCTR,SMD,200UH,50VDC,0.120 OHM,0.5A</v>
          </cell>
          <cell r="E554">
            <v>1000</v>
          </cell>
        </row>
        <row r="555">
          <cell r="B555" t="str">
            <v>MAX15062BATA+T</v>
          </cell>
          <cell r="C555" t="str">
            <v>Maxim Integrated Products Inc</v>
          </cell>
          <cell r="D555" t="str">
            <v>IC,SMD,V RGLTR,.3A,5V OUT,-40TO 125DEG C</v>
          </cell>
          <cell r="E555">
            <v>2500</v>
          </cell>
        </row>
        <row r="556">
          <cell r="B556" t="str">
            <v>MAX232ACSE+T</v>
          </cell>
          <cell r="C556" t="str">
            <v>Maxim Integrated Products Inc</v>
          </cell>
          <cell r="D556" t="str">
            <v>IC TRANSCEIVER FULL 2/2 16SOIC</v>
          </cell>
          <cell r="E556">
            <v>199</v>
          </cell>
        </row>
        <row r="557">
          <cell r="B557" t="str">
            <v>MAX4995BAUT+T</v>
          </cell>
          <cell r="C557" t="str">
            <v>Maxim Integrated Products Inc</v>
          </cell>
          <cell r="D557" t="str">
            <v>IC,SMD,CURR LIMIT SWITCH,SOT23-6</v>
          </cell>
          <cell r="E557">
            <v>100</v>
          </cell>
        </row>
        <row r="558">
          <cell r="B558" t="str">
            <v>MAX5901NNETT+T</v>
          </cell>
          <cell r="C558" t="str">
            <v>Maxim Integrated Products Inc</v>
          </cell>
          <cell r="D558" t="str">
            <v>IC,SMD,HOT-SWAP CONTROLLER,6TDFN</v>
          </cell>
          <cell r="E558">
            <v>77</v>
          </cell>
        </row>
        <row r="559">
          <cell r="B559" t="str">
            <v>MAX5901NNEUT+</v>
          </cell>
          <cell r="C559" t="str">
            <v>Maxim Integrated Products Inc</v>
          </cell>
          <cell r="D559" t="str">
            <v>IC,SMD,-V HOT SWAP CNTLR,ROHS</v>
          </cell>
          <cell r="E559">
            <v>2480</v>
          </cell>
        </row>
        <row r="560">
          <cell r="B560" t="str">
            <v>MAX5903ACEUT+</v>
          </cell>
          <cell r="C560" t="str">
            <v>Maxim Integrated Products Inc</v>
          </cell>
          <cell r="D560" t="str">
            <v>IC,SMD,HOT SWAP CNTLR,POS 72V,ROHS</v>
          </cell>
          <cell r="E560">
            <v>60</v>
          </cell>
        </row>
        <row r="561">
          <cell r="B561" t="str">
            <v>MAX5903NNEUT+</v>
          </cell>
          <cell r="C561" t="str">
            <v>Maxim Integrated Products Inc</v>
          </cell>
          <cell r="D561" t="str">
            <v>IC,SMD,HOT SWAP CNTLR,POS 72V,ROHS</v>
          </cell>
          <cell r="E561">
            <v>70</v>
          </cell>
        </row>
        <row r="562">
          <cell r="B562" t="str">
            <v>MAX5976AETE+</v>
          </cell>
          <cell r="C562" t="str">
            <v>Maxim Integrated Products Inc</v>
          </cell>
          <cell r="D562" t="str">
            <v>IC,SMD,HOT SWAP,+18V,7A,ROHS</v>
          </cell>
          <cell r="E562">
            <v>160</v>
          </cell>
        </row>
        <row r="563">
          <cell r="B563" t="str">
            <v>MAX6612MXK+T</v>
          </cell>
          <cell r="C563" t="str">
            <v>Maxim Integrated Products Inc</v>
          </cell>
          <cell r="D563" t="str">
            <v>IC,SMD,TEMP SNSR,-55 TO 150 DEG C,SC70-5</v>
          </cell>
          <cell r="E563">
            <v>200</v>
          </cell>
        </row>
        <row r="564">
          <cell r="B564" t="str">
            <v>MAX6665ASA40+</v>
          </cell>
          <cell r="C564" t="str">
            <v>Maxim Integrated Products Inc</v>
          </cell>
          <cell r="D564" t="str">
            <v>IC,SMD,FAN CNTLR/DRVR</v>
          </cell>
          <cell r="E564">
            <v>60</v>
          </cell>
        </row>
        <row r="565">
          <cell r="B565" t="str">
            <v>MAX6818EAP+T</v>
          </cell>
          <cell r="C565" t="str">
            <v>Maxim Integrated Products Inc</v>
          </cell>
          <cell r="D565" t="str">
            <v>IC,SMD,SW DEBOUNCER,CMOS,2.7-5.5V,SSOP20</v>
          </cell>
          <cell r="E565">
            <v>106</v>
          </cell>
        </row>
        <row r="566">
          <cell r="B566" t="str">
            <v>MAX6818EAP+T</v>
          </cell>
          <cell r="C566" t="str">
            <v>Maxim Integrated Products Inc</v>
          </cell>
          <cell r="D566" t="str">
            <v>IC,SMD,SW DEBOUNCER,CMOS,2.7-5.5V,SSOP20</v>
          </cell>
          <cell r="E566">
            <v>7</v>
          </cell>
        </row>
        <row r="567">
          <cell r="B567" t="str">
            <v>MAX7317ATE+T</v>
          </cell>
          <cell r="C567" t="str">
            <v>Maxim Integrated Products Inc</v>
          </cell>
          <cell r="D567" t="str">
            <v>IC,SMD,I/O EXPANDER,10PORT,16PIN,TQFN-EP</v>
          </cell>
          <cell r="E567">
            <v>56</v>
          </cell>
        </row>
        <row r="568">
          <cell r="B568" t="str">
            <v>MBR140SFT1G</v>
          </cell>
          <cell r="C568" t="str">
            <v>On Semiconductor</v>
          </cell>
          <cell r="D568" t="str">
            <v>DIO,SMD,PWR,MBR140SFT1G,40V,1A,ROHS</v>
          </cell>
          <cell r="E568">
            <v>2510</v>
          </cell>
        </row>
        <row r="569">
          <cell r="B569" t="str">
            <v>MBRS130T3G</v>
          </cell>
          <cell r="C569" t="str">
            <v>Microchip Technology Inc</v>
          </cell>
          <cell r="D569" t="str">
            <v>DIO,SMD,SCHOTTKY,1A,30V,SMB,ROHS</v>
          </cell>
          <cell r="E569">
            <v>2500</v>
          </cell>
        </row>
        <row r="570">
          <cell r="B570" t="str">
            <v>MBRS240LT3G</v>
          </cell>
          <cell r="C570" t="str">
            <v>On Semiconductor</v>
          </cell>
          <cell r="D570" t="str">
            <v>DIODE SCHOTTKY 40V 2A SMB</v>
          </cell>
          <cell r="E570">
            <v>2358</v>
          </cell>
        </row>
        <row r="571">
          <cell r="B571" t="str">
            <v>MBRS540T3G</v>
          </cell>
          <cell r="C571" t="str">
            <v>On Semiconductor</v>
          </cell>
          <cell r="D571" t="str">
            <v>DIO,SMD,SCHOTTKY,5A,40V,ROHS</v>
          </cell>
          <cell r="E571">
            <v>2500</v>
          </cell>
        </row>
        <row r="572">
          <cell r="B572" t="str">
            <v>MC-306 32.7680K-A0: ROHS</v>
          </cell>
          <cell r="C572" t="str">
            <v>Epson</v>
          </cell>
          <cell r="D572" t="str">
            <v>EPSON - Q13MC30610003 - Crystal, 32.768</v>
          </cell>
          <cell r="E572">
            <v>2913</v>
          </cell>
        </row>
        <row r="573">
          <cell r="B573" t="str">
            <v>MCP23S18-E/SO</v>
          </cell>
          <cell r="C573" t="str">
            <v>Microchip Technology Inc</v>
          </cell>
          <cell r="D573" t="str">
            <v>IC,SMD,I/O EXPANDER,16BIT,W/SPI,SOIC-28</v>
          </cell>
          <cell r="E573">
            <v>216</v>
          </cell>
        </row>
        <row r="574">
          <cell r="B574" t="str">
            <v>MCRC1/4G472JT-RH</v>
          </cell>
          <cell r="C574" t="str">
            <v>Multicomp</v>
          </cell>
          <cell r="D574" t="str">
            <v>RES,CARBON CMPSN,4.7K OHM,1/4W,5%,THT</v>
          </cell>
          <cell r="E574">
            <v>998</v>
          </cell>
        </row>
        <row r="575">
          <cell r="B575" t="str">
            <v>MCT62SD</v>
          </cell>
          <cell r="C575" t="str">
            <v>On Semiconductor</v>
          </cell>
          <cell r="D575" t="str">
            <v>IC,SMD,DUAL PHOTOTRANSISTOR OPTOCOUPLER</v>
          </cell>
          <cell r="E575">
            <v>1000</v>
          </cell>
        </row>
        <row r="576">
          <cell r="B576" t="str">
            <v>MF40100V1-1000U-G99</v>
          </cell>
          <cell r="C576" t="str">
            <v>Sunon</v>
          </cell>
          <cell r="D576" t="str">
            <v>FAN,5VDC,.136A,40X40X10MM,8CFM,VAPO BRG</v>
          </cell>
          <cell r="E576">
            <v>50</v>
          </cell>
        </row>
        <row r="577">
          <cell r="B577" t="str">
            <v>MF-LSMF260X-2</v>
          </cell>
          <cell r="C577" t="str">
            <v>Bourns Inc</v>
          </cell>
          <cell r="D577" t="str">
            <v>PTC Resettable Fuse 2.6A(hold) 5.2A(trip</v>
          </cell>
          <cell r="E577">
            <v>4000</v>
          </cell>
        </row>
        <row r="578">
          <cell r="B578" t="str">
            <v>MMBD452LT1G</v>
          </cell>
          <cell r="C578" t="str">
            <v>On Semiconductor</v>
          </cell>
          <cell r="D578" t="str">
            <v>DIO,SMD,SCHOTTKY,RF,SER,30V,SOT-23</v>
          </cell>
          <cell r="E578">
            <v>2940</v>
          </cell>
        </row>
        <row r="579">
          <cell r="B579" t="str">
            <v>MMBT2222ALT3G</v>
          </cell>
          <cell r="C579" t="str">
            <v>On Semiconductor</v>
          </cell>
          <cell r="D579" t="str">
            <v>MMBT2222ALT3G</v>
          </cell>
          <cell r="E579">
            <v>10000</v>
          </cell>
        </row>
        <row r="580">
          <cell r="B580" t="str">
            <v>MMBT5087LT1G</v>
          </cell>
          <cell r="C580" t="str">
            <v>On Semiconductor</v>
          </cell>
          <cell r="D580" t="str">
            <v>XSTR,SMD,PNP,50V,.05A,300MW,SOT-23</v>
          </cell>
          <cell r="E580">
            <v>2955</v>
          </cell>
        </row>
        <row r="581">
          <cell r="B581" t="str">
            <v>MMBZ5236BLT1G</v>
          </cell>
          <cell r="C581" t="str">
            <v>On Semiconductor</v>
          </cell>
          <cell r="D581" t="str">
            <v>DIO,SMD,ZENER,225MW,MMBZ,7.5V ROHS</v>
          </cell>
          <cell r="E581">
            <v>190</v>
          </cell>
        </row>
        <row r="582">
          <cell r="B582" t="str">
            <v>MMBZ5240BLT1G</v>
          </cell>
          <cell r="C582" t="str">
            <v>On Semiconductor</v>
          </cell>
          <cell r="D582" t="str">
            <v>DIO,SMD,ZENER,225MW,MMBZ,10V,ROHS</v>
          </cell>
          <cell r="E582">
            <v>3000</v>
          </cell>
        </row>
        <row r="583">
          <cell r="B583" t="str">
            <v>MMSTA56Q-7-F</v>
          </cell>
          <cell r="C583" t="str">
            <v>Diodes Inc</v>
          </cell>
          <cell r="D583" t="str">
            <v>XSTR,SMD,PNP,80V,500MA,50MHZ,200MW</v>
          </cell>
          <cell r="E583">
            <v>2865</v>
          </cell>
        </row>
        <row r="584">
          <cell r="B584" t="str">
            <v>MMSZ11T1G</v>
          </cell>
          <cell r="C584" t="str">
            <v>On Semiconductor</v>
          </cell>
          <cell r="D584" t="str">
            <v>DIO,SMD,ZENER,11V,500MW,SOD-123,ROHS</v>
          </cell>
          <cell r="E584">
            <v>3000</v>
          </cell>
        </row>
        <row r="585">
          <cell r="B585" t="str">
            <v>MOX93021004FVE</v>
          </cell>
          <cell r="C585" t="str">
            <v>Ohmite</v>
          </cell>
          <cell r="D585" t="str">
            <v>RES,METAL FILM,1M OHM</v>
          </cell>
          <cell r="E585">
            <v>18</v>
          </cell>
        </row>
        <row r="586">
          <cell r="B586" t="str">
            <v>MPZ1005F470ETD25</v>
          </cell>
          <cell r="C586" t="str">
            <v>TDK Corp</v>
          </cell>
          <cell r="D586" t="str">
            <v>FERRITE BEAD,47OHM,100MHZ,25% TOL,.45A</v>
          </cell>
          <cell r="E586">
            <v>9324</v>
          </cell>
        </row>
        <row r="587">
          <cell r="B587" t="str">
            <v>MS310-10.0M-0.1%</v>
          </cell>
          <cell r="C587" t="str">
            <v>Caddock</v>
          </cell>
          <cell r="D587" t="str">
            <v>RES,METAL FILM,10M,0.1%</v>
          </cell>
          <cell r="E587">
            <v>100</v>
          </cell>
        </row>
        <row r="588">
          <cell r="B588" t="str">
            <v>MSS1278-224KLD</v>
          </cell>
          <cell r="C588" t="str">
            <v>Coilcraft Inc</v>
          </cell>
          <cell r="D588" t="str">
            <v>IDCTR,SMD,PWR,10%,220UH,ROHS</v>
          </cell>
          <cell r="E588">
            <v>500</v>
          </cell>
        </row>
        <row r="589">
          <cell r="B589" t="str">
            <v>MSS1278-393MLD</v>
          </cell>
          <cell r="C589" t="str">
            <v>Coilcraft Inc</v>
          </cell>
          <cell r="D589" t="str">
            <v>IDCTR,SMD,PWR,20%,39UH,ROHS</v>
          </cell>
          <cell r="E589">
            <v>489</v>
          </cell>
        </row>
        <row r="590">
          <cell r="B590" t="str">
            <v>MSS1278-473MLD</v>
          </cell>
          <cell r="C590" t="str">
            <v>Coilcraft Inc</v>
          </cell>
          <cell r="D590" t="str">
            <v>IDCTR,SMD,PWR,20%,47UH,ROHS</v>
          </cell>
          <cell r="E590">
            <v>2000</v>
          </cell>
        </row>
        <row r="591">
          <cell r="B591" t="str">
            <v>MT112TB-RG-A</v>
          </cell>
          <cell r="C591" t="str">
            <v>Marktech Opto Electronics</v>
          </cell>
          <cell r="D591" t="str">
            <v>LED,RED RECTANGULAR,ROHS</v>
          </cell>
          <cell r="E591">
            <v>167</v>
          </cell>
        </row>
        <row r="592">
          <cell r="B592" t="str">
            <v>MT40A256M16LY-062E AUT:F</v>
          </cell>
          <cell r="C592" t="str">
            <v>Micron Technology Inc</v>
          </cell>
          <cell r="D592" t="str">
            <v>IC,SMD,256 MEGX16,SDRAM-DDR4,96 PIN,FBGA</v>
          </cell>
          <cell r="E592">
            <v>1950</v>
          </cell>
        </row>
        <row r="593">
          <cell r="B593" t="str">
            <v>MT47H128M16RT-25E:C</v>
          </cell>
          <cell r="C593" t="str">
            <v>Micron Technology Inc</v>
          </cell>
          <cell r="D593" t="str">
            <v>IC DRAM 2GBIT PARALLEL 84FBGA</v>
          </cell>
          <cell r="E593">
            <v>2000</v>
          </cell>
        </row>
        <row r="594">
          <cell r="B594" t="str">
            <v>MTSW-116-22-T-S-440</v>
          </cell>
          <cell r="C594" t="str">
            <v>Samtec Inc</v>
          </cell>
          <cell r="D594" t="str">
            <v>CONN,HDR,PLUG,16POSN,1ROW,.1IN PITCH,TH</v>
          </cell>
          <cell r="E594">
            <v>30</v>
          </cell>
        </row>
        <row r="595">
          <cell r="B595" t="str">
            <v>N24C02UVTG</v>
          </cell>
          <cell r="C595" t="str">
            <v>On Semiconductor</v>
          </cell>
          <cell r="D595" t="str">
            <v>IC,SMD,EEPROM,8PIN,2KB,I2C,1.6-5.5V,US 8</v>
          </cell>
          <cell r="E595">
            <v>2996</v>
          </cell>
        </row>
        <row r="596">
          <cell r="B596" t="str">
            <v>NC7WZ14L6X-L22175</v>
          </cell>
          <cell r="C596" t="str">
            <v>On Semiconductor</v>
          </cell>
          <cell r="D596" t="str">
            <v>IC,SMD,INVTR,DUAL,SCHMITT TRIG,1.0MM</v>
          </cell>
          <cell r="E596">
            <v>5000</v>
          </cell>
        </row>
        <row r="597">
          <cell r="B597" t="str">
            <v>NE556DR</v>
          </cell>
          <cell r="C597" t="str">
            <v>Texas Instruments</v>
          </cell>
          <cell r="D597" t="str">
            <v>IC,SMD,TMR,DUAL PRCN,4.5-16V,SOIC-14</v>
          </cell>
          <cell r="E597">
            <v>2500</v>
          </cell>
        </row>
        <row r="598">
          <cell r="B598" t="str">
            <v>NMC0603NPO101J50TRPF</v>
          </cell>
          <cell r="C598" t="str">
            <v>Kemet Electronics Corp</v>
          </cell>
          <cell r="D598" t="str">
            <v>CAP,0603,CER,COG,5%,50V 100PF ROHS</v>
          </cell>
          <cell r="E598">
            <v>4000</v>
          </cell>
        </row>
        <row r="599">
          <cell r="B599" t="str">
            <v>NTMFS5C460NLT1G</v>
          </cell>
          <cell r="C599" t="str">
            <v>On Semiconductor</v>
          </cell>
          <cell r="D599" t="str">
            <v>XSTR,SMD,MOSFET,N-CHAN,40V,78A,DFN5</v>
          </cell>
          <cell r="E599">
            <v>3641</v>
          </cell>
        </row>
        <row r="600">
          <cell r="B600" t="str">
            <v>NTTFS015N04CTAG</v>
          </cell>
          <cell r="C600" t="str">
            <v>On Semiconductor</v>
          </cell>
          <cell r="D600" t="str">
            <v>XSTR,SMD,FIELD EFT,N CHAN,40V,27A,WDFN8</v>
          </cell>
          <cell r="E600">
            <v>1270</v>
          </cell>
        </row>
        <row r="601">
          <cell r="B601" t="str">
            <v>OP284ESZ-REEL7</v>
          </cell>
          <cell r="C601" t="str">
            <v>Analog Devices Inc</v>
          </cell>
          <cell r="D601" t="str">
            <v>IC OPAMP GP 2 CIRCUIT 8SOIC</v>
          </cell>
          <cell r="E601">
            <v>100</v>
          </cell>
        </row>
        <row r="602">
          <cell r="B602" t="str">
            <v>OPA1671IDBVR</v>
          </cell>
          <cell r="C602" t="str">
            <v>Texas Instruments</v>
          </cell>
          <cell r="D602" t="str">
            <v>IC,SMD,OP AMP,SGL,13MHZ,1.7-5.5V,SOT-23</v>
          </cell>
          <cell r="E602">
            <v>2975</v>
          </cell>
        </row>
        <row r="603">
          <cell r="B603" t="str">
            <v>OPA2132U/2K5</v>
          </cell>
          <cell r="C603" t="str">
            <v>Texas Instruments</v>
          </cell>
          <cell r="D603" t="str">
            <v>IC,SMD,OPA2132U,OPAMP,FET,ROHS</v>
          </cell>
          <cell r="E603">
            <v>60</v>
          </cell>
        </row>
        <row r="604">
          <cell r="B604" t="str">
            <v>OPA2277UA/2K5</v>
          </cell>
          <cell r="C604" t="str">
            <v>Texas Instruments</v>
          </cell>
          <cell r="D604" t="str">
            <v>IC OPAMP GP 2 CIRCUIT 8SOIC</v>
          </cell>
          <cell r="E604">
            <v>100</v>
          </cell>
        </row>
        <row r="605">
          <cell r="B605" t="str">
            <v>OPA2340UA/2K5</v>
          </cell>
          <cell r="C605" t="str">
            <v>Texas Instruments</v>
          </cell>
          <cell r="D605" t="str">
            <v>Op Amp Dual Precision Amplifier R-R I/O</v>
          </cell>
          <cell r="E605">
            <v>250</v>
          </cell>
        </row>
        <row r="606">
          <cell r="B606" t="str">
            <v>OPA2991IDDFR</v>
          </cell>
          <cell r="C606" t="str">
            <v>Texas Instruments</v>
          </cell>
          <cell r="D606" t="str">
            <v>IC,SMD,OP-AMP,2CKT,75MA,2.7-40V,SOT-23-8</v>
          </cell>
          <cell r="E606">
            <v>200</v>
          </cell>
        </row>
        <row r="607">
          <cell r="B607" t="str">
            <v>OPA548T</v>
          </cell>
          <cell r="C607" t="str">
            <v>Texas Instruments</v>
          </cell>
          <cell r="D607" t="str">
            <v>IC POWER 1 CIRCUIT TO220-7</v>
          </cell>
          <cell r="E607">
            <v>50</v>
          </cell>
        </row>
        <row r="608">
          <cell r="B608" t="str">
            <v>OPA691IDBVT</v>
          </cell>
          <cell r="C608" t="str">
            <v>Texas Instruments</v>
          </cell>
          <cell r="D608" t="str">
            <v>IC,SMD,OPAMP,CFA,1CKT,280MHZ,SOT23-6</v>
          </cell>
          <cell r="E608">
            <v>210</v>
          </cell>
        </row>
        <row r="609">
          <cell r="B609" t="str">
            <v>PATT0603E1502BGT1</v>
          </cell>
          <cell r="C609" t="str">
            <v>Vishay Semiconductors</v>
          </cell>
          <cell r="D609" t="str">
            <v>RES,0603,THIN FILM,0.1%,25 PPM,0.15W,15K</v>
          </cell>
          <cell r="E609">
            <v>945</v>
          </cell>
        </row>
        <row r="610">
          <cell r="B610" t="str">
            <v>PATT0603E2002BGT1</v>
          </cell>
          <cell r="C610" t="str">
            <v>Vishay Semiconductors</v>
          </cell>
          <cell r="D610" t="str">
            <v>RES,0603,THIN FILM,0.1%,25 PPM,0.15W,20K</v>
          </cell>
          <cell r="E610">
            <v>883</v>
          </cell>
        </row>
        <row r="611">
          <cell r="B611" t="str">
            <v>PCAL6416AHF</v>
          </cell>
          <cell r="C611" t="str">
            <v>NXP Semiconductors</v>
          </cell>
          <cell r="D611" t="str">
            <v>IC,SMD,I2C,I/O,EXP,16 BIT,HWQFN24</v>
          </cell>
          <cell r="E611">
            <v>5909</v>
          </cell>
        </row>
        <row r="612">
          <cell r="B612" t="str">
            <v>PCAN0805E1000BST5</v>
          </cell>
          <cell r="C612" t="str">
            <v>Vishay Dale</v>
          </cell>
          <cell r="D612" t="str">
            <v>RES,SMD,100OHM,±0.1%,1W,±25PPM,0805</v>
          </cell>
          <cell r="E612">
            <v>500</v>
          </cell>
        </row>
        <row r="613">
          <cell r="B613" t="str">
            <v>PCC-SMP-E-100</v>
          </cell>
          <cell r="C613" t="str">
            <v>Omega Engineering</v>
          </cell>
          <cell r="D613" t="str">
            <v>PCC-SMP-U-100 - THERMOCOUPLE CONN, U TYP</v>
          </cell>
          <cell r="E613">
            <v>100</v>
          </cell>
        </row>
        <row r="614">
          <cell r="B614" t="str">
            <v>PDSE1-S24-S12-M-TR</v>
          </cell>
          <cell r="C614" t="str">
            <v>CUI Inc</v>
          </cell>
          <cell r="D614" t="str">
            <v>Isolated Module DC DC Converter 1 Output</v>
          </cell>
          <cell r="E614">
            <v>1</v>
          </cell>
        </row>
        <row r="615">
          <cell r="B615" t="str">
            <v>PE2512FKE070R008L</v>
          </cell>
          <cell r="C615" t="str">
            <v>Yageo Corp</v>
          </cell>
          <cell r="D615" t="str">
            <v>RES,METAL FILM,0.008 OHM,1W,±1%,2512</v>
          </cell>
          <cell r="E615">
            <v>4000</v>
          </cell>
        </row>
        <row r="616">
          <cell r="B616" t="str">
            <v>PGA204AU</v>
          </cell>
          <cell r="C616" t="str">
            <v>Texas Instruments</v>
          </cell>
          <cell r="D616" t="str">
            <v>IC,SMD,INST AMP,PROG GAIN,PGA204AU</v>
          </cell>
          <cell r="E616">
            <v>190</v>
          </cell>
        </row>
        <row r="617">
          <cell r="B617" t="str">
            <v>PIC12F1612-I/SN</v>
          </cell>
          <cell r="C617" t="str">
            <v>Microchip Technology Inc</v>
          </cell>
          <cell r="D617" t="str">
            <v>IC MCU 8 BIT 3.5KB FLASH SOIC8</v>
          </cell>
          <cell r="E617">
            <v>100</v>
          </cell>
        </row>
        <row r="618">
          <cell r="B618" t="str">
            <v>PIC16F1614-E/SL</v>
          </cell>
          <cell r="C618" t="str">
            <v>Microchip Technology Inc</v>
          </cell>
          <cell r="D618" t="str">
            <v>IC,SMD,MCU,8BIT,FLASH,7KB,32MHZ,SOIC-14</v>
          </cell>
          <cell r="E618">
            <v>565</v>
          </cell>
        </row>
        <row r="619">
          <cell r="B619" t="str">
            <v>PIC16F18446-I/SO</v>
          </cell>
          <cell r="C619" t="str">
            <v>Microchip Technology Inc</v>
          </cell>
          <cell r="D619" t="str">
            <v>IC,SMD,MCU,8BIT,FLASH,28KB,32MHZ,SOIC-20</v>
          </cell>
          <cell r="E619">
            <v>449</v>
          </cell>
        </row>
        <row r="620">
          <cell r="B620" t="str">
            <v>PLT0805Z2502AST5</v>
          </cell>
          <cell r="C620" t="str">
            <v>Vishay</v>
          </cell>
          <cell r="D620" t="str">
            <v>RES,0805,TF,0.25W,0.05%,25K ROHS</v>
          </cell>
          <cell r="E620">
            <v>200</v>
          </cell>
        </row>
        <row r="621">
          <cell r="B621" t="str">
            <v>PLT0805Z5000AST5</v>
          </cell>
          <cell r="C621" t="str">
            <v>Vishay</v>
          </cell>
          <cell r="D621" t="str">
            <v>RES,0805,TF,0.25W,0.05%,500 ROHS</v>
          </cell>
          <cell r="E621">
            <v>489</v>
          </cell>
        </row>
        <row r="622">
          <cell r="B622" t="str">
            <v>PMEG4010EGWX</v>
          </cell>
          <cell r="C622" t="str">
            <v>Nexperia</v>
          </cell>
          <cell r="D622" t="str">
            <v>DIO,SMD,SCHOTTKY,40V,640MV,1A FWD,SOD123</v>
          </cell>
          <cell r="E622">
            <v>2920</v>
          </cell>
        </row>
        <row r="623">
          <cell r="B623" t="str">
            <v>PMR18EZPFU6L00</v>
          </cell>
          <cell r="C623" t="str">
            <v>Rohm Semiconductor</v>
          </cell>
          <cell r="D623" t="str">
            <v>RES,SMD,.006OHM,1% TOL,1W,1206</v>
          </cell>
          <cell r="E623">
            <v>4776</v>
          </cell>
        </row>
        <row r="624">
          <cell r="B624" t="str">
            <v>PMR18EZPJU5L0</v>
          </cell>
          <cell r="C624" t="str">
            <v>Rohm Semiconductor</v>
          </cell>
          <cell r="D624" t="str">
            <v>RES,SMD,0.005 OHM,±5% TOL,1W,1206</v>
          </cell>
          <cell r="E624">
            <v>4999</v>
          </cell>
        </row>
        <row r="625">
          <cell r="B625" t="str">
            <v>PMR18EZPJU9L0</v>
          </cell>
          <cell r="C625" t="str">
            <v>Rohm Semiconductor</v>
          </cell>
          <cell r="D625" t="str">
            <v>RES,SMD,0.009 OHM,±5% TOL,1W,1206</v>
          </cell>
          <cell r="E625">
            <v>4622</v>
          </cell>
        </row>
        <row r="626">
          <cell r="B626" t="str">
            <v>PNM0402E2502BST1</v>
          </cell>
          <cell r="C626" t="str">
            <v>Vishay Semiconductors</v>
          </cell>
          <cell r="D626" t="str">
            <v>RES,SMD,THIN FILM,25KOHM,0.1%,.05W,0402</v>
          </cell>
          <cell r="E626">
            <v>4349</v>
          </cell>
        </row>
        <row r="627">
          <cell r="B627" t="str">
            <v>PNM0402E2502BST1</v>
          </cell>
          <cell r="C627" t="str">
            <v>Vishay Semiconductors</v>
          </cell>
          <cell r="D627" t="str">
            <v>RES,SMD,THIN FILM,25KOHM,0.1%,.05W,0402</v>
          </cell>
          <cell r="E627">
            <v>464</v>
          </cell>
        </row>
        <row r="628">
          <cell r="B628" t="str">
            <v>PWR163S-25-15R0FE</v>
          </cell>
          <cell r="C628" t="str">
            <v>Bourns Inc</v>
          </cell>
          <cell r="D628" t="str">
            <v>RES,SMD,PWR,+/-1%,25W,15 OHM</v>
          </cell>
          <cell r="E628">
            <v>484</v>
          </cell>
        </row>
        <row r="629">
          <cell r="B629" t="str">
            <v>PZHT0603-0R00GT</v>
          </cell>
          <cell r="C629" t="str">
            <v>Vishay Semiconductors</v>
          </cell>
          <cell r="D629" t="str">
            <v>RES,SMD,ZERO OHM JUMPER,0603</v>
          </cell>
          <cell r="E629">
            <v>400</v>
          </cell>
        </row>
        <row r="630">
          <cell r="B630" t="str">
            <v>R05C05TE05SR</v>
          </cell>
          <cell r="C630" t="str">
            <v>Recom</v>
          </cell>
          <cell r="D630" t="str">
            <v>PS,DC-DC,4.5-5.5VINPUT,5VOUT,0.5W,SOIC16</v>
          </cell>
          <cell r="E630">
            <v>500</v>
          </cell>
        </row>
        <row r="631">
          <cell r="B631" t="str">
            <v>R1501J100B-T1-FE</v>
          </cell>
          <cell r="C631" t="str">
            <v>Nisshinbo</v>
          </cell>
          <cell r="D631" t="str">
            <v>PS,CMOS-LDO,3-24VIN,1A OUT,TO-252-5-P2</v>
          </cell>
          <cell r="E631">
            <v>3000</v>
          </cell>
        </row>
        <row r="632">
          <cell r="B632" t="str">
            <v>R-78C15-1.0</v>
          </cell>
          <cell r="C632" t="str">
            <v>Recom</v>
          </cell>
          <cell r="D632" t="str">
            <v>PS,CONV,DC/DC,8-42VIN,15VOUT,1A,ROHS</v>
          </cell>
          <cell r="E632">
            <v>89</v>
          </cell>
        </row>
        <row r="633">
          <cell r="B633" t="str">
            <v>R-78C3.3-1.0</v>
          </cell>
          <cell r="C633" t="str">
            <v>Recom</v>
          </cell>
          <cell r="D633" t="str">
            <v>PS,CONV,DC/DC,7-42VIN,3.3VOUT,1A</v>
          </cell>
          <cell r="E633">
            <v>72</v>
          </cell>
        </row>
        <row r="634">
          <cell r="B634" t="str">
            <v>R-78T5.0-1.0/FC</v>
          </cell>
          <cell r="C634" t="str">
            <v>Recom</v>
          </cell>
          <cell r="D634" t="str">
            <v>PS, SMD,5V-1A, NON-ISO, ROHS</v>
          </cell>
          <cell r="E634">
            <v>60</v>
          </cell>
        </row>
        <row r="635">
          <cell r="B635" t="str">
            <v>RAPC722X</v>
          </cell>
          <cell r="C635" t="str">
            <v>Switchcraft</v>
          </cell>
          <cell r="D635" t="str">
            <v>CONN,DC POWER,JACK,2POS,RIGHT ANGLE,THRU</v>
          </cell>
          <cell r="E635">
            <v>500</v>
          </cell>
        </row>
        <row r="636">
          <cell r="B636" t="str">
            <v>RBR3MM40A</v>
          </cell>
          <cell r="C636" t="str">
            <v>Rohm Semiconductor</v>
          </cell>
          <cell r="D636" t="str">
            <v>DIO,SMD,SCHOTTKY BARR,40V,3A,SOD-123FL</v>
          </cell>
          <cell r="E636">
            <v>2892</v>
          </cell>
        </row>
        <row r="637">
          <cell r="B637" t="str">
            <v>RC0402FR-070RL</v>
          </cell>
          <cell r="C637" t="str">
            <v>Yageo Corp</v>
          </cell>
          <cell r="D637" t="str">
            <v>RES,SMD,THK FILM,0OHM,1%,1/16W,0402</v>
          </cell>
          <cell r="E637">
            <v>9577</v>
          </cell>
        </row>
        <row r="638">
          <cell r="B638" t="str">
            <v>RC0402FR-0710K2L</v>
          </cell>
          <cell r="C638" t="str">
            <v>Yageo Corp</v>
          </cell>
          <cell r="D638" t="str">
            <v>RES,0402,THKF,1/16W,1% 10.2K ROHS</v>
          </cell>
          <cell r="E638">
            <v>9863</v>
          </cell>
        </row>
        <row r="639">
          <cell r="B639" t="str">
            <v>RC0402FR-0710K5L</v>
          </cell>
          <cell r="C639" t="str">
            <v>Yageo Corp</v>
          </cell>
          <cell r="D639" t="str">
            <v>RES,0402,THKF,1/16W,1%,10.5K,ROHS</v>
          </cell>
          <cell r="E639">
            <v>10000</v>
          </cell>
        </row>
        <row r="640">
          <cell r="B640" t="str">
            <v>RC0402FR-0711K8L</v>
          </cell>
          <cell r="C640" t="str">
            <v>Yageo Corp</v>
          </cell>
          <cell r="D640" t="str">
            <v>RES,0402,THKF,1/16W,1%,11.8K,ROHS</v>
          </cell>
          <cell r="E640">
            <v>10000</v>
          </cell>
        </row>
        <row r="641">
          <cell r="B641" t="str">
            <v>RC0402FR-07120KL</v>
          </cell>
          <cell r="C641" t="str">
            <v>Yageo Corp</v>
          </cell>
          <cell r="D641" t="str">
            <v>RES,0402,THKF,1/16W,1% 120K ROHS</v>
          </cell>
          <cell r="E641">
            <v>10000</v>
          </cell>
        </row>
        <row r="642">
          <cell r="B642" t="str">
            <v>RC0402FR-07124KL</v>
          </cell>
          <cell r="C642" t="str">
            <v>Yageo Corp</v>
          </cell>
          <cell r="D642" t="str">
            <v>RES,0402,THKF,1/16W,1% 124K ROHS</v>
          </cell>
          <cell r="E642">
            <v>10000</v>
          </cell>
        </row>
        <row r="643">
          <cell r="B643" t="str">
            <v>RC0402FR-0712K7L</v>
          </cell>
          <cell r="C643" t="str">
            <v>Yageo Corp</v>
          </cell>
          <cell r="D643" t="str">
            <v>RES,0402,THKF,1/16W,1%,12.7K,ROHS</v>
          </cell>
          <cell r="E643">
            <v>10000</v>
          </cell>
        </row>
        <row r="644">
          <cell r="B644" t="str">
            <v>RC0402FR-071K02L</v>
          </cell>
          <cell r="C644" t="str">
            <v>Yageo Corp</v>
          </cell>
          <cell r="D644" t="str">
            <v>RES,0402,THKF,1/16W,1% 1.02K ROHS</v>
          </cell>
          <cell r="E644">
            <v>10000</v>
          </cell>
        </row>
        <row r="645">
          <cell r="B645" t="str">
            <v>RC0402FR-071K15L</v>
          </cell>
          <cell r="C645" t="str">
            <v>Yageo Corp</v>
          </cell>
          <cell r="D645" t="str">
            <v>RES,0402,THKF,1/16W,1%,1.15K,ROHS</v>
          </cell>
          <cell r="E645">
            <v>10000</v>
          </cell>
        </row>
        <row r="646">
          <cell r="B646" t="str">
            <v>RC0402FR-071K2L</v>
          </cell>
          <cell r="C646" t="str">
            <v>Yageo Corp</v>
          </cell>
          <cell r="D646" t="str">
            <v>RESISTOR-CHIP THICK FILM_1.2KO</v>
          </cell>
          <cell r="E646">
            <v>19940</v>
          </cell>
        </row>
        <row r="647">
          <cell r="B647" t="str">
            <v>RC0402FR-071K37L</v>
          </cell>
          <cell r="C647" t="str">
            <v>Yageo Corp</v>
          </cell>
          <cell r="D647" t="str">
            <v>RES,0402,THKF,1/16W,1%,1.37K,ROHS</v>
          </cell>
          <cell r="E647">
            <v>19945</v>
          </cell>
        </row>
        <row r="648">
          <cell r="B648" t="str">
            <v>RC0402FR-071K69L</v>
          </cell>
          <cell r="C648" t="str">
            <v>Yageo Corp</v>
          </cell>
          <cell r="D648" t="str">
            <v>RES,0402,THKF,1/16W,1% 1.69K ROHS</v>
          </cell>
          <cell r="E648">
            <v>10000</v>
          </cell>
        </row>
        <row r="649">
          <cell r="B649" t="str">
            <v>RC0402FR-071K87L</v>
          </cell>
          <cell r="C649" t="str">
            <v>Yageo Corp</v>
          </cell>
          <cell r="D649" t="str">
            <v>RES,0402,THKF,1/16W,1% 1.87K ROHS</v>
          </cell>
          <cell r="E649">
            <v>10000</v>
          </cell>
        </row>
        <row r="650">
          <cell r="B650" t="str">
            <v>RC0402FR-071R21L</v>
          </cell>
          <cell r="C650" t="str">
            <v>Yageo Corp</v>
          </cell>
          <cell r="D650" t="str">
            <v>RES,0402,THKF,1/16W,1% 1.21 ROHS</v>
          </cell>
          <cell r="E650">
            <v>10000</v>
          </cell>
        </row>
        <row r="651">
          <cell r="B651" t="str">
            <v>RC0402FR-071R37L</v>
          </cell>
          <cell r="C651" t="str">
            <v>Vishay Semiconductors</v>
          </cell>
          <cell r="D651" t="str">
            <v>RES,0402,THKF,1/16W,1% 1.37 ROHS</v>
          </cell>
          <cell r="E651">
            <v>10000</v>
          </cell>
        </row>
        <row r="652">
          <cell r="B652" t="str">
            <v>RC0402FR-0721K5L</v>
          </cell>
          <cell r="C652" t="str">
            <v>Yageo Corp</v>
          </cell>
          <cell r="D652" t="str">
            <v>RES,0402,THKF,1/16W,1% 21.5K ROHS</v>
          </cell>
          <cell r="E652">
            <v>10000</v>
          </cell>
        </row>
        <row r="653">
          <cell r="B653" t="str">
            <v>RC0402FR-0722KL</v>
          </cell>
          <cell r="C653" t="str">
            <v>Yageo Corp</v>
          </cell>
          <cell r="D653" t="str">
            <v>Yag Res 0402 22K 1%</v>
          </cell>
          <cell r="E653">
            <v>10000</v>
          </cell>
        </row>
        <row r="654">
          <cell r="B654" t="str">
            <v>RC0402FR-0722RL</v>
          </cell>
          <cell r="C654" t="str">
            <v>Yageo Corp</v>
          </cell>
          <cell r="D654" t="str">
            <v>GENERAL PURPOSE CHIP RESISTOR</v>
          </cell>
          <cell r="E654">
            <v>10000</v>
          </cell>
        </row>
        <row r="655">
          <cell r="B655" t="str">
            <v>RC0402FR-0724K3L</v>
          </cell>
          <cell r="C655" t="str">
            <v>Yageo Corp</v>
          </cell>
          <cell r="D655" t="str">
            <v>RES,0402,THKF,1/16W,1% 24.3K ROHS</v>
          </cell>
          <cell r="E655">
            <v>10000</v>
          </cell>
        </row>
        <row r="656">
          <cell r="B656" t="str">
            <v>RC0402FR-072K67L</v>
          </cell>
          <cell r="C656" t="str">
            <v>Yageo Corp</v>
          </cell>
          <cell r="D656" t="str">
            <v>RES,0402,THKF,1/16W,1% 2.67K ROHS</v>
          </cell>
          <cell r="E656">
            <v>10000</v>
          </cell>
        </row>
        <row r="657">
          <cell r="B657" t="str">
            <v>RC0402FR-072R49L</v>
          </cell>
          <cell r="C657" t="str">
            <v>Yageo Corp</v>
          </cell>
          <cell r="D657" t="str">
            <v>RES,0402,THKF,1/16W,1% 2.49 ROHS</v>
          </cell>
          <cell r="E657">
            <v>9722</v>
          </cell>
        </row>
        <row r="658">
          <cell r="B658" t="str">
            <v>RC0402FR-07340RL</v>
          </cell>
          <cell r="C658" t="str">
            <v>Yageo Corp</v>
          </cell>
          <cell r="D658" t="str">
            <v>RES,0402,THKF,1/16W,1%,340,ROHS</v>
          </cell>
          <cell r="E658">
            <v>10000</v>
          </cell>
        </row>
        <row r="659">
          <cell r="B659" t="str">
            <v>RC0402FR-07348RL</v>
          </cell>
          <cell r="C659" t="str">
            <v>Yageo Corp</v>
          </cell>
          <cell r="D659" t="str">
            <v>RES,0402,THKF,1/16W,1% 348 ROHS</v>
          </cell>
          <cell r="E659">
            <v>9878</v>
          </cell>
        </row>
        <row r="660">
          <cell r="B660" t="str">
            <v>RC0402FR-0747K5L</v>
          </cell>
          <cell r="C660" t="str">
            <v>Yageo Corp</v>
          </cell>
          <cell r="D660" t="str">
            <v>Thick Film Resistors - SMD 47.5 kOhms 62</v>
          </cell>
          <cell r="E660">
            <v>9790</v>
          </cell>
        </row>
        <row r="661">
          <cell r="B661" t="str">
            <v>RC0402FR-074K02L</v>
          </cell>
          <cell r="C661" t="str">
            <v>Yageo Corp</v>
          </cell>
          <cell r="D661" t="str">
            <v>RES,0402,THKF,1/16W,1% 4.02K ROHS</v>
          </cell>
          <cell r="E661">
            <v>9939</v>
          </cell>
        </row>
        <row r="662">
          <cell r="B662" t="str">
            <v>RC0402FR-0752R3L</v>
          </cell>
          <cell r="C662" t="str">
            <v>Yageo Corp</v>
          </cell>
          <cell r="D662" t="str">
            <v>RES,0402,THKF,1/16W,1%,52.3,ROHS</v>
          </cell>
          <cell r="E662">
            <v>10000</v>
          </cell>
        </row>
        <row r="663">
          <cell r="B663" t="str">
            <v>RC0402FR-07549RL</v>
          </cell>
          <cell r="C663" t="str">
            <v>Yageo Corp</v>
          </cell>
          <cell r="D663" t="str">
            <v>RES,0402,THKF,1/16W,1% 549 ROHS</v>
          </cell>
          <cell r="E663">
            <v>10000</v>
          </cell>
        </row>
        <row r="664">
          <cell r="B664" t="str">
            <v>RC0402FR-075K9L</v>
          </cell>
          <cell r="C664" t="str">
            <v>Yageo Corp</v>
          </cell>
          <cell r="D664" t="str">
            <v>RES,0402,THKF,1/16W,1%,5.90K,ROHS</v>
          </cell>
          <cell r="E664">
            <v>9940</v>
          </cell>
        </row>
        <row r="665">
          <cell r="B665" t="str">
            <v>RC0402FR-075R11L</v>
          </cell>
          <cell r="C665" t="str">
            <v>Yageo Corp</v>
          </cell>
          <cell r="D665" t="str">
            <v>RES,0402,THKF,1/16W,1%,5.11,ROHS</v>
          </cell>
          <cell r="E665">
            <v>8720</v>
          </cell>
        </row>
        <row r="666">
          <cell r="B666" t="str">
            <v>RC0402FR-0775RL</v>
          </cell>
          <cell r="C666" t="str">
            <v>Yageo Corp</v>
          </cell>
          <cell r="D666" t="str">
            <v>RES,0402,THKF,1/16W,1% 75.0 ROHS</v>
          </cell>
          <cell r="E666">
            <v>8766</v>
          </cell>
        </row>
        <row r="667">
          <cell r="B667" t="str">
            <v>RC0402FR-078R25L</v>
          </cell>
          <cell r="C667" t="str">
            <v>Yageo Corp</v>
          </cell>
          <cell r="D667" t="str">
            <v>RES,0402,THKF,1/16W,1% 8.25 ROHS</v>
          </cell>
          <cell r="E667">
            <v>10000</v>
          </cell>
        </row>
        <row r="668">
          <cell r="B668" t="str">
            <v>RC0603FR-0710KL</v>
          </cell>
          <cell r="C668" t="str">
            <v>Yageo Corp</v>
          </cell>
          <cell r="D668" t="str">
            <v>RESISTOR 10K 1% 0603 SMD POURS</v>
          </cell>
          <cell r="E668">
            <v>10000</v>
          </cell>
        </row>
        <row r="669">
          <cell r="B669" t="str">
            <v>RC0603FR-071ML</v>
          </cell>
          <cell r="C669" t="str">
            <v>Yageo Corp</v>
          </cell>
          <cell r="D669" t="str">
            <v>Res,1.00m,1%,1/10w,Chip/0603,100ppm</v>
          </cell>
          <cell r="E669">
            <v>4660</v>
          </cell>
        </row>
        <row r="670">
          <cell r="B670" t="str">
            <v>RC0603FR-074K7L</v>
          </cell>
          <cell r="C670" t="str">
            <v>Yageo Corp</v>
          </cell>
          <cell r="D670" t="str">
            <v>RESISTOR 4K7 0603 SMD 1%</v>
          </cell>
          <cell r="E670">
            <v>5000</v>
          </cell>
        </row>
        <row r="671">
          <cell r="B671" t="str">
            <v>RC0603JR-0722RL</v>
          </cell>
          <cell r="C671" t="str">
            <v>Yageo Corp</v>
          </cell>
          <cell r="D671" t="str">
            <v>RES, SMD,TF,0603,22 OHM, 5%, 1/10W, ROHS</v>
          </cell>
          <cell r="E671">
            <v>4943</v>
          </cell>
        </row>
        <row r="672">
          <cell r="B672" t="str">
            <v>RC0805FR-07105RL</v>
          </cell>
          <cell r="C672" t="str">
            <v>Yageo Corp</v>
          </cell>
          <cell r="D672" t="str">
            <v>RES,SMD,0805,105,1%,1/10W,ROHS</v>
          </cell>
          <cell r="E672">
            <v>5000</v>
          </cell>
        </row>
        <row r="673">
          <cell r="B673" t="str">
            <v>RC0805FR-07150RL</v>
          </cell>
          <cell r="C673" t="str">
            <v>Yageo Corp</v>
          </cell>
          <cell r="D673" t="str">
            <v>RES,SMD,0805,150,1%,1/10W,ROHS</v>
          </cell>
          <cell r="E673">
            <v>4865</v>
          </cell>
        </row>
        <row r="674">
          <cell r="B674" t="str">
            <v>RC0805FR-071K27L</v>
          </cell>
          <cell r="C674" t="str">
            <v>Yageo Corp</v>
          </cell>
          <cell r="D674" t="str">
            <v>RES,SMD,0805,1.27K,1%,1/10W,ROHS</v>
          </cell>
          <cell r="E674">
            <v>50000</v>
          </cell>
        </row>
        <row r="675">
          <cell r="B675" t="str">
            <v>RC0805FR-0722K1L</v>
          </cell>
          <cell r="C675" t="str">
            <v>Yageo Corp</v>
          </cell>
          <cell r="D675" t="str">
            <v>RES,0805,22.1K,1%,1/10W,ROHS</v>
          </cell>
          <cell r="E675">
            <v>5000</v>
          </cell>
        </row>
        <row r="676">
          <cell r="B676" t="str">
            <v>RC0805FR-072K67L</v>
          </cell>
          <cell r="C676" t="str">
            <v>Yageo Corp</v>
          </cell>
          <cell r="D676" t="str">
            <v>RES,SMD,0805,2.67K,1%,1/10W,ROHS</v>
          </cell>
          <cell r="E676">
            <v>5000</v>
          </cell>
        </row>
        <row r="677">
          <cell r="B677" t="str">
            <v>RC0805FR-0730K1L</v>
          </cell>
          <cell r="C677" t="str">
            <v>Yageo Corp</v>
          </cell>
          <cell r="D677" t="str">
            <v>RES,0805,30.1K,1%,1/10W,ROHS</v>
          </cell>
          <cell r="E677">
            <v>5000</v>
          </cell>
        </row>
        <row r="678">
          <cell r="B678" t="str">
            <v>RC0805FR-07357KL</v>
          </cell>
          <cell r="C678" t="str">
            <v>Yageo Corp</v>
          </cell>
          <cell r="D678" t="str">
            <v>RES,0805,357K,1%,1/10W,ROHS</v>
          </cell>
          <cell r="E678">
            <v>5000</v>
          </cell>
        </row>
        <row r="679">
          <cell r="B679" t="str">
            <v>RC0805FR-074K64L</v>
          </cell>
          <cell r="C679" t="str">
            <v>TT Electronics Plc</v>
          </cell>
          <cell r="D679" t="str">
            <v>RES,SMD,0805,4.64K,1%,1/10W,ROHS</v>
          </cell>
          <cell r="E679">
            <v>5000</v>
          </cell>
        </row>
        <row r="680">
          <cell r="B680" t="str">
            <v>RC0805FR-074K87L</v>
          </cell>
          <cell r="C680" t="str">
            <v>TT Electronics Plc</v>
          </cell>
          <cell r="D680" t="str">
            <v>RES,SMD,0805,4.87K,1%,1/10W,ROHS</v>
          </cell>
          <cell r="E680">
            <v>5000</v>
          </cell>
        </row>
        <row r="681">
          <cell r="B681" t="str">
            <v>RC0805FR-07887RL</v>
          </cell>
          <cell r="C681" t="str">
            <v>TT Electronics Plc</v>
          </cell>
          <cell r="D681" t="str">
            <v>RES,SMD,0805,887,1%,1/10W,ROHS</v>
          </cell>
          <cell r="E681">
            <v>5000</v>
          </cell>
        </row>
        <row r="682">
          <cell r="B682" t="str">
            <v>RC0805FR-079K31L</v>
          </cell>
          <cell r="C682" t="str">
            <v>Yageo Corp</v>
          </cell>
          <cell r="D682" t="str">
            <v>RES,SMD,0805,9.31K,1%,1/10W,ROHS</v>
          </cell>
          <cell r="E682">
            <v>5000</v>
          </cell>
        </row>
        <row r="683">
          <cell r="B683" t="str">
            <v>RC0805JR-07100KL</v>
          </cell>
          <cell r="C683" t="str">
            <v>Yageo Corp</v>
          </cell>
          <cell r="D683" t="str">
            <v>RES,SMD,0805,100K,5%,1/10W,ROHS</v>
          </cell>
          <cell r="E683">
            <v>5000</v>
          </cell>
        </row>
        <row r="684">
          <cell r="B684" t="str">
            <v>RC0805JR-07680RL</v>
          </cell>
          <cell r="C684" t="str">
            <v>Yageo Corp</v>
          </cell>
          <cell r="D684" t="str">
            <v>RES,SMD,0805,680 OHM,5%,1/10W,ROHS</v>
          </cell>
          <cell r="E684">
            <v>5000</v>
          </cell>
        </row>
        <row r="685">
          <cell r="B685" t="str">
            <v>RC1206FR-07100KL</v>
          </cell>
          <cell r="C685" t="str">
            <v>Yageo Corp</v>
          </cell>
          <cell r="D685" t="str">
            <v>Res Thick Film 1206 100K Ohm 1% 0.25W(1/</v>
          </cell>
          <cell r="E685">
            <v>4600</v>
          </cell>
        </row>
        <row r="686">
          <cell r="B686" t="str">
            <v>RC1206FR-071K91L</v>
          </cell>
          <cell r="C686" t="str">
            <v>Yageo Corp</v>
          </cell>
          <cell r="D686" t="str">
            <v>RES,1206,1% 1/4W,1.91K ROHS</v>
          </cell>
          <cell r="E686">
            <v>5000</v>
          </cell>
        </row>
        <row r="687">
          <cell r="B687" t="str">
            <v>RC1206FR-071KL</v>
          </cell>
          <cell r="C687" t="str">
            <v>Yageo Corp</v>
          </cell>
          <cell r="D687" t="str">
            <v>RES,1206,1% 1/4W,1.00K ROHS</v>
          </cell>
          <cell r="E687">
            <v>4900</v>
          </cell>
        </row>
        <row r="688">
          <cell r="B688" t="str">
            <v>RC1206FR-07200KL</v>
          </cell>
          <cell r="C688" t="str">
            <v>Yageo Corp</v>
          </cell>
          <cell r="D688" t="str">
            <v>RES,SMD,1206,200K,1%,1/4W,ROHS</v>
          </cell>
          <cell r="E688">
            <v>4980</v>
          </cell>
        </row>
        <row r="689">
          <cell r="B689" t="str">
            <v>RC1206FR-0720KL</v>
          </cell>
          <cell r="C689" t="str">
            <v>Yageo Corp</v>
          </cell>
          <cell r="D689" t="str">
            <v>RES,SMD,1206,20.0K,1%,1/4W,ROHS</v>
          </cell>
          <cell r="E689">
            <v>4784</v>
          </cell>
        </row>
        <row r="690">
          <cell r="B690" t="str">
            <v>RC1206FR-07215KL</v>
          </cell>
          <cell r="C690" t="str">
            <v>TT Electronics Plc</v>
          </cell>
          <cell r="D690" t="str">
            <v>RES,1206,1%,1/4W,100PPM,215K,ROHS</v>
          </cell>
          <cell r="E690">
            <v>5000</v>
          </cell>
        </row>
        <row r="691">
          <cell r="B691" t="str">
            <v>RC1206FR-0726K1L</v>
          </cell>
          <cell r="C691" t="str">
            <v>TT Electronics Plc</v>
          </cell>
          <cell r="D691" t="str">
            <v>RES,SMD,1206,1%,1/4W,26.1K ROHS</v>
          </cell>
          <cell r="E691">
            <v>5000</v>
          </cell>
        </row>
        <row r="692">
          <cell r="B692" t="str">
            <v>RC1206FR-072K49L</v>
          </cell>
          <cell r="C692" t="str">
            <v>Yageo Corp</v>
          </cell>
          <cell r="D692" t="str">
            <v>RES,1206,1% 1/4W,2.49K ROHS</v>
          </cell>
          <cell r="E692">
            <v>4980</v>
          </cell>
        </row>
        <row r="693">
          <cell r="B693" t="str">
            <v>RC1206FR-07301RL</v>
          </cell>
          <cell r="C693" t="str">
            <v>Yageo Corp</v>
          </cell>
          <cell r="D693" t="str">
            <v>RES,1206,301 OHM,1%,1/4W,ROHS</v>
          </cell>
          <cell r="E693">
            <v>5000</v>
          </cell>
        </row>
        <row r="694">
          <cell r="B694" t="str">
            <v>RC1206FR-0739K2L</v>
          </cell>
          <cell r="C694" t="str">
            <v>Yageo Corp</v>
          </cell>
          <cell r="D694" t="str">
            <v>RES,SMD,1206,1%,1/4W,39.2K ROHS</v>
          </cell>
          <cell r="E694">
            <v>5000</v>
          </cell>
        </row>
        <row r="695">
          <cell r="B695" t="str">
            <v>RC1206FR-073K24L</v>
          </cell>
          <cell r="C695" t="str">
            <v>Yageo Corp</v>
          </cell>
          <cell r="D695" t="str">
            <v>RES,1206,1% 1/4W,3.24K ROHS</v>
          </cell>
          <cell r="E695">
            <v>5000</v>
          </cell>
        </row>
        <row r="696">
          <cell r="B696" t="str">
            <v>RC1206FR-07402RL</v>
          </cell>
          <cell r="C696" t="str">
            <v>Yageo Corp</v>
          </cell>
          <cell r="D696" t="str">
            <v>RES,SMD,1206,402,1% 1/4W,ROHS</v>
          </cell>
          <cell r="E696">
            <v>5000</v>
          </cell>
        </row>
        <row r="697">
          <cell r="B697" t="str">
            <v>RC1206FR-0775KL</v>
          </cell>
          <cell r="C697" t="str">
            <v>Yageo Corp</v>
          </cell>
          <cell r="D697" t="str">
            <v>RES,SMD,1206,75.0K,1%,1/4W,ROHS</v>
          </cell>
          <cell r="E697">
            <v>4935</v>
          </cell>
        </row>
        <row r="698">
          <cell r="B698" t="str">
            <v>RC1206FR-077K87L</v>
          </cell>
          <cell r="C698" t="str">
            <v>Yageo Corp</v>
          </cell>
          <cell r="D698" t="str">
            <v>RES,1206,1% 1/4W,7.87K ROHS</v>
          </cell>
          <cell r="E698">
            <v>5000</v>
          </cell>
        </row>
        <row r="699">
          <cell r="B699" t="str">
            <v>RC1206FR-0784K5L</v>
          </cell>
          <cell r="C699" t="str">
            <v>Yageo Corp</v>
          </cell>
          <cell r="D699" t="str">
            <v>RES,SMD,1206,1%,1/4W,84.5K ROHS</v>
          </cell>
          <cell r="E699">
            <v>5000</v>
          </cell>
        </row>
        <row r="700">
          <cell r="B700" t="str">
            <v>RC1206FR-0797K6L</v>
          </cell>
          <cell r="C700" t="str">
            <v>Vishay Semiconductors</v>
          </cell>
          <cell r="D700" t="str">
            <v>RES,SMD,1206,1%,1/4W,97.6K ROHS</v>
          </cell>
          <cell r="E700">
            <v>5000</v>
          </cell>
        </row>
        <row r="701">
          <cell r="B701" t="str">
            <v>RC1206JR-070RL</v>
          </cell>
          <cell r="C701" t="str">
            <v>Yageo Corp</v>
          </cell>
          <cell r="D701" t="str">
            <v>Res Smd 0 Ohm Jumper 1/4w 1206</v>
          </cell>
          <cell r="E701">
            <v>5000</v>
          </cell>
        </row>
        <row r="702">
          <cell r="B702" t="str">
            <v>RC1206JR-07200RL</v>
          </cell>
          <cell r="C702" t="str">
            <v>Yageo Corp</v>
          </cell>
          <cell r="D702" t="str">
            <v>RES,SMD,1206,200,5% 1/8W,ROHS</v>
          </cell>
          <cell r="E702">
            <v>5000</v>
          </cell>
        </row>
        <row r="703">
          <cell r="B703" t="str">
            <v>RC1206JR-0724KL</v>
          </cell>
          <cell r="C703" t="str">
            <v>Yageo Corp</v>
          </cell>
          <cell r="D703" t="str">
            <v>RES,SMD,THKF,1206,24.0K OHM,5%,1/4W,ROHS</v>
          </cell>
          <cell r="E703">
            <v>5000</v>
          </cell>
        </row>
        <row r="704">
          <cell r="B704" t="str">
            <v>RC1206JR-0730RL</v>
          </cell>
          <cell r="C704" t="str">
            <v>Yageo Corp</v>
          </cell>
          <cell r="D704" t="str">
            <v>RES,SMD THKF,30 OHM,5%,1206,1/8W,ROHS</v>
          </cell>
          <cell r="E704">
            <v>5000</v>
          </cell>
        </row>
        <row r="705">
          <cell r="B705" t="str">
            <v>RC1206JR-073K3L</v>
          </cell>
          <cell r="C705" t="str">
            <v>Yageo Corp</v>
          </cell>
          <cell r="D705" t="str">
            <v>RES SMD 3K3 OHM 5% 1/4W 1206</v>
          </cell>
          <cell r="E705">
            <v>5000</v>
          </cell>
        </row>
        <row r="706">
          <cell r="B706" t="str">
            <v>RC1206JR-075R6L</v>
          </cell>
          <cell r="C706" t="str">
            <v>Yageo Corp</v>
          </cell>
          <cell r="D706" t="str">
            <v>RES,SMD,THKF,1206,5%,1/4W,5.6,ROHS</v>
          </cell>
          <cell r="E706">
            <v>5000</v>
          </cell>
        </row>
        <row r="707">
          <cell r="B707" t="str">
            <v>RC1206JR-078K2L</v>
          </cell>
          <cell r="C707" t="str">
            <v>Yageo Corp</v>
          </cell>
          <cell r="D707" t="str">
            <v>RES,1206 8.2K 5% 1/8W,ROHS</v>
          </cell>
          <cell r="E707">
            <v>5000</v>
          </cell>
        </row>
        <row r="708">
          <cell r="B708" t="str">
            <v>RC1206JR-07910RL</v>
          </cell>
          <cell r="C708" t="str">
            <v>Vishay</v>
          </cell>
          <cell r="D708" t="str">
            <v>RES,SMD,THKF,1206,910 OHM,5%,1/4W,ROHS</v>
          </cell>
          <cell r="E708">
            <v>5000</v>
          </cell>
        </row>
        <row r="709">
          <cell r="B709" t="str">
            <v>RC2012J000CS</v>
          </cell>
          <cell r="C709" t="str">
            <v>Samsung Electro-Mechanics</v>
          </cell>
          <cell r="D709" t="str">
            <v>RES,SMD,ZERO OHM JUMPER</v>
          </cell>
          <cell r="E709">
            <v>5000</v>
          </cell>
        </row>
        <row r="710">
          <cell r="B710" t="str">
            <v>RCLAMP3321P.TNT</v>
          </cell>
          <cell r="C710" t="str">
            <v>Semtech</v>
          </cell>
          <cell r="D710" t="str">
            <v>DIO,SMD,ZENER,TVS,3.3VWM,13VC</v>
          </cell>
          <cell r="E710">
            <v>9900</v>
          </cell>
        </row>
        <row r="711">
          <cell r="B711" t="str">
            <v>RCLAMP3324T.TCT</v>
          </cell>
          <cell r="C711" t="str">
            <v>Semtech</v>
          </cell>
          <cell r="D711" t="str">
            <v>DIO,SMD,TVS,RCLAMP,3.3VWM,10.5VC</v>
          </cell>
          <cell r="E711">
            <v>3000</v>
          </cell>
        </row>
        <row r="712">
          <cell r="B712" t="str">
            <v>RCS060310M0FKEA</v>
          </cell>
          <cell r="C712" t="str">
            <v>Vishay Semiconductors</v>
          </cell>
          <cell r="D712" t="str">
            <v>RES,SMD,THK FILM,10M OHM,1%,.25W,0603</v>
          </cell>
          <cell r="E712">
            <v>5000</v>
          </cell>
        </row>
        <row r="713">
          <cell r="B713" t="str">
            <v>RCV420KP</v>
          </cell>
          <cell r="C713" t="str">
            <v>Texas Instruments</v>
          </cell>
          <cell r="D713" t="str">
            <v>IC,RCV420,4-20mA,ROHS</v>
          </cell>
          <cell r="E713">
            <v>59</v>
          </cell>
        </row>
        <row r="714">
          <cell r="B714" t="str">
            <v>RDEC71E226K3K1H03B</v>
          </cell>
          <cell r="C714" t="str">
            <v>Murata</v>
          </cell>
          <cell r="D714" t="str">
            <v>CAP,CER,22UF,25VDC,±10%TOL,X7S,INS CRP</v>
          </cell>
          <cell r="E714">
            <v>500</v>
          </cell>
        </row>
        <row r="715">
          <cell r="B715" t="str">
            <v>REF5025AIDR</v>
          </cell>
          <cell r="C715" t="str">
            <v>Texas Instruments</v>
          </cell>
          <cell r="D715" t="str">
            <v>MICROCIRCUIT, DIGITAL, PRECISION VOLTAGE</v>
          </cell>
          <cell r="E715">
            <v>2500</v>
          </cell>
        </row>
        <row r="716">
          <cell r="B716" t="str">
            <v>RG2012P-3242-B-T5</v>
          </cell>
          <cell r="C716" t="str">
            <v>Vishay Semiconductors</v>
          </cell>
          <cell r="D716" t="str">
            <v>RES.SMD,0805,32.4K OHMS,0.1%,ROHS</v>
          </cell>
          <cell r="E716">
            <v>5000</v>
          </cell>
        </row>
        <row r="717">
          <cell r="B717" t="str">
            <v>RG2012P-472-B-T5</v>
          </cell>
          <cell r="C717" t="str">
            <v>Susumu Co Ltd</v>
          </cell>
          <cell r="D717" t="str">
            <v>RES,0805,0.1%,1/8W,25PPM,4.7K ROHS</v>
          </cell>
          <cell r="E717">
            <v>4854</v>
          </cell>
        </row>
        <row r="718">
          <cell r="B718" t="str">
            <v>RG2012P-7152-B-T5</v>
          </cell>
          <cell r="C718" t="str">
            <v>Vishay Semiconductors</v>
          </cell>
          <cell r="D718" t="str">
            <v>RES.SMD,0805,71.5K OHMS,0.1%,ROHS</v>
          </cell>
          <cell r="E718">
            <v>5000</v>
          </cell>
        </row>
        <row r="719">
          <cell r="B719" t="str">
            <v>RG2012P-82R5-B-T5</v>
          </cell>
          <cell r="C719" t="str">
            <v>Susumu Co Ltd</v>
          </cell>
          <cell r="D719" t="str">
            <v>RES,0805,TF,1/8W,0.1%,25PPM,82.5 ROHS</v>
          </cell>
          <cell r="E719">
            <v>5000</v>
          </cell>
        </row>
        <row r="720">
          <cell r="B720" t="str">
            <v>RGC1/16SC3301BTH</v>
          </cell>
          <cell r="C720" t="str">
            <v>Kamaya</v>
          </cell>
          <cell r="D720" t="str">
            <v>RES,SMD,THK FILM,3.3KOHM,.1%,.063W,0402</v>
          </cell>
          <cell r="E720">
            <v>10000</v>
          </cell>
        </row>
        <row r="721">
          <cell r="B721" t="str">
            <v>RH2V2-UDC24V</v>
          </cell>
          <cell r="C721" t="str">
            <v>Idec Corporation</v>
          </cell>
          <cell r="D721" t="str">
            <v>RLY,NON LCH,DPDT,10A,24VDC,STD,TH</v>
          </cell>
          <cell r="E721">
            <v>50</v>
          </cell>
        </row>
        <row r="722">
          <cell r="B722" t="str">
            <v>RK73B3ATTE332J</v>
          </cell>
          <cell r="C722" t="str">
            <v>Yageo Corp</v>
          </cell>
          <cell r="D722" t="str">
            <v>RES,SMD,2512,TF,5%,1W,ROHS,3.3K OHM</v>
          </cell>
          <cell r="E722">
            <v>3900</v>
          </cell>
        </row>
        <row r="723">
          <cell r="B723" t="str">
            <v>RK73H1ETTP1501F</v>
          </cell>
          <cell r="C723" t="str">
            <v>KOA Speer Electronics Inc</v>
          </cell>
          <cell r="D723" t="str">
            <v>Fixed Resistor, Metal Glaze/thick Film,</v>
          </cell>
          <cell r="E723">
            <v>10000</v>
          </cell>
        </row>
        <row r="724">
          <cell r="B724" t="str">
            <v>RK73H1ETTP1502F</v>
          </cell>
          <cell r="C724" t="str">
            <v>KOA Speer Electronics Inc</v>
          </cell>
          <cell r="D724" t="str">
            <v>RES 7K50 1% 63MW 0402 100PPM</v>
          </cell>
          <cell r="E724">
            <v>10000</v>
          </cell>
        </row>
        <row r="725">
          <cell r="B725" t="str">
            <v>RK73H1ETTP1600F</v>
          </cell>
          <cell r="C725" t="str">
            <v>KOA Speer Electronics Inc</v>
          </cell>
          <cell r="D725" t="str">
            <v>RES,SMD,1/10W,1%,0402</v>
          </cell>
          <cell r="E725">
            <v>20000</v>
          </cell>
        </row>
        <row r="726">
          <cell r="B726" t="str">
            <v>RK73H1ETTP2703F</v>
          </cell>
          <cell r="C726" t="str">
            <v>KOA Speer Electronics Inc</v>
          </cell>
          <cell r="D726" t="str">
            <v>RES,SMD,270K,1/10W,1%,0402</v>
          </cell>
          <cell r="E726">
            <v>10000</v>
          </cell>
        </row>
        <row r="727">
          <cell r="B727" t="str">
            <v>RK73H1ETTP3241F</v>
          </cell>
          <cell r="C727" t="str">
            <v>Walsin</v>
          </cell>
          <cell r="D727" t="str">
            <v>RES,SMD,3.24K,1/10W,1%,0402</v>
          </cell>
          <cell r="E727">
            <v>10000</v>
          </cell>
        </row>
        <row r="728">
          <cell r="B728" t="str">
            <v>RK73H1ETTP4323F</v>
          </cell>
          <cell r="C728" t="str">
            <v>Panasonic</v>
          </cell>
          <cell r="D728" t="str">
            <v>RES,SMD,432K,1/10W,1%,0402</v>
          </cell>
          <cell r="E728">
            <v>10000</v>
          </cell>
        </row>
        <row r="729">
          <cell r="B729" t="str">
            <v>RK73H1ETTP4422F</v>
          </cell>
          <cell r="C729" t="str">
            <v>KOA Speer Electronics Inc</v>
          </cell>
          <cell r="D729" t="str">
            <v>RES 44.2K OHM 1% 1/10W 0402</v>
          </cell>
          <cell r="E729">
            <v>10000</v>
          </cell>
        </row>
        <row r="730">
          <cell r="B730" t="str">
            <v>RK73H1ETTP4873F</v>
          </cell>
          <cell r="C730" t="str">
            <v>Walsin</v>
          </cell>
          <cell r="D730" t="str">
            <v>RES,SMD,487K OHM,1/10W,1%,0402</v>
          </cell>
          <cell r="E730">
            <v>10000</v>
          </cell>
        </row>
        <row r="731">
          <cell r="B731" t="str">
            <v>RK73H1ETTP5102F</v>
          </cell>
          <cell r="C731" t="str">
            <v>Panasonic</v>
          </cell>
          <cell r="D731" t="str">
            <v>RES,SMD,51K,1/10W,1%,0402</v>
          </cell>
          <cell r="E731">
            <v>10000</v>
          </cell>
        </row>
        <row r="732">
          <cell r="B732" t="str">
            <v>RK73H2ETTD47R0F</v>
          </cell>
          <cell r="C732" t="str">
            <v>KOA Speer Electronics Inc</v>
          </cell>
          <cell r="D732" t="str">
            <v>RES,SMD,1210,10-100 OHMS,1%,0.33W,ROHS</v>
          </cell>
          <cell r="E732">
            <v>5000</v>
          </cell>
        </row>
        <row r="733">
          <cell r="B733" t="str">
            <v>RKEF050</v>
          </cell>
          <cell r="C733" t="str">
            <v>Littelfuse, Inc.</v>
          </cell>
          <cell r="D733" t="str">
            <v>FUSE,PPTC,0.50A HOLD CUR,60V,THT</v>
          </cell>
          <cell r="E733">
            <v>500</v>
          </cell>
        </row>
        <row r="734">
          <cell r="B734" t="str">
            <v>RKEF075</v>
          </cell>
          <cell r="C734" t="str">
            <v>Littelfuse, Inc.</v>
          </cell>
          <cell r="D734" t="str">
            <v>FUSE,PPTC,0.75A HOLD CUR,60V,THT</v>
          </cell>
          <cell r="E734">
            <v>500</v>
          </cell>
        </row>
        <row r="735">
          <cell r="B735" t="str">
            <v>RKEF135</v>
          </cell>
          <cell r="C735" t="str">
            <v>Littelfuse, Inc.</v>
          </cell>
          <cell r="D735" t="str">
            <v>FUSE,PPTC,1.35A HOLD CUR,60V,THT</v>
          </cell>
          <cell r="E735">
            <v>500</v>
          </cell>
        </row>
        <row r="736">
          <cell r="B736" t="str">
            <v>RKEF500</v>
          </cell>
          <cell r="C736" t="str">
            <v>Littelfuse, Inc.</v>
          </cell>
          <cell r="D736" t="str">
            <v>FUSE,PPTC,5A HOLD CUR,60V,THT</v>
          </cell>
          <cell r="E736">
            <v>940</v>
          </cell>
        </row>
        <row r="737">
          <cell r="B737" t="str">
            <v>RMCF0603FT127K</v>
          </cell>
          <cell r="C737" t="str">
            <v>Stackpole Electronics Inc</v>
          </cell>
          <cell r="D737" t="str">
            <v>RES,SMD,THK FILM,127K OHM,1%,0.1W,0603</v>
          </cell>
          <cell r="E737">
            <v>5000</v>
          </cell>
        </row>
        <row r="738">
          <cell r="B738" t="str">
            <v>RMCF1206FT2K20</v>
          </cell>
          <cell r="C738" t="str">
            <v>Stackpole Electronics Inc</v>
          </cell>
          <cell r="D738" t="str">
            <v>RES,SMD,THK,2.2K OHM,1%,1/4W,1206</v>
          </cell>
          <cell r="E738">
            <v>5000</v>
          </cell>
        </row>
        <row r="739">
          <cell r="B739" t="str">
            <v>RNCP0805FTD40K2</v>
          </cell>
          <cell r="C739" t="str">
            <v>Stackpole Electronics Inc</v>
          </cell>
          <cell r="D739" t="str">
            <v>RES,SMD,40.2K OHM,+/-1%,1/4W,HP,0805</v>
          </cell>
          <cell r="E739">
            <v>5000</v>
          </cell>
        </row>
        <row r="740">
          <cell r="B740" t="str">
            <v>RNCP0805FTD4K99</v>
          </cell>
          <cell r="C740" t="str">
            <v>Stackpole Electronics Inc</v>
          </cell>
          <cell r="D740" t="str">
            <v>RES,SMD,4.99K OHM,+/-1%,1/4W,HP,0805</v>
          </cell>
          <cell r="E740">
            <v>4864</v>
          </cell>
        </row>
        <row r="741">
          <cell r="B741" t="str">
            <v>RP73PF1E16R5BTD</v>
          </cell>
          <cell r="C741" t="str">
            <v>TE Connectivity Ltd</v>
          </cell>
          <cell r="D741" t="str">
            <v>RES,SMD,THIN FILM,16.5OHM,0.1W,.1%,0402</v>
          </cell>
          <cell r="E741">
            <v>4999</v>
          </cell>
        </row>
        <row r="742">
          <cell r="B742" t="str">
            <v>RPI4-MODBP-4GB</v>
          </cell>
          <cell r="C742" t="str">
            <v>Raspberry</v>
          </cell>
          <cell r="D742" t="str">
            <v>MDL,ELEC,RASPBERRY PI 4,MDL B,4GB,IOC</v>
          </cell>
          <cell r="E742">
            <v>83</v>
          </cell>
        </row>
        <row r="743">
          <cell r="B743" t="str">
            <v>RQ73C2B267RBTD</v>
          </cell>
          <cell r="C743" t="str">
            <v>TE Connectivity Ltd</v>
          </cell>
          <cell r="D743" t="str">
            <v>RES,SMD,267OHM,0.4W,200V,0.1%,1206,ROHS</v>
          </cell>
          <cell r="E743">
            <v>5000</v>
          </cell>
        </row>
        <row r="744">
          <cell r="B744" t="str">
            <v>RQ73C2B357RBTD</v>
          </cell>
          <cell r="C744" t="str">
            <v>TE Connectivity Ltd</v>
          </cell>
          <cell r="D744" t="str">
            <v>RES,SMD,357OHM,0.4W,200V,0.1%,1206,ROHS</v>
          </cell>
          <cell r="E744">
            <v>2749</v>
          </cell>
        </row>
        <row r="745">
          <cell r="B745" t="str">
            <v>RS73F2BTTD10R0B</v>
          </cell>
          <cell r="C745" t="str">
            <v>KOA Speer Electronics Inc</v>
          </cell>
          <cell r="D745" t="str">
            <v>RES,SMD,10 OHM,0.1%,25PPM,0.33W,1206</v>
          </cell>
          <cell r="E745">
            <v>4222</v>
          </cell>
        </row>
        <row r="746">
          <cell r="B746" t="str">
            <v>RT0402BRD07100KL</v>
          </cell>
          <cell r="C746" t="str">
            <v>Yageo Corp</v>
          </cell>
          <cell r="D746" t="str">
            <v>RES,SMD,0402,100KOHM,±.1%,1/16W</v>
          </cell>
          <cell r="E746">
            <v>9742</v>
          </cell>
        </row>
        <row r="747">
          <cell r="B747" t="str">
            <v>RT0402BRD0710K5L</v>
          </cell>
          <cell r="C747" t="str">
            <v>Yageo Corp</v>
          </cell>
          <cell r="D747" t="str">
            <v>RES,SMD,10.5K,0.1%,1/16W,0402,ROHS</v>
          </cell>
          <cell r="E747">
            <v>9165</v>
          </cell>
        </row>
        <row r="748">
          <cell r="B748" t="str">
            <v>RT0402BRD0710KL</v>
          </cell>
          <cell r="C748" t="str">
            <v>Yageo Corp</v>
          </cell>
          <cell r="D748" t="str">
            <v>Fixed Resistor, Thin Film, 0.0625W, 1000</v>
          </cell>
          <cell r="E748">
            <v>9824</v>
          </cell>
        </row>
        <row r="749">
          <cell r="B749" t="str">
            <v>RT0402BRD0712KL</v>
          </cell>
          <cell r="C749" t="str">
            <v>Yageo Corp</v>
          </cell>
          <cell r="D749" t="str">
            <v>RES,SMD,12.0KOHM,0.1%,1/16W,0402</v>
          </cell>
          <cell r="E749">
            <v>9799</v>
          </cell>
        </row>
        <row r="750">
          <cell r="B750" t="str">
            <v>RT0402BRD0718K2L</v>
          </cell>
          <cell r="C750" t="str">
            <v>Yageo Corp</v>
          </cell>
          <cell r="D750" t="str">
            <v>RES,SMD,18.2KOHM,0.1%,1/16W,0402</v>
          </cell>
          <cell r="E750">
            <v>9630</v>
          </cell>
        </row>
        <row r="751">
          <cell r="B751" t="str">
            <v>RT0402BRD0719K1L</v>
          </cell>
          <cell r="C751" t="str">
            <v>Yageo Corp</v>
          </cell>
          <cell r="D751" t="str">
            <v>RES,SMD,19.1KOHM,0.1%,1/16W,0402</v>
          </cell>
          <cell r="E751">
            <v>19818</v>
          </cell>
        </row>
        <row r="752">
          <cell r="B752" t="str">
            <v>RT0402BRD071K07L</v>
          </cell>
          <cell r="C752" t="str">
            <v>Panasonic</v>
          </cell>
          <cell r="D752" t="str">
            <v>RES SMD 1.07KOHM 0.1% 1/16W 0402</v>
          </cell>
          <cell r="E752">
            <v>10000</v>
          </cell>
        </row>
        <row r="753">
          <cell r="B753" t="str">
            <v>RT0402BRD071K15L</v>
          </cell>
          <cell r="C753" t="str">
            <v>Yageo Corp</v>
          </cell>
          <cell r="D753" t="str">
            <v>RES,SMD,1.15K,0.1%,1/16W,0402,ROHS</v>
          </cell>
          <cell r="E753">
            <v>9071</v>
          </cell>
        </row>
        <row r="754">
          <cell r="B754" t="str">
            <v>RT0402BRD071K33L</v>
          </cell>
          <cell r="C754" t="str">
            <v>Panasonic</v>
          </cell>
          <cell r="D754" t="str">
            <v>RES SMD 1.33KOHM 0.1% 1/16W 0402</v>
          </cell>
          <cell r="E754">
            <v>10000</v>
          </cell>
        </row>
        <row r="755">
          <cell r="B755" t="str">
            <v>RT0402BRD071KL</v>
          </cell>
          <cell r="C755" t="str">
            <v>Yageo Corp</v>
          </cell>
          <cell r="D755" t="str">
            <v>RES SMD 1.00KOHM 0.1% 1/16W 0402</v>
          </cell>
          <cell r="E755">
            <v>9558</v>
          </cell>
        </row>
        <row r="756">
          <cell r="B756" t="str">
            <v>RT0402BRD0724K3L</v>
          </cell>
          <cell r="C756" t="str">
            <v>Panasonic</v>
          </cell>
          <cell r="D756" t="str">
            <v>RES,SMD,24.3KOHM,0.1%,1/16W,0402</v>
          </cell>
          <cell r="E756">
            <v>9818</v>
          </cell>
        </row>
        <row r="757">
          <cell r="B757" t="str">
            <v>RT0402BRD07267RL</v>
          </cell>
          <cell r="C757" t="str">
            <v>Panasonic</v>
          </cell>
          <cell r="D757" t="str">
            <v>RES SMD 267 OHM 0.1% 1/16W 0402</v>
          </cell>
          <cell r="E757">
            <v>10000</v>
          </cell>
        </row>
        <row r="758">
          <cell r="B758" t="str">
            <v>RT0402BRD07280RL</v>
          </cell>
          <cell r="C758" t="str">
            <v>Yageo Corp</v>
          </cell>
          <cell r="D758" t="str">
            <v>RES SMD 280 OHM 0.1% 1/16W 0402</v>
          </cell>
          <cell r="E758">
            <v>9890</v>
          </cell>
        </row>
        <row r="759">
          <cell r="B759" t="str">
            <v>RT0402BRD0730K1L</v>
          </cell>
          <cell r="C759" t="str">
            <v>Panasonic</v>
          </cell>
          <cell r="D759" t="str">
            <v>RES,SMD,30.1KOHM,0.1%,1/16W,0402</v>
          </cell>
          <cell r="E759">
            <v>9660</v>
          </cell>
        </row>
        <row r="760">
          <cell r="B760" t="str">
            <v>RT0402BRD0734K8L</v>
          </cell>
          <cell r="C760" t="str">
            <v>Panasonic</v>
          </cell>
          <cell r="D760" t="str">
            <v>RES,SMD,34.8KOHM,0.1%,1/16W,0402</v>
          </cell>
          <cell r="E760">
            <v>10000</v>
          </cell>
        </row>
        <row r="761">
          <cell r="B761" t="str">
            <v>RT0402BRD07365RL</v>
          </cell>
          <cell r="C761" t="str">
            <v>Yageo Corp</v>
          </cell>
          <cell r="D761" t="str">
            <v>RES SMD 365 OHM 0.1% 1/16W 0402</v>
          </cell>
          <cell r="E761">
            <v>10000</v>
          </cell>
        </row>
        <row r="762">
          <cell r="B762" t="str">
            <v>RT0402BRD073K57L</v>
          </cell>
          <cell r="C762" t="str">
            <v>Yageo Corp</v>
          </cell>
          <cell r="D762" t="str">
            <v>RES,SMD,3.57K,0.1%,1/16W,0402,ROHS</v>
          </cell>
          <cell r="E762">
            <v>9122</v>
          </cell>
        </row>
        <row r="763">
          <cell r="B763" t="str">
            <v>RT0402BRD0741K2L</v>
          </cell>
          <cell r="C763" t="str">
            <v>Panasonic</v>
          </cell>
          <cell r="D763" t="str">
            <v>RES,SMD,41.2KOHM,0.1%,1/16W,0402</v>
          </cell>
          <cell r="E763">
            <v>9692</v>
          </cell>
        </row>
        <row r="764">
          <cell r="B764" t="str">
            <v>RT0402BRD0746K4L</v>
          </cell>
          <cell r="C764" t="str">
            <v>Panasonic</v>
          </cell>
          <cell r="D764" t="str">
            <v>RES,SMD,46.4KOHM,0.1%,1/16W,0402</v>
          </cell>
          <cell r="E764">
            <v>10000</v>
          </cell>
        </row>
        <row r="765">
          <cell r="B765" t="str">
            <v>RT0402BRD07499RL</v>
          </cell>
          <cell r="C765" t="str">
            <v>Panasonic</v>
          </cell>
          <cell r="D765" t="str">
            <v>RES SMD 499 OHM 0.1% 1/16W 0402</v>
          </cell>
          <cell r="E765">
            <v>9910</v>
          </cell>
        </row>
        <row r="766">
          <cell r="B766" t="str">
            <v>RT0402BRD075K9L</v>
          </cell>
          <cell r="C766" t="str">
            <v>Panasonic</v>
          </cell>
          <cell r="D766" t="str">
            <v>RES,SMD,5.9K,0.1%,1/16W,0402,ROHS</v>
          </cell>
          <cell r="E766">
            <v>9818</v>
          </cell>
        </row>
        <row r="767">
          <cell r="B767" t="str">
            <v>RT0402BRD0760K4L</v>
          </cell>
          <cell r="C767" t="str">
            <v>Panasonic</v>
          </cell>
          <cell r="D767" t="str">
            <v>RES,SMD,60.4KOHM,0.1%,1/16W,0402</v>
          </cell>
          <cell r="E767">
            <v>9818</v>
          </cell>
        </row>
        <row r="768">
          <cell r="B768" t="str">
            <v>RT0402BRD07681RL</v>
          </cell>
          <cell r="C768" t="str">
            <v>Yageo Corp</v>
          </cell>
          <cell r="D768" t="str">
            <v>RES SMD 681 OHM 0.1% 1/16W 0402</v>
          </cell>
          <cell r="E768">
            <v>10000</v>
          </cell>
        </row>
        <row r="769">
          <cell r="B769" t="str">
            <v>RT0402BRD07806RL</v>
          </cell>
          <cell r="C769" t="str">
            <v>Panasonic</v>
          </cell>
          <cell r="D769" t="str">
            <v>RES SMD 806 OHM 0.1% 1/16W 0402</v>
          </cell>
          <cell r="E769">
            <v>10000</v>
          </cell>
        </row>
        <row r="770">
          <cell r="B770" t="str">
            <v>RT0402BRD07820RL</v>
          </cell>
          <cell r="C770" t="str">
            <v>Yageo Corp</v>
          </cell>
          <cell r="D770" t="str">
            <v>RES SMD 820 OHM 0.1% 1/16W 0402</v>
          </cell>
          <cell r="E770">
            <v>10000</v>
          </cell>
        </row>
        <row r="771">
          <cell r="B771" t="str">
            <v>RT0402BRD0790K9L</v>
          </cell>
          <cell r="C771" t="str">
            <v>Yageo Corp</v>
          </cell>
          <cell r="D771" t="str">
            <v>RES,SMD,90.9KOHM,0.1%,1/16W,0402</v>
          </cell>
          <cell r="E771">
            <v>9818</v>
          </cell>
        </row>
        <row r="772">
          <cell r="B772" t="str">
            <v>RT0402BRE0750RL</v>
          </cell>
          <cell r="C772" t="str">
            <v>Yageo Corp</v>
          </cell>
          <cell r="D772" t="str">
            <v>RES,SMD,50OHM,.1% TOL,1/16W,0402</v>
          </cell>
          <cell r="E772">
            <v>8935</v>
          </cell>
        </row>
        <row r="773">
          <cell r="B773" t="str">
            <v>RT0805BRD071K62L</v>
          </cell>
          <cell r="C773" t="str">
            <v>Yageo Corp</v>
          </cell>
          <cell r="D773" t="str">
            <v>RES,SMD,0805,RG,MF,0.1%,1/10W,1.62K</v>
          </cell>
          <cell r="E773">
            <v>5000</v>
          </cell>
        </row>
        <row r="774">
          <cell r="B774" t="str">
            <v>RT0805BRD071K65L</v>
          </cell>
          <cell r="C774" t="str">
            <v>Yageo Corp</v>
          </cell>
          <cell r="D774" t="str">
            <v>RES,SMD,0805,RG,MF,0.1%,1/10W,1.65K</v>
          </cell>
          <cell r="E774">
            <v>5000</v>
          </cell>
        </row>
        <row r="775">
          <cell r="B775" t="str">
            <v>RT0805BRD072K74L</v>
          </cell>
          <cell r="C775" t="str">
            <v>Susumu Co Ltd</v>
          </cell>
          <cell r="D775" t="str">
            <v>RES,SMD,0805,RG,MF,0.1%,1/10W,2.74K ROHS</v>
          </cell>
          <cell r="E775">
            <v>4960</v>
          </cell>
        </row>
        <row r="776">
          <cell r="B776" t="str">
            <v>RT0805BRD074K99L</v>
          </cell>
          <cell r="C776" t="str">
            <v>Yageo Corp</v>
          </cell>
          <cell r="D776" t="str">
            <v>RES,SMD,0805,RG,MF,0.1%,1/10W,4.99K ROHS</v>
          </cell>
          <cell r="E776">
            <v>5000</v>
          </cell>
        </row>
        <row r="777">
          <cell r="B777" t="str">
            <v>RT0805BRD075K36L</v>
          </cell>
          <cell r="C777" t="str">
            <v>Susumu Co Ltd</v>
          </cell>
          <cell r="D777" t="str">
            <v>RES,SMD,0805,RG,MF,0.1%,1/10W,5.36K</v>
          </cell>
          <cell r="E777">
            <v>5000</v>
          </cell>
        </row>
        <row r="778">
          <cell r="B778" t="str">
            <v>RT0805FRE07100RL</v>
          </cell>
          <cell r="C778" t="str">
            <v>Stackpole Electronics Inc</v>
          </cell>
          <cell r="D778" t="str">
            <v>RES,SMD,0805,TF,100 OHM,1%,1/8W,ROHS</v>
          </cell>
          <cell r="E778">
            <v>10000</v>
          </cell>
        </row>
        <row r="779">
          <cell r="B779" t="str">
            <v>RTE24024F</v>
          </cell>
          <cell r="C779" t="str">
            <v>TE Connectivity Ltd</v>
          </cell>
          <cell r="D779" t="str">
            <v>General Purpose Relays DPDT 8A 24VDC</v>
          </cell>
          <cell r="E779">
            <v>18</v>
          </cell>
        </row>
        <row r="780">
          <cell r="B780" t="str">
            <v>RUEF400</v>
          </cell>
          <cell r="C780" t="str">
            <v>Littelfuse, Inc.</v>
          </cell>
          <cell r="D780" t="str">
            <v>PTC,RUE SERIES 4.00A,ROHS</v>
          </cell>
          <cell r="E780">
            <v>412</v>
          </cell>
        </row>
        <row r="781">
          <cell r="B781" t="str">
            <v>RUEF500</v>
          </cell>
          <cell r="C781" t="str">
            <v>Littelfuse, Inc.</v>
          </cell>
          <cell r="D781" t="str">
            <v>PTC,RUE SERIES 5.00A,ROHS</v>
          </cell>
          <cell r="E781">
            <v>18</v>
          </cell>
        </row>
        <row r="782">
          <cell r="B782" t="str">
            <v>RUEF800</v>
          </cell>
          <cell r="C782" t="str">
            <v>Littelfuse, Inc.</v>
          </cell>
          <cell r="D782" t="str">
            <v>FUSE,PTC,RUEF, 8.0A ROHS</v>
          </cell>
          <cell r="E782">
            <v>237</v>
          </cell>
        </row>
        <row r="783">
          <cell r="B783" t="str">
            <v>RUEF900</v>
          </cell>
          <cell r="C783" t="str">
            <v>Littelfuse, Inc.</v>
          </cell>
          <cell r="D783" t="str">
            <v>FUSE,PTC,RUEF, 9.0A ROHS</v>
          </cell>
          <cell r="E783">
            <v>194</v>
          </cell>
        </row>
        <row r="784">
          <cell r="B784" t="str">
            <v>RXEF040</v>
          </cell>
          <cell r="C784" t="str">
            <v>Littelfuse, Inc.</v>
          </cell>
          <cell r="D784" t="str">
            <v>FUSE,0.4A, RSTBL, 72V</v>
          </cell>
          <cell r="E784">
            <v>100</v>
          </cell>
        </row>
        <row r="785">
          <cell r="B785" t="str">
            <v>RXEF185</v>
          </cell>
          <cell r="C785" t="str">
            <v>Littelfuse, Inc.</v>
          </cell>
          <cell r="D785" t="str">
            <v>PTC,RXE SERIES 1.85A,ROHS</v>
          </cell>
          <cell r="E785">
            <v>1440</v>
          </cell>
        </row>
        <row r="786">
          <cell r="B786" t="str">
            <v>RXEF300</v>
          </cell>
          <cell r="C786" t="str">
            <v>Littelfuse UK Ltd</v>
          </cell>
          <cell r="D786" t="str">
            <v>PTC,RXE SERIES 3.00A,ROHS</v>
          </cell>
          <cell r="E786">
            <v>243</v>
          </cell>
        </row>
        <row r="787">
          <cell r="B787" t="str">
            <v>RXEF375</v>
          </cell>
          <cell r="C787" t="str">
            <v>Littelfuse, Inc.</v>
          </cell>
          <cell r="D787" t="str">
            <v>PTC,RXE SERIES 3.75A,ROHS</v>
          </cell>
          <cell r="E787">
            <v>221</v>
          </cell>
        </row>
        <row r="788">
          <cell r="B788" t="str">
            <v>S1621-46</v>
          </cell>
          <cell r="C788" t="str">
            <v>Harwin Plc</v>
          </cell>
          <cell r="D788" t="str">
            <v>TERM,SMD,JUMPER</v>
          </cell>
          <cell r="E788">
            <v>1000</v>
          </cell>
        </row>
        <row r="789">
          <cell r="B789" t="str">
            <v>S1751-46</v>
          </cell>
          <cell r="C789" t="str">
            <v>Harwin Plc</v>
          </cell>
          <cell r="D789" t="str">
            <v>TEST POINT PCB,SURFACE MT BRASS PURE TIN</v>
          </cell>
          <cell r="E789">
            <v>250</v>
          </cell>
        </row>
        <row r="790">
          <cell r="B790" t="str">
            <v>S1751-46</v>
          </cell>
          <cell r="C790" t="str">
            <v>Harwin Plc</v>
          </cell>
          <cell r="D790" t="str">
            <v>TEST POINT PCB,SURFACE MT BRASS PURE TIN</v>
          </cell>
          <cell r="E790">
            <v>32</v>
          </cell>
        </row>
        <row r="791">
          <cell r="B791" t="str">
            <v>S25FL512SAGBHBA10</v>
          </cell>
          <cell r="C791" t="str">
            <v>Infineon Technologies</v>
          </cell>
          <cell r="D791" t="str">
            <v>IC,SMD,NOR FLASH,SPI,512MB,133MHZ,BGA-24</v>
          </cell>
          <cell r="E791">
            <v>199</v>
          </cell>
        </row>
        <row r="792">
          <cell r="B792" t="str">
            <v>S2761-46R</v>
          </cell>
          <cell r="C792" t="str">
            <v>Harwin Plc</v>
          </cell>
          <cell r="D792" t="str">
            <v>TEST PT,SMD,VERT,3.5A,BRS,1.6X0.8X1.15IN</v>
          </cell>
          <cell r="E792">
            <v>3000</v>
          </cell>
        </row>
        <row r="793">
          <cell r="B793" t="str">
            <v>S4B-XH-A-1(LF)(SN)</v>
          </cell>
          <cell r="C793" t="str">
            <v>J.S.T. MFG. CO.,LTD.</v>
          </cell>
          <cell r="D793" t="str">
            <v>CONN,HDR,SHRD,SIDEENTRY,4P,WHT,2.5MM,TH</v>
          </cell>
          <cell r="E793">
            <v>500</v>
          </cell>
        </row>
        <row r="794">
          <cell r="B794" t="str">
            <v>S505H-1-R</v>
          </cell>
          <cell r="C794" t="str">
            <v>Littelfuse, Inc.</v>
          </cell>
          <cell r="D794" t="str">
            <v>FUSE,CRTG,1A,600VAC/400DC,5X20MM</v>
          </cell>
          <cell r="E794">
            <v>199</v>
          </cell>
        </row>
        <row r="795">
          <cell r="B795" t="str">
            <v>S505H-4-R</v>
          </cell>
          <cell r="C795" t="str">
            <v>Eaton</v>
          </cell>
          <cell r="D795" t="str">
            <v>FUSE,CRTG,4A,600VAC/400DC,5X20MM</v>
          </cell>
          <cell r="E795">
            <v>200</v>
          </cell>
        </row>
        <row r="796">
          <cell r="B796" t="str">
            <v>S8121-46R</v>
          </cell>
          <cell r="C796" t="str">
            <v>Harwin Plc</v>
          </cell>
          <cell r="D796" t="str">
            <v>SMT CABLE CLIP,1.5-2MM DIA</v>
          </cell>
          <cell r="E796">
            <v>1289</v>
          </cell>
        </row>
        <row r="797">
          <cell r="B797" t="str">
            <v>SBR5E45P5-7</v>
          </cell>
          <cell r="C797" t="str">
            <v>Diodes Inc</v>
          </cell>
          <cell r="D797" t="str">
            <v>Diode Super Barrier Rectifier 45V 5A 3-P</v>
          </cell>
          <cell r="E797">
            <v>4500</v>
          </cell>
        </row>
        <row r="798">
          <cell r="B798" t="str">
            <v>SBRD10200TR</v>
          </cell>
          <cell r="C798" t="str">
            <v>Smc</v>
          </cell>
          <cell r="D798" t="str">
            <v>DIO,SMD,SCHOTTKY,200V,10A,TO-252-3</v>
          </cell>
          <cell r="E798">
            <v>2500</v>
          </cell>
        </row>
        <row r="799">
          <cell r="B799" t="str">
            <v>SDD-H26H26-2-95-FN</v>
          </cell>
          <cell r="C799" t="str">
            <v>E-Tec Interconnect (UK) Ltd</v>
          </cell>
          <cell r="D799" t="str">
            <v>CONN,HD DSUB,DP R/A,26P/26P,F/F,ROHS</v>
          </cell>
          <cell r="E799">
            <v>2984</v>
          </cell>
        </row>
        <row r="800">
          <cell r="B800" t="str">
            <v>SDR03EZPF2004</v>
          </cell>
          <cell r="C800" t="str">
            <v>Rohm Semiconductor</v>
          </cell>
          <cell r="D800" t="str">
            <v>RES,SMD,THK FILM,2M OHM,+/-1%,0.3W,0603</v>
          </cell>
          <cell r="E800">
            <v>12943</v>
          </cell>
        </row>
        <row r="801">
          <cell r="B801" t="str">
            <v>SER2918H-153KL</v>
          </cell>
          <cell r="C801" t="str">
            <v>Coilcraft Inc</v>
          </cell>
          <cell r="D801" t="str">
            <v>IDCTR,SMD,SH,PWR,15UH,±10%,.00286OHM,28A</v>
          </cell>
          <cell r="E801">
            <v>250</v>
          </cell>
        </row>
        <row r="802">
          <cell r="B802" t="str">
            <v>SF-1206HH20M-2</v>
          </cell>
          <cell r="C802" t="str">
            <v>Bourns Inc</v>
          </cell>
          <cell r="D802" t="str">
            <v>FUSE,SMD,20A,1206,ROHS</v>
          </cell>
          <cell r="E802">
            <v>3000</v>
          </cell>
        </row>
        <row r="803">
          <cell r="B803" t="str">
            <v>SF-1206HH30M-2</v>
          </cell>
          <cell r="C803" t="str">
            <v>Bourns Inc</v>
          </cell>
          <cell r="D803" t="str">
            <v>FUSE,SMD,30A,24VDC,SGL BLOW,1206</v>
          </cell>
          <cell r="E803">
            <v>3000</v>
          </cell>
        </row>
        <row r="804">
          <cell r="B804" t="str">
            <v>SF2</v>
          </cell>
          <cell r="C804" t="str">
            <v>Sensirion</v>
          </cell>
          <cell r="D804" t="str">
            <v>FLTR CAP,FOR SHT2X/3X/4X/SHTC1/C3 SNSR</v>
          </cell>
          <cell r="E804">
            <v>500</v>
          </cell>
        </row>
        <row r="805">
          <cell r="B805" t="str">
            <v>SF-2410FP400W-2</v>
          </cell>
          <cell r="C805" t="str">
            <v>Bourns Inc</v>
          </cell>
          <cell r="D805" t="str">
            <v>FUSE,SMD,FAST ACT,4A,125VAC,2410</v>
          </cell>
          <cell r="E805">
            <v>1999</v>
          </cell>
        </row>
        <row r="806">
          <cell r="B806" t="str">
            <v>SG-210STF33.3333ML</v>
          </cell>
          <cell r="C806" t="str">
            <v>Epson</v>
          </cell>
          <cell r="D806" t="str">
            <v>OSC,SMD,XTAL,33.3333MHZ,±50PPM,-40+85DEG</v>
          </cell>
          <cell r="E806">
            <v>142</v>
          </cell>
        </row>
        <row r="807">
          <cell r="B807" t="str">
            <v>SG73S2E1RTTD7500F</v>
          </cell>
          <cell r="C807" t="str">
            <v>KOA Speer Electronics Inc</v>
          </cell>
          <cell r="D807" t="str">
            <v>RES,SMD,THK FILM,750 OHM,1%,1W,1210</v>
          </cell>
          <cell r="E807">
            <v>5000</v>
          </cell>
        </row>
        <row r="808">
          <cell r="B808" t="str">
            <v>SHT35-DIS-B2.5KS</v>
          </cell>
          <cell r="C808" t="str">
            <v>Sensirion</v>
          </cell>
          <cell r="D808" t="str">
            <v>SNSR,TEMP/HMD,2.15-5.5V INPUT,I2C,DFN-8</v>
          </cell>
          <cell r="E808">
            <v>100</v>
          </cell>
        </row>
        <row r="809">
          <cell r="B809" t="str">
            <v>SI2399DS-T1-GE3</v>
          </cell>
          <cell r="C809" t="str">
            <v>Vishay Intertechnology Inc</v>
          </cell>
          <cell r="D809" t="str">
            <v>MOSFET P-CH 20V 6A SOT23-3</v>
          </cell>
          <cell r="E809">
            <v>2950</v>
          </cell>
        </row>
        <row r="810">
          <cell r="B810" t="str">
            <v>SiT3373AI-1E3-33EG245.760000</v>
          </cell>
          <cell r="C810" t="str">
            <v>SiTime Corporation</v>
          </cell>
          <cell r="D810" t="str">
            <v>OSC,SMD,XTAL,3.3V,245.76MHZ,50PPM</v>
          </cell>
          <cell r="E810">
            <v>30</v>
          </cell>
        </row>
        <row r="811">
          <cell r="B811" t="str">
            <v>SLPX472M063E3P3</v>
          </cell>
          <cell r="C811" t="str">
            <v>Cornell Dubilier</v>
          </cell>
          <cell r="D811" t="str">
            <v>CAP,AL ELCTLT,4700UF,20%,63VDC,SNAP-IN</v>
          </cell>
          <cell r="E811">
            <v>200</v>
          </cell>
        </row>
        <row r="812">
          <cell r="B812" t="str">
            <v>SM04B-PASS-TBT(LF)(SN)</v>
          </cell>
          <cell r="C812" t="str">
            <v>Jst</v>
          </cell>
          <cell r="D812" t="str">
            <v>CONN HEADER PA 4POS SIDE SMD</v>
          </cell>
          <cell r="E812">
            <v>1000</v>
          </cell>
        </row>
        <row r="813">
          <cell r="B813" t="str">
            <v>SM10B-SURS-TF(LF)(SN)</v>
          </cell>
          <cell r="C813" t="str">
            <v>J.S.T. MFG. CO.,LTD.</v>
          </cell>
          <cell r="D813" t="str">
            <v>CONN,SMD,HDR,10PIN,1ROW,.8MM PITCH,RTANG</v>
          </cell>
          <cell r="E813">
            <v>3500</v>
          </cell>
        </row>
        <row r="814">
          <cell r="B814" t="str">
            <v>SMAJ4740A</v>
          </cell>
          <cell r="C814" t="str">
            <v>Multicomp Pro</v>
          </cell>
          <cell r="D814" t="str">
            <v>DIO,SMD,ZENER,1W,10V</v>
          </cell>
          <cell r="E814">
            <v>664</v>
          </cell>
        </row>
        <row r="815">
          <cell r="B815" t="str">
            <v>SMBJ13A</v>
          </cell>
          <cell r="C815" t="str">
            <v>Littelfuse, Inc.</v>
          </cell>
          <cell r="D815" t="str">
            <v>DIO,SMD,PWR,TVS,600W,13V,ROHS</v>
          </cell>
          <cell r="E815">
            <v>2850</v>
          </cell>
        </row>
        <row r="816">
          <cell r="B816" t="str">
            <v>SMBJ15A</v>
          </cell>
          <cell r="C816" t="str">
            <v>Bourns Inc</v>
          </cell>
          <cell r="D816" t="str">
            <v>SMBJ15A</v>
          </cell>
          <cell r="E816">
            <v>42000</v>
          </cell>
        </row>
        <row r="817">
          <cell r="B817" t="str">
            <v>SMBJ51A</v>
          </cell>
          <cell r="C817" t="str">
            <v>Littelfuse, Inc.</v>
          </cell>
          <cell r="D817" t="str">
            <v>DIO,SMD,PWR,TVS,600W 51V ROHS</v>
          </cell>
          <cell r="E817">
            <v>3000</v>
          </cell>
        </row>
        <row r="818">
          <cell r="B818" t="str">
            <v>SMF150</v>
          </cell>
          <cell r="C818" t="str">
            <v>Voltage Multipliers Inc</v>
          </cell>
          <cell r="D818" t="str">
            <v>DIO,SMD,RECT,35V,10MA,15KV REV V</v>
          </cell>
          <cell r="E818">
            <v>70</v>
          </cell>
        </row>
        <row r="819">
          <cell r="B819" t="str">
            <v>SMF26A</v>
          </cell>
          <cell r="C819" t="str">
            <v>Littelfuse, Inc.</v>
          </cell>
          <cell r="D819" t="str">
            <v>DIO,SMD,TVS,UNI-DIR,SMF,26V,ROHS</v>
          </cell>
          <cell r="E819">
            <v>1540</v>
          </cell>
        </row>
        <row r="820">
          <cell r="B820" t="str">
            <v>SMTSO-M2-3ET</v>
          </cell>
          <cell r="C820" t="str">
            <v>Penn Engineering</v>
          </cell>
          <cell r="D820" t="str">
            <v>STDF,SURF MTG,M2X0.4 THD,3MM LG,CS</v>
          </cell>
          <cell r="E820">
            <v>1935</v>
          </cell>
        </row>
        <row r="821">
          <cell r="B821" t="str">
            <v>SN65LVDS4RSER</v>
          </cell>
          <cell r="C821" t="str">
            <v>Texas Instruments</v>
          </cell>
          <cell r="D821" t="str">
            <v>LVDS Interface IC High-Spd Diff Line Dri</v>
          </cell>
          <cell r="E821">
            <v>250</v>
          </cell>
        </row>
        <row r="822">
          <cell r="B822" t="str">
            <v>SN74AC14DR</v>
          </cell>
          <cell r="C822" t="str">
            <v>Texas Instruments</v>
          </cell>
          <cell r="D822" t="str">
            <v>Inverter Schmitt Trigger 6-Element CMOS</v>
          </cell>
          <cell r="E822">
            <v>225</v>
          </cell>
        </row>
        <row r="823">
          <cell r="B823" t="str">
            <v>SN74ACT04DR</v>
          </cell>
          <cell r="C823" t="str">
            <v>Texas Instruments</v>
          </cell>
          <cell r="D823" t="str">
            <v>IC,SMD,INV,6-CHAN,4.5-5.5V,SOIC-14</v>
          </cell>
          <cell r="E823">
            <v>250</v>
          </cell>
        </row>
        <row r="824">
          <cell r="B824" t="str">
            <v>SN74ACT14DR</v>
          </cell>
          <cell r="C824" t="str">
            <v>Texas Instruments</v>
          </cell>
          <cell r="D824" t="str">
            <v>Inverters Hex Schmitt-Trigger</v>
          </cell>
          <cell r="E824">
            <v>2500</v>
          </cell>
        </row>
        <row r="825">
          <cell r="B825" t="str">
            <v>SN74AHCT04DBR</v>
          </cell>
          <cell r="C825" t="str">
            <v>Texas Instruments</v>
          </cell>
          <cell r="D825" t="str">
            <v>IC,SMD,INV,6CHAN,4.5-5.5V,SSOP-14</v>
          </cell>
          <cell r="E825">
            <v>172</v>
          </cell>
        </row>
        <row r="826">
          <cell r="B826" t="str">
            <v>SN74AXCH8T245RHLR</v>
          </cell>
          <cell r="C826" t="str">
            <v>Texas Instruments</v>
          </cell>
          <cell r="D826" t="str">
            <v>IC,SMD,BUS XCVR,24P,8BIT,3.6V,VQFN</v>
          </cell>
          <cell r="E826">
            <v>2672</v>
          </cell>
        </row>
        <row r="827">
          <cell r="B827" t="str">
            <v>SN74CB3Q3306APWR</v>
          </cell>
          <cell r="C827" t="str">
            <v>Texas Instruments</v>
          </cell>
          <cell r="D827" t="str">
            <v>IC,SMD,DUAL FET BUS SWITCH 8-TSSOP</v>
          </cell>
          <cell r="E827">
            <v>2000</v>
          </cell>
        </row>
        <row r="828">
          <cell r="B828" t="str">
            <v>SN74HC11DR</v>
          </cell>
          <cell r="C828" t="str">
            <v>Texas Instruments</v>
          </cell>
          <cell r="D828" t="str">
            <v>AND Gate 3-Element 3-IN CMOS 14-Pin SOIC</v>
          </cell>
          <cell r="E828">
            <v>2497</v>
          </cell>
        </row>
        <row r="829">
          <cell r="B829" t="str">
            <v>SN74LVC1G00DBVR</v>
          </cell>
          <cell r="C829" t="str">
            <v>Texas Instruments</v>
          </cell>
          <cell r="D829" t="str">
            <v>IC,SMD,NAND,2-INPUT,1.65-5.5V,SOT-23-5</v>
          </cell>
          <cell r="E829">
            <v>2970</v>
          </cell>
        </row>
        <row r="830">
          <cell r="B830" t="str">
            <v>SN74LVC1G00DCKR</v>
          </cell>
          <cell r="D830" t="str">
            <v>IC LOGIC NAND 2 INPUT SINGLE P</v>
          </cell>
          <cell r="E830">
            <v>2975</v>
          </cell>
        </row>
        <row r="831">
          <cell r="B831" t="str">
            <v>SN74LVC1G14DCK</v>
          </cell>
          <cell r="C831" t="str">
            <v>Texas Instruments</v>
          </cell>
          <cell r="D831" t="str">
            <v>IC,SMD,SINGLE SCHMITT INV</v>
          </cell>
          <cell r="E831">
            <v>2948</v>
          </cell>
        </row>
        <row r="832">
          <cell r="B832" t="str">
            <v>SN74LVC1G32DBVT</v>
          </cell>
          <cell r="C832" t="str">
            <v>Texas Instruments</v>
          </cell>
          <cell r="D832" t="str">
            <v>OR Gate IC 1 Channel SOT-23-5</v>
          </cell>
          <cell r="E832">
            <v>3000</v>
          </cell>
        </row>
        <row r="833">
          <cell r="B833" t="str">
            <v>SN74LVC1G373DCKR</v>
          </cell>
          <cell r="C833" t="str">
            <v>Texas Instruments</v>
          </cell>
          <cell r="D833" t="str">
            <v>IC,SMD,SGL,D LCH,3 STATE OUT</v>
          </cell>
          <cell r="E833">
            <v>3000</v>
          </cell>
        </row>
        <row r="834">
          <cell r="B834" t="str">
            <v>SN74LVC1G74DCU</v>
          </cell>
          <cell r="C834" t="str">
            <v>Texas Instruments</v>
          </cell>
          <cell r="D834" t="str">
            <v>IC,SMD,SINGLE EDGE TRIG D FF</v>
          </cell>
          <cell r="E834">
            <v>20</v>
          </cell>
        </row>
        <row r="835">
          <cell r="B835" t="str">
            <v>SN74LVC245APWR</v>
          </cell>
          <cell r="C835" t="str">
            <v>Texas Instruments</v>
          </cell>
          <cell r="D835" t="str">
            <v>IC,SMD,BUS TRANSCEIVER 8BIT 20TSSOP</v>
          </cell>
          <cell r="E835">
            <v>1938</v>
          </cell>
        </row>
        <row r="836">
          <cell r="B836" t="str">
            <v>SN74LVC2G00DCUR</v>
          </cell>
          <cell r="C836" t="str">
            <v>Texas Instruments</v>
          </cell>
          <cell r="D836" t="str">
            <v>IC,SMD,DUAL 2 IN NAND</v>
          </cell>
          <cell r="E836">
            <v>3000</v>
          </cell>
        </row>
        <row r="837">
          <cell r="B837" t="str">
            <v>SN74LVC2G14DCK</v>
          </cell>
          <cell r="C837" t="str">
            <v>Texas Instruments</v>
          </cell>
          <cell r="D837" t="str">
            <v>IC,SMD,DUAL SCHMITT INV</v>
          </cell>
          <cell r="E837">
            <v>2955</v>
          </cell>
        </row>
        <row r="838">
          <cell r="B838" t="str">
            <v>SN74LVC2G17DBVR</v>
          </cell>
          <cell r="C838" t="str">
            <v>Texas Instruments</v>
          </cell>
          <cell r="D838" t="str">
            <v>IC,SMD,BFR,NON-INVERTING,2 CHAN,SOT23-6</v>
          </cell>
          <cell r="E838">
            <v>200</v>
          </cell>
        </row>
        <row r="839">
          <cell r="B839" t="str">
            <v>SN74LVC2G34MDCKREP</v>
          </cell>
          <cell r="C839" t="str">
            <v>Texas Instruments</v>
          </cell>
          <cell r="D839" t="str">
            <v>IC,SMD,DUAL BUFFER GATE</v>
          </cell>
          <cell r="E839">
            <v>3000</v>
          </cell>
        </row>
        <row r="840">
          <cell r="B840" t="str">
            <v>SOMC160310K0GEA</v>
          </cell>
          <cell r="C840" t="str">
            <v>Bourns Inc</v>
          </cell>
          <cell r="D840" t="str">
            <v>RNET,ISOL 10K 8 RES SOM16,ROHS</v>
          </cell>
          <cell r="E840">
            <v>2000</v>
          </cell>
        </row>
        <row r="841">
          <cell r="B841" t="str">
            <v>SS-12D07-VG4NSGAPA</v>
          </cell>
          <cell r="C841" t="str">
            <v>C&amp;K Switches</v>
          </cell>
          <cell r="D841" t="str">
            <v>SW,MINTR,SLIDE,SPDT,0.3A,30VDC,THT</v>
          </cell>
          <cell r="E841">
            <v>89</v>
          </cell>
        </row>
        <row r="842">
          <cell r="B842" t="str">
            <v>SS23</v>
          </cell>
          <cell r="C842" t="str">
            <v>On Semiconductor</v>
          </cell>
          <cell r="D842" t="str">
            <v>DIO,SMD,SCHOTTKY,30V,2A</v>
          </cell>
          <cell r="E842">
            <v>750</v>
          </cell>
        </row>
        <row r="843">
          <cell r="B843" t="str">
            <v>SS26T3G</v>
          </cell>
          <cell r="C843" t="str">
            <v>On Semiconductor</v>
          </cell>
          <cell r="D843" t="str">
            <v>DIO,SMD,SCHOTTKY,60V,2A</v>
          </cell>
          <cell r="E843">
            <v>1000</v>
          </cell>
        </row>
        <row r="844">
          <cell r="B844" t="str">
            <v>SSC54-E3/57T</v>
          </cell>
          <cell r="C844" t="str">
            <v>Vishay Semiconductors</v>
          </cell>
          <cell r="D844" t="str">
            <v>DIO,SMD,SCHOTTKY,RECT,40V,5A,SGL,PKG-57T</v>
          </cell>
          <cell r="E844">
            <v>825</v>
          </cell>
        </row>
        <row r="845">
          <cell r="B845" t="str">
            <v>SSF-LXH240GGD</v>
          </cell>
          <cell r="C845" t="str">
            <v>Lumex</v>
          </cell>
          <cell r="D845" t="str">
            <v>LED,DUAL,STK,RA,GRN ROHS</v>
          </cell>
          <cell r="E845">
            <v>463</v>
          </cell>
        </row>
        <row r="846">
          <cell r="B846" t="str">
            <v>SSW-113-01-G-D</v>
          </cell>
          <cell r="C846" t="str">
            <v>Samtec Inc</v>
          </cell>
          <cell r="D846" t="str">
            <v>CONN,SKT,STR,.1 X .1, 26 PIN</v>
          </cell>
          <cell r="E846">
            <v>50</v>
          </cell>
        </row>
        <row r="847">
          <cell r="B847" t="str">
            <v>SSW-117-01-G-D</v>
          </cell>
          <cell r="C847" t="str">
            <v>Samtec Inc</v>
          </cell>
          <cell r="D847" t="str">
            <v>CONN,SKT,STR,.1 X .1, 34 PIN</v>
          </cell>
          <cell r="E847">
            <v>381</v>
          </cell>
        </row>
        <row r="848">
          <cell r="B848" t="str">
            <v>STPS0540ZY</v>
          </cell>
          <cell r="C848" t="str">
            <v>ST Micrelectronics</v>
          </cell>
          <cell r="D848" t="str">
            <v>DIO,SMD,SCHOTTKY,40V,0.5A,SOD-123</v>
          </cell>
          <cell r="E848">
            <v>6000</v>
          </cell>
        </row>
        <row r="849">
          <cell r="B849" t="str">
            <v>SUD35N10-26P-E3</v>
          </cell>
          <cell r="C849" t="str">
            <v>Vishay Semiconductors</v>
          </cell>
          <cell r="D849" t="str">
            <v>IC,SMD,MOSFET,N-CHAN,100V,35A,TO-252-3</v>
          </cell>
          <cell r="E849">
            <v>200</v>
          </cell>
        </row>
        <row r="850">
          <cell r="B850" t="str">
            <v>SUD50P04-09L-E3</v>
          </cell>
          <cell r="C850" t="str">
            <v>Vishay Semiconductors</v>
          </cell>
          <cell r="D850" t="str">
            <v>XSTR,SMD,MOSFET,P-CHAN,40VDS,50A,TO-252</v>
          </cell>
          <cell r="E850">
            <v>2000</v>
          </cell>
        </row>
        <row r="851">
          <cell r="B851" t="str">
            <v>T491A104K050AT</v>
          </cell>
          <cell r="C851" t="str">
            <v>Kemet Electronics Corp</v>
          </cell>
          <cell r="D851" t="str">
            <v>CAP,3216,0.1UF,10%,50V,TANT,ROHS</v>
          </cell>
          <cell r="E851">
            <v>2278</v>
          </cell>
        </row>
        <row r="852">
          <cell r="B852" t="str">
            <v>T530D337M006ATE010</v>
          </cell>
          <cell r="C852" t="str">
            <v>Kemet Electronics Corp</v>
          </cell>
          <cell r="D852" t="str">
            <v>CAP,TANT,ELCTLT,6.3VDC,330UF,20%,7343</v>
          </cell>
          <cell r="E852">
            <v>500</v>
          </cell>
        </row>
        <row r="853">
          <cell r="B853" t="str">
            <v>TAJC225K035RNJ</v>
          </cell>
          <cell r="C853" t="str">
            <v>Kemet Electronics Corp</v>
          </cell>
          <cell r="D853" t="str">
            <v>CAP,SMD,6032,TANT,10%,35V,2.2UF ROHS</v>
          </cell>
          <cell r="E853">
            <v>383</v>
          </cell>
        </row>
        <row r="854">
          <cell r="B854" t="str">
            <v>TCA9539RTWR</v>
          </cell>
          <cell r="C854" t="str">
            <v>Texas Instruments</v>
          </cell>
          <cell r="D854" t="str">
            <v>I/O Expanders Rem 16B I2C &amp; SMBus Low-Pw</v>
          </cell>
          <cell r="E854">
            <v>2960</v>
          </cell>
        </row>
        <row r="855">
          <cell r="B855" t="str">
            <v>TCA9548APWR</v>
          </cell>
          <cell r="C855" t="str">
            <v>Texas Instruments</v>
          </cell>
          <cell r="D855" t="str">
            <v>IC,PCA9548A,8CH_I2C BUS_SW_W_RESET,TSSOP</v>
          </cell>
          <cell r="E855">
            <v>2000</v>
          </cell>
        </row>
        <row r="856">
          <cell r="B856" t="str">
            <v>TCA9548ARGER</v>
          </cell>
          <cell r="C856" t="str">
            <v>Texas Instruments</v>
          </cell>
          <cell r="D856" t="str">
            <v>LOW-VOLTAGE 8-CHANNEL I2C</v>
          </cell>
          <cell r="E856">
            <v>2954</v>
          </cell>
        </row>
        <row r="857">
          <cell r="B857" t="str">
            <v>TDE1798DP</v>
          </cell>
          <cell r="C857" t="str">
            <v>ST Micrelectronics</v>
          </cell>
          <cell r="D857" t="str">
            <v>IC,INDUSTRIAL DRIVER,0.5A PWR SW,6V-35V</v>
          </cell>
          <cell r="E857">
            <v>200</v>
          </cell>
        </row>
        <row r="858">
          <cell r="B858" t="str">
            <v>TGHHV50R0JE</v>
          </cell>
          <cell r="C858" t="str">
            <v>Ohmite</v>
          </cell>
          <cell r="D858" t="str">
            <v>RES,THK FILM,50 OHM,5%,120W,SOT227</v>
          </cell>
          <cell r="E858">
            <v>109</v>
          </cell>
        </row>
        <row r="859">
          <cell r="B859" t="str">
            <v>TGHHV5R00JE</v>
          </cell>
          <cell r="C859" t="str">
            <v>Ohmite</v>
          </cell>
          <cell r="D859" t="str">
            <v>RES CHAS MNT 5 OHM 5% 120W</v>
          </cell>
          <cell r="E859">
            <v>60</v>
          </cell>
        </row>
        <row r="860">
          <cell r="B860" t="str">
            <v>TGHLV10R0JE</v>
          </cell>
          <cell r="C860" t="str">
            <v>Ohmite</v>
          </cell>
          <cell r="D860" t="str">
            <v>RES,THK FILM,10 OHM,5%,200W,SOT227</v>
          </cell>
          <cell r="E860">
            <v>150</v>
          </cell>
        </row>
        <row r="861">
          <cell r="B861" t="str">
            <v>TGHLV150RJE</v>
          </cell>
          <cell r="C861" t="str">
            <v>Ohmite</v>
          </cell>
          <cell r="D861" t="str">
            <v>RES,THK FILM,150 OHM,5%,200W,SOT227</v>
          </cell>
          <cell r="E861">
            <v>181</v>
          </cell>
        </row>
        <row r="862">
          <cell r="B862" t="str">
            <v>TGHLV1K00JE</v>
          </cell>
          <cell r="C862" t="str">
            <v>Ohmite</v>
          </cell>
          <cell r="D862" t="str">
            <v>RES,THK FILM,1K OHM,5%,200W,SOT227</v>
          </cell>
          <cell r="E862">
            <v>60</v>
          </cell>
        </row>
        <row r="863">
          <cell r="B863" t="str">
            <v>TGHLV25R0JE</v>
          </cell>
          <cell r="C863" t="str">
            <v>Ohmite</v>
          </cell>
          <cell r="D863" t="str">
            <v>RES,THK FILM,25 OHM,5%,200W,SOT227</v>
          </cell>
          <cell r="E863">
            <v>50</v>
          </cell>
        </row>
        <row r="864">
          <cell r="B864" t="str">
            <v>THN10-2423WIR</v>
          </cell>
          <cell r="C864" t="str">
            <v>Traco Power Solutions Ltd</v>
          </cell>
          <cell r="D864" t="str">
            <v>PS,DC-DC,9-36V INPUT,+/-15V,.333A,PCB,TH</v>
          </cell>
          <cell r="E864">
            <v>26</v>
          </cell>
        </row>
        <row r="865">
          <cell r="B865" t="str">
            <v>THS4520RGTR</v>
          </cell>
          <cell r="C865" t="str">
            <v>Texas Instruments</v>
          </cell>
          <cell r="D865" t="str">
            <v>Differential Amplifiers R-to-R Output Wi</v>
          </cell>
          <cell r="E865">
            <v>250</v>
          </cell>
        </row>
        <row r="866">
          <cell r="B866" t="str">
            <v>THS4521IDGKR</v>
          </cell>
          <cell r="C866" t="str">
            <v>Texas Instruments</v>
          </cell>
          <cell r="D866" t="str">
            <v>IC OPAMP DIFF 1 CIRCUIT 8VSSOP</v>
          </cell>
          <cell r="E866">
            <v>250</v>
          </cell>
        </row>
        <row r="867">
          <cell r="B867" t="str">
            <v>TLP2367(TPR,E</v>
          </cell>
          <cell r="C867" t="str">
            <v>Toshiba</v>
          </cell>
          <cell r="D867" t="str">
            <v>IC,SMD,PHOTOCOUPLER,1 CKT,3.3V/5V,HS,SO6</v>
          </cell>
          <cell r="E867">
            <v>2829</v>
          </cell>
        </row>
        <row r="868">
          <cell r="B868" t="str">
            <v>TLP627M(E</v>
          </cell>
          <cell r="C868" t="str">
            <v>Toshiba</v>
          </cell>
          <cell r="D868" t="str">
            <v>IC,OPTOCOUPLER,1-CH DARLINGTON,4-PIN DIP</v>
          </cell>
          <cell r="E868">
            <v>79</v>
          </cell>
        </row>
        <row r="869">
          <cell r="B869" t="str">
            <v>TLR3APDTE4L00F50</v>
          </cell>
          <cell r="C869" t="str">
            <v>KOA Speer Electronics Inc</v>
          </cell>
          <cell r="D869" t="str">
            <v>RES,SMD,0.004 OHM,±1%,5W,2512,50PPM</v>
          </cell>
          <cell r="E869">
            <v>2000</v>
          </cell>
        </row>
        <row r="870">
          <cell r="B870" t="str">
            <v>TLRP3A30CR004FTE</v>
          </cell>
          <cell r="C870" t="str">
            <v>TE Connectivity Ltd</v>
          </cell>
          <cell r="D870" t="str">
            <v>RES,SMD,CUR SNS,.004OHM,+/-1%,25PPM,2512</v>
          </cell>
          <cell r="E870">
            <v>3880</v>
          </cell>
        </row>
        <row r="871">
          <cell r="B871" t="str">
            <v>TMK212BJ474KD-T</v>
          </cell>
          <cell r="C871" t="str">
            <v>Kemet Electronics Corp</v>
          </cell>
          <cell r="D871" t="str">
            <v>CAP,SMD,CER,0.47UF,±10%TOL,25V,X5R,0805</v>
          </cell>
          <cell r="E871">
            <v>4000</v>
          </cell>
        </row>
        <row r="872">
          <cell r="B872" t="str">
            <v>TMP117AIYBGR</v>
          </cell>
          <cell r="C872" t="str">
            <v>Texas Instruments</v>
          </cell>
          <cell r="D872" t="str">
            <v>DIGITAL TEMP SENSOR,SMD,DSBGA6</v>
          </cell>
          <cell r="E872">
            <v>70</v>
          </cell>
        </row>
        <row r="873">
          <cell r="B873" t="str">
            <v>TMUX6104PWR</v>
          </cell>
          <cell r="C873" t="str">
            <v>Texas Instruments</v>
          </cell>
          <cell r="D873" t="str">
            <v>IC,SMD,MUX,5-16.5V DUAL SPLY,TSSOP-14</v>
          </cell>
          <cell r="E873">
            <v>100</v>
          </cell>
        </row>
        <row r="874">
          <cell r="B874" t="str">
            <v>TNPW040219K8BEED</v>
          </cell>
          <cell r="C874" t="str">
            <v>Vishay Semiconductors</v>
          </cell>
          <cell r="D874" t="str">
            <v>RES,SMD,0402,0.1% 1/16W,19.8K</v>
          </cell>
          <cell r="E874">
            <v>10000</v>
          </cell>
        </row>
        <row r="875">
          <cell r="B875" t="str">
            <v>TNPW080524K9BEEA</v>
          </cell>
          <cell r="C875" t="str">
            <v>Vishay Semiconductors</v>
          </cell>
          <cell r="D875" t="str">
            <v>RES,SMD,0805,24.9K OHMS,0.1%,ROHS</v>
          </cell>
          <cell r="E875">
            <v>5000</v>
          </cell>
        </row>
        <row r="876">
          <cell r="B876" t="str">
            <v>TNPW08053K90BEEA</v>
          </cell>
          <cell r="C876" t="str">
            <v>Vishay Semiconductors</v>
          </cell>
          <cell r="D876" t="str">
            <v>RES,SMD,3.9K OHM,±0.1%TOL,1/5W,0805</v>
          </cell>
          <cell r="E876">
            <v>5000</v>
          </cell>
        </row>
        <row r="877">
          <cell r="B877" t="str">
            <v>TNPW080584K5BEEA</v>
          </cell>
          <cell r="C877" t="str">
            <v>Vishay</v>
          </cell>
          <cell r="D877" t="str">
            <v>RES,SMD,0805,84.5K OHMS</v>
          </cell>
          <cell r="E877">
            <v>5000</v>
          </cell>
        </row>
        <row r="878">
          <cell r="B878" t="str">
            <v>TNPW120610K0BEEA</v>
          </cell>
          <cell r="C878" t="str">
            <v>Vishay Semiconductors</v>
          </cell>
          <cell r="D878" t="str">
            <v>RES,SMD,1206,H-P,WRAPARO.TF,0.1%,10K,ROH</v>
          </cell>
          <cell r="E878">
            <v>5000</v>
          </cell>
        </row>
        <row r="879">
          <cell r="B879" t="str">
            <v>TNPW1206200RBEEA</v>
          </cell>
          <cell r="C879" t="str">
            <v>Vishay</v>
          </cell>
          <cell r="D879" t="str">
            <v>RES,1206,TF,0.1%,+/- 25 PPM,200 ROHS</v>
          </cell>
          <cell r="E879">
            <v>4920</v>
          </cell>
        </row>
        <row r="880">
          <cell r="B880" t="str">
            <v>TPL7407LDR</v>
          </cell>
          <cell r="C880" t="str">
            <v>Texas Instruments</v>
          </cell>
          <cell r="D880" t="str">
            <v>IC,SMD,LO-SIDE DRIVER,7CHAN,40V,SOIC-16</v>
          </cell>
          <cell r="E880">
            <v>1750</v>
          </cell>
        </row>
        <row r="881">
          <cell r="B881" t="str">
            <v>TPS16630PWPT</v>
          </cell>
          <cell r="C881" t="str">
            <v>Texas Instruments</v>
          </cell>
          <cell r="D881" t="str">
            <v>Electronic Fuse Regulator 6A 20-HTSSOP</v>
          </cell>
          <cell r="E881">
            <v>2000</v>
          </cell>
        </row>
        <row r="882">
          <cell r="B882" t="str">
            <v>TPS2493PWR</v>
          </cell>
          <cell r="C882" t="str">
            <v>Texas Instruments</v>
          </cell>
          <cell r="D882" t="str">
            <v>Power Supply Support Circuit, Adjustable</v>
          </cell>
          <cell r="E882">
            <v>1901</v>
          </cell>
        </row>
        <row r="883">
          <cell r="B883" t="str">
            <v>TPS259827ONRGER</v>
          </cell>
          <cell r="C883" t="str">
            <v>Texas Instruments</v>
          </cell>
          <cell r="E883">
            <v>60</v>
          </cell>
        </row>
        <row r="884">
          <cell r="B884" t="str">
            <v>TPS26600PWPR</v>
          </cell>
          <cell r="C884" t="str">
            <v>Texas Instruments</v>
          </cell>
          <cell r="D884" t="str">
            <v>IC PWR MGMT EFUSE 60V 16HTSSOP</v>
          </cell>
          <cell r="E884">
            <v>200</v>
          </cell>
        </row>
        <row r="885">
          <cell r="B885" t="str">
            <v>TPS27S100BRRKT</v>
          </cell>
          <cell r="C885" t="str">
            <v>Texas Instruments</v>
          </cell>
          <cell r="D885" t="str">
            <v>Power Switch/ Driver</v>
          </cell>
          <cell r="E885">
            <v>3000</v>
          </cell>
        </row>
        <row r="886">
          <cell r="B886" t="str">
            <v>TPS568215RNNR</v>
          </cell>
          <cell r="C886" t="str">
            <v>Texas Instruments</v>
          </cell>
          <cell r="D886" t="str">
            <v>IC,SMD,BUCK CONV,4.5-17VIN,8A,18-VQFN</v>
          </cell>
          <cell r="E886">
            <v>3000</v>
          </cell>
        </row>
        <row r="887">
          <cell r="B887" t="str">
            <v>TPS65910AA1RSL</v>
          </cell>
          <cell r="C887" t="str">
            <v>Texas Instruments</v>
          </cell>
          <cell r="D887" t="str">
            <v>IC,SMD,PWR MGMT 8 LDO 48VQFN,ROHS</v>
          </cell>
          <cell r="E887">
            <v>60</v>
          </cell>
        </row>
        <row r="888">
          <cell r="B888" t="str">
            <v>TPS71718DCKR</v>
          </cell>
          <cell r="C888" t="str">
            <v>Texas Instruments</v>
          </cell>
          <cell r="D888" t="str">
            <v>IC,SMD,LDO,REG,150MA,1.8V,SC70-5</v>
          </cell>
          <cell r="E888">
            <v>3000</v>
          </cell>
        </row>
        <row r="889">
          <cell r="B889" t="str">
            <v>TPS7A3301RGWR</v>
          </cell>
          <cell r="C889" t="str">
            <v>Texas Instruments</v>
          </cell>
          <cell r="D889" t="str">
            <v>IC REG LIN NEG ADJ 1A 20VQFN</v>
          </cell>
          <cell r="E889">
            <v>250</v>
          </cell>
        </row>
        <row r="890">
          <cell r="B890" t="str">
            <v>TPS7A4501KTTR</v>
          </cell>
          <cell r="C890" t="str">
            <v>Texas Instruments</v>
          </cell>
          <cell r="D890" t="str">
            <v>IC REG LINEAR POS ADJ 1.5A DDPAK</v>
          </cell>
          <cell r="E890">
            <v>430</v>
          </cell>
        </row>
        <row r="891">
          <cell r="B891" t="str">
            <v>TPS7A8801RTJR</v>
          </cell>
          <cell r="C891" t="str">
            <v>Texas Instruments</v>
          </cell>
          <cell r="D891" t="str">
            <v>IC,SMD,V RGLTR,LDO,0.8-5VOUT,1A,20-WQFN</v>
          </cell>
          <cell r="E891">
            <v>239</v>
          </cell>
        </row>
        <row r="892">
          <cell r="B892" t="str">
            <v>TPSD107K010R0100</v>
          </cell>
          <cell r="C892" t="str">
            <v>Kemet Electronics Corp</v>
          </cell>
          <cell r="D892" t="str">
            <v>CAP,7343H,100UF,10V,10% L-ESR,ROHS</v>
          </cell>
          <cell r="E892">
            <v>500</v>
          </cell>
        </row>
        <row r="893">
          <cell r="B893" t="str">
            <v>TPSE476K035R0200</v>
          </cell>
          <cell r="C893" t="str">
            <v>Kemet Electronics Corp</v>
          </cell>
          <cell r="D893" t="str">
            <v>CAP,SMD,TANT,47UF,10%,35V,LOW ESR</v>
          </cell>
          <cell r="E893">
            <v>370</v>
          </cell>
        </row>
        <row r="894">
          <cell r="B894" t="str">
            <v>TQ2SA-12V</v>
          </cell>
          <cell r="C894" t="str">
            <v>Panasonic</v>
          </cell>
          <cell r="D894" t="str">
            <v>RLY,SMD,DPDT,2FC,S-SIDED,STABLE 12V</v>
          </cell>
          <cell r="E894">
            <v>100</v>
          </cell>
        </row>
        <row r="895">
          <cell r="B895" t="str">
            <v>TS5A623157DGSR</v>
          </cell>
          <cell r="C895" t="str">
            <v>Texas Instruments</v>
          </cell>
          <cell r="D895" t="str">
            <v>IC,SMD,SW,DUAL,SPDT,MSOP10</v>
          </cell>
          <cell r="E895">
            <v>2500</v>
          </cell>
        </row>
        <row r="896">
          <cell r="B896" t="str">
            <v>TSM-102-01-S-SV</v>
          </cell>
          <cell r="C896" t="str">
            <v>Samtec Inc</v>
          </cell>
          <cell r="D896" t="str">
            <v>CONN,SMD,HDR,UNSHRD,2 POSN,.1IN,AU PLD</v>
          </cell>
          <cell r="E896">
            <v>500</v>
          </cell>
        </row>
        <row r="897">
          <cell r="B897" t="str">
            <v>TSM-103-01-S-SV</v>
          </cell>
          <cell r="C897" t="str">
            <v>Samtec Inc</v>
          </cell>
          <cell r="D897" t="str">
            <v>CONN,SMD,HDR,UNSHRD,3 POSN,.1IN,AU PLD</v>
          </cell>
          <cell r="E897">
            <v>500</v>
          </cell>
        </row>
        <row r="898">
          <cell r="B898" t="str">
            <v>TSM-103-02-S-SV</v>
          </cell>
          <cell r="C898" t="str">
            <v>Samtec Inc</v>
          </cell>
          <cell r="D898" t="str">
            <v>CONN,SMD,HDR,3PIN,VERT,1ROW,2.54MM</v>
          </cell>
          <cell r="E898">
            <v>300</v>
          </cell>
        </row>
        <row r="899">
          <cell r="B899" t="str">
            <v>TSM-110-02-S-DV</v>
          </cell>
          <cell r="C899" t="str">
            <v>Samtec Inc</v>
          </cell>
          <cell r="D899" t="str">
            <v>CONN,SMD,HDR,20PIN,VERT,2ROW,2.54MM</v>
          </cell>
          <cell r="E899">
            <v>125</v>
          </cell>
        </row>
        <row r="900">
          <cell r="B900" t="str">
            <v>TSM-120-02-S-DV</v>
          </cell>
          <cell r="C900" t="str">
            <v>Samtec Inc</v>
          </cell>
          <cell r="D900" t="str">
            <v>CONN,SMD,HDR,40PIN,VERT,2ROW,2.54MM</v>
          </cell>
          <cell r="E900">
            <v>115</v>
          </cell>
        </row>
        <row r="901">
          <cell r="B901" t="str">
            <v>TSM4YJ105KR05</v>
          </cell>
          <cell r="C901" t="str">
            <v>Vishay Semiconductors</v>
          </cell>
          <cell r="D901" t="str">
            <v>RES,SMD,POT,1M,10%,MULTI TURN</v>
          </cell>
          <cell r="E901">
            <v>500</v>
          </cell>
        </row>
        <row r="902">
          <cell r="B902" t="str">
            <v>TSW-113-07-G-D</v>
          </cell>
          <cell r="C902" t="str">
            <v>Samtec Inc</v>
          </cell>
          <cell r="D902" t="str">
            <v>CONN,HDR,26PIN,2ROW,2.54MM PITCH,AU PLD</v>
          </cell>
          <cell r="E902">
            <v>200</v>
          </cell>
        </row>
        <row r="903">
          <cell r="B903" t="str">
            <v>UCC27423MDREP</v>
          </cell>
          <cell r="C903" t="str">
            <v>Texas Instruments</v>
          </cell>
          <cell r="D903" t="str">
            <v>Buffer/Inverter Based MOSFET D</v>
          </cell>
          <cell r="E903">
            <v>100</v>
          </cell>
        </row>
        <row r="904">
          <cell r="B904" t="str">
            <v>UCC27714DR</v>
          </cell>
          <cell r="C904" t="str">
            <v>Texas Instruments</v>
          </cell>
          <cell r="D904" t="str">
            <v>IC GATE DRVR HALF-BRIDGE 14SOIC</v>
          </cell>
          <cell r="E904">
            <v>2500</v>
          </cell>
        </row>
        <row r="905">
          <cell r="B905" t="str">
            <v>UCR03EVPFLR100</v>
          </cell>
          <cell r="C905" t="str">
            <v>Rohm Semiconductor</v>
          </cell>
          <cell r="D905" t="str">
            <v>RES,SMD,0.1 OHM,±1%,1/4W,0603</v>
          </cell>
          <cell r="E905">
            <v>4458</v>
          </cell>
        </row>
        <row r="906">
          <cell r="B906" t="str">
            <v>ULN2003ADR</v>
          </cell>
          <cell r="C906" t="str">
            <v>Texas Instruments</v>
          </cell>
          <cell r="D906" t="str">
            <v>IC,SMD,ULN2003AD,DUAL,DAR,HV,HC</v>
          </cell>
          <cell r="E906">
            <v>967</v>
          </cell>
        </row>
        <row r="907">
          <cell r="B907" t="str">
            <v>ULN2802A</v>
          </cell>
          <cell r="C907" t="str">
            <v>ST Micrelectronics</v>
          </cell>
          <cell r="D907" t="str">
            <v>IC  ULN-2802A, ROHS</v>
          </cell>
          <cell r="E907">
            <v>1000</v>
          </cell>
        </row>
        <row r="908">
          <cell r="B908" t="str">
            <v>UMH9NTN</v>
          </cell>
          <cell r="C908" t="str">
            <v>Panasonic</v>
          </cell>
          <cell r="D908" t="str">
            <v>XSTR,SMD,NPN,W/RES 50V SMINI6</v>
          </cell>
          <cell r="E908">
            <v>3000</v>
          </cell>
        </row>
        <row r="909">
          <cell r="B909" t="str">
            <v>UMK105BJ224KV-F</v>
          </cell>
          <cell r="C909" t="str">
            <v>Taiyo Yuden Co Ltd</v>
          </cell>
          <cell r="D909" t="str">
            <v>CAP,SMD,CER,0.22UF,±10% TOL,50V,X5R,0402</v>
          </cell>
          <cell r="E909">
            <v>9779</v>
          </cell>
        </row>
        <row r="910">
          <cell r="B910" t="str">
            <v>VLCF5020T-2R2N2R6-3</v>
          </cell>
          <cell r="C910" t="str">
            <v>TDK Corp</v>
          </cell>
          <cell r="D910" t="str">
            <v>IDCTR,SMD,POWER 2.2UH 2.6A</v>
          </cell>
          <cell r="E910">
            <v>500</v>
          </cell>
        </row>
        <row r="911">
          <cell r="B911" t="str">
            <v>VN7140ASTR</v>
          </cell>
          <cell r="C911" t="str">
            <v>STMicroelectronics</v>
          </cell>
          <cell r="D911" t="str">
            <v>IC,SMD,DVR,HIGH-SIDE,1-CH O/P,8SOIC</v>
          </cell>
          <cell r="E911">
            <v>200</v>
          </cell>
        </row>
        <row r="912">
          <cell r="B912" t="str">
            <v>VO618A-4</v>
          </cell>
          <cell r="C912" t="str">
            <v>Vishay Semiconductors</v>
          </cell>
          <cell r="D912" t="str">
            <v>IC,PHOTOCOUPLER,0.01A,DIP-4</v>
          </cell>
          <cell r="E912">
            <v>200</v>
          </cell>
        </row>
        <row r="913">
          <cell r="B913" t="str">
            <v>W23-22KJI</v>
          </cell>
          <cell r="C913" t="str">
            <v>TT Electronics Plc</v>
          </cell>
          <cell r="D913" t="str">
            <v>RES,AXIAL,22K OHM,10.5W,5%,ROHS</v>
          </cell>
          <cell r="E913">
            <v>50</v>
          </cell>
        </row>
        <row r="914">
          <cell r="B914" t="str">
            <v>W25Q128JVSIQ</v>
          </cell>
          <cell r="C914" t="str">
            <v>Winbond</v>
          </cell>
          <cell r="D914" t="str">
            <v>NOR Flash spiFlash, 3V, 128M-bit, 4Kb</v>
          </cell>
          <cell r="E914">
            <v>1973</v>
          </cell>
        </row>
        <row r="915">
          <cell r="B915" t="str">
            <v>WB1-6TSL</v>
          </cell>
          <cell r="C915" t="str">
            <v>Coilcraft Inc</v>
          </cell>
          <cell r="D915" t="str">
            <v>XFMR,SMD,WIDEBAND RF WB SERIES</v>
          </cell>
          <cell r="E915">
            <v>465</v>
          </cell>
        </row>
        <row r="916">
          <cell r="B916" t="str">
            <v>WBC1-1TLC</v>
          </cell>
          <cell r="C916" t="str">
            <v>Coilcraft Inc</v>
          </cell>
          <cell r="D916" t="str">
            <v>XMFR,SMD,1:1,0.25-750MHZ,0.25A,0.58DB</v>
          </cell>
          <cell r="E916">
            <v>750</v>
          </cell>
        </row>
        <row r="917">
          <cell r="B917" t="str">
            <v>WBC2-1TLC</v>
          </cell>
          <cell r="C917" t="str">
            <v>Coilcraft Inc</v>
          </cell>
          <cell r="D917" t="str">
            <v>XFMR,SMD,WIDEBAND,1:2, 0.2-500MHZ,1/4W</v>
          </cell>
          <cell r="E917">
            <v>600</v>
          </cell>
        </row>
        <row r="918">
          <cell r="B918" t="str">
            <v>WT21S</v>
          </cell>
          <cell r="C918" t="str">
            <v>Nkk</v>
          </cell>
          <cell r="D918" t="str">
            <v>SW,TGL,DPST,250V/6A,SLDR TERM,SEALED</v>
          </cell>
          <cell r="E918">
            <v>200</v>
          </cell>
        </row>
        <row r="919">
          <cell r="B919" t="str">
            <v>XC7Z007S-2CLG400I</v>
          </cell>
          <cell r="C919" t="str">
            <v>Xilinx Inc</v>
          </cell>
          <cell r="D919" t="str">
            <v>IC,SMD,FPGA,SOC,CORTEX-A9,ARTIX-7,400BGA</v>
          </cell>
          <cell r="E919">
            <v>50</v>
          </cell>
        </row>
        <row r="920">
          <cell r="B920" t="str">
            <v>XCZU3CG-1SFVC784E</v>
          </cell>
          <cell r="C920" t="str">
            <v>AMD</v>
          </cell>
          <cell r="D920" t="str">
            <v>Dual ARM® Cortex®-A53 MPCore™ with CoreS</v>
          </cell>
          <cell r="E920">
            <v>50</v>
          </cell>
        </row>
        <row r="921">
          <cell r="B921" t="str">
            <v>XLH736030.000000I</v>
          </cell>
          <cell r="C921" t="str">
            <v>Renesas Electronics Corp</v>
          </cell>
          <cell r="D921" t="str">
            <v>OSC,SMD,XTAL,30MHZ,3.3V,LVCMOS,6-SMD</v>
          </cell>
          <cell r="E921">
            <v>1000</v>
          </cell>
        </row>
        <row r="922">
          <cell r="B922" t="str">
            <v>Y14870R00500B9R</v>
          </cell>
          <cell r="C922" t="str">
            <v>VISHAY PRECISION GROUP INC</v>
          </cell>
          <cell r="D922" t="str">
            <v>RES,SMD,CUR SNS,0.005 OHM,0.1%,1W,2512</v>
          </cell>
          <cell r="E922">
            <v>14</v>
          </cell>
        </row>
        <row r="923">
          <cell r="B923" t="str">
            <v>YFF31HC2A104MT000N</v>
          </cell>
          <cell r="C923" t="str">
            <v>TDK Corp</v>
          </cell>
          <cell r="D923" t="str">
            <v>Feed Through Capacitor, 1 Function(s), 1</v>
          </cell>
          <cell r="E923">
            <v>2000</v>
          </cell>
        </row>
        <row r="924">
          <cell r="B924" t="str">
            <v>Z-14E</v>
          </cell>
          <cell r="C924" t="str">
            <v>Ohmite</v>
          </cell>
          <cell r="D924" t="str">
            <v>INDUCTOR 44uH,ROHS</v>
          </cell>
          <cell r="E924">
            <v>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6000-B6E3-4095-91DE-FF82B931280F}">
  <dimension ref="A1:M946"/>
  <sheetViews>
    <sheetView tabSelected="1" zoomScaleNormal="100" workbookViewId="0">
      <pane ySplit="1" topLeftCell="A2" activePane="bottomLeft" state="frozen"/>
      <selection pane="bottomLeft" activeCell="C7" sqref="C7"/>
    </sheetView>
  </sheetViews>
  <sheetFormatPr defaultColWidth="8.85546875" defaultRowHeight="15" x14ac:dyDescent="0.25"/>
  <cols>
    <col min="1" max="1" width="18.85546875" customWidth="1"/>
    <col min="2" max="2" width="27.140625" style="14" customWidth="1"/>
    <col min="3" max="3" width="29" customWidth="1"/>
    <col min="4" max="4" width="44.28515625" bestFit="1" customWidth="1"/>
    <col min="5" max="5" width="16.140625" customWidth="1"/>
    <col min="6" max="6" width="18.85546875" style="12" customWidth="1"/>
    <col min="7" max="7" width="18.28515625" style="2" bestFit="1" customWidth="1"/>
    <col min="8" max="8" width="18.28515625" style="2" customWidth="1"/>
    <col min="9" max="9" width="11.28515625" customWidth="1"/>
    <col min="10" max="10" width="10.42578125" bestFit="1" customWidth="1"/>
    <col min="11" max="11" width="9.140625"/>
    <col min="12" max="12" width="25.140625" customWidth="1"/>
    <col min="13" max="13" width="14.7109375" bestFit="1" customWidth="1"/>
  </cols>
  <sheetData>
    <row r="1" spans="1:13" x14ac:dyDescent="0.25">
      <c r="A1" s="1" t="s">
        <v>0</v>
      </c>
      <c r="B1" s="13" t="s">
        <v>1</v>
      </c>
      <c r="C1" s="1" t="s">
        <v>2</v>
      </c>
      <c r="D1" s="1" t="s">
        <v>3</v>
      </c>
      <c r="E1" s="1" t="s">
        <v>2756</v>
      </c>
      <c r="F1" s="1" t="s">
        <v>4</v>
      </c>
      <c r="G1" s="3" t="s">
        <v>2742</v>
      </c>
      <c r="H1" s="3" t="s">
        <v>2743</v>
      </c>
      <c r="I1" s="10" t="s">
        <v>1954</v>
      </c>
      <c r="J1" s="10" t="s">
        <v>1955</v>
      </c>
      <c r="K1" s="10" t="s">
        <v>1956</v>
      </c>
      <c r="L1" s="10" t="s">
        <v>1957</v>
      </c>
      <c r="M1" t="s">
        <v>0</v>
      </c>
    </row>
    <row r="2" spans="1:13" x14ac:dyDescent="0.25">
      <c r="A2" t="s">
        <v>1200</v>
      </c>
      <c r="B2" s="14" t="str">
        <f>VLOOKUP(A2,[1]Pricing!$A:$R,18,FALSE)</f>
        <v>MT40A256M16LY-062E AUT:F</v>
      </c>
      <c r="C2" t="s">
        <v>2571</v>
      </c>
      <c r="D2" t="str">
        <f>VLOOKUP(A2,[1]AVL!$A:$F,6,FALSE)</f>
        <v>IC,SMD,256 MEGX16,SDRAM-DDR4,96 PIN,FBGA</v>
      </c>
      <c r="E2" t="str">
        <f>VLOOKUP(A2,[1]Pricing!$A:$F,6,FALSE)</f>
        <v>LTB</v>
      </c>
      <c r="F2">
        <f>VLOOKUP(B2,[2]Sheet2!$B:$E,4,FALSE)</f>
        <v>1950</v>
      </c>
      <c r="G2" s="2">
        <f>VLOOKUP(A2,[1]Pricing!$A:$H,8,FALSE)</f>
        <v>9.3750750000000007</v>
      </c>
      <c r="H2" s="2">
        <f>VLOOKUP(A2,[1]Pricing!$A:$J,10,FALSE)</f>
        <v>11.433018292682929</v>
      </c>
      <c r="I2">
        <f>VLOOKUP(A2,MIN!A:B,2,FALSE)</f>
        <v>30</v>
      </c>
      <c r="J2" t="str">
        <f t="shared" ref="J2:J33" si="0">IF(F2&lt;=I2,"REORDER","NO")</f>
        <v>NO</v>
      </c>
      <c r="K2">
        <f>VLOOKUP(A2,[1]Pricing!$A:$G,7,FALSE)</f>
        <v>1080</v>
      </c>
      <c r="L2" t="s">
        <v>1960</v>
      </c>
      <c r="M2" t="str">
        <f>A2</f>
        <v>630-337691-001</v>
      </c>
    </row>
    <row r="3" spans="1:13" x14ac:dyDescent="0.25">
      <c r="A3" t="s">
        <v>1602</v>
      </c>
      <c r="B3" s="14" t="str">
        <f>VLOOKUP(A3,[1]Pricing!$A:$R,18,FALSE)</f>
        <v>S25FL512SAGBHBA10</v>
      </c>
      <c r="C3" t="s">
        <v>2572</v>
      </c>
      <c r="D3" t="str">
        <f>VLOOKUP(A3,[1]AVL!$A:$F,6,FALSE)</f>
        <v>IC,SMD,NOR FLASH,SPI,512MB,133MHZ,BGA-24</v>
      </c>
      <c r="E3" t="str">
        <f>VLOOKUP(A3,[1]Pricing!$A:$F,6,FALSE)</f>
        <v>11 Weeks</v>
      </c>
      <c r="F3">
        <f>VLOOKUP(B3,[2]Sheet2!$B:$E,4,FALSE)</f>
        <v>199</v>
      </c>
      <c r="G3" s="2">
        <f>VLOOKUP(A3,[1]Pricing!$A:$H,8,FALSE)</f>
        <v>8.7990899999999996</v>
      </c>
      <c r="H3" s="2">
        <f>VLOOKUP(A3,[1]Pricing!$A:$J,10,FALSE)</f>
        <v>10.73059756097561</v>
      </c>
      <c r="I3">
        <f>VLOOKUP(A3,MIN!A:B,2,FALSE)</f>
        <v>15</v>
      </c>
      <c r="J3" t="str">
        <f t="shared" si="0"/>
        <v>NO</v>
      </c>
      <c r="K3">
        <f>VLOOKUP(A3,[1]Pricing!$A:$G,7,FALSE)</f>
        <v>200</v>
      </c>
      <c r="L3" t="s">
        <v>1960</v>
      </c>
      <c r="M3" t="str">
        <f t="shared" ref="M3:M66" si="1">A3</f>
        <v>630-B09772-001</v>
      </c>
    </row>
    <row r="4" spans="1:13" x14ac:dyDescent="0.25">
      <c r="A4" t="s">
        <v>754</v>
      </c>
      <c r="B4" s="14" t="str">
        <f>VLOOKUP(A4,[1]Pricing!$A:$R,18,FALSE)</f>
        <v>ECE80US24</v>
      </c>
      <c r="C4" t="s">
        <v>2573</v>
      </c>
      <c r="D4" t="str">
        <f>VLOOKUP(A4,[1]AVL!$A:$F,6,FALSE)</f>
        <v>PS,AC-DC,85-264V INPUT,24V,3.33A,TH</v>
      </c>
      <c r="E4" t="str">
        <f>VLOOKUP(A4,[1]Pricing!$A:$F,6,FALSE)</f>
        <v>3 Weeks</v>
      </c>
      <c r="F4">
        <f>VLOOKUP(B4,[2]Sheet2!$B:$E,4,FALSE)</f>
        <v>52</v>
      </c>
      <c r="G4" s="2">
        <f>VLOOKUP(A4,[1]Pricing!$A:$H,8,FALSE)</f>
        <v>86.68</v>
      </c>
      <c r="H4" s="2">
        <f>VLOOKUP(A4,[1]Pricing!$A:$J,10,FALSE)</f>
        <v>105.70731707317074</v>
      </c>
      <c r="I4">
        <f>VLOOKUP(A4,MIN!A:B,2,FALSE)</f>
        <v>25</v>
      </c>
      <c r="J4" t="str">
        <f t="shared" si="0"/>
        <v>NO</v>
      </c>
      <c r="K4">
        <f>VLOOKUP(A4,[1]Pricing!$A:$G,7,FALSE)</f>
        <v>52</v>
      </c>
      <c r="L4" t="s">
        <v>1960</v>
      </c>
      <c r="M4" t="str">
        <f t="shared" si="1"/>
        <v>660-A96870-024</v>
      </c>
    </row>
    <row r="5" spans="1:13" x14ac:dyDescent="0.25">
      <c r="A5" t="s">
        <v>1242</v>
      </c>
      <c r="B5" s="14" t="str">
        <f>VLOOKUP(A5,[1]Pricing!$A:$R,18,FALSE)</f>
        <v>PCAL6416AHF</v>
      </c>
      <c r="C5" t="s">
        <v>2574</v>
      </c>
      <c r="D5" t="str">
        <f>VLOOKUP(A5,[1]AVL!$A:$F,6,FALSE)</f>
        <v>IC,SMD,I2C,I/O,EXP,16 BIT,HWQFN24</v>
      </c>
      <c r="E5" t="str">
        <f>VLOOKUP(A5,[1]Pricing!$A:$F,6,FALSE)</f>
        <v>18 Weeks</v>
      </c>
      <c r="F5">
        <f>VLOOKUP(B5,[2]Sheet2!$B:$E,4,FALSE)</f>
        <v>5909</v>
      </c>
      <c r="G5" s="2">
        <f>VLOOKUP(A5,[1]Pricing!$A:$H,8,FALSE)</f>
        <v>0.65002000000000004</v>
      </c>
      <c r="H5" s="2">
        <f>VLOOKUP(A5,[1]Pricing!$A:$J,10,FALSE)</f>
        <v>0.79270731707317088</v>
      </c>
      <c r="I5">
        <f>VLOOKUP(A5,MIN!A:B,2,FALSE)</f>
        <v>25</v>
      </c>
      <c r="J5" t="str">
        <f t="shared" si="0"/>
        <v>NO</v>
      </c>
      <c r="K5">
        <f>VLOOKUP(A5,[1]Pricing!$A:$G,7,FALSE)</f>
        <v>6000</v>
      </c>
      <c r="L5" t="s">
        <v>1960</v>
      </c>
      <c r="M5" t="str">
        <f t="shared" si="1"/>
        <v>630-A60438-001</v>
      </c>
    </row>
    <row r="6" spans="1:13" x14ac:dyDescent="0.25">
      <c r="A6" t="s">
        <v>1124</v>
      </c>
      <c r="B6" s="14" t="str">
        <f>VLOOKUP(A6,[1]Pricing!$A:$R,18,FALSE)</f>
        <v>MAX15062BATA+T</v>
      </c>
      <c r="C6" t="s">
        <v>2575</v>
      </c>
      <c r="D6" t="str">
        <f>VLOOKUP(A6,[1]AVL!$A:$F,6,FALSE)</f>
        <v>IC,SMD,V RGLTR,.3A,5V OUT,-40TO 125DEG C</v>
      </c>
      <c r="E6" t="str">
        <f>VLOOKUP(A6,[1]Pricing!$A:$F,6,FALSE)</f>
        <v>16 Weeks</v>
      </c>
      <c r="F6">
        <f>VLOOKUP(B6,[2]Sheet2!$B:$E,4,FALSE)</f>
        <v>2500</v>
      </c>
      <c r="G6" s="2">
        <f>VLOOKUP(A6,[1]Pricing!$A:$H,8,FALSE)</f>
        <v>1.5808949999999999</v>
      </c>
      <c r="H6" s="2">
        <f>VLOOKUP(A6,[1]Pricing!$A:$J,10,FALSE)</f>
        <v>1.927920731707317</v>
      </c>
      <c r="I6">
        <f>VLOOKUP(A6,MIN!A:B,2,FALSE)</f>
        <v>25</v>
      </c>
      <c r="J6" t="str">
        <f t="shared" si="0"/>
        <v>NO</v>
      </c>
      <c r="K6">
        <f>VLOOKUP(A6,[1]Pricing!$A:$G,7,FALSE)</f>
        <v>2500</v>
      </c>
      <c r="L6" t="s">
        <v>1960</v>
      </c>
      <c r="M6" t="str">
        <f t="shared" si="1"/>
        <v>630-251316-001</v>
      </c>
    </row>
    <row r="7" spans="1:13" x14ac:dyDescent="0.25">
      <c r="A7" t="s">
        <v>1852</v>
      </c>
      <c r="B7" s="14" t="str">
        <f>VLOOKUP(A7,[1]Pricing!$A:$R,18,FALSE)</f>
        <v>WBC1-1TLC</v>
      </c>
      <c r="C7" t="s">
        <v>2576</v>
      </c>
      <c r="D7" t="str">
        <f>VLOOKUP(A7,[1]AVL!$A:$F,6,FALSE)</f>
        <v>XMFR,SMD,1:1,0.25-750MHZ,0.25A,0.58DB</v>
      </c>
      <c r="E7" t="str">
        <f>VLOOKUP(A7,[1]Pricing!$A:$F,6,FALSE)</f>
        <v>3 Weeks</v>
      </c>
      <c r="F7">
        <f>VLOOKUP(B7,[2]Sheet2!$B:$E,4,FALSE)</f>
        <v>750</v>
      </c>
      <c r="G7" s="2">
        <f>VLOOKUP(A7,[1]Pricing!$A:$H,8,FALSE)</f>
        <v>3.5049299999999999</v>
      </c>
      <c r="H7" s="2">
        <f>VLOOKUP(A7,[1]Pricing!$A:$J,10,FALSE)</f>
        <v>4.2743048780487802</v>
      </c>
      <c r="I7">
        <f>VLOOKUP(A7,MIN!A:B,2,FALSE)</f>
        <v>30</v>
      </c>
      <c r="J7" t="str">
        <f t="shared" si="0"/>
        <v>NO</v>
      </c>
      <c r="K7">
        <f>VLOOKUP(A7,[1]Pricing!$A:$G,7,FALSE)</f>
        <v>750</v>
      </c>
      <c r="L7" t="s">
        <v>1960</v>
      </c>
      <c r="M7" t="str">
        <f t="shared" si="1"/>
        <v>639-235679-001</v>
      </c>
    </row>
    <row r="8" spans="1:13" x14ac:dyDescent="0.25">
      <c r="A8" t="s">
        <v>1854</v>
      </c>
      <c r="B8" s="14" t="str">
        <f>VLOOKUP(A8,[1]Pricing!$A:$R,18,FALSE)</f>
        <v>WBC2-1TLC</v>
      </c>
      <c r="C8" t="s">
        <v>2576</v>
      </c>
      <c r="D8" t="str">
        <f>VLOOKUP(A8,[1]AVL!$A:$F,6,FALSE)</f>
        <v>XFMR,SMD,WIDEBAND,1:2, 0.2-500MHZ,1/4W</v>
      </c>
      <c r="E8" t="str">
        <f>VLOOKUP(A8,[1]Pricing!$A:$F,6,FALSE)</f>
        <v>14 Weeks</v>
      </c>
      <c r="F8">
        <f>VLOOKUP(B8,[2]Sheet2!$B:$E,4,FALSE)</f>
        <v>600</v>
      </c>
      <c r="G8" s="2">
        <f>VLOOKUP(A8,[1]Pricing!$A:$H,8,FALSE)</f>
        <v>3.9951300000000001</v>
      </c>
      <c r="H8" s="2">
        <f>VLOOKUP(A8,[1]Pricing!$A:$J,10,FALSE)</f>
        <v>4.8721097560975615</v>
      </c>
      <c r="I8">
        <f>VLOOKUP(A8,MIN!A:B,2,FALSE)</f>
        <v>15</v>
      </c>
      <c r="J8" t="str">
        <f t="shared" si="0"/>
        <v>NO</v>
      </c>
      <c r="K8">
        <f>VLOOKUP(A8,[1]Pricing!$A:$G,7,FALSE)</f>
        <v>600</v>
      </c>
      <c r="L8" t="s">
        <v>1960</v>
      </c>
      <c r="M8" t="str">
        <f t="shared" si="1"/>
        <v>639-243085-001</v>
      </c>
    </row>
    <row r="9" spans="1:13" x14ac:dyDescent="0.25">
      <c r="A9" t="s">
        <v>1120</v>
      </c>
      <c r="B9" s="14" t="str">
        <f>VLOOKUP(A9,[1]Pricing!$A:$R,18,FALSE)</f>
        <v>M2022-ASL</v>
      </c>
      <c r="C9" t="s">
        <v>2576</v>
      </c>
      <c r="D9" t="str">
        <f>VLOOKUP(A9,[1]AVL!$A:$F,6,FALSE)</f>
        <v>IDCTR,SMD,COMM,MODE,EMI,FLTR,11.5UH</v>
      </c>
      <c r="E9" t="str">
        <f>VLOOKUP(A9,[1]Pricing!$A:$F,6,FALSE)</f>
        <v>3 Weeks</v>
      </c>
      <c r="F9">
        <f>VLOOKUP(B9,[2]Sheet2!$B:$E,4,FALSE)</f>
        <v>587</v>
      </c>
      <c r="G9" s="2">
        <f>VLOOKUP(A9,[1]Pricing!$A:$H,8,FALSE)</f>
        <v>2.0343300000000002</v>
      </c>
      <c r="H9" s="2">
        <f>VLOOKUP(A9,[1]Pricing!$A:$J,10,FALSE)</f>
        <v>2.4808902439024396</v>
      </c>
      <c r="I9">
        <f>VLOOKUP(A9,MIN!A:B,2,FALSE)</f>
        <v>15</v>
      </c>
      <c r="J9" t="str">
        <f t="shared" si="0"/>
        <v>NO</v>
      </c>
      <c r="K9">
        <f>VLOOKUP(A9,[1]Pricing!$A:$G,7,FALSE)</f>
        <v>600</v>
      </c>
      <c r="L9" t="s">
        <v>1960</v>
      </c>
      <c r="M9" t="str">
        <f t="shared" si="1"/>
        <v>639-257579-001</v>
      </c>
    </row>
    <row r="10" spans="1:13" x14ac:dyDescent="0.25">
      <c r="A10" t="s">
        <v>245</v>
      </c>
      <c r="B10" s="14" t="str">
        <f>VLOOKUP(A10,[1]Pricing!$A:$R,18,FALSE)</f>
        <v>32K101-400L5</v>
      </c>
      <c r="C10" t="s">
        <v>2577</v>
      </c>
      <c r="D10" t="str">
        <f>VLOOKUP(A10,[1]AVL!$A:$F,6,FALSE)</f>
        <v>CONN,RCPT,RF,SMA,480V,50 OHM,STR,PCB MT</v>
      </c>
      <c r="E10" t="str">
        <f>VLOOKUP(A10,[1]Pricing!$A:$F,6,FALSE)</f>
        <v>15 Weeks</v>
      </c>
      <c r="F10">
        <f>VLOOKUP(B10,[2]Sheet2!$B:$E,4,FALSE)</f>
        <v>376</v>
      </c>
      <c r="G10" s="2">
        <f>VLOOKUP(A10,[1]Pricing!$A:$H,8,FALSE)</f>
        <v>5.1593549999999997</v>
      </c>
      <c r="H10" s="2">
        <f>VLOOKUP(A10,[1]Pricing!$A:$J,10,FALSE)</f>
        <v>6.2918963414634144</v>
      </c>
      <c r="I10">
        <f>VLOOKUP(A10,MIN!A:B,2,FALSE)</f>
        <v>25</v>
      </c>
      <c r="J10" t="str">
        <f t="shared" si="0"/>
        <v>NO</v>
      </c>
      <c r="K10">
        <f>VLOOKUP(A10,[1]Pricing!$A:$G,7,FALSE)</f>
        <v>500</v>
      </c>
      <c r="L10" t="s">
        <v>1960</v>
      </c>
      <c r="M10" t="str">
        <f t="shared" si="1"/>
        <v>668-A97216-001</v>
      </c>
    </row>
    <row r="11" spans="1:13" x14ac:dyDescent="0.25">
      <c r="A11" t="s">
        <v>1194</v>
      </c>
      <c r="B11" s="14" t="str">
        <f>VLOOKUP(A11,[1]Pricing!$A:$R,18,FALSE)</f>
        <v>MSS1278-393MLD</v>
      </c>
      <c r="C11" t="s">
        <v>2576</v>
      </c>
      <c r="D11" t="str">
        <f>VLOOKUP(A11,[1]AVL!$A:$F,6,FALSE)</f>
        <v>IDCTR,SMD,PWR,20%,39UH,ROHS</v>
      </c>
      <c r="E11" t="str">
        <f>VLOOKUP(A11,[1]Pricing!$A:$F,6,FALSE)</f>
        <v>3 Weeks</v>
      </c>
      <c r="F11">
        <f>VLOOKUP(B11,[2]Sheet2!$B:$E,4,FALSE)</f>
        <v>489</v>
      </c>
      <c r="G11" s="2">
        <f>VLOOKUP(A11,[1]Pricing!$A:$H,8,FALSE)</f>
        <v>1.1625000000000001</v>
      </c>
      <c r="H11" s="2">
        <f>VLOOKUP(A11,[1]Pricing!$A:$J,10,FALSE)</f>
        <v>1.4176829268292686</v>
      </c>
      <c r="I11">
        <f>VLOOKUP(A11,MIN!A:B,2,FALSE)</f>
        <v>25</v>
      </c>
      <c r="J11" t="str">
        <f t="shared" si="0"/>
        <v>NO</v>
      </c>
      <c r="K11">
        <f>VLOOKUP(A11,[1]Pricing!$A:$G,7,FALSE)</f>
        <v>500</v>
      </c>
      <c r="L11" t="s">
        <v>1960</v>
      </c>
      <c r="M11" t="str">
        <f t="shared" si="1"/>
        <v>639-066560-393</v>
      </c>
    </row>
    <row r="12" spans="1:13" x14ac:dyDescent="0.25">
      <c r="A12" t="s">
        <v>1192</v>
      </c>
      <c r="B12" s="14" t="str">
        <f>VLOOKUP(A12,[1]Pricing!$A:$R,18,FALSE)</f>
        <v>MSS1278-224KLD</v>
      </c>
      <c r="C12" t="s">
        <v>2576</v>
      </c>
      <c r="D12" t="str">
        <f>VLOOKUP(A12,[1]AVL!$A:$F,6,FALSE)</f>
        <v>IDCTR,SMD,PWR,10%,220UH,ROHS</v>
      </c>
      <c r="E12" t="str">
        <f>VLOOKUP(A12,[1]Pricing!$A:$F,6,FALSE)</f>
        <v>12 Weeks</v>
      </c>
      <c r="F12">
        <f>VLOOKUP(B12,[2]Sheet2!$B:$E,4,FALSE)</f>
        <v>500</v>
      </c>
      <c r="G12" s="2">
        <f>VLOOKUP(A12,[1]Pricing!$A:$H,8,FALSE)</f>
        <v>1.170353</v>
      </c>
      <c r="H12" s="2">
        <f>VLOOKUP(A12,[1]Pricing!$A:$J,10,FALSE)</f>
        <v>1.4272597560975611</v>
      </c>
      <c r="I12">
        <f>VLOOKUP(A12,MIN!A:B,2,FALSE)</f>
        <v>25</v>
      </c>
      <c r="J12" t="str">
        <f t="shared" si="0"/>
        <v>NO</v>
      </c>
      <c r="K12">
        <f>VLOOKUP(A12,[1]Pricing!$A:$G,7,FALSE)</f>
        <v>500</v>
      </c>
      <c r="L12" t="s">
        <v>1960</v>
      </c>
      <c r="M12" t="str">
        <f t="shared" si="1"/>
        <v>639-066560-224</v>
      </c>
    </row>
    <row r="13" spans="1:13" x14ac:dyDescent="0.25">
      <c r="A13" t="s">
        <v>1850</v>
      </c>
      <c r="B13" s="14" t="str">
        <f>VLOOKUP(A13,[1]Pricing!$A:$R,18,FALSE)</f>
        <v>WB1-6TSL</v>
      </c>
      <c r="C13" t="s">
        <v>2576</v>
      </c>
      <c r="D13" t="str">
        <f>VLOOKUP(A13,[1]AVL!$A:$F,6,FALSE)</f>
        <v>XFMR,SMD,WIDEBAND RF WB SERIES</v>
      </c>
      <c r="E13" t="str">
        <f>VLOOKUP(A13,[1]Pricing!$A:$F,6,FALSE)</f>
        <v>3 Weeks</v>
      </c>
      <c r="F13">
        <f>VLOOKUP(B13,[2]Sheet2!$B:$E,4,FALSE)</f>
        <v>465</v>
      </c>
      <c r="G13" s="2">
        <f>VLOOKUP(A13,[1]Pricing!$A:$H,8,FALSE)</f>
        <v>3.1495350000000002</v>
      </c>
      <c r="H13" s="2">
        <f>VLOOKUP(A13,[1]Pricing!$A:$J,10,FALSE)</f>
        <v>3.8408963414634152</v>
      </c>
      <c r="I13">
        <f>VLOOKUP(A13,MIN!A:B,2,FALSE)</f>
        <v>25</v>
      </c>
      <c r="J13" t="str">
        <f t="shared" si="0"/>
        <v>NO</v>
      </c>
      <c r="K13">
        <f>VLOOKUP(A13,[1]Pricing!$A:$G,7,FALSE)</f>
        <v>500</v>
      </c>
      <c r="L13" t="s">
        <v>1960</v>
      </c>
      <c r="M13" t="str">
        <f t="shared" si="1"/>
        <v>639-121249-002</v>
      </c>
    </row>
    <row r="14" spans="1:13" x14ac:dyDescent="0.25">
      <c r="A14" t="s">
        <v>1624</v>
      </c>
      <c r="B14" s="14" t="str">
        <f>VLOOKUP(A14,[1]Pricing!$A:$R,18,FALSE)</f>
        <v>SER2918H-153KL</v>
      </c>
      <c r="C14" t="s">
        <v>2576</v>
      </c>
      <c r="D14" t="str">
        <f>VLOOKUP(A14,[1]AVL!$A:$F,6,FALSE)</f>
        <v>IDCTR,SMD,SH,PWR,15UH,±10%,.00286OHM,28A</v>
      </c>
      <c r="E14" t="str">
        <f>VLOOKUP(A14,[1]Pricing!$A:$F,6,FALSE)</f>
        <v>9 Weeks</v>
      </c>
      <c r="F14">
        <f>VLOOKUP(B14,[2]Sheet2!$B:$E,4,FALSE)</f>
        <v>250</v>
      </c>
      <c r="G14" s="2">
        <f>VLOOKUP(A14,[1]Pricing!$A:$H,8,FALSE)</f>
        <v>4.8774899999999999</v>
      </c>
      <c r="H14" s="2">
        <f>VLOOKUP(A14,[1]Pricing!$A:$J,10,FALSE)</f>
        <v>5.9481585365853658</v>
      </c>
      <c r="I14">
        <f>VLOOKUP(A14,MIN!A:B,2,FALSE)</f>
        <v>15</v>
      </c>
      <c r="J14" t="str">
        <f t="shared" si="0"/>
        <v>NO</v>
      </c>
      <c r="K14">
        <f>VLOOKUP(A14,[1]Pricing!$A:$G,7,FALSE)</f>
        <v>250</v>
      </c>
      <c r="L14" t="s">
        <v>1960</v>
      </c>
      <c r="M14" t="str">
        <f t="shared" si="1"/>
        <v>639-A32938-001</v>
      </c>
    </row>
    <row r="15" spans="1:13" x14ac:dyDescent="0.25">
      <c r="A15" t="s">
        <v>1196</v>
      </c>
      <c r="B15" s="14" t="str">
        <f>VLOOKUP(A15,[1]Pricing!$A:$R,18,FALSE)</f>
        <v>MSS1278-473MLD</v>
      </c>
      <c r="C15" t="s">
        <v>2576</v>
      </c>
      <c r="D15" t="str">
        <f>VLOOKUP(A15,[1]AVL!$A:$F,6,FALSE)</f>
        <v>IDCTR,SMD,PWR,20%,47UH,ROHS</v>
      </c>
      <c r="E15" t="str">
        <f>VLOOKUP(A15,[1]Pricing!$A:$F,6,FALSE)</f>
        <v>3 Weeks</v>
      </c>
      <c r="F15">
        <f>VLOOKUP(B15,[2]Sheet2!$B:$E,4,FALSE)</f>
        <v>2000</v>
      </c>
      <c r="G15" s="2">
        <f>VLOOKUP(A15,[1]Pricing!$A:$H,8,FALSE)</f>
        <v>2.92</v>
      </c>
      <c r="H15" s="2">
        <f>VLOOKUP(A15,[1]Pricing!$A:$J,10,FALSE)</f>
        <v>3.5609756097560976</v>
      </c>
      <c r="I15">
        <f>VLOOKUP(A15,MIN!A:B,2,FALSE)</f>
        <v>15</v>
      </c>
      <c r="J15" t="str">
        <f t="shared" si="0"/>
        <v>NO</v>
      </c>
      <c r="K15">
        <f>VLOOKUP(A15,[1]Pricing!$A:$G,7,FALSE)</f>
        <v>60</v>
      </c>
      <c r="L15" t="s">
        <v>1960</v>
      </c>
      <c r="M15" t="str">
        <f t="shared" si="1"/>
        <v>639-066560-473</v>
      </c>
    </row>
    <row r="16" spans="1:13" x14ac:dyDescent="0.25">
      <c r="A16" t="s">
        <v>1135</v>
      </c>
      <c r="B16" s="14" t="str">
        <f>VLOOKUP(A16,[1]Pricing!$A:$R,18,FALSE)</f>
        <v>MAX5901NNEUT+</v>
      </c>
      <c r="C16" t="s">
        <v>2578</v>
      </c>
      <c r="D16" t="str">
        <f>VLOOKUP(A16,[1]AVL!$A:$F,6,FALSE)</f>
        <v>IC,SMD,-V HOT SWAP CNTLR,ROHS</v>
      </c>
      <c r="E16" t="str">
        <f>VLOOKUP(A16,[1]Pricing!$A:$F,6,FALSE)</f>
        <v>25 Weeks</v>
      </c>
      <c r="F16">
        <f>VLOOKUP(B16,[2]Sheet2!$B:$E,4,FALSE)</f>
        <v>2480</v>
      </c>
      <c r="G16" s="2">
        <f>VLOOKUP(A16,[1]Pricing!$A:$H,8,FALSE)</f>
        <v>2.8452920000000002</v>
      </c>
      <c r="H16" s="2">
        <f>VLOOKUP(A16,[1]Pricing!$A:$J,10,FALSE)</f>
        <v>3.4698682926829272</v>
      </c>
      <c r="I16">
        <f>VLOOKUP(A16,MIN!A:B,2,FALSE)</f>
        <v>25</v>
      </c>
      <c r="J16" t="str">
        <f t="shared" si="0"/>
        <v>NO</v>
      </c>
      <c r="K16">
        <f>VLOOKUP(A16,[1]Pricing!$A:$G,7,FALSE)</f>
        <v>2500</v>
      </c>
      <c r="L16" t="s">
        <v>1960</v>
      </c>
      <c r="M16" t="str">
        <f t="shared" si="1"/>
        <v>630-072603-001</v>
      </c>
    </row>
    <row r="17" spans="1:13" x14ac:dyDescent="0.25">
      <c r="A17" t="s">
        <v>887</v>
      </c>
      <c r="B17" s="14" t="str">
        <f>VLOOKUP(A17,[1]Pricing!$A:$R,18,FALSE)</f>
        <v>FC4016D/AA</v>
      </c>
      <c r="C17" t="s">
        <v>2579</v>
      </c>
      <c r="D17" t="str">
        <f>VLOOKUP(A17,[1]AVL!$A:$F,6,FALSE)</f>
        <v>CONTACT,D-PWR,FEM,16AWG</v>
      </c>
      <c r="E17" t="str">
        <f>VLOOKUP(A17,[1]Pricing!$A:$F,6,FALSE)</f>
        <v>5 Weeks</v>
      </c>
      <c r="F17">
        <f>VLOOKUP(B17,[2]Sheet2!$B:$E,4,FALSE)</f>
        <v>248</v>
      </c>
      <c r="G17" s="2">
        <f>VLOOKUP(A17,[1]Pricing!$A:$H,8,FALSE)</f>
        <v>3.25983</v>
      </c>
      <c r="H17" s="2">
        <f>VLOOKUP(A17,[1]Pricing!$A:$J,10,FALSE)</f>
        <v>3.9754024390243905</v>
      </c>
      <c r="I17">
        <f>VLOOKUP(A17,MIN!A:B,2,FALSE)</f>
        <v>25</v>
      </c>
      <c r="J17" t="str">
        <f t="shared" si="0"/>
        <v>NO</v>
      </c>
      <c r="K17">
        <f>VLOOKUP(A17,[1]Pricing!$A:$G,7,FALSE)</f>
        <v>200</v>
      </c>
      <c r="L17" t="s">
        <v>1960</v>
      </c>
      <c r="M17" t="str">
        <f t="shared" si="1"/>
        <v>31-129331-00</v>
      </c>
    </row>
    <row r="18" spans="1:13" x14ac:dyDescent="0.25">
      <c r="A18" t="s">
        <v>600</v>
      </c>
      <c r="B18" s="14" t="str">
        <f>VLOOKUP(A18,[1]Pricing!$A:$R,18,FALSE)</f>
        <v>CBD7W2F57R7N0X/AA</v>
      </c>
      <c r="C18" t="s">
        <v>2579</v>
      </c>
      <c r="D18" t="str">
        <f>VLOOKUP(A18,[1]AVL!$A:$F,6,FALSE)</f>
        <v>CONN,COMBO-D,7W2,FEM,PCB,RA</v>
      </c>
      <c r="E18" t="str">
        <f>VLOOKUP(A18,[1]Pricing!$A:$F,6,FALSE)</f>
        <v>17 Weeks</v>
      </c>
      <c r="F18">
        <f>VLOOKUP(B18,[2]Sheet2!$B:$E,4,FALSE)</f>
        <v>60</v>
      </c>
      <c r="G18" s="2">
        <f>VLOOKUP(A18,[1]Pricing!$A:$H,8,FALSE)</f>
        <v>42.028523</v>
      </c>
      <c r="H18" s="2">
        <f>VLOOKUP(A18,[1]Pricing!$A:$J,10,FALSE)</f>
        <v>51.254296341463416</v>
      </c>
      <c r="I18">
        <f>VLOOKUP(A18,MIN!A:B,2,FALSE)</f>
        <v>15</v>
      </c>
      <c r="J18" t="str">
        <f t="shared" si="0"/>
        <v>NO</v>
      </c>
      <c r="K18">
        <f>VLOOKUP(A18,[1]Pricing!$A:$G,7,FALSE)</f>
        <v>60</v>
      </c>
      <c r="L18" t="s">
        <v>1960</v>
      </c>
      <c r="M18" t="str">
        <f t="shared" si="1"/>
        <v>668-282338-001</v>
      </c>
    </row>
    <row r="19" spans="1:13" x14ac:dyDescent="0.25">
      <c r="A19" t="s">
        <v>586</v>
      </c>
      <c r="B19" s="14" t="str">
        <f>VLOOKUP(A19,[1]Pricing!$A:$R,18,FALSE)</f>
        <v>C1206C123K5RACTU</v>
      </c>
      <c r="C19" t="s">
        <v>2580</v>
      </c>
      <c r="D19" t="str">
        <f>VLOOKUP(A19,[1]AVL!$A:$F,6,FALSE)</f>
        <v>CAP,1206,CER,X7R,10%,50V,12NF ROHS</v>
      </c>
      <c r="E19" t="str">
        <f>VLOOKUP(A19,[1]Pricing!$A:$F,6,FALSE)</f>
        <v>15 Weeks</v>
      </c>
      <c r="F19">
        <f>VLOOKUP(B19,[2]Sheet2!$B:$E,4,FALSE)</f>
        <v>4000</v>
      </c>
      <c r="G19" s="2">
        <f>VLOOKUP(A19,[1]Pricing!$A:$H,8,FALSE)</f>
        <v>4.9509999999999998E-2</v>
      </c>
      <c r="H19" s="2">
        <f>VLOOKUP(A19,[1]Pricing!$A:$J,10,FALSE)</f>
        <v>6.037804878048781E-2</v>
      </c>
      <c r="I19">
        <f>VLOOKUP(A19,MIN!A:B,2,FALSE)</f>
        <v>15</v>
      </c>
      <c r="J19" t="str">
        <f t="shared" si="0"/>
        <v>NO</v>
      </c>
      <c r="K19">
        <f>VLOOKUP(A19,[1]Pricing!$A:$G,7,FALSE)</f>
        <v>4000</v>
      </c>
      <c r="L19" t="s">
        <v>1960</v>
      </c>
      <c r="M19" t="str">
        <f t="shared" si="1"/>
        <v>648-138818-123</v>
      </c>
    </row>
    <row r="20" spans="1:13" x14ac:dyDescent="0.25">
      <c r="A20" t="s">
        <v>615</v>
      </c>
      <c r="B20" s="14" t="str">
        <f>VLOOKUP(A20,[1]Pricing!$A:$R,18,FALSE)</f>
        <v>CC0805FRNPO9BN820</v>
      </c>
      <c r="C20" t="s">
        <v>2581</v>
      </c>
      <c r="D20" t="str">
        <f>VLOOKUP(A20,[1]AVL!$A:$F,6,FALSE)</f>
        <v>CAP,SMD,CER,82PF,1% TOL,50V,C0G,0805</v>
      </c>
      <c r="E20" t="str">
        <f>VLOOKUP(A20,[1]Pricing!$A:$F,6,FALSE)</f>
        <v>18 Weeks</v>
      </c>
      <c r="F20">
        <f>VLOOKUP(B20,[2]Sheet2!$B:$E,4,FALSE)</f>
        <v>4000</v>
      </c>
      <c r="G20" s="2">
        <f>VLOOKUP(A20,[1]Pricing!$A:$H,8,FALSE)</f>
        <v>0.23039399999999999</v>
      </c>
      <c r="H20" s="2">
        <f>VLOOKUP(A20,[1]Pricing!$A:$J,10,FALSE)</f>
        <v>0.28096829268292683</v>
      </c>
      <c r="I20">
        <f>VLOOKUP(A20,MIN!A:B,2,FALSE)</f>
        <v>15</v>
      </c>
      <c r="J20" t="str">
        <f t="shared" si="0"/>
        <v>NO</v>
      </c>
      <c r="K20">
        <f>VLOOKUP(A20,[1]Pricing!$A:$G,7,FALSE)</f>
        <v>4000</v>
      </c>
      <c r="L20" t="s">
        <v>1960</v>
      </c>
      <c r="M20" t="str">
        <f t="shared" si="1"/>
        <v>648-325822-007</v>
      </c>
    </row>
    <row r="21" spans="1:13" x14ac:dyDescent="0.25">
      <c r="A21" t="s">
        <v>1163</v>
      </c>
      <c r="B21" s="14" t="str">
        <f>VLOOKUP(A21,[1]Pricing!$A:$R,18,FALSE)</f>
        <v>MCRC1/4G472JT-RH</v>
      </c>
      <c r="C21" t="s">
        <v>2582</v>
      </c>
      <c r="D21" t="str">
        <f>VLOOKUP(A21,[1]AVL!$A:$F,6,FALSE)</f>
        <v>RES,CARBON CMPSN,4.7K OHM,1/4W,5%,THT</v>
      </c>
      <c r="E21" t="str">
        <f>VLOOKUP(A21,[1]Pricing!$A:$F,6,FALSE)</f>
        <v>24 Weeks</v>
      </c>
      <c r="F21">
        <f>VLOOKUP(B21,[2]Sheet2!$B:$E,4,FALSE)</f>
        <v>998</v>
      </c>
      <c r="G21" s="2">
        <f>VLOOKUP(A21,[1]Pricing!$A:$H,8,FALSE)</f>
        <v>0.83753999999999995</v>
      </c>
      <c r="H21" s="2">
        <f>VLOOKUP(A21,[1]Pricing!$A:$J,10,FALSE)</f>
        <v>1.0213902439024389</v>
      </c>
      <c r="I21">
        <f>VLOOKUP(A21,MIN!A:B,2,FALSE)</f>
        <v>15</v>
      </c>
      <c r="J21" t="str">
        <f t="shared" si="0"/>
        <v>NO</v>
      </c>
      <c r="K21">
        <f>VLOOKUP(A21,[1]Pricing!$A:$G,7,FALSE)</f>
        <v>1000</v>
      </c>
      <c r="L21" t="s">
        <v>1960</v>
      </c>
      <c r="M21" t="str">
        <f t="shared" si="1"/>
        <v>28-00078-00</v>
      </c>
    </row>
    <row r="22" spans="1:13" x14ac:dyDescent="0.25">
      <c r="A22" t="s">
        <v>905</v>
      </c>
      <c r="B22" s="14" t="str">
        <f>VLOOKUP(A22,[1]Pricing!$A:$R,18,FALSE)</f>
        <v>G5V-1-DC24</v>
      </c>
      <c r="C22" t="s">
        <v>2583</v>
      </c>
      <c r="D22" t="str">
        <f>VLOOKUP(A22,[1]AVL!$A:$F,6,FALSE)</f>
        <v>RLY,SPDT,24VDC,150MW,PCB MT</v>
      </c>
      <c r="E22" t="str">
        <f>VLOOKUP(A22,[1]Pricing!$A:$F,6,FALSE)</f>
        <v>17 Weeks</v>
      </c>
      <c r="F22">
        <f>VLOOKUP(B22,[2]Sheet2!$B:$E,4,FALSE)</f>
        <v>500</v>
      </c>
      <c r="G22" s="2">
        <f>VLOOKUP(A22,[1]Pricing!$A:$H,8,FALSE)</f>
        <v>2.6103149999999999</v>
      </c>
      <c r="H22" s="2">
        <f>VLOOKUP(A22,[1]Pricing!$A:$J,10,FALSE)</f>
        <v>3.1833109756097562</v>
      </c>
      <c r="I22">
        <f>VLOOKUP(A22,MIN!A:B,2,FALSE)</f>
        <v>15</v>
      </c>
      <c r="J22" t="str">
        <f t="shared" si="0"/>
        <v>NO</v>
      </c>
      <c r="K22">
        <f>VLOOKUP(A22,[1]Pricing!$A:$G,7,FALSE)</f>
        <v>500</v>
      </c>
      <c r="L22" t="s">
        <v>1960</v>
      </c>
      <c r="M22" t="str">
        <f t="shared" si="1"/>
        <v>644-041045-001</v>
      </c>
    </row>
    <row r="23" spans="1:13" x14ac:dyDescent="0.25">
      <c r="A23" t="s">
        <v>907</v>
      </c>
      <c r="B23" s="14" t="str">
        <f>VLOOKUP(A23,[1]Pricing!$A:$R,18,FALSE)</f>
        <v>G6D-1A-ASI-DC24</v>
      </c>
      <c r="C23" t="s">
        <v>2584</v>
      </c>
      <c r="D23" t="str">
        <f>VLOOKUP(A23,[1]AVL!$A:$F,6,FALSE)</f>
        <v>RELAY,SPST,24VDC,PWR PCB,OMRON</v>
      </c>
      <c r="E23" t="str">
        <f>VLOOKUP(A23,[1]Pricing!$A:$F,6,FALSE)</f>
        <v>41 Weeks</v>
      </c>
      <c r="F23">
        <f>VLOOKUP(B23,[2]Sheet2!$B:$E,4,FALSE)</f>
        <v>499</v>
      </c>
      <c r="G23" s="2">
        <f>VLOOKUP(A23,[1]Pricing!$A:$H,8,FALSE)</f>
        <v>5.0858249999999998</v>
      </c>
      <c r="H23" s="2">
        <f>VLOOKUP(A23,[1]Pricing!$A:$J,10,FALSE)</f>
        <v>6.2022256097560975</v>
      </c>
      <c r="I23">
        <f>VLOOKUP(A23,MIN!A:B,2,FALSE)</f>
        <v>15</v>
      </c>
      <c r="J23" t="str">
        <f t="shared" si="0"/>
        <v>NO</v>
      </c>
      <c r="K23">
        <f>VLOOKUP(A23,[1]Pricing!$A:$G,7,FALSE)</f>
        <v>500</v>
      </c>
      <c r="L23" t="s">
        <v>1960</v>
      </c>
      <c r="M23" t="str">
        <f t="shared" si="1"/>
        <v>34-148402-00</v>
      </c>
    </row>
    <row r="24" spans="1:13" x14ac:dyDescent="0.25">
      <c r="A24" t="s">
        <v>125</v>
      </c>
      <c r="B24" s="14" t="str">
        <f>VLOOKUP(A24,[1]Pricing!$A:$R,18,FALSE)</f>
        <v>180-078-213R001</v>
      </c>
      <c r="C24" t="s">
        <v>2585</v>
      </c>
      <c r="D24" t="str">
        <f>VLOOKUP(A24,[1]AVL!$A:$F,6,FALSE)</f>
        <v>CONN,RCPT,D-SUB,HD,78POSN,STR,3A,SLDR</v>
      </c>
      <c r="E24" t="str">
        <f>VLOOKUP(A24,[1]Pricing!$A:$F,6,FALSE)</f>
        <v>19 Weeks</v>
      </c>
      <c r="F24">
        <f>VLOOKUP(B24,[2]Sheet2!$B:$E,4,FALSE)</f>
        <v>250</v>
      </c>
      <c r="G24" s="2">
        <f>VLOOKUP(A24,[1]Pricing!$A:$H,8,FALSE)</f>
        <v>9.1912500000000001</v>
      </c>
      <c r="H24" s="2">
        <f>VLOOKUP(A24,[1]Pricing!$A:$J,10,FALSE)</f>
        <v>11.208841463414634</v>
      </c>
      <c r="I24">
        <f>VLOOKUP(A24,MIN!A:B,2,FALSE)</f>
        <v>25</v>
      </c>
      <c r="J24" t="str">
        <f t="shared" si="0"/>
        <v>NO</v>
      </c>
      <c r="K24">
        <f>VLOOKUP(A24,[1]Pricing!$A:$G,7,FALSE)</f>
        <v>250</v>
      </c>
      <c r="L24" t="s">
        <v>1960</v>
      </c>
      <c r="M24" t="str">
        <f t="shared" si="1"/>
        <v>668-A26901-078</v>
      </c>
    </row>
    <row r="25" spans="1:13" x14ac:dyDescent="0.25">
      <c r="A25" t="s">
        <v>960</v>
      </c>
      <c r="B25" s="14" t="str">
        <f>VLOOKUP(A25,[1]Pricing!$A:$R,18,FALSE)</f>
        <v>ICD44S13E4GX00LF</v>
      </c>
      <c r="C25" t="s">
        <v>2586</v>
      </c>
      <c r="D25" t="str">
        <f>VLOOKUP(A25,[1]AVL!$A:$F,6,FALSE)</f>
        <v>CONN,D-SUB,H-DENSITY,FEM,44POSN,3A,RTANG</v>
      </c>
      <c r="E25" t="str">
        <f>VLOOKUP(A25,[1]Pricing!$A:$F,6,FALSE)</f>
        <v>19 Weeks</v>
      </c>
      <c r="F25">
        <f>VLOOKUP(B25,[2]Sheet2!$B:$E,4,FALSE)</f>
        <v>200</v>
      </c>
      <c r="G25" s="2">
        <f>VLOOKUP(A25,[1]Pricing!$A:$H,8,FALSE)</f>
        <v>2.9044349999999999</v>
      </c>
      <c r="H25" s="2">
        <f>VLOOKUP(A25,[1]Pricing!$A:$J,10,FALSE)</f>
        <v>3.5419939024390246</v>
      </c>
      <c r="I25">
        <f>VLOOKUP(A25,MIN!A:B,2,FALSE)</f>
        <v>25</v>
      </c>
      <c r="J25" t="str">
        <f t="shared" si="0"/>
        <v>NO</v>
      </c>
      <c r="K25">
        <f>VLOOKUP(A25,[1]Pricing!$A:$G,7,FALSE)</f>
        <v>200</v>
      </c>
      <c r="L25" t="s">
        <v>1960</v>
      </c>
      <c r="M25" t="str">
        <f t="shared" si="1"/>
        <v>668-A20990-044</v>
      </c>
    </row>
    <row r="26" spans="1:13" x14ac:dyDescent="0.25">
      <c r="A26" t="s">
        <v>389</v>
      </c>
      <c r="B26" s="14" t="str">
        <f>VLOOKUP(A26,[1]Pricing!$A:$R,18,FALSE)</f>
        <v>684S7W2103L461</v>
      </c>
      <c r="C26" t="s">
        <v>2585</v>
      </c>
      <c r="D26" t="str">
        <f>VLOOKUP(A26,[1]AVL!$A:$F,6,FALSE)</f>
        <v>CONN,COMBO-D,7W2,250V,RTANG,PCB MT</v>
      </c>
      <c r="E26" t="str">
        <f>VLOOKUP(A26,[1]Pricing!$A:$F,6,FALSE)</f>
        <v>24 Weeks</v>
      </c>
      <c r="F26">
        <f>VLOOKUP(B26,[2]Sheet2!$B:$E,4,FALSE)</f>
        <v>43</v>
      </c>
      <c r="G26" s="2">
        <f>VLOOKUP(A26,[1]Pricing!$A:$H,8,FALSE)</f>
        <v>11.654505</v>
      </c>
      <c r="H26" s="2">
        <f>VLOOKUP(A26,[1]Pricing!$A:$J,10,FALSE)</f>
        <v>14.212810975609758</v>
      </c>
      <c r="I26">
        <f>VLOOKUP(A26,MIN!A:B,2,FALSE)</f>
        <v>15</v>
      </c>
      <c r="J26" t="str">
        <f t="shared" si="0"/>
        <v>NO</v>
      </c>
      <c r="K26">
        <f>VLOOKUP(A26,[1]Pricing!$A:$G,7,FALSE)</f>
        <v>70</v>
      </c>
      <c r="L26" t="s">
        <v>2689</v>
      </c>
      <c r="M26" t="str">
        <f t="shared" si="1"/>
        <v>668-B28242-001</v>
      </c>
    </row>
    <row r="27" spans="1:13" x14ac:dyDescent="0.25">
      <c r="A27" t="s">
        <v>1024</v>
      </c>
      <c r="B27" s="14" t="str">
        <f>VLOOKUP(A27,[1]Pricing!$A:$R,18,FALSE)</f>
        <v>L717SDBH25POL2RM8C309</v>
      </c>
      <c r="C27" t="s">
        <v>2586</v>
      </c>
      <c r="D27" t="str">
        <f>VLOOKUP(A27,[1]AVL!$A:$F,6,FALSE)</f>
        <v>CONN,DSUB,25M,PCB STRT,W/STOFF</v>
      </c>
      <c r="E27" t="str">
        <f>VLOOKUP(A27,[1]Pricing!$A:$F,6,FALSE)</f>
        <v>3 Weeks</v>
      </c>
      <c r="F27">
        <f>VLOOKUP(B27,[2]Sheet2!$B:$E,4,FALSE)</f>
        <v>26</v>
      </c>
      <c r="G27" s="2">
        <f>VLOOKUP(A27,[1]Pricing!$A:$H,8,FALSE)</f>
        <v>23.652149999999999</v>
      </c>
      <c r="H27" s="2">
        <f>VLOOKUP(A27,[1]Pricing!$A:$J,10,FALSE)</f>
        <v>28.844085365853658</v>
      </c>
      <c r="I27">
        <f>VLOOKUP(A27,MIN!A:B,2,FALSE)</f>
        <v>15</v>
      </c>
      <c r="J27" t="str">
        <f t="shared" si="0"/>
        <v>NO</v>
      </c>
      <c r="K27">
        <f>VLOOKUP(A27,[1]Pricing!$A:$G,7,FALSE)</f>
        <v>30</v>
      </c>
      <c r="L27" t="s">
        <v>1960</v>
      </c>
      <c r="M27" t="str">
        <f t="shared" si="1"/>
        <v>39-149057-25</v>
      </c>
    </row>
    <row r="28" spans="1:13" x14ac:dyDescent="0.25">
      <c r="A28" t="s">
        <v>1190</v>
      </c>
      <c r="B28" s="14" t="str">
        <f>VLOOKUP(A28,[1]Pricing!$A:$R,18,FALSE)</f>
        <v>MS310-10.0M-0.1%</v>
      </c>
      <c r="C28" t="s">
        <v>2587</v>
      </c>
      <c r="D28" t="str">
        <f>VLOOKUP(A28,[1]AVL!$A:$F,6,FALSE)</f>
        <v>RES,METAL FILM,10M,0.1%</v>
      </c>
      <c r="E28" t="str">
        <f>VLOOKUP(A28,[1]Pricing!$A:$F,6,FALSE)</f>
        <v>11 Weeks</v>
      </c>
      <c r="F28">
        <f>VLOOKUP(B28,[2]Sheet2!$B:$E,4,FALSE)</f>
        <v>100</v>
      </c>
      <c r="G28" s="2">
        <f>VLOOKUP(A28,[1]Pricing!$A:$H,8,FALSE)</f>
        <v>37.299999999999997</v>
      </c>
      <c r="H28" s="2">
        <f>VLOOKUP(A28,[1]Pricing!$A:$J,10,FALSE)</f>
        <v>45.487804878048777</v>
      </c>
      <c r="I28">
        <f>VLOOKUP(A28,MIN!A:B,2,FALSE)</f>
        <v>25</v>
      </c>
      <c r="J28" t="str">
        <f t="shared" si="0"/>
        <v>NO</v>
      </c>
      <c r="K28">
        <f>VLOOKUP(A28,[1]Pricing!$A:$G,7,FALSE)</f>
        <v>100</v>
      </c>
      <c r="L28" t="s">
        <v>1960</v>
      </c>
      <c r="M28" t="str">
        <f t="shared" si="1"/>
        <v>618-010908-100</v>
      </c>
    </row>
    <row r="29" spans="1:13" x14ac:dyDescent="0.25">
      <c r="A29" t="s">
        <v>243</v>
      </c>
      <c r="B29" s="14" t="str">
        <f>VLOOKUP(A29,[1]Pricing!$A:$R,18,FALSE)</f>
        <v>3299W-1-253LF</v>
      </c>
      <c r="C29" t="s">
        <v>2588</v>
      </c>
      <c r="D29" t="str">
        <f>VLOOKUP(A29,[1]AVL!$A:$F,6,FALSE)</f>
        <v>POT,TRIM,CERMET,25 TURN,25Kohm, ROHS</v>
      </c>
      <c r="E29" t="str">
        <f>VLOOKUP(A29,[1]Pricing!$A:$F,6,FALSE)</f>
        <v>13 Weeks</v>
      </c>
      <c r="F29">
        <f>VLOOKUP(B29,[2]Sheet2!$B:$E,4,FALSE)</f>
        <v>500</v>
      </c>
      <c r="G29" s="2">
        <f>VLOOKUP(A29,[1]Pricing!$A:$H,8,FALSE)</f>
        <v>1.7892300000000001</v>
      </c>
      <c r="H29" s="2">
        <f>VLOOKUP(A29,[1]Pricing!$A:$J,10,FALSE)</f>
        <v>2.181987804878049</v>
      </c>
      <c r="I29">
        <f>VLOOKUP(A29,MIN!A:B,2,FALSE)</f>
        <v>15</v>
      </c>
      <c r="J29" t="str">
        <f t="shared" si="0"/>
        <v>NO</v>
      </c>
      <c r="K29">
        <f>VLOOKUP(A29,[1]Pricing!$A:$G,7,FALSE)</f>
        <v>500</v>
      </c>
      <c r="L29" t="s">
        <v>1960</v>
      </c>
      <c r="M29" t="str">
        <f t="shared" si="1"/>
        <v>621-000682-253</v>
      </c>
    </row>
    <row r="30" spans="1:13" x14ac:dyDescent="0.25">
      <c r="A30" t="s">
        <v>714</v>
      </c>
      <c r="B30" s="14" t="str">
        <f>VLOOKUP(A30,[1]Pricing!$A:$R,18,FALSE)</f>
        <v>CY8C5468AXI-LP106</v>
      </c>
      <c r="C30" t="s">
        <v>2589</v>
      </c>
      <c r="D30" t="str">
        <f>VLOOKUP(A30,[1]AVL!$A:$F,6,FALSE)</f>
        <v>IC,SMD,MCU,32BIT,256KB,FLASH,67MHZ,TQFP</v>
      </c>
      <c r="E30" t="str">
        <f>VLOOKUP(A30,[1]Pricing!$A:$F,6,FALSE)</f>
        <v>13 Weeks</v>
      </c>
      <c r="F30">
        <f>VLOOKUP(B30,[2]Sheet2!$B:$E,4,FALSE)</f>
        <v>450</v>
      </c>
      <c r="G30" s="2">
        <f>VLOOKUP(A30,[1]Pricing!$A:$H,8,FALSE)</f>
        <v>9.3874399999999998</v>
      </c>
      <c r="H30" s="2">
        <f>VLOOKUP(A30,[1]Pricing!$A:$J,10,FALSE)</f>
        <v>11.44809756097561</v>
      </c>
      <c r="I30">
        <f>VLOOKUP(A30,MIN!A:B,2,FALSE)</f>
        <v>25</v>
      </c>
      <c r="J30" t="str">
        <f t="shared" si="0"/>
        <v>NO</v>
      </c>
      <c r="K30">
        <f>VLOOKUP(A30,[1]Pricing!$A:$G,7,FALSE)</f>
        <v>450</v>
      </c>
      <c r="L30" t="s">
        <v>1960</v>
      </c>
      <c r="M30" t="str">
        <f t="shared" si="1"/>
        <v>630-A73909-001</v>
      </c>
    </row>
    <row r="31" spans="1:13" x14ac:dyDescent="0.25">
      <c r="A31" t="s">
        <v>525</v>
      </c>
      <c r="B31" s="14" t="str">
        <f>VLOOKUP(A31,[1]Pricing!$A:$R,18,FALSE)</f>
        <v>ATS-55230K-C1-R0</v>
      </c>
      <c r="C31" t="s">
        <v>2590</v>
      </c>
      <c r="D31" t="str">
        <f>VLOOKUP(A31,[1]AVL!$A:$F,6,FALSE)</f>
        <v>HTSK,SQ,BGA,23X23X14.5MM,BLK-ANODIZED</v>
      </c>
      <c r="E31" t="str">
        <f>VLOOKUP(A31,[1]Pricing!$A:$F,6,FALSE)</f>
        <v>11 Weeks</v>
      </c>
      <c r="F31">
        <f>VLOOKUP(B31,[2]Sheet2!$B:$E,4,FALSE)</f>
        <v>199</v>
      </c>
      <c r="G31" s="2">
        <f>VLOOKUP(A31,[1]Pricing!$A:$H,8,FALSE)</f>
        <v>6.2132849999999999</v>
      </c>
      <c r="H31" s="2">
        <f>VLOOKUP(A31,[1]Pricing!$A:$J,10,FALSE)</f>
        <v>7.5771768292682928</v>
      </c>
      <c r="I31">
        <f>VLOOKUP(A31,MIN!A:B,2,FALSE)</f>
        <v>25</v>
      </c>
      <c r="J31" t="str">
        <f t="shared" si="0"/>
        <v>NO</v>
      </c>
      <c r="K31">
        <f>VLOOKUP(A31,[1]Pricing!$A:$G,7,FALSE)</f>
        <v>200</v>
      </c>
      <c r="L31" t="s">
        <v>1960</v>
      </c>
      <c r="M31" t="str">
        <f t="shared" si="1"/>
        <v>779-B00545-001</v>
      </c>
    </row>
    <row r="32" spans="1:13" x14ac:dyDescent="0.25">
      <c r="A32" t="s">
        <v>1159</v>
      </c>
      <c r="B32" s="14" t="str">
        <f>VLOOKUP(A32,[1]Pricing!$A:$R,18,FALSE)</f>
        <v>MC-306 32.7680K-A0: ROHS</v>
      </c>
      <c r="C32" t="s">
        <v>2591</v>
      </c>
      <c r="D32" t="str">
        <f>VLOOKUP(A32,[1]AVL!$A:$F,6,FALSE)</f>
        <v>OSC,SMD,XTAL,32.768KHZ</v>
      </c>
      <c r="E32" t="str">
        <f>VLOOKUP(A32,[1]Pricing!$A:$F,6,FALSE)</f>
        <v>60 Weeks</v>
      </c>
      <c r="F32">
        <f>VLOOKUP(B32,[2]Sheet2!$B:$E,4,FALSE)</f>
        <v>2913</v>
      </c>
      <c r="G32" s="2">
        <f>VLOOKUP(A32,[1]Pricing!$A:$H,8,FALSE)</f>
        <v>0.43935000000000002</v>
      </c>
      <c r="H32" s="2">
        <f>VLOOKUP(A32,[1]Pricing!$A:$J,10,FALSE)</f>
        <v>0.53579268292682936</v>
      </c>
      <c r="I32">
        <f>VLOOKUP(A32,MIN!A:B,2,FALSE)</f>
        <v>25</v>
      </c>
      <c r="J32" t="str">
        <f t="shared" si="0"/>
        <v>NO</v>
      </c>
      <c r="K32">
        <f>VLOOKUP(A32,[1]Pricing!$A:$G,7,FALSE)</f>
        <v>3000</v>
      </c>
      <c r="L32" t="s">
        <v>1960</v>
      </c>
      <c r="M32" t="str">
        <f t="shared" si="1"/>
        <v>635-121978-001</v>
      </c>
    </row>
    <row r="33" spans="1:13" x14ac:dyDescent="0.25">
      <c r="A33" t="s">
        <v>205</v>
      </c>
      <c r="B33" s="14" t="str">
        <f>VLOOKUP(A33,[1]Pricing!$A:$R,18,FALSE)</f>
        <v>3008W8SXX69E40X</v>
      </c>
      <c r="C33" t="s">
        <v>2592</v>
      </c>
      <c r="D33" t="str">
        <f>VLOOKUP(A33,[1]AVL!$A:$F,6,FALSE)</f>
        <v>CONN,RCPT,D-SUB,POWER,8P,ROHS</v>
      </c>
      <c r="E33" t="str">
        <f>VLOOKUP(A33,[1]Pricing!$A:$F,6,FALSE)</f>
        <v>29 Weeks</v>
      </c>
      <c r="F33">
        <f>VLOOKUP(B33,[2]Sheet2!$B:$E,4,FALSE)</f>
        <v>95</v>
      </c>
      <c r="G33" s="2">
        <f>VLOOKUP(A33,[1]Pricing!$A:$H,8,FALSE)</f>
        <v>23.468325</v>
      </c>
      <c r="H33" s="2">
        <f>VLOOKUP(A33,[1]Pricing!$A:$J,10,FALSE)</f>
        <v>28.619908536585367</v>
      </c>
      <c r="I33">
        <f>VLOOKUP(A33,MIN!A:B,2,FALSE)</f>
        <v>25</v>
      </c>
      <c r="J33" t="str">
        <f t="shared" si="0"/>
        <v>NO</v>
      </c>
      <c r="K33">
        <f>VLOOKUP(A33,[1]Pricing!$A:$G,7,FALSE)</f>
        <v>100</v>
      </c>
      <c r="L33" t="s">
        <v>1960</v>
      </c>
      <c r="M33" t="str">
        <f t="shared" si="1"/>
        <v>668-111554-008</v>
      </c>
    </row>
    <row r="34" spans="1:13" x14ac:dyDescent="0.25">
      <c r="A34" t="s">
        <v>56</v>
      </c>
      <c r="B34" s="14" t="str">
        <f>VLOOKUP(A34,[1]Pricing!$A:$R,18,FALSE)</f>
        <v>13-000121</v>
      </c>
      <c r="C34" t="s">
        <v>2592</v>
      </c>
      <c r="D34" t="str">
        <f>VLOOKUP(A34,[1]AVL!$A:$F,6,FALSE)</f>
        <v>CONN, DSUB,7W2_M,PCB STRT,4-40</v>
      </c>
      <c r="E34" t="str">
        <f>VLOOKUP(A34,[1]Pricing!$A:$F,6,FALSE)</f>
        <v>15 Weeks</v>
      </c>
      <c r="F34">
        <f>VLOOKUP(B34,[2]Sheet2!$B:$E,4,FALSE)</f>
        <v>197</v>
      </c>
      <c r="G34" s="2">
        <f>VLOOKUP(A34,[1]Pricing!$A:$H,8,FALSE)</f>
        <v>11.686674</v>
      </c>
      <c r="H34" s="2">
        <f>VLOOKUP(A34,[1]Pricing!$A:$J,10,FALSE)</f>
        <v>14.252041463414635</v>
      </c>
      <c r="I34">
        <f>VLOOKUP(A34,MIN!A:B,2,FALSE)</f>
        <v>15</v>
      </c>
      <c r="J34" t="str">
        <f t="shared" ref="J34:J64" si="2">IF(F34&lt;=I34,"REORDER","NO")</f>
        <v>NO</v>
      </c>
      <c r="K34">
        <f>VLOOKUP(A34,[1]Pricing!$A:$G,7,FALSE)</f>
        <v>200</v>
      </c>
      <c r="L34" t="s">
        <v>1960</v>
      </c>
      <c r="M34" t="str">
        <f t="shared" si="1"/>
        <v>39-164229-07</v>
      </c>
    </row>
    <row r="35" spans="1:13" x14ac:dyDescent="0.25">
      <c r="A35" t="s">
        <v>195</v>
      </c>
      <c r="B35" s="14" t="str">
        <f>VLOOKUP(A35,[1]Pricing!$A:$R,18,FALSE)</f>
        <v>3003W3SXX69E40X</v>
      </c>
      <c r="C35" t="s">
        <v>2592</v>
      </c>
      <c r="D35" t="str">
        <f>VLOOKUP(A35,[1]AVL!$A:$F,6,FALSE)</f>
        <v>CONN,RCPT,D-SUB,POWER,3P,ROHS</v>
      </c>
      <c r="E35" t="str">
        <f>VLOOKUP(A35,[1]Pricing!$A:$F,6,FALSE)</f>
        <v>3 Weeks</v>
      </c>
      <c r="F35">
        <f>VLOOKUP(B35,[2]Sheet2!$B:$E,4,FALSE)</f>
        <v>181</v>
      </c>
      <c r="G35" s="2">
        <f>VLOOKUP(A35,[1]Pricing!$A:$H,8,FALSE)</f>
        <v>11.671760000000001</v>
      </c>
      <c r="H35" s="2">
        <f>VLOOKUP(A35,[1]Pricing!$A:$J,10,FALSE)</f>
        <v>14.233853658536587</v>
      </c>
      <c r="I35">
        <f>VLOOKUP(A35,MIN!A:B,2,FALSE)</f>
        <v>25</v>
      </c>
      <c r="J35" t="str">
        <f t="shared" si="2"/>
        <v>NO</v>
      </c>
      <c r="K35">
        <f>VLOOKUP(A35,[1]Pricing!$A:$G,7,FALSE)</f>
        <v>200</v>
      </c>
      <c r="L35" t="s">
        <v>1960</v>
      </c>
      <c r="M35" t="str">
        <f t="shared" si="1"/>
        <v>668-111554-003</v>
      </c>
    </row>
    <row r="36" spans="1:13" x14ac:dyDescent="0.25">
      <c r="A36" t="s">
        <v>84</v>
      </c>
      <c r="B36" s="14" t="str">
        <f>VLOOKUP(A36,[1]Pricing!$A:$R,18,FALSE)</f>
        <v>164A17379X</v>
      </c>
      <c r="C36" t="s">
        <v>2592</v>
      </c>
      <c r="D36" t="str">
        <f>VLOOKUP(A36,[1]AVL!$A:$F,6,FALSE)</f>
        <v>CONN,RCPT,D-SUB,H DENSITY,44POSN,3A,60V</v>
      </c>
      <c r="E36" t="str">
        <f>VLOOKUP(A36,[1]Pricing!$A:$F,6,FALSE)</f>
        <v>14 Weeks</v>
      </c>
      <c r="F36">
        <f>VLOOKUP(B36,[2]Sheet2!$B:$E,4,FALSE)</f>
        <v>52</v>
      </c>
      <c r="G36" s="2">
        <f>VLOOKUP(A36,[1]Pricing!$A:$H,8,FALSE)</f>
        <v>17.316314999999999</v>
      </c>
      <c r="H36" s="2">
        <f>VLOOKUP(A36,[1]Pricing!$A:$J,10,FALSE)</f>
        <v>21.117457317073171</v>
      </c>
      <c r="I36">
        <f>VLOOKUP(A36,MIN!A:B,2,FALSE)</f>
        <v>25</v>
      </c>
      <c r="J36" t="str">
        <f t="shared" si="2"/>
        <v>NO</v>
      </c>
      <c r="K36">
        <f>VLOOKUP(A36,[1]Pricing!$A:$G,7,FALSE)</f>
        <v>100</v>
      </c>
      <c r="L36" t="s">
        <v>2689</v>
      </c>
      <c r="M36" t="str">
        <f t="shared" si="1"/>
        <v>668-A51501-044</v>
      </c>
    </row>
    <row r="37" spans="1:13" x14ac:dyDescent="0.25">
      <c r="A37" t="s">
        <v>218</v>
      </c>
      <c r="B37" s="14" t="str">
        <f>VLOOKUP(A37,[1]Pricing!$A:$R,18,FALSE)</f>
        <v>302W2CSXX71E40X</v>
      </c>
      <c r="C37" t="s">
        <v>2592</v>
      </c>
      <c r="D37" t="str">
        <f>VLOOKUP(A37,[1]AVL!$A:$F,6,FALSE)</f>
        <v>CONN,RCPT,D-SUB,PWR,30A,2P,COMBO,ROHS</v>
      </c>
      <c r="E37" t="str">
        <f>VLOOKUP(A37,[1]Pricing!$A:$F,6,FALSE)</f>
        <v>30 Weeks</v>
      </c>
      <c r="F37">
        <f>VLOOKUP(B37,[2]Sheet2!$B:$E,4,FALSE)</f>
        <v>30</v>
      </c>
      <c r="G37" s="2">
        <f>VLOOKUP(A37,[1]Pricing!$A:$H,8,FALSE)</f>
        <v>9.976305</v>
      </c>
      <c r="H37" s="2">
        <f>VLOOKUP(A37,[1]Pricing!$A:$J,10,FALSE)</f>
        <v>12.166225609756099</v>
      </c>
      <c r="I37">
        <f>VLOOKUP(A37,MIN!A:B,2,FALSE)</f>
        <v>25</v>
      </c>
      <c r="J37" t="str">
        <f t="shared" si="2"/>
        <v>NO</v>
      </c>
      <c r="K37">
        <f>VLOOKUP(A37,[1]Pricing!$A:$G,7,FALSE)</f>
        <v>50</v>
      </c>
      <c r="L37" t="s">
        <v>1960</v>
      </c>
      <c r="M37" t="str">
        <f t="shared" si="1"/>
        <v>668-320315-001</v>
      </c>
    </row>
    <row r="38" spans="1:13" x14ac:dyDescent="0.25">
      <c r="A38" t="s">
        <v>211</v>
      </c>
      <c r="B38" s="14" t="str">
        <f>VLOOKUP(A38,[1]Pricing!$A:$R,18,FALSE)</f>
        <v>302W2CPXX71E40X</v>
      </c>
      <c r="C38" t="s">
        <v>2592</v>
      </c>
      <c r="D38" t="str">
        <f>VLOOKUP(A38,[1]AVL!$A:$F,6,FALSE)</f>
        <v>CONN, PLUG, COMBO DSUB, M/F 30A, ST</v>
      </c>
      <c r="E38" t="str">
        <f>VLOOKUP(A38,[1]Pricing!$A:$F,6,FALSE)</f>
        <v>11 Weeks</v>
      </c>
      <c r="F38">
        <v>0</v>
      </c>
      <c r="G38" s="2">
        <f>VLOOKUP(A38,[1]Pricing!$A:$H,8,FALSE)</f>
        <v>8.92164</v>
      </c>
      <c r="H38" s="2">
        <f>VLOOKUP(A38,[1]Pricing!$A:$J,10,FALSE)</f>
        <v>10.880048780487806</v>
      </c>
      <c r="I38">
        <f>VLOOKUP(A38,MIN!A:B,2,FALSE)</f>
        <v>25</v>
      </c>
      <c r="J38" t="str">
        <f t="shared" si="2"/>
        <v>REORDER</v>
      </c>
      <c r="K38">
        <f>VLOOKUP(A38,[1]Pricing!$A:$G,7,FALSE)</f>
        <v>50</v>
      </c>
      <c r="M38" t="str">
        <f t="shared" si="1"/>
        <v>668-326042-001</v>
      </c>
    </row>
    <row r="39" spans="1:13" x14ac:dyDescent="0.25">
      <c r="A39" t="s">
        <v>77</v>
      </c>
      <c r="B39" s="14" t="str">
        <f>VLOOKUP(A39,[1]Pricing!$A:$R,18,FALSE)</f>
        <v>164A16589X</v>
      </c>
      <c r="C39" t="s">
        <v>2592</v>
      </c>
      <c r="D39" t="str">
        <f>VLOOKUP(A39,[1]AVL!$A:$F,6,FALSE)</f>
        <v>CONN,DSUB,RCPT,VERT PCB,SOLDER,25P,ROHS</v>
      </c>
      <c r="E39" t="str">
        <f>VLOOKUP(A39,[1]Pricing!$A:$F,6,FALSE)</f>
        <v>28 Weeks</v>
      </c>
      <c r="F39">
        <f>VLOOKUP(B39,[2]Sheet2!$B:$E,4,FALSE)</f>
        <v>239</v>
      </c>
      <c r="G39" s="2">
        <f>VLOOKUP(A39,[1]Pricing!$A:$H,8,FALSE)</f>
        <v>10.163758</v>
      </c>
      <c r="H39" s="2">
        <f>VLOOKUP(A39,[1]Pricing!$A:$J,10,FALSE)</f>
        <v>12.394826829268293</v>
      </c>
      <c r="I39">
        <f>VLOOKUP(A39,MIN!A:B,2,FALSE)</f>
        <v>15</v>
      </c>
      <c r="J39" t="str">
        <f t="shared" si="2"/>
        <v>NO</v>
      </c>
      <c r="K39">
        <f>VLOOKUP(A39,[1]Pricing!$A:$G,7,FALSE)</f>
        <v>250</v>
      </c>
      <c r="L39" t="s">
        <v>1960</v>
      </c>
      <c r="M39" t="str">
        <f t="shared" si="1"/>
        <v>668-132368-025</v>
      </c>
    </row>
    <row r="40" spans="1:13" x14ac:dyDescent="0.25">
      <c r="A40" t="s">
        <v>216</v>
      </c>
      <c r="B40" s="14" t="str">
        <f>VLOOKUP(A40,[1]Pricing!$A:$R,18,FALSE)</f>
        <v>302W2CSXX56N40X</v>
      </c>
      <c r="C40" t="s">
        <v>2592</v>
      </c>
      <c r="D40" t="str">
        <f>VLOOKUP(A40,[1]AVL!$A:$F,6,FALSE)</f>
        <v>CONN,RCPT,DSUB,F/M,RA,2 PIN,20A</v>
      </c>
      <c r="E40" t="str">
        <f>VLOOKUP(A40,[1]Pricing!$A:$F,6,FALSE)</f>
        <v>3 Weeks</v>
      </c>
      <c r="F40">
        <f>VLOOKUP(B40,[2]Sheet2!$B:$E,4,FALSE)</f>
        <v>20</v>
      </c>
      <c r="G40" s="2">
        <f>VLOOKUP(A40,[1]Pricing!$A:$H,8,FALSE)</f>
        <v>12.81873</v>
      </c>
      <c r="H40" s="2">
        <f>VLOOKUP(A40,[1]Pricing!$A:$J,10,FALSE)</f>
        <v>15.632597560975611</v>
      </c>
      <c r="I40">
        <f>VLOOKUP(A40,MIN!A:B,2,FALSE)</f>
        <v>15</v>
      </c>
      <c r="J40" t="str">
        <f t="shared" si="2"/>
        <v>NO</v>
      </c>
      <c r="K40">
        <f>VLOOKUP(A40,[1]Pricing!$A:$G,7,FALSE)</f>
        <v>30</v>
      </c>
      <c r="L40" t="s">
        <v>2689</v>
      </c>
      <c r="M40" t="str">
        <f t="shared" si="1"/>
        <v>668-105495-005</v>
      </c>
    </row>
    <row r="41" spans="1:13" x14ac:dyDescent="0.25">
      <c r="A41" t="s">
        <v>203</v>
      </c>
      <c r="B41" s="14" t="str">
        <f>VLOOKUP(A41,[1]Pricing!$A:$R,18,FALSE)</f>
        <v>3007W2SCT56N40X</v>
      </c>
      <c r="C41" t="s">
        <v>2592</v>
      </c>
      <c r="D41" t="str">
        <f>VLOOKUP(A41,[1]AVL!$A:$F,6,FALSE)</f>
        <v>CONN,RCPT,FEM SKT,D-SUB,7W2,90DEG,20A</v>
      </c>
      <c r="E41" t="str">
        <f>VLOOKUP(A41,[1]Pricing!$A:$F,6,FALSE)</f>
        <v>17 Weeks</v>
      </c>
      <c r="F41">
        <f>VLOOKUP(B41,[2]Sheet2!$B:$E,4,FALSE)</f>
        <v>220</v>
      </c>
      <c r="G41" s="2">
        <f>VLOOKUP(A41,[1]Pricing!$A:$H,8,FALSE)</f>
        <v>14.779529999999999</v>
      </c>
      <c r="H41" s="2">
        <f>VLOOKUP(A41,[1]Pricing!$A:$J,10,FALSE)</f>
        <v>18.023817073170733</v>
      </c>
      <c r="I41">
        <f>VLOOKUP(A41,MIN!A:B,2,FALSE)</f>
        <v>15</v>
      </c>
      <c r="J41" t="str">
        <f t="shared" si="2"/>
        <v>NO</v>
      </c>
      <c r="K41">
        <f>VLOOKUP(A41,[1]Pricing!$A:$G,7,FALSE)</f>
        <v>210</v>
      </c>
      <c r="L41" t="s">
        <v>1960</v>
      </c>
      <c r="M41" t="str">
        <f t="shared" si="1"/>
        <v>668-294939-001</v>
      </c>
    </row>
    <row r="42" spans="1:13" x14ac:dyDescent="0.25">
      <c r="A42" t="s">
        <v>193</v>
      </c>
      <c r="B42" s="14" t="str">
        <f>VLOOKUP(A42,[1]Pricing!$A:$R,18,FALSE)</f>
        <v>3003W3SXX56N40X</v>
      </c>
      <c r="C42" t="s">
        <v>2593</v>
      </c>
      <c r="D42" t="str">
        <f>VLOOKUP(A42,[1]AVL!$A:$F,6,FALSE)</f>
        <v>CONN,DSUB,FEMALE,R/A,3W3,20A</v>
      </c>
      <c r="E42" t="str">
        <f>VLOOKUP(A42,[1]Pricing!$A:$F,6,FALSE)</f>
        <v>15 Weeks</v>
      </c>
      <c r="F42">
        <f>VLOOKUP(B42,[2]Sheet2!$B:$E,4,FALSE)</f>
        <v>240</v>
      </c>
      <c r="G42" s="2">
        <f>VLOOKUP(A42,[1]Pricing!$A:$H,8,FALSE)</f>
        <v>14.081766999999999</v>
      </c>
      <c r="H42" s="2">
        <f>VLOOKUP(A42,[1]Pricing!$A:$J,10,FALSE)</f>
        <v>17.172886585365855</v>
      </c>
      <c r="I42">
        <f>VLOOKUP(A42,MIN!A:B,2,FALSE)</f>
        <v>25</v>
      </c>
      <c r="J42" t="str">
        <f t="shared" si="2"/>
        <v>NO</v>
      </c>
      <c r="K42">
        <f>VLOOKUP(A42,[1]Pricing!$A:$G,7,FALSE)</f>
        <v>240</v>
      </c>
      <c r="L42" t="s">
        <v>1960</v>
      </c>
      <c r="M42" t="str">
        <f t="shared" si="1"/>
        <v>668-B07818-001</v>
      </c>
    </row>
    <row r="43" spans="1:13" x14ac:dyDescent="0.25">
      <c r="A43" t="s">
        <v>214</v>
      </c>
      <c r="B43" s="14" t="str">
        <f>VLOOKUP(A43,[1]Pricing!$A:$R,18,FALSE)</f>
        <v>302W2CSXX55N40X</v>
      </c>
      <c r="C43" t="s">
        <v>2593</v>
      </c>
      <c r="D43" t="str">
        <f>VLOOKUP(A43,[1]AVL!$A:$F,6,FALSE)</f>
        <v>CONN,RCPT,DSUB,F/M,RA,2PIN,15A</v>
      </c>
      <c r="E43" t="str">
        <f>VLOOKUP(A43,[1]Pricing!$A:$F,6,FALSE)</f>
        <v>15 Weeks</v>
      </c>
      <c r="F43">
        <f>VLOOKUP(B43,[2]Sheet2!$B:$E,4,FALSE)</f>
        <v>210</v>
      </c>
      <c r="G43" s="2">
        <f>VLOOKUP(A43,[1]Pricing!$A:$H,8,FALSE)</f>
        <v>14.044843</v>
      </c>
      <c r="H43" s="2">
        <f>VLOOKUP(A43,[1]Pricing!$A:$J,10,FALSE)</f>
        <v>17.127857317073172</v>
      </c>
      <c r="I43">
        <f>VLOOKUP(A43,MIN!A:B,2,FALSE)</f>
        <v>15</v>
      </c>
      <c r="J43" t="str">
        <f t="shared" si="2"/>
        <v>NO</v>
      </c>
      <c r="K43">
        <f>VLOOKUP(A43,[1]Pricing!$A:$G,7,FALSE)</f>
        <v>210</v>
      </c>
      <c r="L43" t="s">
        <v>1960</v>
      </c>
      <c r="M43" t="str">
        <f t="shared" si="1"/>
        <v>668-105495-007</v>
      </c>
    </row>
    <row r="44" spans="1:13" x14ac:dyDescent="0.25">
      <c r="A44" t="s">
        <v>201</v>
      </c>
      <c r="B44" s="14" t="str">
        <f>VLOOKUP(A44,[1]Pricing!$A:$R,18,FALSE)</f>
        <v>3007W2SCR50E20X</v>
      </c>
      <c r="C44" t="s">
        <v>2592</v>
      </c>
      <c r="D44" t="str">
        <f>VLOOKUP(A44,[1]AVL!$A:$F,6,FALSE)</f>
        <v>CONN,RCPT,DSUB,MINIATURE,7 POS,ST</v>
      </c>
      <c r="E44" t="str">
        <f>VLOOKUP(A44,[1]Pricing!$A:$F,6,FALSE)</f>
        <v>28 Weeks</v>
      </c>
      <c r="F44">
        <f>VLOOKUP(B44,[2]Sheet2!$B:$E,4,FALSE)</f>
        <v>100</v>
      </c>
      <c r="G44" s="2">
        <f>VLOOKUP(A44,[1]Pricing!$A:$H,8,FALSE)</f>
        <v>15.404534999999999</v>
      </c>
      <c r="H44" s="2">
        <f>VLOOKUP(A44,[1]Pricing!$A:$J,10,FALSE)</f>
        <v>18.786018292682925</v>
      </c>
      <c r="I44">
        <f>VLOOKUP(A44,MIN!A:B,2,FALSE)</f>
        <v>25</v>
      </c>
      <c r="J44" t="str">
        <f t="shared" si="2"/>
        <v>NO</v>
      </c>
      <c r="K44">
        <f>VLOOKUP(A44,[1]Pricing!$A:$G,7,FALSE)</f>
        <v>100</v>
      </c>
      <c r="L44" t="s">
        <v>1960</v>
      </c>
      <c r="M44" t="str">
        <f t="shared" si="1"/>
        <v>668-276715-001</v>
      </c>
    </row>
    <row r="45" spans="1:13" x14ac:dyDescent="0.25">
      <c r="A45" t="s">
        <v>1048</v>
      </c>
      <c r="B45" s="14" t="str">
        <f>VLOOKUP(A45,[1]Pricing!$A:$R,18,FALSE)</f>
        <v>LM555CMX/NOPB</v>
      </c>
      <c r="C45" t="s">
        <v>2594</v>
      </c>
      <c r="D45" t="str">
        <f>VLOOKUP(A45,[1]AVL!$A:$F,6,FALSE)</f>
        <v>IC,SMD,LM555CM,TIMER,ROHS</v>
      </c>
      <c r="E45" t="str">
        <f>VLOOKUP(A45,[1]Pricing!$A:$F,6,FALSE)</f>
        <v>3 Weeks</v>
      </c>
      <c r="F45">
        <f>VLOOKUP(B45,[2]Sheet2!$B:$E,4,FALSE)</f>
        <v>2500</v>
      </c>
      <c r="G45" s="2">
        <f>VLOOKUP(A45,[1]Pricing!$A:$H,8,FALSE)</f>
        <v>0.47304299999999999</v>
      </c>
      <c r="H45" s="2">
        <f>VLOOKUP(A45,[1]Pricing!$A:$J,10,FALSE)</f>
        <v>0.57688170731707322</v>
      </c>
      <c r="I45">
        <f>VLOOKUP(A45,MIN!A:B,2,FALSE)</f>
        <v>15</v>
      </c>
      <c r="J45" t="str">
        <f t="shared" si="2"/>
        <v>NO</v>
      </c>
      <c r="K45">
        <f>VLOOKUP(A45,[1]Pricing!$A:$G,7,FALSE)</f>
        <v>2500</v>
      </c>
      <c r="L45" t="s">
        <v>1960</v>
      </c>
      <c r="M45" t="str">
        <f t="shared" si="1"/>
        <v>630-032532-001</v>
      </c>
    </row>
    <row r="46" spans="1:13" x14ac:dyDescent="0.25">
      <c r="A46" t="s">
        <v>1670</v>
      </c>
      <c r="B46" s="14" t="str">
        <f>VLOOKUP(A46,[1]Pricing!$A:$R,18,FALSE)</f>
        <v>SN74ACT14DR</v>
      </c>
      <c r="C46" t="s">
        <v>2595</v>
      </c>
      <c r="D46" t="str">
        <f>VLOOKUP(A46,[1]AVL!$A:$F,6,FALSE)</f>
        <v>IC,SMD,SCHMITT TRIGGER INV,HEX,SOIC-14</v>
      </c>
      <c r="E46" t="str">
        <f>VLOOKUP(A46,[1]Pricing!$A:$F,6,FALSE)</f>
        <v>3 Weeks</v>
      </c>
      <c r="F46">
        <f>VLOOKUP(B46,[2]Sheet2!$B:$E,4,FALSE)</f>
        <v>2500</v>
      </c>
      <c r="G46" s="2">
        <f>VLOOKUP(A46,[1]Pricing!$A:$H,8,FALSE)</f>
        <v>0.15318799999999999</v>
      </c>
      <c r="H46" s="2">
        <f>VLOOKUP(A46,[1]Pricing!$A:$J,10,FALSE)</f>
        <v>0.18681463414634147</v>
      </c>
      <c r="I46">
        <f>VLOOKUP(A46,MIN!A:B,2,FALSE)</f>
        <v>25</v>
      </c>
      <c r="J46" t="str">
        <f t="shared" si="2"/>
        <v>NO</v>
      </c>
      <c r="K46">
        <f>VLOOKUP(A46,[1]Pricing!$A:$G,7,FALSE)</f>
        <v>2500</v>
      </c>
      <c r="L46" t="s">
        <v>1960</v>
      </c>
      <c r="M46" t="str">
        <f t="shared" si="1"/>
        <v>630-B04992-001</v>
      </c>
    </row>
    <row r="47" spans="1:13" x14ac:dyDescent="0.25">
      <c r="A47" t="s">
        <v>1036</v>
      </c>
      <c r="B47" s="14" t="str">
        <f>VLOOKUP(A47,[1]Pricing!$A:$R,18,FALSE)</f>
        <v>LM25085QMYX/NOPB</v>
      </c>
      <c r="C47" t="s">
        <v>2595</v>
      </c>
      <c r="D47" t="str">
        <f>VLOOKUP(A47,[1]AVL!$A:$F,6,FALSE)</f>
        <v>IC,SMD,BUCK SW CONT,4.5-42V IN,HVSSOP-8</v>
      </c>
      <c r="E47" t="str">
        <f>VLOOKUP(A47,[1]Pricing!$A:$F,6,FALSE)</f>
        <v>9 Weeks</v>
      </c>
      <c r="F47">
        <f>VLOOKUP(B47,[2]Sheet2!$B:$E,4,FALSE)</f>
        <v>1000</v>
      </c>
      <c r="G47" s="2">
        <f>VLOOKUP(A47,[1]Pricing!$A:$H,8,FALSE)</f>
        <v>1.1593230000000001</v>
      </c>
      <c r="H47" s="2">
        <f>VLOOKUP(A47,[1]Pricing!$A:$J,10,FALSE)</f>
        <v>1.4138085365853661</v>
      </c>
      <c r="I47">
        <f>VLOOKUP(A47,MIN!A:B,2,FALSE)</f>
        <v>15</v>
      </c>
      <c r="J47" t="str">
        <f t="shared" si="2"/>
        <v>NO</v>
      </c>
      <c r="K47">
        <f>VLOOKUP(A47,[1]Pricing!$A:$G,7,FALSE)</f>
        <v>1000</v>
      </c>
      <c r="L47" t="s">
        <v>1960</v>
      </c>
      <c r="M47" t="str">
        <f t="shared" si="1"/>
        <v>630-A32936-001</v>
      </c>
    </row>
    <row r="48" spans="1:13" x14ac:dyDescent="0.25">
      <c r="A48" t="s">
        <v>1066</v>
      </c>
      <c r="B48" s="14" t="str">
        <f>VLOOKUP(A48,[1]Pricing!$A:$R,18,FALSE)</f>
        <v>LMP8640MKX-T/NOPB</v>
      </c>
      <c r="C48" t="s">
        <v>2595</v>
      </c>
      <c r="D48" t="str">
        <f>VLOOKUP(A48,[1]AVL!$A:$F,6,FALSE)</f>
        <v>IC,SMD,CURRENT SENSE OPAMP,6SOT</v>
      </c>
      <c r="E48" t="str">
        <f>VLOOKUP(A48,[1]Pricing!$A:$F,6,FALSE)</f>
        <v>3 Weeks</v>
      </c>
      <c r="F48">
        <f>VLOOKUP(B48,[2]Sheet2!$B:$E,4,FALSE)</f>
        <v>1000</v>
      </c>
      <c r="G48" s="2">
        <f>VLOOKUP(A48,[1]Pricing!$A:$H,8,FALSE)</f>
        <v>1.2377549999999999</v>
      </c>
      <c r="H48" s="2">
        <f>VLOOKUP(A48,[1]Pricing!$A:$J,10,FALSE)</f>
        <v>1.5094573170731707</v>
      </c>
      <c r="I48">
        <f>VLOOKUP(A48,MIN!A:B,2,FALSE)</f>
        <v>25</v>
      </c>
      <c r="J48" t="str">
        <f t="shared" si="2"/>
        <v>NO</v>
      </c>
      <c r="K48">
        <f>VLOOKUP(A48,[1]Pricing!$A:$G,7,FALSE)</f>
        <v>1000</v>
      </c>
      <c r="L48" t="s">
        <v>1960</v>
      </c>
      <c r="M48" t="str">
        <f t="shared" si="1"/>
        <v>630-232888-001</v>
      </c>
    </row>
    <row r="49" spans="1:13" x14ac:dyDescent="0.25">
      <c r="A49" t="s">
        <v>1693</v>
      </c>
      <c r="B49" s="14" t="str">
        <f>VLOOKUP(A49,[1]Pricing!$A:$R,18,FALSE)</f>
        <v>SN74LVC1G74DCU</v>
      </c>
      <c r="C49" t="s">
        <v>2595</v>
      </c>
      <c r="D49" t="str">
        <f>VLOOKUP(A49,[1]AVL!$A:$F,6,FALSE)</f>
        <v>IC,SMD,SINGLE EDGE TRIG D FF</v>
      </c>
      <c r="E49" t="str">
        <f>VLOOKUP(A49,[1]Pricing!$A:$F,6,FALSE)</f>
        <v>3 Weeks</v>
      </c>
      <c r="F49">
        <f>VLOOKUP(B49,[2]Sheet2!$B:$E,4,FALSE)</f>
        <v>20</v>
      </c>
      <c r="G49" s="2">
        <f>VLOOKUP(A49,[1]Pricing!$A:$H,8,FALSE)</f>
        <v>0.45294499999999999</v>
      </c>
      <c r="H49" s="2">
        <f>VLOOKUP(A49,[1]Pricing!$A:$J,10,FALSE)</f>
        <v>0.55237195121951221</v>
      </c>
      <c r="I49">
        <f>VLOOKUP(A49,MIN!A:B,2,FALSE)</f>
        <v>15</v>
      </c>
      <c r="J49" t="str">
        <f t="shared" si="2"/>
        <v>NO</v>
      </c>
      <c r="K49">
        <f>VLOOKUP(A49,[1]Pricing!$A:$G,7,FALSE)</f>
        <v>60</v>
      </c>
      <c r="L49" t="s">
        <v>2689</v>
      </c>
      <c r="M49" t="str">
        <f t="shared" si="1"/>
        <v>630-135484-001</v>
      </c>
    </row>
    <row r="50" spans="1:13" x14ac:dyDescent="0.25">
      <c r="A50" t="s">
        <v>1002</v>
      </c>
      <c r="B50" s="14" t="str">
        <f>VLOOKUP(A50,[1]Pricing!$A:$R,18,FALSE)</f>
        <v>K81C335</v>
      </c>
      <c r="C50" t="s">
        <v>2596</v>
      </c>
      <c r="D50" t="str">
        <f>VLOOKUP(A50,[1]AVL!$A:$F,6,FALSE)</f>
        <v>RLY,SPDT,10KV,5A, 26.5V, PCB</v>
      </c>
      <c r="E50" t="str">
        <f>VLOOKUP(A50,[1]Pricing!$A:$F,6,FALSE)</f>
        <v>13 Weeks</v>
      </c>
      <c r="F50">
        <f>VLOOKUP(B50,[2]Sheet2!$B:$E,4,FALSE)</f>
        <v>47</v>
      </c>
      <c r="G50" s="2">
        <f>VLOOKUP(A50,[1]Pricing!$A:$H,8,FALSE)</f>
        <v>428.16151400000001</v>
      </c>
      <c r="H50" s="2">
        <f>VLOOKUP(A50,[1]Pricing!$A:$J,10,FALSE)</f>
        <v>522.14818780487815</v>
      </c>
      <c r="I50">
        <f>VLOOKUP(A50,MIN!A:B,2,FALSE)</f>
        <v>25</v>
      </c>
      <c r="J50" t="str">
        <f t="shared" si="2"/>
        <v>NO</v>
      </c>
      <c r="K50">
        <f>VLOOKUP(A50,[1]Pricing!$A:$G,7,FALSE)</f>
        <v>50</v>
      </c>
      <c r="L50" t="s">
        <v>1960</v>
      </c>
      <c r="M50" t="str">
        <f t="shared" si="1"/>
        <v>644-270411-001</v>
      </c>
    </row>
    <row r="51" spans="1:13" x14ac:dyDescent="0.25">
      <c r="A51" t="s">
        <v>70</v>
      </c>
      <c r="B51" s="14">
        <f>VLOOKUP(A51,[1]Pricing!$A:$R,18,FALSE)</f>
        <v>1424241</v>
      </c>
      <c r="C51" t="s">
        <v>2597</v>
      </c>
      <c r="D51" t="str">
        <f>VLOOKUP(A51,[1]AVL!$A:$F,6,FALSE)</f>
        <v>CONN,RCPT,M8,B,5P,STRAIGHT,THRU HOLE</v>
      </c>
      <c r="E51" t="str">
        <f>VLOOKUP(A51,[1]Pricing!$A:$F,6,FALSE)</f>
        <v>11 Weeks</v>
      </c>
      <c r="F51">
        <f>VLOOKUP(B51,[2]Sheet2!$B:$E,4,FALSE)</f>
        <v>38</v>
      </c>
      <c r="G51" s="2">
        <f>VLOOKUP(A51,[1]Pricing!$A:$H,8,FALSE)</f>
        <v>16.715820000000001</v>
      </c>
      <c r="H51" s="2">
        <f>VLOOKUP(A51,[1]Pricing!$A:$J,10,FALSE)</f>
        <v>20.385146341463418</v>
      </c>
      <c r="I51">
        <f>VLOOKUP(A51,MIN!A:B,2,FALSE)</f>
        <v>25</v>
      </c>
      <c r="J51" t="str">
        <f t="shared" si="2"/>
        <v>NO</v>
      </c>
      <c r="K51">
        <f>VLOOKUP(A51,[1]Pricing!$A:$G,7,FALSE)</f>
        <v>50</v>
      </c>
      <c r="L51" t="s">
        <v>2689</v>
      </c>
      <c r="M51" t="str">
        <f t="shared" si="1"/>
        <v>668-322137-001</v>
      </c>
    </row>
    <row r="52" spans="1:13" x14ac:dyDescent="0.25">
      <c r="A52" t="s">
        <v>1674</v>
      </c>
      <c r="B52" s="14" t="str">
        <f>VLOOKUP(A52,[1]Pricing!$A:$R,18,FALSE)</f>
        <v>SN74AXCH8T245RHLR</v>
      </c>
      <c r="C52" t="s">
        <v>2595</v>
      </c>
      <c r="D52" t="str">
        <f>VLOOKUP(A52,[1]AVL!$A:$F,6,FALSE)</f>
        <v>IC,SMD,BUS XCVR,24P,8BIT,3.6V,VQFN</v>
      </c>
      <c r="E52" t="str">
        <f>VLOOKUP(A52,[1]Pricing!$A:$F,6,FALSE)</f>
        <v>3 Weeks</v>
      </c>
      <c r="F52">
        <f>VLOOKUP(B52,[2]Sheet2!$B:$E,4,FALSE)</f>
        <v>2672</v>
      </c>
      <c r="G52" s="2">
        <f>VLOOKUP(A52,[1]Pricing!$A:$H,8,FALSE)</f>
        <v>0.77373199999999998</v>
      </c>
      <c r="H52" s="2">
        <f>VLOOKUP(A52,[1]Pricing!$A:$J,10,FALSE)</f>
        <v>0.94357560975609756</v>
      </c>
      <c r="I52">
        <f>VLOOKUP(A52,MIN!A:B,2,FALSE)</f>
        <v>25</v>
      </c>
      <c r="J52" t="str">
        <f t="shared" si="2"/>
        <v>NO</v>
      </c>
      <c r="K52">
        <f>VLOOKUP(A52,[1]Pricing!$A:$G,7,FALSE)</f>
        <v>3000</v>
      </c>
      <c r="L52" t="s">
        <v>1960</v>
      </c>
      <c r="M52" t="str">
        <f t="shared" si="1"/>
        <v>630-B32583-001</v>
      </c>
    </row>
    <row r="53" spans="1:13" x14ac:dyDescent="0.25">
      <c r="A53" t="s">
        <v>1060</v>
      </c>
      <c r="B53" s="14" t="str">
        <f>VLOOKUP(A53,[1]Pricing!$A:$R,18,FALSE)</f>
        <v>LM94022BIMGX/NOPB</v>
      </c>
      <c r="C53" t="s">
        <v>2595</v>
      </c>
      <c r="D53" t="str">
        <f>VLOOKUP(A53,[1]AVL!$A:$F,6,FALSE)</f>
        <v>IC,SMD,TEMP SENSOR MULTI-GAIN SC70-5</v>
      </c>
      <c r="E53" t="str">
        <f>VLOOKUP(A53,[1]Pricing!$A:$F,6,FALSE)</f>
        <v>9 Weeks</v>
      </c>
      <c r="F53">
        <f>VLOOKUP(B53,[2]Sheet2!$B:$E,4,FALSE)</f>
        <v>3000</v>
      </c>
      <c r="G53" s="2">
        <f>VLOOKUP(A53,[1]Pricing!$A:$H,8,FALSE)</f>
        <v>0.70711400000000002</v>
      </c>
      <c r="H53" s="2">
        <f>VLOOKUP(A53,[1]Pricing!$A:$J,10,FALSE)</f>
        <v>0.86233414634146344</v>
      </c>
      <c r="I53">
        <f>VLOOKUP(A53,MIN!A:B,2,FALSE)</f>
        <v>15</v>
      </c>
      <c r="J53" t="str">
        <f t="shared" si="2"/>
        <v>NO</v>
      </c>
      <c r="K53">
        <f>VLOOKUP(A53,[1]Pricing!$A:$G,7,FALSE)</f>
        <v>3000</v>
      </c>
      <c r="L53" t="s">
        <v>1960</v>
      </c>
      <c r="M53" t="str">
        <f t="shared" si="1"/>
        <v>630-122314-001</v>
      </c>
    </row>
    <row r="54" spans="1:13" x14ac:dyDescent="0.25">
      <c r="A54" t="s">
        <v>1220</v>
      </c>
      <c r="B54" s="14" t="str">
        <f>VLOOKUP(A54,[1]Pricing!$A:$R,18,FALSE)</f>
        <v>OPA1671IDBVR</v>
      </c>
      <c r="C54" t="s">
        <v>2595</v>
      </c>
      <c r="D54" t="str">
        <f>VLOOKUP(A54,[1]AVL!$A:$F,6,FALSE)</f>
        <v>IC,SMD,OP AMP,SGL,13MHZ,1.7-5.5V,SOT-23</v>
      </c>
      <c r="E54" t="str">
        <f>VLOOKUP(A54,[1]Pricing!$A:$F,6,FALSE)</f>
        <v>3 Weeks</v>
      </c>
      <c r="F54">
        <f>VLOOKUP(B54,[2]Sheet2!$B:$E,4,FALSE)</f>
        <v>2975</v>
      </c>
      <c r="G54" s="2">
        <f>VLOOKUP(A54,[1]Pricing!$A:$H,8,FALSE)</f>
        <v>0.49265100000000001</v>
      </c>
      <c r="H54" s="2">
        <f>VLOOKUP(A54,[1]Pricing!$A:$J,10,FALSE)</f>
        <v>0.60079390243902442</v>
      </c>
      <c r="I54">
        <f>VLOOKUP(A54,MIN!A:B,2,FALSE)</f>
        <v>15</v>
      </c>
      <c r="J54" t="str">
        <f t="shared" si="2"/>
        <v>NO</v>
      </c>
      <c r="K54">
        <f>VLOOKUP(A54,[1]Pricing!$A:$G,7,FALSE)</f>
        <v>3000</v>
      </c>
      <c r="L54" t="s">
        <v>1960</v>
      </c>
      <c r="M54" t="str">
        <f t="shared" si="1"/>
        <v>630-B25236-001</v>
      </c>
    </row>
    <row r="55" spans="1:13" x14ac:dyDescent="0.25">
      <c r="A55" t="s">
        <v>1691</v>
      </c>
      <c r="B55" s="14" t="str">
        <f>VLOOKUP(A55,[1]Pricing!$A:$R,18,FALSE)</f>
        <v>SN74LVC1G373DCKR</v>
      </c>
      <c r="C55" t="s">
        <v>2595</v>
      </c>
      <c r="D55" t="str">
        <f>VLOOKUP(A55,[1]AVL!$A:$F,6,FALSE)</f>
        <v>IC,SMD,SGL,D LCH,3 STATE OUT</v>
      </c>
      <c r="E55" t="str">
        <f>VLOOKUP(A55,[1]Pricing!$A:$F,6,FALSE)</f>
        <v>3 Weeks</v>
      </c>
      <c r="F55">
        <f>VLOOKUP(B55,[2]Sheet2!$B:$E,4,FALSE)</f>
        <v>3000</v>
      </c>
      <c r="G55" s="2">
        <f>VLOOKUP(A55,[1]Pricing!$A:$H,8,FALSE)</f>
        <v>0.11887399999999999</v>
      </c>
      <c r="H55" s="2">
        <f>VLOOKUP(A55,[1]Pricing!$A:$J,10,FALSE)</f>
        <v>0.14496829268292682</v>
      </c>
      <c r="I55">
        <f>VLOOKUP(A55,MIN!A:B,2,FALSE)</f>
        <v>25</v>
      </c>
      <c r="J55" t="str">
        <f t="shared" si="2"/>
        <v>NO</v>
      </c>
      <c r="K55">
        <f>VLOOKUP(A55,[1]Pricing!$A:$G,7,FALSE)</f>
        <v>3000</v>
      </c>
      <c r="L55" t="s">
        <v>1960</v>
      </c>
      <c r="M55" t="str">
        <f t="shared" si="1"/>
        <v>630-313838-001</v>
      </c>
    </row>
    <row r="56" spans="1:13" x14ac:dyDescent="0.25">
      <c r="A56" t="s">
        <v>1054</v>
      </c>
      <c r="B56" s="14" t="str">
        <f>VLOOKUP(A56,[1]Pricing!$A:$R,18,FALSE)</f>
        <v>LM74CIMX-3/NOPB</v>
      </c>
      <c r="C56" t="s">
        <v>2595</v>
      </c>
      <c r="D56" t="str">
        <f>VLOOKUP(A56,[1]AVL!$A:$F,6,FALSE)</f>
        <v>IC,SMD,TEMP SENSOR,SPI 8SOIC</v>
      </c>
      <c r="E56" t="str">
        <f>VLOOKUP(A56,[1]Pricing!$A:$F,6,FALSE)</f>
        <v>3 Weeks</v>
      </c>
      <c r="F56">
        <f>VLOOKUP(B56,[2]Sheet2!$B:$E,4,FALSE)</f>
        <v>2500</v>
      </c>
      <c r="G56" s="2">
        <f>VLOOKUP(A56,[1]Pricing!$A:$H,8,FALSE)</f>
        <v>1.3235399999999999</v>
      </c>
      <c r="H56" s="2">
        <f>VLOOKUP(A56,[1]Pricing!$A:$J,10,FALSE)</f>
        <v>1.6140731707317073</v>
      </c>
      <c r="I56">
        <f>VLOOKUP(A56,MIN!A:B,2,FALSE)</f>
        <v>25</v>
      </c>
      <c r="J56" t="str">
        <f t="shared" si="2"/>
        <v>NO</v>
      </c>
      <c r="K56">
        <f>VLOOKUP(A56,[1]Pricing!$A:$G,7,FALSE)</f>
        <v>2500</v>
      </c>
      <c r="L56" t="s">
        <v>1960</v>
      </c>
      <c r="M56" t="str">
        <f t="shared" si="1"/>
        <v>630-315857-001</v>
      </c>
    </row>
    <row r="57" spans="1:13" x14ac:dyDescent="0.25">
      <c r="A57" t="s">
        <v>1034</v>
      </c>
      <c r="B57" s="14" t="str">
        <f>VLOOKUP(A57,[1]Pricing!$A:$R,18,FALSE)</f>
        <v>LM211QDREP</v>
      </c>
      <c r="C57" t="s">
        <v>2595</v>
      </c>
      <c r="D57" t="str">
        <f>VLOOKUP(A57,[1]AVL!$A:$F,6,FALSE)</f>
        <v>IC,SMD,DIFF COMPARATOR,3.5-30V,SOIC-8</v>
      </c>
      <c r="E57" t="str">
        <f>VLOOKUP(A57,[1]Pricing!$A:$F,6,FALSE)</f>
        <v>9 Weeks</v>
      </c>
      <c r="F57">
        <f>VLOOKUP(B57,[2]Sheet2!$B:$E,4,FALSE)</f>
        <v>2500</v>
      </c>
      <c r="G57" s="2">
        <f>VLOOKUP(A57,[1]Pricing!$A:$H,8,FALSE)</f>
        <v>1.1911860000000001</v>
      </c>
      <c r="H57" s="2">
        <f>VLOOKUP(A57,[1]Pricing!$A:$J,10,FALSE)</f>
        <v>1.4526658536585368</v>
      </c>
      <c r="I57">
        <f>VLOOKUP(A57,MIN!A:B,2,FALSE)</f>
        <v>15</v>
      </c>
      <c r="J57" t="str">
        <f t="shared" si="2"/>
        <v>NO</v>
      </c>
      <c r="K57">
        <f>VLOOKUP(A57,[1]Pricing!$A:$G,7,FALSE)</f>
        <v>2500</v>
      </c>
      <c r="L57" t="s">
        <v>1960</v>
      </c>
      <c r="M57" t="str">
        <f t="shared" si="1"/>
        <v>630-A94433-001</v>
      </c>
    </row>
    <row r="58" spans="1:13" x14ac:dyDescent="0.25">
      <c r="A58" t="s">
        <v>1780</v>
      </c>
      <c r="B58" s="14" t="str">
        <f>VLOOKUP(A58,[1]Pricing!$A:$R,18,FALSE)</f>
        <v>TPL7407LDR</v>
      </c>
      <c r="C58" t="s">
        <v>2595</v>
      </c>
      <c r="D58" t="str">
        <f>VLOOKUP(A58,[1]AVL!$A:$F,6,FALSE)</f>
        <v>IC,SMD,LO-SIDE DRIVER,7CHAN,40V,SOIC-16</v>
      </c>
      <c r="E58" t="str">
        <f>VLOOKUP(A58,[1]Pricing!$A:$F,6,FALSE)</f>
        <v>3 Weeks</v>
      </c>
      <c r="F58">
        <f>VLOOKUP(B58,[2]Sheet2!$B:$E,4,FALSE)</f>
        <v>1750</v>
      </c>
      <c r="G58" s="2">
        <f>VLOOKUP(A58,[1]Pricing!$A:$H,8,FALSE)</f>
        <v>0.25245299999999998</v>
      </c>
      <c r="H58" s="2">
        <f>VLOOKUP(A58,[1]Pricing!$A:$J,10,FALSE)</f>
        <v>0.30786951219512193</v>
      </c>
      <c r="I58">
        <f>VLOOKUP(A58,MIN!A:B,2,FALSE)</f>
        <v>25</v>
      </c>
      <c r="J58" t="str">
        <f t="shared" si="2"/>
        <v>NO</v>
      </c>
      <c r="K58">
        <f>VLOOKUP(A58,[1]Pricing!$A:$G,7,FALSE)</f>
        <v>2500</v>
      </c>
      <c r="L58" t="s">
        <v>2689</v>
      </c>
      <c r="M58" t="str">
        <f t="shared" si="1"/>
        <v>630-B37447-001</v>
      </c>
    </row>
    <row r="59" spans="1:13" x14ac:dyDescent="0.25">
      <c r="A59" t="s">
        <v>1784</v>
      </c>
      <c r="B59" s="14" t="str">
        <f>VLOOKUP(A59,[1]Pricing!$A:$R,18,FALSE)</f>
        <v>TPS2493PWR</v>
      </c>
      <c r="C59" t="s">
        <v>2595</v>
      </c>
      <c r="D59" t="str">
        <f>VLOOKUP(A59,[1]AVL!$A:$F,6,FALSE)</f>
        <v>IC,SMD,CTRLR HOT-SWAP HV 14TSSOP,ROHS</v>
      </c>
      <c r="E59" t="str">
        <f>VLOOKUP(A59,[1]Pricing!$A:$F,6,FALSE)</f>
        <v>9 Weeks</v>
      </c>
      <c r="F59">
        <f>VLOOKUP(B59,[2]Sheet2!$B:$E,4,FALSE)</f>
        <v>1901</v>
      </c>
      <c r="G59" s="2">
        <f>VLOOKUP(A59,[1]Pricing!$A:$H,8,FALSE)</f>
        <v>1.605405</v>
      </c>
      <c r="H59" s="2">
        <f>VLOOKUP(A59,[1]Pricing!$A:$J,10,FALSE)</f>
        <v>1.9578109756097561</v>
      </c>
      <c r="I59">
        <f>VLOOKUP(A59,MIN!A:B,2,FALSE)</f>
        <v>25</v>
      </c>
      <c r="J59" t="str">
        <f t="shared" si="2"/>
        <v>NO</v>
      </c>
      <c r="K59">
        <f>VLOOKUP(A59,[1]Pricing!$A:$G,7,FALSE)</f>
        <v>2000</v>
      </c>
      <c r="L59" t="s">
        <v>1960</v>
      </c>
      <c r="M59" t="str">
        <f t="shared" si="1"/>
        <v>630-124301-001</v>
      </c>
    </row>
    <row r="60" spans="1:13" x14ac:dyDescent="0.25">
      <c r="A60" t="s">
        <v>976</v>
      </c>
      <c r="B60" s="14" t="str">
        <f>VLOOKUP(A60,[1]Pricing!$A:$R,18,FALSE)</f>
        <v>IRFR3710ZTRPBF</v>
      </c>
      <c r="C60" t="s">
        <v>2572</v>
      </c>
      <c r="D60" t="str">
        <f>VLOOKUP(A60,[1]AVL!$A:$F,6,FALSE)</f>
        <v>XSTR,SMD,FIELD EFT,N-CHAN,100V,42A,TO252</v>
      </c>
      <c r="E60" t="str">
        <f>VLOOKUP(A60,[1]Pricing!$A:$F,6,FALSE)</f>
        <v>23 Weeks</v>
      </c>
      <c r="F60">
        <f>VLOOKUP(B60,[2]Sheet2!$B:$E,4,FALSE)</f>
        <v>2000</v>
      </c>
      <c r="G60" s="2">
        <f>VLOOKUP(A60,[1]Pricing!$A:$H,8,FALSE)</f>
        <v>0.94853699999999996</v>
      </c>
      <c r="H60" s="2">
        <f>VLOOKUP(A60,[1]Pricing!$A:$J,10,FALSE)</f>
        <v>1.1567524390243902</v>
      </c>
      <c r="I60">
        <f>VLOOKUP(A60,MIN!A:B,2,FALSE)</f>
        <v>15</v>
      </c>
      <c r="J60" t="str">
        <f t="shared" si="2"/>
        <v>NO</v>
      </c>
      <c r="K60">
        <f>VLOOKUP(A60,[1]Pricing!$A:$G,7,FALSE)</f>
        <v>2000</v>
      </c>
      <c r="L60" t="s">
        <v>1960</v>
      </c>
      <c r="M60" t="str">
        <f t="shared" si="1"/>
        <v>626-A54785-001</v>
      </c>
    </row>
    <row r="61" spans="1:13" x14ac:dyDescent="0.25">
      <c r="A61" t="s">
        <v>1068</v>
      </c>
      <c r="B61" s="14" t="str">
        <f>VLOOKUP(A61,[1]Pricing!$A:$R,18,FALSE)</f>
        <v>LMV431BIMFX/NOPB</v>
      </c>
      <c r="C61" t="s">
        <v>2595</v>
      </c>
      <c r="D61" t="str">
        <f>VLOOKUP(A61,[1]AVL!$A:$F,6,FALSE)</f>
        <v>IC,SMD,V REF,ADJ OUT,1.24V,SOT-23-3</v>
      </c>
      <c r="E61" t="str">
        <f>VLOOKUP(A61,[1]Pricing!$A:$F,6,FALSE)</f>
        <v>3 Weeks</v>
      </c>
      <c r="F61">
        <f>VLOOKUP(B61,[2]Sheet2!$B:$E,4,FALSE)</f>
        <v>1000</v>
      </c>
      <c r="G61" s="2">
        <f>VLOOKUP(A61,[1]Pricing!$A:$H,8,FALSE)</f>
        <v>0.59104599999999996</v>
      </c>
      <c r="H61" s="2">
        <f>VLOOKUP(A61,[1]Pricing!$A:$J,10,FALSE)</f>
        <v>0.72078780487804872</v>
      </c>
      <c r="I61">
        <f>VLOOKUP(A61,MIN!A:B,2,FALSE)</f>
        <v>15</v>
      </c>
      <c r="J61" t="str">
        <f t="shared" si="2"/>
        <v>NO</v>
      </c>
      <c r="K61">
        <f>VLOOKUP(A61,[1]Pricing!$A:$G,7,FALSE)</f>
        <v>1000</v>
      </c>
      <c r="L61" t="s">
        <v>1960</v>
      </c>
      <c r="M61" t="str">
        <f t="shared" si="1"/>
        <v>630-A70568-001</v>
      </c>
    </row>
    <row r="62" spans="1:13" x14ac:dyDescent="0.25">
      <c r="A62" t="s">
        <v>1715</v>
      </c>
      <c r="B62" s="14" t="str">
        <f>VLOOKUP(A62,[1]Pricing!$A:$R,18,FALSE)</f>
        <v>SSF-LXH240GGD</v>
      </c>
      <c r="C62" t="s">
        <v>2598</v>
      </c>
      <c r="D62" t="str">
        <f>VLOOKUP(A62,[1]AVL!$A:$F,6,FALSE)</f>
        <v>LED,DUAL,STK,RA,GRN ROHS</v>
      </c>
      <c r="E62" t="str">
        <f>VLOOKUP(A62,[1]Pricing!$A:$F,6,FALSE)</f>
        <v>19 Weeks</v>
      </c>
      <c r="F62">
        <f>VLOOKUP(B62,[2]Sheet2!$B:$E,4,FALSE)</f>
        <v>463</v>
      </c>
      <c r="G62" s="2">
        <f>VLOOKUP(A62,[1]Pricing!$A:$H,8,FALSE)</f>
        <v>0.45333699999999999</v>
      </c>
      <c r="H62" s="2">
        <f>VLOOKUP(A62,[1]Pricing!$A:$J,10,FALSE)</f>
        <v>0.55285000000000006</v>
      </c>
      <c r="I62">
        <f>VLOOKUP(A62,MIN!A:B,2,FALSE)</f>
        <v>25</v>
      </c>
      <c r="J62" t="str">
        <f t="shared" si="2"/>
        <v>NO</v>
      </c>
      <c r="K62">
        <f>VLOOKUP(A62,[1]Pricing!$A:$G,7,FALSE)</f>
        <v>500</v>
      </c>
      <c r="L62" t="s">
        <v>1960</v>
      </c>
      <c r="M62" t="str">
        <f t="shared" si="1"/>
        <v>662-073572-001</v>
      </c>
    </row>
    <row r="63" spans="1:13" x14ac:dyDescent="0.25">
      <c r="A63" t="s">
        <v>40</v>
      </c>
      <c r="B63" s="14" t="str">
        <f>VLOOKUP(A63,[1]Pricing!$A:$R,18,FALSE)</f>
        <v>10139085-124402LF</v>
      </c>
      <c r="C63" t="s">
        <v>2586</v>
      </c>
      <c r="D63" t="str">
        <f>VLOOKUP(A63,[1]AVL!$A:$F,6,FALSE)</f>
        <v>CONN,SMD,PLUG,MEZZ,0.8MM,120P,7.7MM HGT</v>
      </c>
      <c r="E63" t="str">
        <f>VLOOKUP(A63,[1]Pricing!$A:$F,6,FALSE)</f>
        <v>12 Weeks</v>
      </c>
      <c r="F63">
        <f>VLOOKUP(B63,[2]Sheet2!$B:$E,4,FALSE)</f>
        <v>399</v>
      </c>
      <c r="G63" s="2">
        <f>VLOOKUP(A63,[1]Pricing!$A:$H,8,FALSE)</f>
        <v>5.5420540000000003</v>
      </c>
      <c r="H63" s="2">
        <f>VLOOKUP(A63,[1]Pricing!$A:$J,10,FALSE)</f>
        <v>6.7586024390243908</v>
      </c>
      <c r="I63">
        <f>VLOOKUP(A63,MIN!A:B,2,FALSE)</f>
        <v>25</v>
      </c>
      <c r="J63" t="str">
        <f t="shared" si="2"/>
        <v>NO</v>
      </c>
      <c r="K63">
        <f>VLOOKUP(A63,[1]Pricing!$A:$G,7,FALSE)</f>
        <v>400</v>
      </c>
      <c r="L63" t="s">
        <v>1960</v>
      </c>
      <c r="M63" t="str">
        <f t="shared" si="1"/>
        <v>667-A20844-002</v>
      </c>
    </row>
    <row r="64" spans="1:13" x14ac:dyDescent="0.25">
      <c r="A64" t="s">
        <v>354</v>
      </c>
      <c r="B64" s="14" t="str">
        <f>VLOOKUP(A64,[1]Pricing!$A:$R,18,FALSE)</f>
        <v>5747846-6</v>
      </c>
      <c r="C64" t="s">
        <v>2599</v>
      </c>
      <c r="D64" t="str">
        <f>VLOOKUP(A64,[1]AVL!$A:$F,6,FALSE)</f>
        <v>CONN,RCPT,RTANG,D-SUB,25POSN,2ROW,6A</v>
      </c>
      <c r="E64" t="str">
        <f>VLOOKUP(A64,[1]Pricing!$A:$F,6,FALSE)</f>
        <v>4 Weeks</v>
      </c>
      <c r="F64">
        <f>VLOOKUP(B64,[2]Sheet2!$B:$E,4,FALSE)</f>
        <v>232</v>
      </c>
      <c r="G64" s="2">
        <f>VLOOKUP(A64,[1]Pricing!$A:$H,8,FALSE)</f>
        <v>5.7104499999999998</v>
      </c>
      <c r="H64" s="2">
        <f>VLOOKUP(A64,[1]Pricing!$A:$J,10,FALSE)</f>
        <v>6.9639634146341463</v>
      </c>
      <c r="I64">
        <f>VLOOKUP(A64,MIN!A:B,2,FALSE)</f>
        <v>15</v>
      </c>
      <c r="J64" t="str">
        <f t="shared" si="2"/>
        <v>NO</v>
      </c>
      <c r="K64">
        <f>VLOOKUP(A64,[1]Pricing!$A:$G,7,FALSE)</f>
        <v>260</v>
      </c>
      <c r="L64" t="s">
        <v>1960</v>
      </c>
      <c r="M64" t="str">
        <f t="shared" si="1"/>
        <v>668-299108-001</v>
      </c>
    </row>
    <row r="65" spans="1:13" x14ac:dyDescent="0.25">
      <c r="A65" t="s">
        <v>721</v>
      </c>
      <c r="B65" s="14" t="str">
        <f>VLOOKUP(A65,[1]Pricing!$A:$R,18,FALSE)</f>
        <v>dac7718SRGZR</v>
      </c>
      <c r="C65" t="s">
        <v>2595</v>
      </c>
      <c r="D65" t="str">
        <f>VLOOKUP(A65,[1]AVL!$A:$F,6,FALSE)</f>
        <v>IC,SMD,DAC,LO PWR,HV OUT,12BIT,VQFN-48</v>
      </c>
      <c r="E65" t="str">
        <f>VLOOKUP(A65,[1]Pricing!$A:$F,6,FALSE)</f>
        <v>3 Weeks</v>
      </c>
      <c r="F65">
        <f>VLOOKUP(B65,[2]Sheet2!$B:$E,4,FALSE)</f>
        <v>250</v>
      </c>
      <c r="G65" s="2">
        <f>VLOOKUP(A65,[1]Pricing!$A:$H,8,FALSE)</f>
        <v>14.914334999999999</v>
      </c>
      <c r="H65" s="2">
        <f>VLOOKUP(A65,[1]Pricing!$A:$J,10,FALSE)</f>
        <v>18.188213414634149</v>
      </c>
      <c r="I65">
        <f>VLOOKUP(A65,MIN!A:B,2,FALSE)</f>
        <v>15</v>
      </c>
      <c r="J65" t="str">
        <f t="shared" ref="J65:J128" si="3">IF(F65&lt;=I65,"REORDER","NO")</f>
        <v>NO</v>
      </c>
      <c r="K65">
        <f>VLOOKUP(A65,[1]Pricing!$A:$G,7,FALSE)</f>
        <v>250</v>
      </c>
      <c r="L65" t="s">
        <v>1960</v>
      </c>
      <c r="M65" t="str">
        <f t="shared" si="1"/>
        <v>630-A87681-001</v>
      </c>
    </row>
    <row r="66" spans="1:13" x14ac:dyDescent="0.25">
      <c r="A66" t="s">
        <v>142</v>
      </c>
      <c r="B66" s="14">
        <f>VLOOKUP(A66,[1]Pricing!$A:$R,18,FALSE)</f>
        <v>1843237</v>
      </c>
      <c r="C66" t="s">
        <v>2600</v>
      </c>
      <c r="D66" t="str">
        <f>VLOOKUP(A66,[1]AVL!$A:$F,6,FALSE)</f>
        <v>CONN,HDR,PCB,3POSN,8A,160V,3.5MM,GRN</v>
      </c>
      <c r="E66" t="str">
        <f>VLOOKUP(A66,[1]Pricing!$A:$F,6,FALSE)</f>
        <v>3 Weeks</v>
      </c>
      <c r="F66">
        <f>VLOOKUP(B66,[2]Sheet2!$B:$E,4,FALSE)</f>
        <v>250</v>
      </c>
      <c r="G66" s="2">
        <f>VLOOKUP(A66,[1]Pricing!$A:$H,8,FALSE)</f>
        <v>2.186537</v>
      </c>
      <c r="H66" s="2">
        <f>VLOOKUP(A66,[1]Pricing!$A:$J,10,FALSE)</f>
        <v>2.6665085365853658</v>
      </c>
      <c r="I66">
        <f>VLOOKUP(A66,MIN!A:B,2,FALSE)</f>
        <v>15</v>
      </c>
      <c r="J66" t="str">
        <f t="shared" si="3"/>
        <v>NO</v>
      </c>
      <c r="K66">
        <f>VLOOKUP(A66,[1]Pricing!$A:$G,7,FALSE)</f>
        <v>250</v>
      </c>
      <c r="L66" t="s">
        <v>1960</v>
      </c>
      <c r="M66" t="str">
        <f t="shared" si="1"/>
        <v>668-234157-001</v>
      </c>
    </row>
    <row r="67" spans="1:13" x14ac:dyDescent="0.25">
      <c r="A67" t="s">
        <v>141</v>
      </c>
      <c r="B67" s="14">
        <f>VLOOKUP(A67,[1]Pricing!$A:$R,18,FALSE)</f>
        <v>1843224</v>
      </c>
      <c r="C67" t="s">
        <v>2597</v>
      </c>
      <c r="D67" t="str">
        <f>VLOOKUP(A67,[1]AVL!$A:$F,6,FALSE)</f>
        <v>CONN,HDR,PCB,2POSN,8A,160V,3.5MM,GRN</v>
      </c>
      <c r="E67" t="str">
        <f>VLOOKUP(A67,[1]Pricing!$A:$F,6,FALSE)</f>
        <v>3 Weeks</v>
      </c>
      <c r="F67">
        <f>VLOOKUP(B67,[2]Sheet2!$B:$E,4,FALSE)</f>
        <v>250</v>
      </c>
      <c r="G67" s="2">
        <f>VLOOKUP(A67,[1]Pricing!$A:$H,8,FALSE)</f>
        <v>1.8513379999999999</v>
      </c>
      <c r="H67" s="2">
        <f>VLOOKUP(A67,[1]Pricing!$A:$J,10,FALSE)</f>
        <v>2.2577292682926831</v>
      </c>
      <c r="I67">
        <f>VLOOKUP(A67,MIN!A:B,2,FALSE)</f>
        <v>25</v>
      </c>
      <c r="J67" t="str">
        <f t="shared" si="3"/>
        <v>NO</v>
      </c>
      <c r="K67">
        <f>VLOOKUP(A67,[1]Pricing!$A:$G,7,FALSE)</f>
        <v>250</v>
      </c>
      <c r="L67" t="s">
        <v>1960</v>
      </c>
      <c r="M67" t="str">
        <f t="shared" ref="M67:M130" si="4">A67</f>
        <v>668-234157-002</v>
      </c>
    </row>
    <row r="68" spans="1:13" x14ac:dyDescent="0.25">
      <c r="A68" t="s">
        <v>719</v>
      </c>
      <c r="B68" s="14" t="str">
        <f>VLOOKUP(A68,[1]Pricing!$A:$R,18,FALSE)</f>
        <v>DAC60501ZDGSR</v>
      </c>
      <c r="C68" t="s">
        <v>2595</v>
      </c>
      <c r="D68" t="str">
        <f>VLOOKUP(A68,[1]AVL!$A:$F,6,FALSE)</f>
        <v>IC,SMD,DAC,12BIT,I2C/SPI,VOUT</v>
      </c>
      <c r="E68" t="str">
        <f>VLOOKUP(A68,[1]Pricing!$A:$F,6,FALSE)</f>
        <v>3 Weeks</v>
      </c>
      <c r="F68">
        <f>VLOOKUP(B68,[2]Sheet2!$B:$E,4,FALSE)</f>
        <v>250</v>
      </c>
      <c r="G68" s="2">
        <f>VLOOKUP(A68,[1]Pricing!$A:$H,8,FALSE)</f>
        <v>1.69119</v>
      </c>
      <c r="H68" s="2">
        <f>VLOOKUP(A68,[1]Pricing!$A:$J,10,FALSE)</f>
        <v>2.0624268292682926</v>
      </c>
      <c r="I68">
        <f>VLOOKUP(A68,MIN!A:B,2,FALSE)</f>
        <v>25</v>
      </c>
      <c r="J68" t="str">
        <f t="shared" si="3"/>
        <v>NO</v>
      </c>
      <c r="K68">
        <f>VLOOKUP(A68,[1]Pricing!$A:$G,7,FALSE)</f>
        <v>250</v>
      </c>
      <c r="L68" t="s">
        <v>1960</v>
      </c>
      <c r="M68" t="str">
        <f t="shared" si="4"/>
        <v>630-B14808-001</v>
      </c>
    </row>
    <row r="69" spans="1:13" x14ac:dyDescent="0.25">
      <c r="A69" t="s">
        <v>746</v>
      </c>
      <c r="B69" s="14" t="str">
        <f>VLOOKUP(A69,[1]Pricing!$A:$R,18,FALSE)</f>
        <v>DM53744-25</v>
      </c>
      <c r="C69" t="s">
        <v>2601</v>
      </c>
      <c r="D69" t="str">
        <f>VLOOKUP(A69,[1]AVL!$A:$F,6,FALSE)</f>
        <v>CONTACT,D-SUB POWER,RCPT,FEMALE,20A,12AW</v>
      </c>
      <c r="E69" t="str">
        <f>VLOOKUP(A69,[1]Pricing!$A:$F,6,FALSE)</f>
        <v>28 Weeks</v>
      </c>
      <c r="F69">
        <f>VLOOKUP(B69,[2]Sheet2!$B:$E,4,FALSE)</f>
        <v>200</v>
      </c>
      <c r="G69" s="2">
        <f>VLOOKUP(A69,[1]Pricing!$A:$H,8,FALSE)</f>
        <v>6.4159829999999998</v>
      </c>
      <c r="H69" s="2">
        <f>VLOOKUP(A69,[1]Pricing!$A:$J,10,FALSE)</f>
        <v>7.8243695121951218</v>
      </c>
      <c r="I69">
        <f>VLOOKUP(A69,MIN!A:B,2,FALSE)</f>
        <v>25</v>
      </c>
      <c r="J69" t="str">
        <f t="shared" si="3"/>
        <v>NO</v>
      </c>
      <c r="K69">
        <f>VLOOKUP(A69,[1]Pricing!$A:$G,7,FALSE)</f>
        <v>200</v>
      </c>
      <c r="L69" t="s">
        <v>1960</v>
      </c>
      <c r="M69" t="str">
        <f t="shared" si="4"/>
        <v>39-425128-00</v>
      </c>
    </row>
    <row r="70" spans="1:13" x14ac:dyDescent="0.25">
      <c r="A70" t="s">
        <v>444</v>
      </c>
      <c r="B70" s="14" t="str">
        <f>VLOOKUP(A70,[1]Pricing!$A:$R,18,FALSE)</f>
        <v>901-144</v>
      </c>
      <c r="C70" t="s">
        <v>2602</v>
      </c>
      <c r="D70" t="str">
        <f>VLOOKUP(A70,[1]AVL!$A:$F,6,FALSE)</f>
        <v>CONN,RCPT,SMA,STR,PCB,4 POST, ROHS</v>
      </c>
      <c r="E70" t="str">
        <f>VLOOKUP(A70,[1]Pricing!$A:$F,6,FALSE)</f>
        <v>9 Weeks</v>
      </c>
      <c r="F70">
        <f>VLOOKUP(B70,[2]Sheet2!$B:$E,4,FALSE)</f>
        <v>180</v>
      </c>
      <c r="G70" s="2">
        <f>VLOOKUP(A70,[1]Pricing!$A:$H,8,FALSE)</f>
        <v>9.0340179999999997</v>
      </c>
      <c r="H70" s="2">
        <f>VLOOKUP(A70,[1]Pricing!$A:$J,10,FALSE)</f>
        <v>11.01709512195122</v>
      </c>
      <c r="I70">
        <f>VLOOKUP(A70,MIN!A:B,2,FALSE)</f>
        <v>25</v>
      </c>
      <c r="J70" t="str">
        <f t="shared" si="3"/>
        <v>NO</v>
      </c>
      <c r="K70">
        <f>VLOOKUP(A70,[1]Pricing!$A:$G,7,FALSE)</f>
        <v>200</v>
      </c>
      <c r="L70" t="s">
        <v>1960</v>
      </c>
      <c r="M70" t="str">
        <f t="shared" si="4"/>
        <v>668-068181-001</v>
      </c>
    </row>
    <row r="71" spans="1:13" x14ac:dyDescent="0.25">
      <c r="A71" t="s">
        <v>1788</v>
      </c>
      <c r="B71" s="14" t="str">
        <f>VLOOKUP(A71,[1]Pricing!$A:$R,18,FALSE)</f>
        <v>TPS26600PWPR</v>
      </c>
      <c r="C71" t="s">
        <v>2595</v>
      </c>
      <c r="D71" t="str">
        <f>VLOOKUP(A71,[1]AVL!$A:$F,6,FALSE)</f>
        <v>IC,SMD,E-FUSE,60V,2A,HTSSOP-16</v>
      </c>
      <c r="E71" t="str">
        <f>VLOOKUP(A71,[1]Pricing!$A:$F,6,FALSE)</f>
        <v>3 Weeks</v>
      </c>
      <c r="F71">
        <f>VLOOKUP(B71,[2]Sheet2!$B:$E,4,FALSE)</f>
        <v>200</v>
      </c>
      <c r="G71" s="2">
        <f>VLOOKUP(A71,[1]Pricing!$A:$H,8,FALSE)</f>
        <v>1.982982</v>
      </c>
      <c r="H71" s="2">
        <f>VLOOKUP(A71,[1]Pricing!$A:$J,10,FALSE)</f>
        <v>2.4182707317073171</v>
      </c>
      <c r="I71">
        <f>VLOOKUP(A71,MIN!A:B,2,FALSE)</f>
        <v>15</v>
      </c>
      <c r="J71" t="str">
        <f t="shared" si="3"/>
        <v>NO</v>
      </c>
      <c r="K71">
        <f>VLOOKUP(A71,[1]Pricing!$A:$G,7,FALSE)</f>
        <v>200</v>
      </c>
      <c r="L71" t="s">
        <v>1960</v>
      </c>
      <c r="M71" t="str">
        <f t="shared" si="4"/>
        <v>630-A39017-001</v>
      </c>
    </row>
    <row r="72" spans="1:13" x14ac:dyDescent="0.25">
      <c r="A72" t="s">
        <v>486</v>
      </c>
      <c r="B72" s="14" t="str">
        <f>VLOOKUP(A72,[1]Pricing!$A:$R,18,FALSE)</f>
        <v>AD9467BCPZ-250</v>
      </c>
      <c r="C72" t="s">
        <v>2603</v>
      </c>
      <c r="D72" t="str">
        <f>VLOOKUP(A72,[1]AVL!$A:$F,6,FALSE)</f>
        <v>IC,SMD,ADC,16BIT,250MSPS,72LFCSP</v>
      </c>
      <c r="E72" t="str">
        <f>VLOOKUP(A72,[1]Pricing!$A:$F,6,FALSE)</f>
        <v>13 Weeks</v>
      </c>
      <c r="F72">
        <f>VLOOKUP(B72,[2]Sheet2!$B:$E,4,FALSE)</f>
        <v>11</v>
      </c>
      <c r="G72" s="2">
        <f>VLOOKUP(A72,[1]Pricing!$A:$H,8,FALSE)</f>
        <v>216.47232</v>
      </c>
      <c r="H72" s="2">
        <f>VLOOKUP(A72,[1]Pricing!$A:$J,10,FALSE)</f>
        <v>263.99063414634145</v>
      </c>
      <c r="I72">
        <f>VLOOKUP(A72,MIN!A:B,2,FALSE)</f>
        <v>25</v>
      </c>
      <c r="J72" t="str">
        <f t="shared" si="3"/>
        <v>REORDER</v>
      </c>
      <c r="K72">
        <f>VLOOKUP(A72,[1]Pricing!$A:$G,7,FALSE)</f>
        <v>100</v>
      </c>
      <c r="L72" t="s">
        <v>2689</v>
      </c>
      <c r="M72" t="str">
        <f t="shared" si="4"/>
        <v>630-337825-001</v>
      </c>
    </row>
    <row r="73" spans="1:13" x14ac:dyDescent="0.25">
      <c r="A73" t="s">
        <v>1767</v>
      </c>
      <c r="B73" s="14" t="str">
        <f>VLOOKUP(A73,[1]Pricing!$A:$R,18,FALSE)</f>
        <v>TMUX6104PWR</v>
      </c>
      <c r="C73" t="s">
        <v>2595</v>
      </c>
      <c r="D73" t="str">
        <f>VLOOKUP(A73,[1]AVL!$A:$F,6,FALSE)</f>
        <v>IC,SMD,MUX,5-16.5V DUAL SPLY,TSSOP-14</v>
      </c>
      <c r="E73" t="str">
        <f>VLOOKUP(A73,[1]Pricing!$A:$F,6,FALSE)</f>
        <v>3 Weeks</v>
      </c>
      <c r="F73">
        <f>VLOOKUP(B73,[2]Sheet2!$B:$E,4,FALSE)</f>
        <v>100</v>
      </c>
      <c r="G73" s="2">
        <f>VLOOKUP(A73,[1]Pricing!$A:$H,8,FALSE)</f>
        <v>4.1789550000000002</v>
      </c>
      <c r="H73" s="2">
        <f>VLOOKUP(A73,[1]Pricing!$A:$J,10,FALSE)</f>
        <v>5.0962865853658545</v>
      </c>
      <c r="I73">
        <f>VLOOKUP(A73,MIN!A:B,2,FALSE)</f>
        <v>25</v>
      </c>
      <c r="J73" t="str">
        <f t="shared" si="3"/>
        <v>NO</v>
      </c>
      <c r="K73">
        <f>VLOOKUP(A73,[1]Pricing!$A:$G,7,FALSE)</f>
        <v>100</v>
      </c>
      <c r="L73" t="s">
        <v>1960</v>
      </c>
      <c r="M73" t="str">
        <f t="shared" si="4"/>
        <v>630-A12986-001</v>
      </c>
    </row>
    <row r="74" spans="1:13" x14ac:dyDescent="0.25">
      <c r="A74" t="s">
        <v>1224</v>
      </c>
      <c r="B74" s="14" t="str">
        <f>VLOOKUP(A74,[1]Pricing!$A:$R,18,FALSE)</f>
        <v>OPA2277UA/2K5</v>
      </c>
      <c r="C74" t="s">
        <v>2604</v>
      </c>
      <c r="D74" t="str">
        <f>VLOOKUP(A74,[1]AVL!$A:$F,6,FALSE)</f>
        <v>IC,SMD,OPAMP,DUAL,OPA2277UA,SO-8,ROHS</v>
      </c>
      <c r="E74" t="str">
        <f>VLOOKUP(A74,[1]Pricing!$A:$F,6,FALSE)</f>
        <v>3 Weeks</v>
      </c>
      <c r="F74">
        <f>VLOOKUP(B74,[2]Sheet2!$B:$E,4,FALSE)</f>
        <v>100</v>
      </c>
      <c r="G74" s="2">
        <f>VLOOKUP(A74,[1]Pricing!$A:$H,8,FALSE)</f>
        <v>4.5466049999999996</v>
      </c>
      <c r="H74" s="2">
        <f>VLOOKUP(A74,[1]Pricing!$A:$J,10,FALSE)</f>
        <v>5.5446402439024389</v>
      </c>
      <c r="I74">
        <f>VLOOKUP(A74,MIN!A:B,2,FALSE)</f>
        <v>25</v>
      </c>
      <c r="J74" t="str">
        <f t="shared" si="3"/>
        <v>NO</v>
      </c>
      <c r="K74">
        <f>VLOOKUP(A74,[1]Pricing!$A:$G,7,FALSE)</f>
        <v>100</v>
      </c>
      <c r="L74" t="s">
        <v>1960</v>
      </c>
      <c r="M74" t="str">
        <f t="shared" si="4"/>
        <v>630-061092-002</v>
      </c>
    </row>
    <row r="75" spans="1:13" x14ac:dyDescent="0.25">
      <c r="A75" t="s">
        <v>1084</v>
      </c>
      <c r="B75" s="14" t="str">
        <f>VLOOKUP(A75,[1]Pricing!$A:$R,18,FALSE)</f>
        <v>LT3090EDD#PBF</v>
      </c>
      <c r="C75" t="s">
        <v>2605</v>
      </c>
      <c r="D75" t="str">
        <f>VLOOKUP(A75,[1]AVL!$A:$F,6,FALSE)</f>
        <v>IC,SMD,REG,LDO,NEG ADJ,0.6A,10DFN</v>
      </c>
      <c r="E75" t="str">
        <f>VLOOKUP(A75,[1]Pricing!$A:$F,6,FALSE)</f>
        <v>3 Weeks</v>
      </c>
      <c r="F75">
        <f>VLOOKUP(B75,[2]Sheet2!$B:$E,4,FALSE)</f>
        <v>100</v>
      </c>
      <c r="G75" s="2">
        <f>VLOOKUP(A75,[1]Pricing!$A:$H,8,FALSE)</f>
        <v>4.5711149999999998</v>
      </c>
      <c r="H75" s="2">
        <f>VLOOKUP(A75,[1]Pricing!$A:$J,10,FALSE)</f>
        <v>5.5745304878048785</v>
      </c>
      <c r="I75">
        <f>VLOOKUP(A75,MIN!A:B,2,FALSE)</f>
        <v>25</v>
      </c>
      <c r="J75" t="str">
        <f t="shared" si="3"/>
        <v>NO</v>
      </c>
      <c r="K75">
        <f>VLOOKUP(A75,[1]Pricing!$A:$G,7,FALSE)</f>
        <v>100</v>
      </c>
      <c r="L75" t="s">
        <v>1960</v>
      </c>
      <c r="M75" t="str">
        <f t="shared" si="4"/>
        <v>630-270072-001</v>
      </c>
    </row>
    <row r="76" spans="1:13" x14ac:dyDescent="0.25">
      <c r="A76" t="s">
        <v>328</v>
      </c>
      <c r="B76" s="14" t="str">
        <f>VLOOKUP(A76,[1]Pricing!$A:$R,18,FALSE)</f>
        <v>5227161-7</v>
      </c>
      <c r="C76" t="s">
        <v>2599</v>
      </c>
      <c r="D76" t="str">
        <f>VLOOKUP(A76,[1]AVL!$A:$F,6,FALSE)</f>
        <v>CONN,BNC,JACK,RF,1POSN,50OHM,WHT,RTANG</v>
      </c>
      <c r="E76" t="str">
        <f>VLOOKUP(A76,[1]Pricing!$A:$F,6,FALSE)</f>
        <v>10 Weeks</v>
      </c>
      <c r="F76">
        <f>VLOOKUP(B76,[2]Sheet2!$B:$E,4,FALSE)</f>
        <v>70</v>
      </c>
      <c r="G76" s="2">
        <f>VLOOKUP(A76,[1]Pricing!$A:$H,8,FALSE)</f>
        <v>4.4323880000000004</v>
      </c>
      <c r="H76" s="2">
        <f>VLOOKUP(A76,[1]Pricing!$A:$J,10,FALSE)</f>
        <v>5.4053512195121955</v>
      </c>
      <c r="I76">
        <f>VLOOKUP(A76,MIN!A:B,2,FALSE)</f>
        <v>25</v>
      </c>
      <c r="J76" t="str">
        <f t="shared" si="3"/>
        <v>NO</v>
      </c>
      <c r="K76">
        <f>VLOOKUP(A76,[1]Pricing!$A:$G,7,FALSE)</f>
        <v>70</v>
      </c>
      <c r="L76" t="s">
        <v>1960</v>
      </c>
      <c r="M76" t="str">
        <f t="shared" si="4"/>
        <v>668-B14968-001</v>
      </c>
    </row>
    <row r="77" spans="1:13" x14ac:dyDescent="0.25">
      <c r="A77" t="s">
        <v>1858</v>
      </c>
      <c r="B77" s="14" t="str">
        <f>VLOOKUP(A77,[1]Pricing!$A:$R,18,FALSE)</f>
        <v>XC7Z007S-2CLG400I</v>
      </c>
      <c r="C77" t="s">
        <v>2606</v>
      </c>
      <c r="D77" t="str">
        <f>VLOOKUP(A77,[1]AVL!$A:$F,6,FALSE)</f>
        <v>IC,SMD,FPGA,SOC,CORTEX-A9,ARTIX-7,400BGA</v>
      </c>
      <c r="E77" t="str">
        <f>VLOOKUP(A77,[1]Pricing!$A:$F,6,FALSE)</f>
        <v>26 Weeks</v>
      </c>
      <c r="F77">
        <f>VLOOKUP(B77,[2]Sheet2!$B:$E,4,FALSE)</f>
        <v>50</v>
      </c>
      <c r="G77" s="2">
        <f>VLOOKUP(A77,[1]Pricing!$A:$H,8,FALSE)</f>
        <v>84.449205000000006</v>
      </c>
      <c r="H77" s="2">
        <f>VLOOKUP(A77,[1]Pricing!$A:$J,10,FALSE)</f>
        <v>102.98683536585368</v>
      </c>
      <c r="I77">
        <f>VLOOKUP(A77,MIN!A:B,2,FALSE)</f>
        <v>25</v>
      </c>
      <c r="J77" t="str">
        <f t="shared" si="3"/>
        <v>NO</v>
      </c>
      <c r="K77">
        <f>VLOOKUP(A77,[1]Pricing!$A:$G,7,FALSE)</f>
        <v>50</v>
      </c>
      <c r="L77" t="s">
        <v>1960</v>
      </c>
      <c r="M77" t="str">
        <f t="shared" si="4"/>
        <v>630-309829-001</v>
      </c>
    </row>
    <row r="78" spans="1:13" x14ac:dyDescent="0.25">
      <c r="A78" t="s">
        <v>251</v>
      </c>
      <c r="B78" s="14" t="str">
        <f>VLOOKUP(A78,[1]Pricing!$A:$R,18,FALSE)</f>
        <v>345-060-521-202</v>
      </c>
      <c r="C78" t="s">
        <v>2607</v>
      </c>
      <c r="D78" t="str">
        <f>VLOOKUP(A78,[1]AVL!$A:$F,6,FALSE)</f>
        <v>CONN,RCPT,CARD EDGE,60POSN,1200VAC,3A</v>
      </c>
      <c r="E78" t="str">
        <f>VLOOKUP(A78,[1]Pricing!$A:$F,6,FALSE)</f>
        <v>21 Weeks</v>
      </c>
      <c r="F78">
        <f>VLOOKUP(B78,[2]Sheet2!$B:$E,4,FALSE)</f>
        <v>250</v>
      </c>
      <c r="G78" s="2">
        <f>VLOOKUP(A78,[1]Pricing!$A:$H,8,FALSE)</f>
        <v>10.68685</v>
      </c>
      <c r="H78" s="2">
        <f>VLOOKUP(A78,[1]Pricing!$A:$J,10,FALSE)</f>
        <v>13.032743902439025</v>
      </c>
      <c r="I78">
        <f>VLOOKUP(A78,MIN!A:B,2,FALSE)</f>
        <v>25</v>
      </c>
      <c r="J78" t="str">
        <f t="shared" si="3"/>
        <v>NO</v>
      </c>
      <c r="K78">
        <f>VLOOKUP(A78,[1]Pricing!$A:$G,7,FALSE)</f>
        <v>250</v>
      </c>
      <c r="L78" t="s">
        <v>1960</v>
      </c>
      <c r="M78" t="str">
        <f t="shared" si="4"/>
        <v>668-A96865-060</v>
      </c>
    </row>
    <row r="79" spans="1:13" x14ac:dyDescent="0.25">
      <c r="A79" t="s">
        <v>249</v>
      </c>
      <c r="B79" s="14" t="str">
        <f>VLOOKUP(A79,[1]Pricing!$A:$R,18,FALSE)</f>
        <v>345-010-521-201</v>
      </c>
      <c r="C79" t="s">
        <v>2607</v>
      </c>
      <c r="D79" t="str">
        <f>VLOOKUP(A79,[1]AVL!$A:$F,6,FALSE)</f>
        <v>CONN,RCPT,CARD EDGE,10POSN,1200VAC,3A</v>
      </c>
      <c r="E79" t="str">
        <f>VLOOKUP(A79,[1]Pricing!$A:$F,6,FALSE)</f>
        <v>19 Weeks</v>
      </c>
      <c r="F79">
        <f>VLOOKUP(B79,[2]Sheet2!$B:$E,4,FALSE)</f>
        <v>400</v>
      </c>
      <c r="G79" s="2">
        <f>VLOOKUP(A79,[1]Pricing!$A:$H,8,FALSE)</f>
        <v>5.6740649999999997</v>
      </c>
      <c r="H79" s="2">
        <f>VLOOKUP(A79,[1]Pricing!$A:$J,10,FALSE)</f>
        <v>6.9195914634146343</v>
      </c>
      <c r="I79">
        <f>VLOOKUP(A79,MIN!A:B,2,FALSE)</f>
        <v>25</v>
      </c>
      <c r="J79" t="str">
        <f t="shared" si="3"/>
        <v>NO</v>
      </c>
      <c r="K79">
        <f>VLOOKUP(A79,[1]Pricing!$A:$G,7,FALSE)</f>
        <v>400</v>
      </c>
      <c r="L79" t="s">
        <v>1960</v>
      </c>
      <c r="M79" t="str">
        <f t="shared" si="4"/>
        <v>668-A96422-010</v>
      </c>
    </row>
    <row r="80" spans="1:13" x14ac:dyDescent="0.25">
      <c r="A80" t="s">
        <v>1812</v>
      </c>
      <c r="B80" s="14" t="str">
        <f>VLOOKUP(A80,[1]Pricing!$A:$R,18,FALSE)</f>
        <v>TSM-102-01-S-SV</v>
      </c>
      <c r="C80" t="s">
        <v>2608</v>
      </c>
      <c r="D80" t="str">
        <f>VLOOKUP(A80,[1]AVL!$A:$F,6,FALSE)</f>
        <v>CONN,SMD,HDR,UNSHRD,2 POSN,.1IN,AU PLD</v>
      </c>
      <c r="E80" t="str">
        <f>VLOOKUP(A80,[1]Pricing!$A:$F,6,FALSE)</f>
        <v>4 Weeks</v>
      </c>
      <c r="F80">
        <f>VLOOKUP(B80,[2]Sheet2!$B:$E,4,FALSE)</f>
        <v>500</v>
      </c>
      <c r="G80" s="2">
        <f>VLOOKUP(A80,[1]Pricing!$A:$H,8,FALSE)</f>
        <v>0.28571299999999999</v>
      </c>
      <c r="H80" s="2">
        <f>VLOOKUP(A80,[1]Pricing!$A:$J,10,FALSE)</f>
        <v>0.34843048780487806</v>
      </c>
      <c r="I80">
        <f>VLOOKUP(A80,MIN!A:B,2,FALSE)</f>
        <v>15</v>
      </c>
      <c r="J80" t="str">
        <f t="shared" si="3"/>
        <v>NO</v>
      </c>
      <c r="K80">
        <f>VLOOKUP(A80,[1]Pricing!$A:$G,7,FALSE)</f>
        <v>500</v>
      </c>
      <c r="L80" t="s">
        <v>1960</v>
      </c>
      <c r="M80" t="str">
        <f t="shared" si="4"/>
        <v>667-A27948-002</v>
      </c>
    </row>
    <row r="81" spans="1:13" x14ac:dyDescent="0.25">
      <c r="A81" t="s">
        <v>1814</v>
      </c>
      <c r="B81" s="14" t="str">
        <f>VLOOKUP(A81,[1]Pricing!$A:$R,18,FALSE)</f>
        <v>TSM-103-01-S-SV</v>
      </c>
      <c r="C81" t="s">
        <v>2608</v>
      </c>
      <c r="D81" t="str">
        <f>VLOOKUP(A81,[1]AVL!$A:$F,6,FALSE)</f>
        <v>CONN,SMD,HDR,UNSHRD,3 POSN,.1IN,AU PLD</v>
      </c>
      <c r="E81" t="str">
        <f>VLOOKUP(A81,[1]Pricing!$A:$F,6,FALSE)</f>
        <v>6 Weeks</v>
      </c>
      <c r="F81">
        <f>VLOOKUP(B81,[2]Sheet2!$B:$E,4,FALSE)</f>
        <v>500</v>
      </c>
      <c r="G81" s="2">
        <f>VLOOKUP(A81,[1]Pricing!$A:$H,8,FALSE)</f>
        <v>0.529416</v>
      </c>
      <c r="H81" s="2">
        <f>VLOOKUP(A81,[1]Pricing!$A:$J,10,FALSE)</f>
        <v>0.64562926829268297</v>
      </c>
      <c r="I81">
        <f>VLOOKUP(A81,MIN!A:B,2,FALSE)</f>
        <v>25</v>
      </c>
      <c r="J81" t="str">
        <f t="shared" si="3"/>
        <v>NO</v>
      </c>
      <c r="K81">
        <f>VLOOKUP(A81,[1]Pricing!$A:$G,7,FALSE)</f>
        <v>500</v>
      </c>
      <c r="L81" t="s">
        <v>1960</v>
      </c>
      <c r="M81" t="str">
        <f t="shared" si="4"/>
        <v>667-A27948-003</v>
      </c>
    </row>
    <row r="82" spans="1:13" x14ac:dyDescent="0.25">
      <c r="A82" t="s">
        <v>1816</v>
      </c>
      <c r="B82" s="14" t="str">
        <f>VLOOKUP(A82,[1]Pricing!$A:$R,18,FALSE)</f>
        <v>TSM-103-02-S-SV</v>
      </c>
      <c r="C82" t="s">
        <v>2608</v>
      </c>
      <c r="D82" t="str">
        <f>VLOOKUP(A82,[1]AVL!$A:$F,6,FALSE)</f>
        <v>CONN,SMD,HDR,3PIN,VERT,1ROW,2.54MM</v>
      </c>
      <c r="E82" t="str">
        <f>VLOOKUP(A82,[1]Pricing!$A:$F,6,FALSE)</f>
        <v>7 Weeks</v>
      </c>
      <c r="F82">
        <f>VLOOKUP(B82,[2]Sheet2!$B:$E,4,FALSE)</f>
        <v>300</v>
      </c>
      <c r="G82" s="2">
        <f>VLOOKUP(A82,[1]Pricing!$A:$H,8,FALSE)</f>
        <v>0.52218600000000004</v>
      </c>
      <c r="H82" s="2">
        <f>VLOOKUP(A82,[1]Pricing!$A:$J,10,FALSE)</f>
        <v>0.63681219512195131</v>
      </c>
      <c r="I82">
        <f>VLOOKUP(A82,MIN!A:B,2,FALSE)</f>
        <v>25</v>
      </c>
      <c r="J82" t="str">
        <f t="shared" si="3"/>
        <v>NO</v>
      </c>
      <c r="K82">
        <f>VLOOKUP(A82,[1]Pricing!$A:$G,7,FALSE)</f>
        <v>300</v>
      </c>
      <c r="L82" t="s">
        <v>1960</v>
      </c>
      <c r="M82" t="str">
        <f t="shared" si="4"/>
        <v>667-B14849-001</v>
      </c>
    </row>
    <row r="83" spans="1:13" x14ac:dyDescent="0.25">
      <c r="A83" t="s">
        <v>944</v>
      </c>
      <c r="B83" s="14" t="str">
        <f>VLOOKUP(A83,[1]Pricing!$A:$R,18,FALSE)</f>
        <v>HLE-103-02-F-DV</v>
      </c>
      <c r="C83" t="s">
        <v>2608</v>
      </c>
      <c r="D83" t="str">
        <f>VLOOKUP(A83,[1]AVL!$A:$F,6,FALSE)</f>
        <v>CONN,SMD,RCPT,3POSN,2 ROW,2.54MM PITCH</v>
      </c>
      <c r="E83" t="str">
        <f>VLOOKUP(A83,[1]Pricing!$A:$F,6,FALSE)</f>
        <v>6 Weeks</v>
      </c>
      <c r="F83">
        <f>VLOOKUP(B83,[2]Sheet2!$B:$E,4,FALSE)</f>
        <v>222</v>
      </c>
      <c r="G83" s="2">
        <f>VLOOKUP(A83,[1]Pricing!$A:$H,8,FALSE)</f>
        <v>1.4215800000000001</v>
      </c>
      <c r="H83" s="2">
        <f>VLOOKUP(A83,[1]Pricing!$A:$J,10,FALSE)</f>
        <v>1.7336341463414635</v>
      </c>
      <c r="I83">
        <f>VLOOKUP(A83,MIN!A:B,2,FALSE)</f>
        <v>25</v>
      </c>
      <c r="J83" t="str">
        <f t="shared" si="3"/>
        <v>NO</v>
      </c>
      <c r="K83">
        <f>VLOOKUP(A83,[1]Pricing!$A:$G,7,FALSE)</f>
        <v>222</v>
      </c>
      <c r="L83" t="s">
        <v>1960</v>
      </c>
      <c r="M83" t="str">
        <f t="shared" si="4"/>
        <v>667-B30869-003</v>
      </c>
    </row>
    <row r="84" spans="1:13" x14ac:dyDescent="0.25">
      <c r="A84" t="s">
        <v>1820</v>
      </c>
      <c r="B84" s="14" t="str">
        <f>VLOOKUP(A84,[1]Pricing!$A:$R,18,FALSE)</f>
        <v>TSM-120-02-S-DV</v>
      </c>
      <c r="C84" t="s">
        <v>2608</v>
      </c>
      <c r="D84" t="str">
        <f>VLOOKUP(A84,[1]AVL!$A:$F,6,FALSE)</f>
        <v>CONN,SMD,HDR,40PIN,VERT,2ROW,2.54MM</v>
      </c>
      <c r="E84" t="str">
        <f>VLOOKUP(A84,[1]Pricing!$A:$F,6,FALSE)</f>
        <v>6 Weeks</v>
      </c>
      <c r="F84">
        <f>VLOOKUP(B84,[2]Sheet2!$B:$E,4,FALSE)</f>
        <v>115</v>
      </c>
      <c r="G84" s="2">
        <f>VLOOKUP(A84,[1]Pricing!$A:$H,8,FALSE)</f>
        <v>4.0441500000000001</v>
      </c>
      <c r="H84" s="2">
        <f>VLOOKUP(A84,[1]Pricing!$A:$J,10,FALSE)</f>
        <v>4.9318902439024397</v>
      </c>
      <c r="I84">
        <f>VLOOKUP(A84,MIN!A:B,2,FALSE)</f>
        <v>25</v>
      </c>
      <c r="J84" t="str">
        <f t="shared" si="3"/>
        <v>NO</v>
      </c>
      <c r="K84">
        <f>VLOOKUP(A84,[1]Pricing!$A:$G,7,FALSE)</f>
        <v>125</v>
      </c>
      <c r="L84" t="s">
        <v>1960</v>
      </c>
      <c r="M84" t="str">
        <f t="shared" si="4"/>
        <v>667-B14845-001</v>
      </c>
    </row>
    <row r="85" spans="1:13" x14ac:dyDescent="0.25">
      <c r="A85" t="s">
        <v>1818</v>
      </c>
      <c r="B85" s="14" t="str">
        <f>VLOOKUP(A85,[1]Pricing!$A:$R,18,FALSE)</f>
        <v>TSM-110-02-S-DV</v>
      </c>
      <c r="C85" t="s">
        <v>2608</v>
      </c>
      <c r="D85" t="str">
        <f>VLOOKUP(A85,[1]AVL!$A:$F,6,FALSE)</f>
        <v>CONN,SMD,HDR,20PIN,VERT,2ROW,2.54MM</v>
      </c>
      <c r="E85" t="str">
        <f>VLOOKUP(A85,[1]Pricing!$A:$F,6,FALSE)</f>
        <v>5 Weeks</v>
      </c>
      <c r="F85">
        <f>VLOOKUP(B85,[2]Sheet2!$B:$E,4,FALSE)</f>
        <v>125</v>
      </c>
      <c r="G85" s="2">
        <f>VLOOKUP(A85,[1]Pricing!$A:$H,8,FALSE)</f>
        <v>2.8431600000000001</v>
      </c>
      <c r="H85" s="2">
        <f>VLOOKUP(A85,[1]Pricing!$A:$J,10,FALSE)</f>
        <v>3.467268292682927</v>
      </c>
      <c r="I85">
        <f>VLOOKUP(A85,MIN!A:B,2,FALSE)</f>
        <v>25</v>
      </c>
      <c r="J85" t="str">
        <f t="shared" si="3"/>
        <v>NO</v>
      </c>
      <c r="K85">
        <f>VLOOKUP(A85,[1]Pricing!$A:$G,7,FALSE)</f>
        <v>125</v>
      </c>
      <c r="L85" t="s">
        <v>1960</v>
      </c>
      <c r="M85" t="str">
        <f t="shared" si="4"/>
        <v>667-B14845-020</v>
      </c>
    </row>
    <row r="86" spans="1:13" x14ac:dyDescent="0.25">
      <c r="A86" t="s">
        <v>1717</v>
      </c>
      <c r="B86" s="14" t="str">
        <f>VLOOKUP(A86,[1]Pricing!$A:$R,18,FALSE)</f>
        <v>SSW-113-01-G-D</v>
      </c>
      <c r="C86" t="s">
        <v>2608</v>
      </c>
      <c r="D86" t="str">
        <f>VLOOKUP(A86,[1]AVL!$A:$F,6,FALSE)</f>
        <v>CONN,SKT,STR,.1 X .1, 26 PIN</v>
      </c>
      <c r="E86" t="str">
        <f>VLOOKUP(A86,[1]Pricing!$A:$F,6,FALSE)</f>
        <v>9 Weeks</v>
      </c>
      <c r="F86">
        <f>VLOOKUP(B86,[2]Sheet2!$B:$E,4,FALSE)</f>
        <v>50</v>
      </c>
      <c r="G86" s="2">
        <f>VLOOKUP(A86,[1]Pricing!$A:$H,8,FALSE)</f>
        <v>3.448067</v>
      </c>
      <c r="H86" s="2">
        <f>VLOOKUP(A86,[1]Pricing!$A:$J,10,FALSE)</f>
        <v>4.2049597560975611</v>
      </c>
      <c r="I86">
        <f>VLOOKUP(A86,MIN!A:B,2,FALSE)</f>
        <v>25</v>
      </c>
      <c r="J86" t="str">
        <f t="shared" si="3"/>
        <v>NO</v>
      </c>
      <c r="K86">
        <f>VLOOKUP(A86,[1]Pricing!$A:$G,7,FALSE)</f>
        <v>50</v>
      </c>
      <c r="L86" t="s">
        <v>1960</v>
      </c>
      <c r="M86" t="str">
        <f t="shared" si="4"/>
        <v>668-900922-026</v>
      </c>
    </row>
    <row r="87" spans="1:13" x14ac:dyDescent="0.25">
      <c r="A87" t="s">
        <v>1204</v>
      </c>
      <c r="B87" s="14" t="str">
        <f>VLOOKUP(A87,[1]Pricing!$A:$R,18,FALSE)</f>
        <v>MTSW-116-22-T-S-440</v>
      </c>
      <c r="C87" t="s">
        <v>2608</v>
      </c>
      <c r="D87" t="str">
        <f>VLOOKUP(A87,[1]AVL!$A:$F,6,FALSE)</f>
        <v>CONN,HDR,PLUG,16POSN,1ROW,.1IN PITCH,TH</v>
      </c>
      <c r="E87" t="str">
        <f>VLOOKUP(A87,[1]Pricing!$A:$F,6,FALSE)</f>
        <v>7 Weeks</v>
      </c>
      <c r="F87">
        <f>VLOOKUP(B87,[2]Sheet2!$B:$E,4,FALSE)</f>
        <v>30</v>
      </c>
      <c r="G87" s="2">
        <f>VLOOKUP(A87,[1]Pricing!$A:$H,8,FALSE)</f>
        <v>1.5318750000000001</v>
      </c>
      <c r="H87" s="2">
        <f>VLOOKUP(A87,[1]Pricing!$A:$J,10,FALSE)</f>
        <v>1.8681402439024393</v>
      </c>
      <c r="I87">
        <f>VLOOKUP(A87,MIN!A:B,2,FALSE)</f>
        <v>15</v>
      </c>
      <c r="J87" t="str">
        <f t="shared" si="3"/>
        <v>NO</v>
      </c>
      <c r="K87">
        <f>VLOOKUP(A87,[1]Pricing!$A:$G,7,FALSE)</f>
        <v>30</v>
      </c>
      <c r="L87" t="s">
        <v>1960</v>
      </c>
      <c r="M87" t="str">
        <f t="shared" si="4"/>
        <v>668-B29177-001</v>
      </c>
    </row>
    <row r="88" spans="1:13" x14ac:dyDescent="0.25">
      <c r="A88" t="s">
        <v>1695</v>
      </c>
      <c r="B88" s="14" t="str">
        <f>VLOOKUP(A88,[1]Pricing!$A:$R,18,FALSE)</f>
        <v>SN74LVC245APWR</v>
      </c>
      <c r="C88" t="s">
        <v>2595</v>
      </c>
      <c r="D88" t="str">
        <f>VLOOKUP(A88,[1]AVL!$A:$F,6,FALSE)</f>
        <v>IC,SMD,BUS TRANSCEIVER 8BIT 20TSSOP</v>
      </c>
      <c r="E88" t="str">
        <f>VLOOKUP(A88,[1]Pricing!$A:$F,6,FALSE)</f>
        <v>48 Weeks</v>
      </c>
      <c r="F88">
        <f>VLOOKUP(B88,[2]Sheet2!$B:$E,4,FALSE)</f>
        <v>1938</v>
      </c>
      <c r="G88" s="2">
        <f>VLOOKUP(A88,[1]Pricing!$A:$H,8,FALSE)</f>
        <v>0.116423</v>
      </c>
      <c r="H88" s="2">
        <f>VLOOKUP(A88,[1]Pricing!$A:$J,10,FALSE)</f>
        <v>0.14197926829268293</v>
      </c>
      <c r="I88">
        <f>VLOOKUP(A88,MIN!A:B,2,FALSE)</f>
        <v>25</v>
      </c>
      <c r="J88" t="str">
        <f t="shared" si="3"/>
        <v>NO</v>
      </c>
      <c r="K88">
        <f>VLOOKUP(A88,[1]Pricing!$A:$G,7,FALSE)</f>
        <v>2000</v>
      </c>
      <c r="L88" t="s">
        <v>1960</v>
      </c>
      <c r="M88" t="str">
        <f t="shared" si="4"/>
        <v>630-122761-001</v>
      </c>
    </row>
    <row r="89" spans="1:13" x14ac:dyDescent="0.25">
      <c r="A89" t="s">
        <v>1046</v>
      </c>
      <c r="B89" s="14" t="str">
        <f>VLOOKUP(A89,[1]Pricing!$A:$R,18,FALSE)</f>
        <v>LM4040AIM3-2.5/NOPB</v>
      </c>
      <c r="C89" t="s">
        <v>2595</v>
      </c>
      <c r="D89" t="str">
        <f>VLOOKUP(A89,[1]AVL!$A:$F,6,FALSE)</f>
        <v>DIO,SMD,VOLT REF 2.5V,LM4040, SOT23,ROHS</v>
      </c>
      <c r="E89" t="str">
        <f>VLOOKUP(A89,[1]Pricing!$A:$F,6,FALSE)</f>
        <v>3 Weeks</v>
      </c>
      <c r="F89">
        <f>VLOOKUP(B89,[2]Sheet2!$B:$E,4,FALSE)</f>
        <v>795</v>
      </c>
      <c r="G89" s="2">
        <f>VLOOKUP(A89,[1]Pricing!$A:$H,8,FALSE)</f>
        <v>0.93137999999999999</v>
      </c>
      <c r="H89" s="2">
        <f>VLOOKUP(A89,[1]Pricing!$A:$J,10,FALSE)</f>
        <v>1.1358292682926829</v>
      </c>
      <c r="I89">
        <f>VLOOKUP(A89,MIN!A:B,2,FALSE)</f>
        <v>15</v>
      </c>
      <c r="J89" t="str">
        <f t="shared" si="3"/>
        <v>NO</v>
      </c>
      <c r="K89">
        <f>VLOOKUP(A89,[1]Pricing!$A:$G,7,FALSE)</f>
        <v>1000</v>
      </c>
      <c r="L89" t="s">
        <v>1960</v>
      </c>
      <c r="M89" t="str">
        <f t="shared" si="4"/>
        <v>609-017889-025</v>
      </c>
    </row>
    <row r="90" spans="1:13" x14ac:dyDescent="0.25">
      <c r="A90" t="s">
        <v>1800</v>
      </c>
      <c r="B90" s="14" t="str">
        <f>VLOOKUP(A90,[1]Pricing!$A:$R,18,FALSE)</f>
        <v>TPS7A4501KTTR</v>
      </c>
      <c r="C90" t="s">
        <v>2595</v>
      </c>
      <c r="D90" t="str">
        <f>VLOOKUP(A90,[1]AVL!$A:$F,6,FALSE)</f>
        <v>IC,SMD,V REG,LDO,POS ADJ,1.5A</v>
      </c>
      <c r="E90" t="str">
        <f>VLOOKUP(A90,[1]Pricing!$A:$F,6,FALSE)</f>
        <v>3 Weeks</v>
      </c>
      <c r="F90">
        <f>VLOOKUP(B90,[2]Sheet2!$B:$E,4,FALSE)</f>
        <v>430</v>
      </c>
      <c r="G90" s="2">
        <f>VLOOKUP(A90,[1]Pricing!$A:$H,8,FALSE)</f>
        <v>1.91178</v>
      </c>
      <c r="H90" s="2">
        <f>VLOOKUP(A90,[1]Pricing!$A:$J,10,FALSE)</f>
        <v>2.3314390243902441</v>
      </c>
      <c r="I90">
        <f>VLOOKUP(A90,MIN!A:B,2,FALSE)</f>
        <v>25</v>
      </c>
      <c r="J90" t="str">
        <f t="shared" si="3"/>
        <v>NO</v>
      </c>
      <c r="K90">
        <f>VLOOKUP(A90,[1]Pricing!$A:$G,7,FALSE)</f>
        <v>500</v>
      </c>
      <c r="L90" t="s">
        <v>1960</v>
      </c>
      <c r="M90" t="str">
        <f t="shared" si="4"/>
        <v>630-128822-001</v>
      </c>
    </row>
    <row r="91" spans="1:13" x14ac:dyDescent="0.25">
      <c r="A91" t="s">
        <v>1028</v>
      </c>
      <c r="B91" s="14" t="str">
        <f>VLOOKUP(A91,[1]Pricing!$A:$R,18,FALSE)</f>
        <v>L77TWA7W2S</v>
      </c>
      <c r="C91" t="s">
        <v>2602</v>
      </c>
      <c r="D91" t="str">
        <f>VLOOKUP(A91,[1]AVL!$A:$F,6,FALSE)</f>
        <v>CONN,DB15F,7W2,5SIG 2PWR</v>
      </c>
      <c r="E91" t="str">
        <f>VLOOKUP(A91,[1]Pricing!$A:$F,6,FALSE)</f>
        <v>3 Weeks</v>
      </c>
      <c r="F91">
        <f>VLOOKUP(B91,[2]Sheet2!$B:$E,4,FALSE)</f>
        <v>101</v>
      </c>
      <c r="G91" s="2">
        <f>VLOOKUP(A91,[1]Pricing!$A:$H,8,FALSE)</f>
        <v>5.6000449999999997</v>
      </c>
      <c r="H91" s="2">
        <f>VLOOKUP(A91,[1]Pricing!$A:$J,10,FALSE)</f>
        <v>6.8293231707317075</v>
      </c>
      <c r="I91">
        <f>VLOOKUP(A91,MIN!A:B,2,FALSE)</f>
        <v>25</v>
      </c>
      <c r="J91" t="str">
        <f t="shared" si="3"/>
        <v>NO</v>
      </c>
      <c r="K91">
        <f>VLOOKUP(A91,[1]Pricing!$A:$G,7,FALSE)</f>
        <v>100</v>
      </c>
      <c r="L91" t="s">
        <v>1960</v>
      </c>
      <c r="M91" t="str">
        <f t="shared" si="4"/>
        <v>39-108312-00</v>
      </c>
    </row>
    <row r="92" spans="1:13" x14ac:dyDescent="0.25">
      <c r="A92" t="s">
        <v>1540</v>
      </c>
      <c r="B92" s="14" t="str">
        <f>VLOOKUP(A92,[1]Pricing!$A:$R,18,FALSE)</f>
        <v>RT0402BRD0730K1L</v>
      </c>
      <c r="C92" t="s">
        <v>2580</v>
      </c>
      <c r="D92" t="str">
        <f>VLOOKUP(A92,[1]AVL!$A:$F,6,FALSE)</f>
        <v>RES,SMD,30.1KOHM,0.1%,1/16W,0402</v>
      </c>
      <c r="E92" t="str">
        <f>VLOOKUP(A92,[1]Pricing!$A:$F,6,FALSE)</f>
        <v>22 Weeks</v>
      </c>
      <c r="F92">
        <f>VLOOKUP(B92,[2]Sheet2!$B:$E,4,FALSE)</f>
        <v>9660</v>
      </c>
      <c r="G92" s="2">
        <f>VLOOKUP(A92,[1]Pricing!$A:$H,8,FALSE)</f>
        <v>4.1116E-2</v>
      </c>
      <c r="H92" s="2">
        <f>VLOOKUP(A92,[1]Pricing!$A:$J,10,FALSE)</f>
        <v>5.0141463414634151E-2</v>
      </c>
      <c r="I92">
        <f>VLOOKUP(A92,MIN!A:B,2,FALSE)</f>
        <v>25</v>
      </c>
      <c r="J92" t="str">
        <f t="shared" si="3"/>
        <v>NO</v>
      </c>
      <c r="K92">
        <f>VLOOKUP(A92,[1]Pricing!$A:$G,7,FALSE)</f>
        <v>10000</v>
      </c>
      <c r="L92" t="s">
        <v>1960</v>
      </c>
      <c r="M92" t="str">
        <f t="shared" si="4"/>
        <v>615-A00424-301</v>
      </c>
    </row>
    <row r="93" spans="1:13" x14ac:dyDescent="0.25">
      <c r="A93" t="s">
        <v>1554</v>
      </c>
      <c r="B93" s="14" t="str">
        <f>VLOOKUP(A93,[1]Pricing!$A:$R,18,FALSE)</f>
        <v>RT0402BRD075K9L</v>
      </c>
      <c r="C93" t="s">
        <v>2580</v>
      </c>
      <c r="D93" t="str">
        <f>VLOOKUP(A93,[1]AVL!$A:$F,6,FALSE)</f>
        <v>RES,SMD,5.9K,0.1%,1/16W,0402,ROHS</v>
      </c>
      <c r="E93" t="str">
        <f>VLOOKUP(A93,[1]Pricing!$A:$F,6,FALSE)</f>
        <v>23 Weeks</v>
      </c>
      <c r="F93">
        <f>VLOOKUP(B93,[2]Sheet2!$B:$E,4,FALSE)</f>
        <v>9818</v>
      </c>
      <c r="G93" s="2">
        <f>VLOOKUP(A93,[1]Pricing!$A:$H,8,FALSE)</f>
        <v>4.1116E-2</v>
      </c>
      <c r="H93" s="2">
        <f>VLOOKUP(A93,[1]Pricing!$A:$J,10,FALSE)</f>
        <v>5.0141463414634151E-2</v>
      </c>
      <c r="I93">
        <f>VLOOKUP(A93,MIN!A:B,2,FALSE)</f>
        <v>15</v>
      </c>
      <c r="J93" t="str">
        <f t="shared" si="3"/>
        <v>NO</v>
      </c>
      <c r="K93">
        <f>VLOOKUP(A93,[1]Pricing!$A:$G,7,FALSE)</f>
        <v>10000</v>
      </c>
      <c r="L93" t="s">
        <v>1960</v>
      </c>
      <c r="M93" t="str">
        <f t="shared" si="4"/>
        <v>615-303725-083</v>
      </c>
    </row>
    <row r="94" spans="1:13" x14ac:dyDescent="0.25">
      <c r="A94" t="s">
        <v>1534</v>
      </c>
      <c r="B94" s="14" t="str">
        <f>VLOOKUP(A94,[1]Pricing!$A:$R,18,FALSE)</f>
        <v>RT0402BRD0724K3L</v>
      </c>
      <c r="C94" t="s">
        <v>2580</v>
      </c>
      <c r="D94" t="str">
        <f>VLOOKUP(A94,[1]AVL!$A:$F,6,FALSE)</f>
        <v>RES,SMD,24.3KOHM,0.1%,1/16W,0402</v>
      </c>
      <c r="E94" t="str">
        <f>VLOOKUP(A94,[1]Pricing!$A:$F,6,FALSE)</f>
        <v>22 Weeks</v>
      </c>
      <c r="F94">
        <f>VLOOKUP(B94,[2]Sheet2!$B:$E,4,FALSE)</f>
        <v>9818</v>
      </c>
      <c r="G94" s="2">
        <f>VLOOKUP(A94,[1]Pricing!$A:$H,8,FALSE)</f>
        <v>4.1116E-2</v>
      </c>
      <c r="H94" s="2">
        <f>VLOOKUP(A94,[1]Pricing!$A:$J,10,FALSE)</f>
        <v>5.0141463414634151E-2</v>
      </c>
      <c r="I94">
        <f>VLOOKUP(A94,MIN!A:B,2,FALSE)</f>
        <v>15</v>
      </c>
      <c r="J94" t="str">
        <f t="shared" si="3"/>
        <v>NO</v>
      </c>
      <c r="K94">
        <f>VLOOKUP(A94,[1]Pricing!$A:$G,7,FALSE)</f>
        <v>10000</v>
      </c>
      <c r="L94" t="s">
        <v>1960</v>
      </c>
      <c r="M94" t="str">
        <f t="shared" si="4"/>
        <v>615-A00424-243</v>
      </c>
    </row>
    <row r="95" spans="1:13" x14ac:dyDescent="0.25">
      <c r="A95" t="s">
        <v>1848</v>
      </c>
      <c r="B95" s="14" t="str">
        <f>VLOOKUP(A95,[1]Pricing!$A:$R,18,FALSE)</f>
        <v>W25Q128JVSIQ</v>
      </c>
      <c r="C95" t="s">
        <v>2609</v>
      </c>
      <c r="D95" t="str">
        <f>VLOOKUP(A95,[1]AVL!$A:$F,6,FALSE)</f>
        <v>IC,SMD,FLASH,128MBIT,3.3V,8SOIC</v>
      </c>
      <c r="E95" t="str">
        <f>VLOOKUP(A95,[1]Pricing!$A:$F,6,FALSE)</f>
        <v>3 Weeks</v>
      </c>
      <c r="F95">
        <f>VLOOKUP(B95,[2]Sheet2!$B:$E,4,FALSE)</f>
        <v>1973</v>
      </c>
      <c r="G95" s="2">
        <f>VLOOKUP(A95,[1]Pricing!$A:$H,8,FALSE)</f>
        <v>1.2502800000000001</v>
      </c>
      <c r="H95" s="2">
        <f>VLOOKUP(A95,[1]Pricing!$A:$J,10,FALSE)</f>
        <v>1.5247317073170734</v>
      </c>
      <c r="I95">
        <f>VLOOKUP(A95,MIN!A:B,2,FALSE)</f>
        <v>15</v>
      </c>
      <c r="J95" t="str">
        <f t="shared" si="3"/>
        <v>NO</v>
      </c>
      <c r="K95">
        <f>VLOOKUP(A95,[1]Pricing!$A:$G,7,FALSE)</f>
        <v>2000</v>
      </c>
      <c r="L95" t="s">
        <v>1960</v>
      </c>
      <c r="M95" t="str">
        <f t="shared" si="4"/>
        <v>630-280302-001</v>
      </c>
    </row>
    <row r="96" spans="1:13" x14ac:dyDescent="0.25">
      <c r="A96" t="s">
        <v>297</v>
      </c>
      <c r="B96" s="14">
        <f>VLOOKUP(A96,[1]Pricing!$A:$R,18,FALSE)</f>
        <v>5031590600</v>
      </c>
      <c r="C96" t="s">
        <v>2610</v>
      </c>
      <c r="D96" t="str">
        <f>VLOOKUP(A96,[1]AVL!$A:$F,6,FALSE)</f>
        <v>CONN,RCPT,6POSN,1.5MM PITCH,BEIGE</v>
      </c>
      <c r="E96" t="str">
        <f>VLOOKUP(A96,[1]Pricing!$A:$F,6,FALSE)</f>
        <v>3 Weeks</v>
      </c>
      <c r="F96">
        <f>VLOOKUP(B96,[2]Sheet2!$B:$E,4,FALSE)</f>
        <v>1621</v>
      </c>
      <c r="G96" s="2">
        <f>VLOOKUP(A96,[1]Pricing!$A:$H,8,FALSE)</f>
        <v>0.31005199999999999</v>
      </c>
      <c r="H96" s="2">
        <f>VLOOKUP(A96,[1]Pricing!$A:$J,10,FALSE)</f>
        <v>0.37811219512195121</v>
      </c>
      <c r="I96">
        <f>VLOOKUP(A96,MIN!A:B,2,FALSE)</f>
        <v>25</v>
      </c>
      <c r="J96" t="str">
        <f t="shared" si="3"/>
        <v>NO</v>
      </c>
      <c r="K96">
        <f>VLOOKUP(A96,[1]Pricing!$A:$G,7,FALSE)</f>
        <v>1620</v>
      </c>
      <c r="L96" t="s">
        <v>1960</v>
      </c>
      <c r="M96" t="str">
        <f t="shared" si="4"/>
        <v>668-A75034-005</v>
      </c>
    </row>
    <row r="97" spans="1:13" x14ac:dyDescent="0.25">
      <c r="A97" t="s">
        <v>320</v>
      </c>
      <c r="B97" s="14" t="str">
        <f>VLOOKUP(A97,[1]Pricing!$A:$R,18,FALSE)</f>
        <v>5-1375583-1</v>
      </c>
      <c r="C97" t="s">
        <v>2599</v>
      </c>
      <c r="D97" t="str">
        <f>VLOOKUP(A97,[1]AVL!$A:$F,6,FALSE)</f>
        <v>CONN,HDR,SHRD,PCB,VERT,1ROW,2POSN,3A</v>
      </c>
      <c r="E97" t="str">
        <f>VLOOKUP(A97,[1]Pricing!$A:$F,6,FALSE)</f>
        <v>14 Weeks</v>
      </c>
      <c r="F97">
        <f>VLOOKUP(B97,[2]Sheet2!$B:$E,4,FALSE)</f>
        <v>1483</v>
      </c>
      <c r="G97" s="2">
        <f>VLOOKUP(A97,[1]Pricing!$A:$H,8,FALSE)</f>
        <v>1.8505050000000001</v>
      </c>
      <c r="H97" s="2">
        <f>VLOOKUP(A97,[1]Pricing!$A:$J,10,FALSE)</f>
        <v>2.2567134146341465</v>
      </c>
      <c r="I97">
        <f>VLOOKUP(A97,MIN!A:B,2,FALSE)</f>
        <v>75</v>
      </c>
      <c r="J97" t="str">
        <f t="shared" si="3"/>
        <v>NO</v>
      </c>
      <c r="K97">
        <f>VLOOKUP(A97,[1]Pricing!$A:$G,7,FALSE)</f>
        <v>1600</v>
      </c>
      <c r="L97" t="s">
        <v>1960</v>
      </c>
      <c r="M97" t="str">
        <f t="shared" si="4"/>
        <v>668-B33354-002</v>
      </c>
    </row>
    <row r="98" spans="1:13" x14ac:dyDescent="0.25">
      <c r="A98" t="s">
        <v>903</v>
      </c>
      <c r="B98" s="14" t="str">
        <f>VLOOKUP(A98,[1]Pricing!$A:$R,18,FALSE)</f>
        <v>G2RL-1-DC24</v>
      </c>
      <c r="C98" t="s">
        <v>2584</v>
      </c>
      <c r="D98" t="str">
        <f>VLOOKUP(A98,[1]AVL!$A:$F,6,FALSE)</f>
        <v>RLY,PWR,1POLE,SPDT,24VDC,12A,FLUX PROT</v>
      </c>
      <c r="E98" t="str">
        <f>VLOOKUP(A98,[1]Pricing!$A:$F,6,FALSE)</f>
        <v>17 Weeks</v>
      </c>
      <c r="F98">
        <f>VLOOKUP(B98,[2]Sheet2!$B:$E,4,FALSE)</f>
        <v>200</v>
      </c>
      <c r="G98" s="2">
        <f>VLOOKUP(A98,[1]Pricing!$A:$H,8,FALSE)</f>
        <v>1.9853099999999999</v>
      </c>
      <c r="H98" s="2">
        <f>VLOOKUP(A98,[1]Pricing!$A:$J,10,FALSE)</f>
        <v>2.421109756097561</v>
      </c>
      <c r="I98">
        <f>VLOOKUP(A98,MIN!A:B,2,FALSE)</f>
        <v>25</v>
      </c>
      <c r="J98" t="str">
        <f t="shared" si="3"/>
        <v>NO</v>
      </c>
      <c r="K98">
        <f>VLOOKUP(A98,[1]Pricing!$A:$G,7,FALSE)</f>
        <v>200</v>
      </c>
      <c r="L98" t="s">
        <v>1960</v>
      </c>
      <c r="M98" t="str">
        <f t="shared" si="4"/>
        <v>644-A41296-024</v>
      </c>
    </row>
    <row r="99" spans="1:13" x14ac:dyDescent="0.25">
      <c r="A99" t="s">
        <v>64</v>
      </c>
      <c r="B99" s="14" t="str">
        <f>VLOOKUP(A99,[1]Pricing!$A:$R,18,FALSE)</f>
        <v>1410-L110-L1F1-S01-6.3A</v>
      </c>
      <c r="C99" t="s">
        <v>2611</v>
      </c>
      <c r="D99" t="str">
        <f>VLOOKUP(A99,[1]AVL!$A:$F,6,FALSE)</f>
        <v>CB,6.3A,1P,24V,2,PC MOUNT,THERMAL</v>
      </c>
      <c r="E99" t="str">
        <f>VLOOKUP(A99,[1]Pricing!$A:$F,6,FALSE)</f>
        <v>9 Weeks</v>
      </c>
      <c r="F99">
        <f>VLOOKUP(B99,[2]Sheet2!$B:$E,4,FALSE)</f>
        <v>100</v>
      </c>
      <c r="G99" s="2">
        <f>VLOOKUP(A99,[1]Pricing!$A:$H,8,FALSE)</f>
        <v>8.4804600000000008</v>
      </c>
      <c r="H99" s="2">
        <f>VLOOKUP(A99,[1]Pricing!$A:$J,10,FALSE)</f>
        <v>10.342024390243903</v>
      </c>
      <c r="I99">
        <f>VLOOKUP(A99,MIN!A:B,2,FALSE)</f>
        <v>15</v>
      </c>
      <c r="J99" t="str">
        <f t="shared" si="3"/>
        <v>NO</v>
      </c>
      <c r="K99">
        <f>VLOOKUP(A99,[1]Pricing!$A:$G,7,FALSE)</f>
        <v>100</v>
      </c>
      <c r="L99" t="s">
        <v>1960</v>
      </c>
      <c r="M99" t="str">
        <f t="shared" si="4"/>
        <v>34-267566-00</v>
      </c>
    </row>
    <row r="100" spans="1:13" x14ac:dyDescent="0.25">
      <c r="A100" t="s">
        <v>940</v>
      </c>
      <c r="B100" s="14" t="str">
        <f>VLOOKUP(A100,[1]Pricing!$A:$R,18,FALSE)</f>
        <v>GSGX-NS-2-88</v>
      </c>
      <c r="C100" t="s">
        <v>2612</v>
      </c>
      <c r="D100" t="str">
        <f>VLOOKUP(A100,[1]AVL!$A:$F,6,FALSE)</f>
        <v>CONN,MDLR,RJ45,RA,1X2,SH,ROHS</v>
      </c>
      <c r="E100" t="str">
        <f>VLOOKUP(A100,[1]Pricing!$A:$F,6,FALSE)</f>
        <v>25 Weeks</v>
      </c>
      <c r="F100">
        <f>VLOOKUP(B100,[2]Sheet2!$B:$E,4,FALSE)</f>
        <v>220</v>
      </c>
      <c r="G100" s="2">
        <f>VLOOKUP(A100,[1]Pricing!$A:$H,8,FALSE)</f>
        <v>2.4632550000000002</v>
      </c>
      <c r="H100" s="2">
        <f>VLOOKUP(A100,[1]Pricing!$A:$J,10,FALSE)</f>
        <v>3.0039695121951224</v>
      </c>
      <c r="I100">
        <f>VLOOKUP(A100,MIN!A:B,2,FALSE)</f>
        <v>15</v>
      </c>
      <c r="J100" t="str">
        <f t="shared" si="3"/>
        <v>NO</v>
      </c>
      <c r="K100">
        <f>VLOOKUP(A100,[1]Pricing!$A:$G,7,FALSE)</f>
        <v>220</v>
      </c>
      <c r="L100" t="s">
        <v>1960</v>
      </c>
      <c r="M100" t="str">
        <f t="shared" si="4"/>
        <v>668-106255-002</v>
      </c>
    </row>
    <row r="101" spans="1:13" x14ac:dyDescent="0.25">
      <c r="A101" t="s">
        <v>1462</v>
      </c>
      <c r="B101" s="14" t="str">
        <f>VLOOKUP(A101,[1]Pricing!$A:$R,18,FALSE)</f>
        <v>RH2V2-UDC24V</v>
      </c>
      <c r="C101" t="s">
        <v>2613</v>
      </c>
      <c r="D101" t="str">
        <f>VLOOKUP(A101,[1]AVL!$A:$F,6,FALSE)</f>
        <v>RLY,NON LCH,DPDT,10A,24VDC,STD,TH</v>
      </c>
      <c r="E101" t="str">
        <f>VLOOKUP(A101,[1]Pricing!$A:$F,6,FALSE)</f>
        <v>13 Weeks</v>
      </c>
      <c r="F101">
        <f>VLOOKUP(B101,[2]Sheet2!$B:$E,4,FALSE)</f>
        <v>50</v>
      </c>
      <c r="G101" s="2">
        <f>VLOOKUP(A101,[1]Pricing!$A:$H,8,FALSE)</f>
        <v>11.104255999999999</v>
      </c>
      <c r="H101" s="2">
        <f>VLOOKUP(A101,[1]Pricing!$A:$J,10,FALSE)</f>
        <v>13.541775609756098</v>
      </c>
      <c r="I101">
        <f>VLOOKUP(A101,MIN!A:B,2,FALSE)</f>
        <v>25</v>
      </c>
      <c r="J101" t="str">
        <f t="shared" si="3"/>
        <v>NO</v>
      </c>
      <c r="K101">
        <f>VLOOKUP(A101,[1]Pricing!$A:$G,7,FALSE)</f>
        <v>50</v>
      </c>
      <c r="L101" t="s">
        <v>1960</v>
      </c>
      <c r="M101" t="str">
        <f t="shared" si="4"/>
        <v>644-A12839-001</v>
      </c>
    </row>
    <row r="102" spans="1:13" x14ac:dyDescent="0.25">
      <c r="A102" t="s">
        <v>19</v>
      </c>
      <c r="B102" s="14" t="str">
        <f>VLOOKUP(A102,[1]Pricing!$A:$R,18,FALSE)</f>
        <v>09.03290.01</v>
      </c>
      <c r="C102" t="s">
        <v>2614</v>
      </c>
      <c r="D102" t="str">
        <f>VLOOKUP(A102,[1]AVL!$A:$F,6,FALSE)</f>
        <v>SW,PCB,SLIDE ACTR,0.5A,12V,AXIAL PIN,BLK</v>
      </c>
      <c r="E102" t="str">
        <f>VLOOKUP(A102,[1]Pricing!$A:$F,6,FALSE)</f>
        <v>12 Weeks</v>
      </c>
      <c r="F102">
        <f>VLOOKUP(B102,[2]Sheet2!$B:$E,4,FALSE)</f>
        <v>184</v>
      </c>
      <c r="G102" s="2">
        <f>VLOOKUP(A102,[1]Pricing!$A:$H,8,FALSE)</f>
        <v>1.8837159999999999</v>
      </c>
      <c r="H102" s="2">
        <f>VLOOKUP(A102,[1]Pricing!$A:$J,10,FALSE)</f>
        <v>2.2972146341463415</v>
      </c>
      <c r="I102">
        <f>VLOOKUP(A102,MIN!A:B,2,FALSE)</f>
        <v>25</v>
      </c>
      <c r="J102" t="str">
        <f t="shared" si="3"/>
        <v>NO</v>
      </c>
      <c r="K102">
        <f>VLOOKUP(A102,[1]Pricing!$A:$G,7,FALSE)</f>
        <v>200</v>
      </c>
      <c r="L102" t="s">
        <v>1960</v>
      </c>
      <c r="M102" t="str">
        <f t="shared" si="4"/>
        <v>645-A87739-001</v>
      </c>
    </row>
    <row r="103" spans="1:13" x14ac:dyDescent="0.25">
      <c r="A103" t="s">
        <v>152</v>
      </c>
      <c r="B103" s="14" t="str">
        <f>VLOOKUP(A103,[1]Pricing!$A:$R,18,FALSE)</f>
        <v>206509-1</v>
      </c>
      <c r="C103" t="s">
        <v>2615</v>
      </c>
      <c r="D103" t="str">
        <f>VLOOKUP(A103,[1]AVL!$A:$F,6,FALSE)</f>
        <v>KEYING PLUG,D CONN</v>
      </c>
      <c r="E103" t="str">
        <f>VLOOKUP(A103,[1]Pricing!$A:$F,6,FALSE)</f>
        <v>9 Weeks</v>
      </c>
      <c r="F103">
        <f>VLOOKUP(B103,[2]Sheet2!$B:$E,4,FALSE)</f>
        <v>2</v>
      </c>
      <c r="G103" s="2">
        <f>VLOOKUP(A103,[1]Pricing!$A:$H,8,FALSE)</f>
        <v>0.39100000000000001</v>
      </c>
      <c r="H103" s="2">
        <f>VLOOKUP(A103,[1]Pricing!$A:$J,10,FALSE)</f>
        <v>0.47682926829268296</v>
      </c>
      <c r="I103">
        <f>VLOOKUP(A103,MIN!A:B,2,FALSE)</f>
        <v>50</v>
      </c>
      <c r="J103" t="str">
        <f t="shared" si="3"/>
        <v>REORDER</v>
      </c>
      <c r="K103">
        <f>VLOOKUP(A103,[1]Pricing!$A:$G,7,FALSE)</f>
        <v>2000</v>
      </c>
      <c r="L103" t="s">
        <v>2689</v>
      </c>
      <c r="M103" t="str">
        <f t="shared" si="4"/>
        <v>31-10099-00</v>
      </c>
    </row>
    <row r="104" spans="1:13" x14ac:dyDescent="0.25">
      <c r="A104" t="s">
        <v>594</v>
      </c>
      <c r="B104" s="14" t="str">
        <f>VLOOKUP(A104,[1]Pricing!$A:$R,18,FALSE)</f>
        <v>C5750X7R1H106K</v>
      </c>
      <c r="C104" t="s">
        <v>2616</v>
      </c>
      <c r="D104" t="str">
        <f>VLOOKUP(A104,[1]AVL!$A:$F,6,FALSE)</f>
        <v>CAP,5750,CER,X7R,10%,50V,10UF</v>
      </c>
      <c r="E104" t="str">
        <f>VLOOKUP(A104,[1]Pricing!$A:$F,6,FALSE)</f>
        <v>49 Weeks</v>
      </c>
      <c r="F104">
        <f>VLOOKUP(B104,[2]Sheet2!$B:$E,4,FALSE)</f>
        <v>400</v>
      </c>
      <c r="G104" s="2">
        <f>VLOOKUP(A104,[1]Pricing!$A:$H,8,FALSE)</f>
        <v>0.85858000000000001</v>
      </c>
      <c r="H104" s="2">
        <f>VLOOKUP(A104,[1]Pricing!$A:$J,10,FALSE)</f>
        <v>1.047048780487805</v>
      </c>
      <c r="I104">
        <f>VLOOKUP(A104,MIN!A:B,2,FALSE)</f>
        <v>25</v>
      </c>
      <c r="J104" t="str">
        <f t="shared" si="3"/>
        <v>NO</v>
      </c>
      <c r="K104">
        <f>VLOOKUP(A104,[1]Pricing!$A:$G,7,FALSE)</f>
        <v>500</v>
      </c>
      <c r="L104" t="s">
        <v>1960</v>
      </c>
      <c r="M104" t="str">
        <f t="shared" si="4"/>
        <v>648-100823-001</v>
      </c>
    </row>
    <row r="105" spans="1:13" x14ac:dyDescent="0.25">
      <c r="A105" t="s">
        <v>670</v>
      </c>
      <c r="B105" s="14" t="str">
        <f>VLOOKUP(A105,[1]Pricing!$A:$R,18,FALSE)</f>
        <v>CRCW040212K1FKED</v>
      </c>
      <c r="C105" t="s">
        <v>2617</v>
      </c>
      <c r="D105" t="str">
        <f>VLOOKUP(A105,[1]AVL!$A:$F,6,FALSE)</f>
        <v>RES,0402,1% 1/16W,12.1K ROHS</v>
      </c>
      <c r="E105" t="str">
        <f>VLOOKUP(A105,[1]Pricing!$A:$F,6,FALSE)</f>
        <v>21 Weeks</v>
      </c>
      <c r="F105">
        <f>VLOOKUP(B105,[2]Sheet2!$B:$E,4,FALSE)</f>
        <v>10000</v>
      </c>
      <c r="G105" s="2">
        <f>VLOOKUP(A105,[1]Pricing!$A:$H,8,FALSE)</f>
        <v>3.3700000000000002E-3</v>
      </c>
      <c r="H105" s="2">
        <f>VLOOKUP(A105,[1]Pricing!$A:$J,10,FALSE)</f>
        <v>4.1097560975609758E-3</v>
      </c>
      <c r="I105">
        <f>VLOOKUP(A105,MIN!A:B,2,FALSE)</f>
        <v>25</v>
      </c>
      <c r="J105" t="str">
        <f t="shared" si="3"/>
        <v>NO</v>
      </c>
      <c r="K105">
        <f>VLOOKUP(A105,[1]Pricing!$A:$G,7,FALSE)</f>
        <v>10000</v>
      </c>
      <c r="L105" t="s">
        <v>1960</v>
      </c>
      <c r="M105" t="str">
        <f t="shared" si="4"/>
        <v>615-188549-106</v>
      </c>
    </row>
    <row r="106" spans="1:13" x14ac:dyDescent="0.25">
      <c r="A106" t="s">
        <v>829</v>
      </c>
      <c r="B106" s="14" t="str">
        <f>VLOOKUP(A106,[1]Pricing!$A:$R,18,FALSE)</f>
        <v>ERA6AEB684</v>
      </c>
      <c r="C106" t="s">
        <v>2618</v>
      </c>
      <c r="D106" t="str">
        <f>VLOOKUP(A106,[1]AVL!$A:$F,6,FALSE)</f>
        <v>RES,SMD,0805,MF,1/8W,0.1%,680K,ROHS</v>
      </c>
      <c r="E106" t="str">
        <f>VLOOKUP(A106,[1]Pricing!$A:$F,6,FALSE)</f>
        <v>21 Weeks</v>
      </c>
      <c r="F106">
        <f>VLOOKUP(B106,[2]Sheet2!$B:$E,4,FALSE)</f>
        <v>5000</v>
      </c>
      <c r="G106" s="2">
        <f>VLOOKUP(A106,[1]Pricing!$A:$H,8,FALSE)</f>
        <v>3.4313999999999997E-2</v>
      </c>
      <c r="H106" s="2">
        <f>VLOOKUP(A106,[1]Pricing!$A:$J,10,FALSE)</f>
        <v>4.1846341463414635E-2</v>
      </c>
      <c r="I106">
        <f>VLOOKUP(A106,MIN!A:B,2,FALSE)</f>
        <v>15</v>
      </c>
      <c r="J106" t="str">
        <f t="shared" si="3"/>
        <v>NO</v>
      </c>
      <c r="K106">
        <f>VLOOKUP(A106,[1]Pricing!$A:$G,7,FALSE)</f>
        <v>5000</v>
      </c>
      <c r="L106" t="s">
        <v>1960</v>
      </c>
      <c r="M106" t="str">
        <f t="shared" si="4"/>
        <v>615-052828-680</v>
      </c>
    </row>
    <row r="107" spans="1:13" x14ac:dyDescent="0.25">
      <c r="A107" t="s">
        <v>155</v>
      </c>
      <c r="B107" s="14" t="str">
        <f>VLOOKUP(A107,[1]Pricing!$A:$R,18,FALSE)</f>
        <v>20SVPF56MX</v>
      </c>
      <c r="C107" t="s">
        <v>2618</v>
      </c>
      <c r="D107" t="str">
        <f>VLOOKUP(A107,[1]AVL!$A:$F,6,FALSE)</f>
        <v>CAP,SMD,AL POLYMER,56UF,20V,±20%,B6</v>
      </c>
      <c r="E107" t="str">
        <f>VLOOKUP(A107,[1]Pricing!$A:$F,6,FALSE)</f>
        <v>18 Weeks</v>
      </c>
      <c r="F107">
        <f>VLOOKUP(B107,[2]Sheet2!$B:$E,4,FALSE)</f>
        <v>1500</v>
      </c>
      <c r="G107" s="2">
        <f>VLOOKUP(A107,[1]Pricing!$A:$H,8,FALSE)</f>
        <v>0.34559099999999998</v>
      </c>
      <c r="H107" s="2">
        <f>VLOOKUP(A107,[1]Pricing!$A:$J,10,FALSE)</f>
        <v>0.42145243902439022</v>
      </c>
      <c r="I107">
        <f>VLOOKUP(A107,MIN!A:B,2,FALSE)</f>
        <v>15</v>
      </c>
      <c r="J107" t="str">
        <f t="shared" si="3"/>
        <v>NO</v>
      </c>
      <c r="K107">
        <f>VLOOKUP(A107,[1]Pricing!$A:$G,7,FALSE)</f>
        <v>1500</v>
      </c>
      <c r="L107" t="s">
        <v>1960</v>
      </c>
      <c r="M107" t="str">
        <f t="shared" si="4"/>
        <v>648-A35848-056</v>
      </c>
    </row>
    <row r="108" spans="1:13" x14ac:dyDescent="0.25">
      <c r="A108" t="s">
        <v>271</v>
      </c>
      <c r="B108" s="14" t="str">
        <f>VLOOKUP(A108,[1]Pricing!$A:$R,18,FALSE)</f>
        <v>43045-0200</v>
      </c>
      <c r="C108" t="s">
        <v>2619</v>
      </c>
      <c r="D108" t="str">
        <f>VLOOKUP(A108,[1]AVL!$A:$F,6,FALSE)</f>
        <v>CONN,HDR,RTANG,2 ROWS,2 CKT,PCB MT</v>
      </c>
      <c r="E108" t="str">
        <f>VLOOKUP(A108,[1]Pricing!$A:$F,6,FALSE)</f>
        <v>10 Weeks</v>
      </c>
      <c r="F108">
        <f>VLOOKUP(B108,[2]Sheet2!$B:$E,4,FALSE)</f>
        <v>500</v>
      </c>
      <c r="G108" s="2">
        <f>VLOOKUP(A108,[1]Pricing!$A:$H,8,FALSE)</f>
        <v>0.71936900000000004</v>
      </c>
      <c r="H108" s="2">
        <f>VLOOKUP(A108,[1]Pricing!$A:$J,10,FALSE)</f>
        <v>0.87727926829268299</v>
      </c>
      <c r="I108">
        <f>VLOOKUP(A108,MIN!A:B,2,FALSE)</f>
        <v>15</v>
      </c>
      <c r="J108" t="str">
        <f t="shared" si="3"/>
        <v>NO</v>
      </c>
      <c r="K108">
        <f>VLOOKUP(A108,[1]Pricing!$A:$G,7,FALSE)</f>
        <v>500</v>
      </c>
      <c r="L108" t="s">
        <v>1960</v>
      </c>
      <c r="M108" t="str">
        <f t="shared" si="4"/>
        <v>668-293080-002</v>
      </c>
    </row>
    <row r="109" spans="1:13" x14ac:dyDescent="0.25">
      <c r="A109" t="s">
        <v>5</v>
      </c>
      <c r="B109" s="14" t="str">
        <f>VLOOKUP(A109,[1]Pricing!$A:$R,18,FALSE)</f>
        <v>0452002.MRL</v>
      </c>
      <c r="C109" t="s">
        <v>2620</v>
      </c>
      <c r="D109" t="str">
        <f>VLOOKUP(A109,[1]AVL!$A:$F,6,FALSE)</f>
        <v>FUSE,SMD,2A,125V,SLOBLO,NANO2</v>
      </c>
      <c r="E109" t="str">
        <f>VLOOKUP(A109,[1]Pricing!$A:$F,6,FALSE)</f>
        <v>15 Weeks</v>
      </c>
      <c r="F109">
        <f>VLOOKUP(B109,[2]Sheet2!$B:$E,4,FALSE)</f>
        <v>1000</v>
      </c>
      <c r="G109" s="2">
        <f>VLOOKUP(A109,[1]Pricing!$A:$H,8,FALSE)</f>
        <v>0.757359</v>
      </c>
      <c r="H109" s="2">
        <f>VLOOKUP(A109,[1]Pricing!$A:$J,10,FALSE)</f>
        <v>0.9236085365853659</v>
      </c>
      <c r="I109">
        <f>VLOOKUP(A109,MIN!A:B,2,FALSE)</f>
        <v>15</v>
      </c>
      <c r="J109" t="str">
        <f t="shared" si="3"/>
        <v>NO</v>
      </c>
      <c r="K109">
        <f>VLOOKUP(A109,[1]Pricing!$A:$G,7,FALSE)</f>
        <v>1000</v>
      </c>
      <c r="L109" t="s">
        <v>1960</v>
      </c>
      <c r="M109" t="str">
        <f t="shared" si="4"/>
        <v>682-138807-003</v>
      </c>
    </row>
    <row r="110" spans="1:13" x14ac:dyDescent="0.25">
      <c r="A110" t="s">
        <v>131</v>
      </c>
      <c r="B110" s="14" t="str">
        <f>VLOOKUP(A110,[1]Pricing!$A:$R,18,FALSE)</f>
        <v>1812L075/33DR</v>
      </c>
      <c r="C110" t="s">
        <v>2620</v>
      </c>
      <c r="D110" t="str">
        <f>VLOOKUP(A110,[1]AVL!$A:$F,6,FALSE)</f>
        <v>FUSE,SMD,1812,33V,750MA,ROHS</v>
      </c>
      <c r="E110" t="str">
        <f>VLOOKUP(A110,[1]Pricing!$A:$F,6,FALSE)</f>
        <v>16 Weeks</v>
      </c>
      <c r="F110">
        <f>VLOOKUP(B110,[2]Sheet2!$B:$E,4,FALSE)</f>
        <v>1016</v>
      </c>
      <c r="G110" s="2">
        <f>VLOOKUP(A110,[1]Pricing!$A:$H,8,FALSE)</f>
        <v>0.265934</v>
      </c>
      <c r="H110" s="2">
        <f>VLOOKUP(A110,[1]Pricing!$A:$J,10,FALSE)</f>
        <v>0.32430975609756102</v>
      </c>
      <c r="I110">
        <f>VLOOKUP(A110,MIN!A:B,2,FALSE)</f>
        <v>50</v>
      </c>
      <c r="J110" t="str">
        <f t="shared" si="3"/>
        <v>NO</v>
      </c>
      <c r="K110">
        <f>VLOOKUP(A110,[1]Pricing!$A:$G,7,FALSE)</f>
        <v>1500</v>
      </c>
      <c r="L110" t="s">
        <v>1960</v>
      </c>
      <c r="M110" t="str">
        <f t="shared" si="4"/>
        <v>682-020656-015</v>
      </c>
    </row>
    <row r="111" spans="1:13" x14ac:dyDescent="0.25">
      <c r="A111" t="s">
        <v>426</v>
      </c>
      <c r="B111" s="14" t="str">
        <f>VLOOKUP(A111,[1]Pricing!$A:$R,18,FALSE)</f>
        <v>76SB03T</v>
      </c>
      <c r="C111" t="s">
        <v>2621</v>
      </c>
      <c r="D111" t="str">
        <f>VLOOKUP(A111,[1]AVL!$A:$F,6,FALSE)</f>
        <v>SWITCH  DIP ROCKER SPST 2-POS3-POS,ROHS</v>
      </c>
      <c r="E111" t="str">
        <f>VLOOKUP(A111,[1]Pricing!$A:$F,6,FALSE)</f>
        <v>12 Weeks</v>
      </c>
      <c r="F111">
        <f>VLOOKUP(B111,[2]Sheet2!$B:$E,4,FALSE)</f>
        <v>216</v>
      </c>
      <c r="G111" s="2">
        <f>VLOOKUP(A111,[1]Pricing!$A:$H,8,FALSE)</f>
        <v>2.2671749999999999</v>
      </c>
      <c r="H111" s="2">
        <f>VLOOKUP(A111,[1]Pricing!$A:$J,10,FALSE)</f>
        <v>2.76484756097561</v>
      </c>
      <c r="I111">
        <f>VLOOKUP(A111,MIN!A:B,2,FALSE)</f>
        <v>15</v>
      </c>
      <c r="J111" t="str">
        <f t="shared" si="3"/>
        <v>NO</v>
      </c>
      <c r="K111">
        <f>VLOOKUP(A111,[1]Pricing!$A:$G,7,FALSE)</f>
        <v>216</v>
      </c>
      <c r="L111" t="s">
        <v>1960</v>
      </c>
      <c r="M111" t="str">
        <f t="shared" si="4"/>
        <v>645-000381-003</v>
      </c>
    </row>
    <row r="112" spans="1:13" x14ac:dyDescent="0.25">
      <c r="A112" t="s">
        <v>275</v>
      </c>
      <c r="B112" s="14" t="str">
        <f>VLOOKUP(A112,[1]Pricing!$A:$R,18,FALSE)</f>
        <v>43045-1000</v>
      </c>
      <c r="C112" t="s">
        <v>2610</v>
      </c>
      <c r="D112" t="str">
        <f>VLOOKUP(A112,[1]AVL!$A:$F,6,FALSE)</f>
        <v>CONN,HDR,RTANG,2 ROWS,10 CKT,PCB MT</v>
      </c>
      <c r="E112" t="str">
        <f>VLOOKUP(A112,[1]Pricing!$A:$F,6,FALSE)</f>
        <v>17 Weeks</v>
      </c>
      <c r="F112">
        <f>VLOOKUP(B112,[2]Sheet2!$B:$E,4,FALSE)</f>
        <v>1224</v>
      </c>
      <c r="G112" s="2">
        <f>VLOOKUP(A112,[1]Pricing!$A:$H,8,FALSE)</f>
        <v>1.6421699999999999</v>
      </c>
      <c r="H112" s="2">
        <f>VLOOKUP(A112,[1]Pricing!$A:$J,10,FALSE)</f>
        <v>2.0026463414634148</v>
      </c>
      <c r="I112">
        <f>VLOOKUP(A112,MIN!A:B,2,FALSE)</f>
        <v>15</v>
      </c>
      <c r="J112" t="str">
        <f t="shared" si="3"/>
        <v>NO</v>
      </c>
      <c r="K112">
        <f>VLOOKUP(A112,[1]Pricing!$A:$G,7,FALSE)</f>
        <v>1224</v>
      </c>
      <c r="L112" t="s">
        <v>1960</v>
      </c>
      <c r="M112" t="str">
        <f t="shared" si="4"/>
        <v>668-293080-010</v>
      </c>
    </row>
    <row r="113" spans="1:13" x14ac:dyDescent="0.25">
      <c r="A113" t="s">
        <v>506</v>
      </c>
      <c r="B113" s="14" t="str">
        <f>VLOOKUP(A113,[1]Pricing!$A:$R,18,FALSE)</f>
        <v>AHEF1000</v>
      </c>
      <c r="C113" t="s">
        <v>2620</v>
      </c>
      <c r="D113" t="str">
        <f>VLOOKUP(A113,[1]AVL!$A:$F,6,FALSE)</f>
        <v>FUSE,PTC 10A AXIAL</v>
      </c>
      <c r="E113" t="str">
        <f>VLOOKUP(A113,[1]Pricing!$A:$F,6,FALSE)</f>
        <v>17 Weeks</v>
      </c>
      <c r="F113">
        <f>VLOOKUP(B113,[2]Sheet2!$B:$E,4,FALSE)</f>
        <v>176</v>
      </c>
      <c r="G113" s="2">
        <f>VLOOKUP(A113,[1]Pricing!$A:$H,8,FALSE)</f>
        <v>1.1274599999999999</v>
      </c>
      <c r="H113" s="2">
        <f>VLOOKUP(A113,[1]Pricing!$A:$J,10,FALSE)</f>
        <v>1.3749512195121951</v>
      </c>
      <c r="I113">
        <f>VLOOKUP(A113,MIN!A:B,2,FALSE)</f>
        <v>25</v>
      </c>
      <c r="J113" t="str">
        <f t="shared" si="3"/>
        <v>NO</v>
      </c>
      <c r="K113">
        <f>VLOOKUP(A113,[1]Pricing!$A:$G,7,FALSE)</f>
        <v>250</v>
      </c>
      <c r="L113" t="s">
        <v>1960</v>
      </c>
      <c r="M113" t="str">
        <f t="shared" si="4"/>
        <v>670-123073-001</v>
      </c>
    </row>
    <row r="114" spans="1:13" x14ac:dyDescent="0.25">
      <c r="A114" t="s">
        <v>550</v>
      </c>
      <c r="B114" s="14" t="str">
        <f>VLOOKUP(A114,[1]Pricing!$A:$R,18,FALSE)</f>
        <v>BSR14</v>
      </c>
      <c r="C114" t="s">
        <v>2622</v>
      </c>
      <c r="D114" t="str">
        <f>VLOOKUP(A114,[1]AVL!$A:$F,6,FALSE)</f>
        <v>XSTR,NPN,40V,800MA,SOT-23-3</v>
      </c>
      <c r="E114" t="str">
        <f>VLOOKUP(A114,[1]Pricing!$A:$F,6,FALSE)</f>
        <v>29 Weeks</v>
      </c>
      <c r="F114">
        <f>VLOOKUP(B114,[2]Sheet2!$B:$E,4,FALSE)</f>
        <v>2991</v>
      </c>
      <c r="G114" s="2">
        <f>VLOOKUP(A114,[1]Pricing!$A:$H,8,FALSE)</f>
        <v>9.4364000000000003E-2</v>
      </c>
      <c r="H114" s="2">
        <f>VLOOKUP(A114,[1]Pricing!$A:$J,10,FALSE)</f>
        <v>0.11507804878048782</v>
      </c>
      <c r="I114">
        <f>VLOOKUP(A114,MIN!A:B,2,FALSE)</f>
        <v>25</v>
      </c>
      <c r="J114" t="str">
        <f t="shared" si="3"/>
        <v>NO</v>
      </c>
      <c r="K114">
        <f>VLOOKUP(A114,[1]Pricing!$A:$G,7,FALSE)</f>
        <v>3000</v>
      </c>
      <c r="L114" t="s">
        <v>1960</v>
      </c>
      <c r="M114" t="str">
        <f t="shared" si="4"/>
        <v>624-000794-002</v>
      </c>
    </row>
    <row r="115" spans="1:13" x14ac:dyDescent="0.25">
      <c r="A115" t="s">
        <v>617</v>
      </c>
      <c r="B115" s="14" t="str">
        <f>VLOOKUP(A115,[1]Pricing!$A:$R,18,FALSE)</f>
        <v>CC1210KKX7R0BB105</v>
      </c>
      <c r="C115" t="s">
        <v>2580</v>
      </c>
      <c r="D115" t="str">
        <f>VLOOKUP(A115,[1]AVL!$A:$F,6,FALSE)</f>
        <v>CAP,SMD,MLCC,1UF,10%,100VDC,X7R,1210</v>
      </c>
      <c r="E115" t="str">
        <f>VLOOKUP(A115,[1]Pricing!$A:$F,6,FALSE)</f>
        <v>27 Weeks</v>
      </c>
      <c r="F115">
        <f>VLOOKUP(B115,[2]Sheet2!$B:$E,4,FALSE)</f>
        <v>2000</v>
      </c>
      <c r="G115" s="2">
        <f>VLOOKUP(A115,[1]Pricing!$A:$H,8,FALSE)</f>
        <v>0.17402100000000001</v>
      </c>
      <c r="H115" s="2">
        <f>VLOOKUP(A115,[1]Pricing!$A:$J,10,FALSE)</f>
        <v>0.21222073170731709</v>
      </c>
      <c r="I115">
        <f>VLOOKUP(A115,MIN!A:B,2,FALSE)</f>
        <v>25</v>
      </c>
      <c r="J115" t="str">
        <f t="shared" si="3"/>
        <v>NO</v>
      </c>
      <c r="K115">
        <f>VLOOKUP(A115,[1]Pricing!$A:$G,7,FALSE)</f>
        <v>2000</v>
      </c>
      <c r="L115" t="s">
        <v>1960</v>
      </c>
      <c r="M115" t="str">
        <f t="shared" si="4"/>
        <v>648-A86863-105</v>
      </c>
    </row>
    <row r="116" spans="1:13" x14ac:dyDescent="0.25">
      <c r="A116" t="s">
        <v>676</v>
      </c>
      <c r="B116" s="14" t="str">
        <f>VLOOKUP(A116,[1]Pricing!$A:$R,18,FALSE)</f>
        <v>CRCW0603102KFKEA</v>
      </c>
      <c r="C116" t="s">
        <v>2617</v>
      </c>
      <c r="D116" t="str">
        <f>VLOOKUP(A116,[1]AVL!$A:$F,6,FALSE)</f>
        <v>RES,SMD,102KOHM,TOL 1%,0603, 0.1W</v>
      </c>
      <c r="E116" t="str">
        <f>VLOOKUP(A116,[1]Pricing!$A:$F,6,FALSE)</f>
        <v>21 Weeks</v>
      </c>
      <c r="F116">
        <f>VLOOKUP(B116,[2]Sheet2!$B:$E,4,FALSE)</f>
        <v>5000</v>
      </c>
      <c r="G116" s="2">
        <f>VLOOKUP(A116,[1]Pricing!$A:$H,8,FALSE)</f>
        <v>3.6770000000000001E-3</v>
      </c>
      <c r="H116" s="2">
        <f>VLOOKUP(A116,[1]Pricing!$A:$J,10,FALSE)</f>
        <v>4.4841463414634153E-3</v>
      </c>
      <c r="I116">
        <f>VLOOKUP(A116,MIN!A:B,2,FALSE)</f>
        <v>25</v>
      </c>
      <c r="J116" t="str">
        <f t="shared" si="3"/>
        <v>NO</v>
      </c>
      <c r="K116">
        <f>VLOOKUP(A116,[1]Pricing!$A:$G,7,FALSE)</f>
        <v>5000</v>
      </c>
      <c r="L116" t="s">
        <v>1960</v>
      </c>
      <c r="M116" t="str">
        <f t="shared" si="4"/>
        <v>615-221230-009</v>
      </c>
    </row>
    <row r="117" spans="1:13" x14ac:dyDescent="0.25">
      <c r="A117" t="s">
        <v>803</v>
      </c>
      <c r="B117" s="14" t="str">
        <f>VLOOKUP(A117,[1]Pricing!$A:$R,18,FALSE)</f>
        <v>ERA-3AEB512V</v>
      </c>
      <c r="C117" t="s">
        <v>2618</v>
      </c>
      <c r="D117" t="str">
        <f>VLOOKUP(A117,[1]AVL!$A:$F,6,FALSE)</f>
        <v>RES,SMD,5.1K,0.1%,1/10W,0603,ROHS</v>
      </c>
      <c r="E117" t="str">
        <f>VLOOKUP(A117,[1]Pricing!$A:$F,6,FALSE)</f>
        <v>21 Weeks</v>
      </c>
      <c r="F117">
        <f>VLOOKUP(B117,[2]Sheet2!$B:$E,4,FALSE)</f>
        <v>5000</v>
      </c>
      <c r="G117" s="2">
        <f>VLOOKUP(A117,[1]Pricing!$A:$H,8,FALSE)</f>
        <v>3.424E-2</v>
      </c>
      <c r="H117" s="2">
        <f>VLOOKUP(A117,[1]Pricing!$A:$J,10,FALSE)</f>
        <v>4.1756097560975612E-2</v>
      </c>
      <c r="I117">
        <f>VLOOKUP(A117,MIN!A:B,2,FALSE)</f>
        <v>15</v>
      </c>
      <c r="J117" t="str">
        <f t="shared" si="3"/>
        <v>NO</v>
      </c>
      <c r="K117">
        <f>VLOOKUP(A117,[1]Pricing!$A:$G,7,FALSE)</f>
        <v>5000</v>
      </c>
      <c r="L117" t="s">
        <v>1960</v>
      </c>
      <c r="M117" t="str">
        <f t="shared" si="4"/>
        <v>615-310567-234</v>
      </c>
    </row>
    <row r="118" spans="1:13" x14ac:dyDescent="0.25">
      <c r="A118" t="s">
        <v>821</v>
      </c>
      <c r="B118" s="14" t="str">
        <f>VLOOKUP(A118,[1]Pricing!$A:$R,18,FALSE)</f>
        <v>ERA-6AEB394V</v>
      </c>
      <c r="C118" t="s">
        <v>2618</v>
      </c>
      <c r="D118" t="str">
        <f>VLOOKUP(A118,[1]AVL!$A:$F,6,FALSE)</f>
        <v>RES,SMD,0805,MF,1/8W,0.1%,390K ROHS</v>
      </c>
      <c r="E118" t="str">
        <f>VLOOKUP(A118,[1]Pricing!$A:$F,6,FALSE)</f>
        <v>3 Weeks</v>
      </c>
      <c r="F118">
        <f>VLOOKUP(B118,[2]Sheet2!$B:$E,4,FALSE)</f>
        <v>5000</v>
      </c>
      <c r="G118" s="2">
        <f>VLOOKUP(A118,[1]Pricing!$A:$H,8,FALSE)</f>
        <v>4.913E-2</v>
      </c>
      <c r="H118" s="2">
        <f>VLOOKUP(A118,[1]Pricing!$A:$J,10,FALSE)</f>
        <v>5.9914634146341468E-2</v>
      </c>
      <c r="I118">
        <f>VLOOKUP(A118,MIN!A:B,2,FALSE)</f>
        <v>15</v>
      </c>
      <c r="J118" t="str">
        <f t="shared" si="3"/>
        <v>NO</v>
      </c>
      <c r="K118">
        <f>VLOOKUP(A118,[1]Pricing!$A:$G,7,FALSE)</f>
        <v>5000</v>
      </c>
      <c r="L118" t="s">
        <v>1960</v>
      </c>
      <c r="M118" t="str">
        <f t="shared" si="4"/>
        <v>615-052828-390</v>
      </c>
    </row>
    <row r="119" spans="1:13" x14ac:dyDescent="0.25">
      <c r="A119" t="s">
        <v>1155</v>
      </c>
      <c r="B119" s="14" t="str">
        <f>VLOOKUP(A119,[1]Pricing!$A:$R,18,FALSE)</f>
        <v>MBRS240LT3G</v>
      </c>
      <c r="C119" t="s">
        <v>2623</v>
      </c>
      <c r="D119" t="str">
        <f>VLOOKUP(A119,[1]AVL!$A:$F,6,FALSE)</f>
        <v>DIO,SMD,SCHOTTKY RECTIFIER,2A,40V</v>
      </c>
      <c r="E119" t="str">
        <f>VLOOKUP(A119,[1]Pricing!$A:$F,6,FALSE)</f>
        <v>39 Weeks</v>
      </c>
      <c r="F119">
        <f>VLOOKUP(B119,[2]Sheet2!$B:$E,4,FALSE)</f>
        <v>2358</v>
      </c>
      <c r="G119" s="2">
        <f>VLOOKUP(A119,[1]Pricing!$A:$H,8,FALSE)</f>
        <v>0.13848199999999999</v>
      </c>
      <c r="H119" s="2">
        <f>VLOOKUP(A119,[1]Pricing!$A:$J,10,FALSE)</f>
        <v>0.16888048780487805</v>
      </c>
      <c r="I119">
        <f>VLOOKUP(A119,MIN!A:B,2,FALSE)</f>
        <v>25</v>
      </c>
      <c r="J119" t="str">
        <f t="shared" si="3"/>
        <v>NO</v>
      </c>
      <c r="K119">
        <f>VLOOKUP(A119,[1]Pricing!$A:$G,7,FALSE)</f>
        <v>2500</v>
      </c>
      <c r="L119" t="s">
        <v>1960</v>
      </c>
      <c r="M119" t="str">
        <f t="shared" si="4"/>
        <v>609-026501-001</v>
      </c>
    </row>
    <row r="120" spans="1:13" x14ac:dyDescent="0.25">
      <c r="A120" t="s">
        <v>1165</v>
      </c>
      <c r="B120" s="14" t="str">
        <f>VLOOKUP(A120,[1]Pricing!$A:$R,18,FALSE)</f>
        <v>MCT62SD</v>
      </c>
      <c r="C120" t="s">
        <v>2623</v>
      </c>
      <c r="D120" t="str">
        <f>VLOOKUP(A120,[1]AVL!$A:$F,6,FALSE)</f>
        <v>IC,SMD,DUAL PHOTOTRANSISTOR OPTOCOUPLER</v>
      </c>
      <c r="E120" t="str">
        <f>VLOOKUP(A120,[1]Pricing!$A:$F,6,FALSE)</f>
        <v>17 Weeks</v>
      </c>
      <c r="F120">
        <f>VLOOKUP(B120,[2]Sheet2!$B:$E,4,FALSE)</f>
        <v>1000</v>
      </c>
      <c r="G120" s="2">
        <f>VLOOKUP(A120,[1]Pricing!$A:$H,8,FALSE)</f>
        <v>0.328434</v>
      </c>
      <c r="H120" s="2">
        <f>VLOOKUP(A120,[1]Pricing!$A:$J,10,FALSE)</f>
        <v>0.40052926829268298</v>
      </c>
      <c r="I120">
        <f>VLOOKUP(A120,MIN!A:B,2,FALSE)</f>
        <v>15</v>
      </c>
      <c r="J120" t="str">
        <f t="shared" si="3"/>
        <v>NO</v>
      </c>
      <c r="K120">
        <f>VLOOKUP(A120,[1]Pricing!$A:$G,7,FALSE)</f>
        <v>1000</v>
      </c>
      <c r="L120" t="s">
        <v>1960</v>
      </c>
      <c r="M120" t="str">
        <f t="shared" si="4"/>
        <v>630-144729-001</v>
      </c>
    </row>
    <row r="121" spans="1:13" x14ac:dyDescent="0.25">
      <c r="A121" t="s">
        <v>1264</v>
      </c>
      <c r="B121" s="14" t="str">
        <f>VLOOKUP(A121,[1]Pricing!$A:$R,18,FALSE)</f>
        <v>PMEG4010EGWX</v>
      </c>
      <c r="C121" t="s">
        <v>2622</v>
      </c>
      <c r="D121" t="str">
        <f>VLOOKUP(A121,[1]AVL!$A:$F,6,FALSE)</f>
        <v>DIO,SMD,SCHOTTKY,40V,640MV,1A FWD,SOD123</v>
      </c>
      <c r="E121" t="str">
        <f>VLOOKUP(A121,[1]Pricing!$A:$F,6,FALSE)</f>
        <v>11 Weeks</v>
      </c>
      <c r="F121">
        <f>VLOOKUP(B121,[2]Sheet2!$B:$E,4,FALSE)</f>
        <v>2920</v>
      </c>
      <c r="G121" s="2">
        <f>VLOOKUP(A121,[1]Pricing!$A:$H,8,FALSE)</f>
        <v>4.7794999999999997E-2</v>
      </c>
      <c r="H121" s="2">
        <f>VLOOKUP(A121,[1]Pricing!$A:$J,10,FALSE)</f>
        <v>5.8286585365853662E-2</v>
      </c>
      <c r="I121">
        <f>VLOOKUP(A121,MIN!A:B,2,FALSE)</f>
        <v>15</v>
      </c>
      <c r="J121" t="str">
        <f t="shared" si="3"/>
        <v>NO</v>
      </c>
      <c r="K121">
        <f>VLOOKUP(A121,[1]Pricing!$A:$G,7,FALSE)</f>
        <v>3000</v>
      </c>
      <c r="L121" t="s">
        <v>1960</v>
      </c>
      <c r="M121" t="str">
        <f t="shared" si="4"/>
        <v>609-327223-001</v>
      </c>
    </row>
    <row r="122" spans="1:13" x14ac:dyDescent="0.25">
      <c r="A122" t="s">
        <v>1542</v>
      </c>
      <c r="B122" s="14" t="str">
        <f>VLOOKUP(A122,[1]Pricing!$A:$R,18,FALSE)</f>
        <v>RT0402BRD0734K8L</v>
      </c>
      <c r="C122" t="s">
        <v>2580</v>
      </c>
      <c r="D122" t="str">
        <f>VLOOKUP(A122,[1]AVL!$A:$F,6,FALSE)</f>
        <v>RES,SMD,34.8KOHM,0.1%,1/16W,0402</v>
      </c>
      <c r="E122" t="str">
        <f>VLOOKUP(A122,[1]Pricing!$A:$F,6,FALSE)</f>
        <v>22 Weeks</v>
      </c>
      <c r="F122">
        <f>VLOOKUP(B122,[2]Sheet2!$B:$E,4,FALSE)</f>
        <v>10000</v>
      </c>
      <c r="G122" s="2">
        <f>VLOOKUP(A122,[1]Pricing!$A:$H,8,FALSE)</f>
        <v>4.1116E-2</v>
      </c>
      <c r="H122" s="2">
        <f>VLOOKUP(A122,[1]Pricing!$A:$J,10,FALSE)</f>
        <v>5.0141463414634151E-2</v>
      </c>
      <c r="I122">
        <f>VLOOKUP(A122,MIN!A:B,2,FALSE)</f>
        <v>25</v>
      </c>
      <c r="J122" t="str">
        <f t="shared" si="3"/>
        <v>NO</v>
      </c>
      <c r="K122">
        <f>VLOOKUP(A122,[1]Pricing!$A:$G,7,FALSE)</f>
        <v>10000</v>
      </c>
      <c r="L122" t="s">
        <v>1960</v>
      </c>
      <c r="M122" t="str">
        <f t="shared" si="4"/>
        <v>615-A00424-348</v>
      </c>
    </row>
    <row r="123" spans="1:13" x14ac:dyDescent="0.25">
      <c r="A123" t="s">
        <v>1618</v>
      </c>
      <c r="B123" s="14" t="str">
        <f>VLOOKUP(A123,[1]Pricing!$A:$R,18,FALSE)</f>
        <v>SBRD10200TR</v>
      </c>
      <c r="C123" t="s">
        <v>2624</v>
      </c>
      <c r="D123" t="str">
        <f>VLOOKUP(A123,[1]AVL!$A:$F,6,FALSE)</f>
        <v>DIO,SMD,SCHOTTKY,200V,10A,TO-252-3</v>
      </c>
      <c r="E123" t="str">
        <f>VLOOKUP(A123,[1]Pricing!$A:$F,6,FALSE)</f>
        <v>17 Weeks</v>
      </c>
      <c r="F123">
        <f>VLOOKUP(B123,[2]Sheet2!$B:$E,4,FALSE)</f>
        <v>2500</v>
      </c>
      <c r="G123" s="2">
        <f>VLOOKUP(A123,[1]Pricing!$A:$H,8,FALSE)</f>
        <v>0.17905799999999999</v>
      </c>
      <c r="H123" s="2">
        <f>VLOOKUP(A123,[1]Pricing!$A:$J,10,FALSE)</f>
        <v>0.21836341463414635</v>
      </c>
      <c r="I123">
        <f>VLOOKUP(A123,MIN!A:B,2,FALSE)</f>
        <v>15</v>
      </c>
      <c r="J123" t="str">
        <f t="shared" si="3"/>
        <v>NO</v>
      </c>
      <c r="K123">
        <f>VLOOKUP(A123,[1]Pricing!$A:$G,7,FALSE)</f>
        <v>2500</v>
      </c>
      <c r="L123" t="s">
        <v>1960</v>
      </c>
      <c r="M123" t="str">
        <f t="shared" si="4"/>
        <v>613-A32959-001</v>
      </c>
    </row>
    <row r="124" spans="1:13" x14ac:dyDescent="0.25">
      <c r="A124" t="s">
        <v>574</v>
      </c>
      <c r="B124" s="14" t="str">
        <f>VLOOKUP(A124,[1]Pricing!$A:$R,18,FALSE)</f>
        <v>C0603X5R1A474M030BC</v>
      </c>
      <c r="C124" t="s">
        <v>2616</v>
      </c>
      <c r="D124" t="str">
        <f>VLOOKUP(A124,[1]AVL!$A:$F,6,FALSE)</f>
        <v>CAP,SMD,CER,470NF,20%,10V,X5R,0201</v>
      </c>
      <c r="E124" t="str">
        <f>VLOOKUP(A124,[1]Pricing!$A:$F,6,FALSE)</f>
        <v>29 Weeks</v>
      </c>
      <c r="F124">
        <f>VLOOKUP(B124,[2]Sheet2!$B:$E,4,FALSE)</f>
        <v>13044</v>
      </c>
      <c r="G124" s="2">
        <f>VLOOKUP(A124,[1]Pricing!$A:$H,8,FALSE)</f>
        <v>2.3285E-2</v>
      </c>
      <c r="H124" s="2">
        <f>VLOOKUP(A124,[1]Pricing!$A:$J,10,FALSE)</f>
        <v>2.8396341463414635E-2</v>
      </c>
      <c r="I124">
        <f>VLOOKUP(A124,MIN!A:B,2,FALSE)</f>
        <v>25</v>
      </c>
      <c r="J124" t="str">
        <f t="shared" si="3"/>
        <v>NO</v>
      </c>
      <c r="K124">
        <f>VLOOKUP(A124,[1]Pricing!$A:$G,7,FALSE)</f>
        <v>15000</v>
      </c>
      <c r="L124" t="s">
        <v>1960</v>
      </c>
      <c r="M124" t="str">
        <f t="shared" si="4"/>
        <v>648-B34360-008</v>
      </c>
    </row>
    <row r="125" spans="1:13" x14ac:dyDescent="0.25">
      <c r="A125" t="s">
        <v>1062</v>
      </c>
      <c r="B125" s="14" t="str">
        <f>VLOOKUP(A125,[1]Pricing!$A:$R,18,FALSE)</f>
        <v>LMK063BBJ474MPLF</v>
      </c>
      <c r="C125" t="s">
        <v>2625</v>
      </c>
      <c r="D125" t="str">
        <f>VLOOKUP(A125,[1]AVL!$A:$F,6,FALSE)</f>
        <v>CAP,SMD,MLCC,0.47UF,±20%,10V,X5R,0201</v>
      </c>
      <c r="E125" t="str">
        <f>VLOOKUP(A125,[1]Pricing!$A:$F,6,FALSE)</f>
        <v>10 Weeks</v>
      </c>
      <c r="F125">
        <f>VLOOKUP(B125,[2]Sheet2!$B:$E,4,FALSE)</f>
        <v>15000</v>
      </c>
      <c r="G125" s="2">
        <f>VLOOKUP(A125,[1]Pricing!$A:$H,8,FALSE)</f>
        <v>1.5552E-2</v>
      </c>
      <c r="H125" s="2">
        <f>VLOOKUP(A125,[1]Pricing!$A:$J,10,FALSE)</f>
        <v>1.8965853658536588E-2</v>
      </c>
      <c r="I125">
        <f>VLOOKUP(A125,MIN!A:B,2,FALSE)</f>
        <v>25</v>
      </c>
      <c r="J125" t="str">
        <f t="shared" si="3"/>
        <v>NO</v>
      </c>
      <c r="K125">
        <f>VLOOKUP(A125,[1]Pricing!$A:$G,7,FALSE)</f>
        <v>15000</v>
      </c>
      <c r="L125" t="s">
        <v>1960</v>
      </c>
      <c r="M125" t="str">
        <f t="shared" si="4"/>
        <v>648-A40023-474</v>
      </c>
    </row>
    <row r="126" spans="1:13" x14ac:dyDescent="0.25">
      <c r="A126" t="s">
        <v>582</v>
      </c>
      <c r="B126" s="14" t="str">
        <f>VLOOKUP(A126,[1]Pricing!$A:$R,18,FALSE)</f>
        <v>C1005X5R0J475K050</v>
      </c>
      <c r="C126" t="s">
        <v>2616</v>
      </c>
      <c r="D126" t="str">
        <f>VLOOKUP(A126,[1]AVL!$A:$F,6,FALSE)</f>
        <v>CAP,CER,0402,X5R,10%,6.3V,4.7UF ROHS</v>
      </c>
      <c r="E126" t="str">
        <f>VLOOKUP(A126,[1]Pricing!$A:$F,6,FALSE)</f>
        <v>27 Weeks</v>
      </c>
      <c r="F126">
        <f>VLOOKUP(B126,[2]Sheet2!$B:$E,4,FALSE)</f>
        <v>10000</v>
      </c>
      <c r="G126" s="2">
        <f>VLOOKUP(A126,[1]Pricing!$A:$H,8,FALSE)</f>
        <v>5.6372999999999999E-2</v>
      </c>
      <c r="H126" s="2">
        <f>VLOOKUP(A126,[1]Pricing!$A:$J,10,FALSE)</f>
        <v>6.8747560975609759E-2</v>
      </c>
      <c r="I126">
        <f>VLOOKUP(A126,MIN!A:B,2,FALSE)</f>
        <v>30</v>
      </c>
      <c r="J126" t="str">
        <f t="shared" si="3"/>
        <v>NO</v>
      </c>
      <c r="K126">
        <f>VLOOKUP(A126,[1]Pricing!$A:$G,7,FALSE)</f>
        <v>10000</v>
      </c>
      <c r="L126" t="s">
        <v>1960</v>
      </c>
      <c r="M126" t="str">
        <f t="shared" si="4"/>
        <v>648-198983-011</v>
      </c>
    </row>
    <row r="127" spans="1:13" x14ac:dyDescent="0.25">
      <c r="A127" t="s">
        <v>1838</v>
      </c>
      <c r="B127" s="14" t="str">
        <f>VLOOKUP(A127,[1]Pricing!$A:$R,18,FALSE)</f>
        <v>UMK105BJ224KV-F</v>
      </c>
      <c r="C127" t="s">
        <v>2625</v>
      </c>
      <c r="D127" t="str">
        <f>VLOOKUP(A127,[1]AVL!$A:$F,6,FALSE)</f>
        <v>CAP,SMD,CER,0.22UF,±10% TOL,50V,X5R,0402</v>
      </c>
      <c r="E127" t="str">
        <f>VLOOKUP(A127,[1]Pricing!$A:$F,6,FALSE)</f>
        <v>12 Weeks</v>
      </c>
      <c r="F127">
        <f>VLOOKUP(B127,[2]Sheet2!$B:$E,4,FALSE)</f>
        <v>9779</v>
      </c>
      <c r="G127" s="2">
        <f>VLOOKUP(A127,[1]Pricing!$A:$H,8,FALSE)</f>
        <v>2.5735999999999998E-2</v>
      </c>
      <c r="H127" s="2">
        <f>VLOOKUP(A127,[1]Pricing!$A:$J,10,FALSE)</f>
        <v>3.1385365853658538E-2</v>
      </c>
      <c r="I127">
        <f>VLOOKUP(A127,MIN!A:B,2,FALSE)</f>
        <v>25</v>
      </c>
      <c r="J127" t="str">
        <f t="shared" si="3"/>
        <v>NO</v>
      </c>
      <c r="K127">
        <f>VLOOKUP(A127,[1]Pricing!$A:$G,7,FALSE)</f>
        <v>10000</v>
      </c>
      <c r="L127" t="s">
        <v>1960</v>
      </c>
      <c r="M127" t="str">
        <f t="shared" si="4"/>
        <v>648-A08430-224</v>
      </c>
    </row>
    <row r="128" spans="1:13" x14ac:dyDescent="0.25">
      <c r="A128" t="s">
        <v>1439</v>
      </c>
      <c r="B128" s="14" t="str">
        <f>VLOOKUP(A128,[1]Pricing!$A:$R,18,FALSE)</f>
        <v>RCLAMP3321P.TNT</v>
      </c>
      <c r="C128" t="s">
        <v>2626</v>
      </c>
      <c r="D128" t="str">
        <f>VLOOKUP(A128,[1]AVL!$A:$F,6,FALSE)</f>
        <v>DIO,SMD,ZENER,TVS,3.3VWM,13VC</v>
      </c>
      <c r="E128" t="str">
        <f>VLOOKUP(A128,[1]Pricing!$A:$F,6,FALSE)</f>
        <v>16 Weeks</v>
      </c>
      <c r="F128">
        <f>VLOOKUP(B128,[2]Sheet2!$B:$E,4,FALSE)</f>
        <v>9900</v>
      </c>
      <c r="G128" s="2">
        <f>VLOOKUP(A128,[1]Pricing!$A:$H,8,FALSE)</f>
        <v>0.24876400000000001</v>
      </c>
      <c r="H128" s="2">
        <f>VLOOKUP(A128,[1]Pricing!$A:$J,10,FALSE)</f>
        <v>0.3033707317073171</v>
      </c>
      <c r="I128">
        <f>VLOOKUP(A128,MIN!A:B,2,FALSE)</f>
        <v>30</v>
      </c>
      <c r="J128" t="str">
        <f t="shared" si="3"/>
        <v>NO</v>
      </c>
      <c r="K128">
        <f>VLOOKUP(A128,[1]Pricing!$A:$G,7,FALSE)</f>
        <v>10000</v>
      </c>
      <c r="L128" t="s">
        <v>1960</v>
      </c>
      <c r="M128" t="str">
        <f t="shared" si="4"/>
        <v>609-290805-001</v>
      </c>
    </row>
    <row r="129" spans="1:13" x14ac:dyDescent="0.25">
      <c r="A129" t="s">
        <v>1548</v>
      </c>
      <c r="B129" s="14" t="str">
        <f>VLOOKUP(A129,[1]Pricing!$A:$R,18,FALSE)</f>
        <v>RT0402BRD0741K2L</v>
      </c>
      <c r="C129" t="s">
        <v>2618</v>
      </c>
      <c r="D129" t="str">
        <f>VLOOKUP(A129,[1]AVL!$A:$F,6,FALSE)</f>
        <v>RES,SMD,41.2KOHM,0.1%,1/16W,0402</v>
      </c>
      <c r="E129" t="str">
        <f>VLOOKUP(A129,[1]Pricing!$A:$F,6,FALSE)</f>
        <v>27 Weeks</v>
      </c>
      <c r="F129">
        <f>VLOOKUP(B129,[2]Sheet2!$B:$E,4,FALSE)</f>
        <v>9692</v>
      </c>
      <c r="G129" s="2">
        <f>VLOOKUP(A129,[1]Pricing!$A:$H,8,FALSE)</f>
        <v>4.1116E-2</v>
      </c>
      <c r="H129" s="2">
        <f>VLOOKUP(A129,[1]Pricing!$A:$J,10,FALSE)</f>
        <v>5.0141463414634151E-2</v>
      </c>
      <c r="I129">
        <f>VLOOKUP(A129,MIN!A:B,2,FALSE)</f>
        <v>25</v>
      </c>
      <c r="J129" t="str">
        <f t="shared" ref="J129:J192" si="5">IF(F129&lt;=I129,"REORDER","NO")</f>
        <v>NO</v>
      </c>
      <c r="K129">
        <f>VLOOKUP(A129,[1]Pricing!$A:$G,7,FALSE)</f>
        <v>10000</v>
      </c>
      <c r="L129" t="s">
        <v>1960</v>
      </c>
      <c r="M129" t="str">
        <f t="shared" si="4"/>
        <v>615-A00424-412</v>
      </c>
    </row>
    <row r="130" spans="1:13" x14ac:dyDescent="0.25">
      <c r="A130" t="s">
        <v>911</v>
      </c>
      <c r="B130" s="14" t="str">
        <f>VLOOKUP(A130,[1]Pricing!$A:$R,18,FALSE)</f>
        <v>GCM1885C1H202FA16J</v>
      </c>
      <c r="C130" t="s">
        <v>2627</v>
      </c>
      <c r="D130" t="str">
        <f>VLOOKUP(A130,[1]AVL!$A:$F,6,FALSE)</f>
        <v>CAP,SMD,CER,2000PF,+/-1%,50V,C0G,0603</v>
      </c>
      <c r="E130" t="str">
        <f>VLOOKUP(A130,[1]Pricing!$A:$F,6,FALSE)</f>
        <v>17 Weeks</v>
      </c>
      <c r="F130">
        <f>VLOOKUP(B130,[2]Sheet2!$B:$E,4,FALSE)</f>
        <v>10000</v>
      </c>
      <c r="G130" s="2">
        <f>VLOOKUP(A130,[1]Pricing!$A:$H,8,FALSE)</f>
        <v>3.1863000000000002E-2</v>
      </c>
      <c r="H130" s="2">
        <f>VLOOKUP(A130,[1]Pricing!$A:$J,10,FALSE)</f>
        <v>3.8857317073170736E-2</v>
      </c>
      <c r="I130">
        <f>VLOOKUP(A130,MIN!A:B,2,FALSE)</f>
        <v>25</v>
      </c>
      <c r="J130" t="str">
        <f t="shared" si="5"/>
        <v>NO</v>
      </c>
      <c r="K130">
        <f>VLOOKUP(A130,[1]Pricing!$A:$G,7,FALSE)</f>
        <v>10000</v>
      </c>
      <c r="L130" t="s">
        <v>1960</v>
      </c>
      <c r="M130" t="str">
        <f t="shared" si="4"/>
        <v>648-A80876-202</v>
      </c>
    </row>
    <row r="131" spans="1:13" x14ac:dyDescent="0.25">
      <c r="A131" t="s">
        <v>1317</v>
      </c>
      <c r="B131" s="14" t="str">
        <f>VLOOKUP(A131,[1]Pricing!$A:$R,18,FALSE)</f>
        <v>RC0402FR-071R21L</v>
      </c>
      <c r="C131" t="s">
        <v>2617</v>
      </c>
      <c r="D131" t="str">
        <f>VLOOKUP(A131,[1]AVL!$A:$F,6,FALSE)</f>
        <v>RES,0402,THKF,1/16W,1% 1.21 ROHS</v>
      </c>
      <c r="E131" t="str">
        <f>VLOOKUP(A131,[1]Pricing!$A:$F,6,FALSE)</f>
        <v>21 Weeks</v>
      </c>
      <c r="F131">
        <f>VLOOKUP(B131,[2]Sheet2!$B:$E,4,FALSE)</f>
        <v>10000</v>
      </c>
      <c r="G131" s="2">
        <f>VLOOKUP(A131,[1]Pricing!$A:$H,8,FALSE)</f>
        <v>6.1279999999999998E-3</v>
      </c>
      <c r="H131" s="2">
        <f>VLOOKUP(A131,[1]Pricing!$A:$J,10,FALSE)</f>
        <v>7.4731707317073175E-3</v>
      </c>
      <c r="I131">
        <f>VLOOKUP(A131,MIN!A:B,2,FALSE)</f>
        <v>25</v>
      </c>
      <c r="J131" t="str">
        <f t="shared" si="5"/>
        <v>NO</v>
      </c>
      <c r="K131">
        <f>VLOOKUP(A131,[1]Pricing!$A:$G,7,FALSE)</f>
        <v>10000</v>
      </c>
      <c r="L131" t="s">
        <v>1960</v>
      </c>
      <c r="M131" t="str">
        <f t="shared" ref="M131:M194" si="6">A131</f>
        <v>615-123458-121</v>
      </c>
    </row>
    <row r="132" spans="1:13" x14ac:dyDescent="0.25">
      <c r="A132" t="s">
        <v>1349</v>
      </c>
      <c r="B132" s="14" t="str">
        <f>VLOOKUP(A132,[1]Pricing!$A:$R,18,FALSE)</f>
        <v>RC0402FR-0775RL</v>
      </c>
      <c r="C132" t="s">
        <v>2580</v>
      </c>
      <c r="D132" t="str">
        <f>VLOOKUP(A132,[1]AVL!$A:$F,6,FALSE)</f>
        <v>RES,0402,THKF,1/16W,1% 75.0 ROHS</v>
      </c>
      <c r="E132" t="str">
        <f>VLOOKUP(A132,[1]Pricing!$A:$F,6,FALSE)</f>
        <v>23 Weeks</v>
      </c>
      <c r="F132">
        <f>VLOOKUP(B132,[2]Sheet2!$B:$E,4,FALSE)</f>
        <v>8766</v>
      </c>
      <c r="G132" s="2">
        <f>VLOOKUP(A132,[1]Pricing!$A:$H,8,FALSE)</f>
        <v>2.4510000000000001E-3</v>
      </c>
      <c r="H132" s="2">
        <f>VLOOKUP(A132,[1]Pricing!$A:$J,10,FALSE)</f>
        <v>2.9890243902439026E-3</v>
      </c>
      <c r="I132">
        <f>VLOOKUP(A132,MIN!A:B,2,FALSE)</f>
        <v>25</v>
      </c>
      <c r="J132" t="str">
        <f t="shared" si="5"/>
        <v>NO</v>
      </c>
      <c r="K132">
        <f>VLOOKUP(A132,[1]Pricing!$A:$G,7,FALSE)</f>
        <v>10000</v>
      </c>
      <c r="L132" t="s">
        <v>2689</v>
      </c>
      <c r="M132" t="str">
        <f t="shared" si="6"/>
        <v>615-123459-750</v>
      </c>
    </row>
    <row r="133" spans="1:13" x14ac:dyDescent="0.25">
      <c r="A133" t="s">
        <v>465</v>
      </c>
      <c r="B133" s="14" t="str">
        <f>VLOOKUP(A133,[1]Pricing!$A:$R,18,FALSE)</f>
        <v>AC0402FR-0749R9L</v>
      </c>
      <c r="C133" t="s">
        <v>2628</v>
      </c>
      <c r="D133" t="str">
        <f>VLOOKUP(A133,[1]AVL!$A:$F,6,FALSE)</f>
        <v>RES,0402,1% 1/16W,49.9 OHM ROHS</v>
      </c>
      <c r="E133" t="str">
        <f>VLOOKUP(A133,[1]Pricing!$A:$F,6,FALSE)</f>
        <v>15 Weeks</v>
      </c>
      <c r="F133">
        <f>VLOOKUP(B133,[2]Sheet2!$B:$E,4,FALSE)</f>
        <v>10000</v>
      </c>
      <c r="G133" s="2">
        <f>VLOOKUP(A133,[1]Pricing!$A:$H,8,FALSE)</f>
        <v>3.6770000000000001E-3</v>
      </c>
      <c r="H133" s="2">
        <f>VLOOKUP(A133,[1]Pricing!$A:$J,10,FALSE)</f>
        <v>4.4841463414634153E-3</v>
      </c>
      <c r="I133">
        <f>VLOOKUP(A133,MIN!A:B,2,FALSE)</f>
        <v>60</v>
      </c>
      <c r="J133" t="str">
        <f t="shared" si="5"/>
        <v>NO</v>
      </c>
      <c r="K133">
        <f>VLOOKUP(A133,[1]Pricing!$A:$G,7,FALSE)</f>
        <v>10000</v>
      </c>
      <c r="L133" t="s">
        <v>1960</v>
      </c>
      <c r="M133" t="str">
        <f t="shared" si="6"/>
        <v>615-188548-194</v>
      </c>
    </row>
    <row r="134" spans="1:13" x14ac:dyDescent="0.25">
      <c r="A134" t="s">
        <v>461</v>
      </c>
      <c r="B134" s="14" t="str">
        <f>VLOOKUP(A134,[1]Pricing!$A:$R,18,FALSE)</f>
        <v>AC0402FR-0722K1L</v>
      </c>
      <c r="C134" t="s">
        <v>2617</v>
      </c>
      <c r="D134" t="str">
        <f>VLOOKUP(A134,[1]AVL!$A:$F,6,FALSE)</f>
        <v>RES,0402,1% 1/16W,22.1K ROHS</v>
      </c>
      <c r="E134" t="str">
        <f>VLOOKUP(A134,[1]Pricing!$A:$F,6,FALSE)</f>
        <v>19 Weeks</v>
      </c>
      <c r="F134">
        <f>VLOOKUP(B134,[2]Sheet2!$B:$E,4,FALSE)</f>
        <v>10000</v>
      </c>
      <c r="G134" s="2">
        <f>VLOOKUP(A134,[1]Pricing!$A:$H,8,FALSE)</f>
        <v>3.3700000000000002E-3</v>
      </c>
      <c r="H134" s="2">
        <f>VLOOKUP(A134,[1]Pricing!$A:$J,10,FALSE)</f>
        <v>4.1097560975609758E-3</v>
      </c>
      <c r="I134">
        <f>VLOOKUP(A134,MIN!A:B,2,FALSE)</f>
        <v>25</v>
      </c>
      <c r="J134" t="str">
        <f t="shared" si="5"/>
        <v>NO</v>
      </c>
      <c r="K134">
        <f>VLOOKUP(A134,[1]Pricing!$A:$G,7,FALSE)</f>
        <v>10000</v>
      </c>
      <c r="L134" t="s">
        <v>1960</v>
      </c>
      <c r="M134" t="str">
        <f t="shared" si="6"/>
        <v>615-188549-130</v>
      </c>
    </row>
    <row r="135" spans="1:13" x14ac:dyDescent="0.25">
      <c r="A135" t="s">
        <v>1343</v>
      </c>
      <c r="B135" s="14" t="str">
        <f>VLOOKUP(A135,[1]Pricing!$A:$R,18,FALSE)</f>
        <v>RC0402FR-07549RL</v>
      </c>
      <c r="C135" t="s">
        <v>2580</v>
      </c>
      <c r="D135" t="str">
        <f>VLOOKUP(A135,[1]AVL!$A:$F,6,FALSE)</f>
        <v>RES,0402,THKF,1/16W,1% 549 ROHS</v>
      </c>
      <c r="E135" t="str">
        <f>VLOOKUP(A135,[1]Pricing!$A:$F,6,FALSE)</f>
        <v>50 Weeks</v>
      </c>
      <c r="F135">
        <f>VLOOKUP(B135,[2]Sheet2!$B:$E,4,FALSE)</f>
        <v>10000</v>
      </c>
      <c r="G135" s="2">
        <f>VLOOKUP(A135,[1]Pricing!$A:$H,8,FALSE)</f>
        <v>2.6099999999999999E-3</v>
      </c>
      <c r="H135" s="2">
        <f>VLOOKUP(A135,[1]Pricing!$A:$J,10,FALSE)</f>
        <v>3.1829268292682929E-3</v>
      </c>
      <c r="I135">
        <f>VLOOKUP(A135,MIN!A:B,2,FALSE)</f>
        <v>25</v>
      </c>
      <c r="J135" t="str">
        <f t="shared" si="5"/>
        <v>NO</v>
      </c>
      <c r="K135">
        <f>VLOOKUP(A135,[1]Pricing!$A:$G,7,FALSE)</f>
        <v>10000</v>
      </c>
      <c r="L135" t="s">
        <v>1960</v>
      </c>
      <c r="M135" t="str">
        <f t="shared" si="6"/>
        <v>615-123460-549</v>
      </c>
    </row>
    <row r="136" spans="1:13" x14ac:dyDescent="0.25">
      <c r="A136" t="s">
        <v>1309</v>
      </c>
      <c r="B136" s="14" t="str">
        <f>VLOOKUP(A136,[1]Pricing!$A:$R,18,FALSE)</f>
        <v>RC0402FR-071K2L</v>
      </c>
      <c r="C136" t="s">
        <v>2580</v>
      </c>
      <c r="D136" t="str">
        <f>VLOOKUP(A136,[1]AVL!$A:$F,6,FALSE)</f>
        <v>RES,0402,THKF,1/16W,1% 1.20K ROHS</v>
      </c>
      <c r="E136" t="str">
        <f>VLOOKUP(A136,[1]Pricing!$A:$F,6,FALSE)</f>
        <v>4 Weeks</v>
      </c>
      <c r="F136">
        <f>VLOOKUP(B136,[2]Sheet2!$B:$E,4,FALSE)</f>
        <v>19940</v>
      </c>
      <c r="G136" s="2">
        <f>VLOOKUP(A136,[1]Pricing!$A:$H,8,FALSE)</f>
        <v>3.6770000000000001E-3</v>
      </c>
      <c r="H136" s="2">
        <f>VLOOKUP(A136,[1]Pricing!$A:$J,10,FALSE)</f>
        <v>4.4841463414634153E-3</v>
      </c>
      <c r="I136">
        <f>VLOOKUP(A136,MIN!A:B,2,FALSE)</f>
        <v>15</v>
      </c>
      <c r="J136" t="str">
        <f t="shared" si="5"/>
        <v>NO</v>
      </c>
      <c r="K136">
        <f>VLOOKUP(A136,[1]Pricing!$A:$G,7,FALSE)</f>
        <v>10000</v>
      </c>
      <c r="L136" t="s">
        <v>1960</v>
      </c>
      <c r="M136" t="str">
        <f t="shared" si="6"/>
        <v>615-123461-120</v>
      </c>
    </row>
    <row r="137" spans="1:13" x14ac:dyDescent="0.25">
      <c r="A137" t="s">
        <v>1114</v>
      </c>
      <c r="B137" s="14" t="str">
        <f>VLOOKUP(A137,[1]Pricing!$A:$R,18,FALSE)</f>
        <v>LTST-C190KRKT</v>
      </c>
      <c r="C137" t="s">
        <v>2629</v>
      </c>
      <c r="D137" t="str">
        <f>VLOOKUP(A137,[1]AVL!$A:$F,6,FALSE)</f>
        <v>LED,SMD,0603,ST,10MA,RED ROHS | CE!</v>
      </c>
      <c r="E137" t="str">
        <f>VLOOKUP(A137,[1]Pricing!$A:$F,6,FALSE)</f>
        <v>23 Weeks</v>
      </c>
      <c r="F137">
        <f>VLOOKUP(B137,[2]Sheet2!$B:$E,4,FALSE)</f>
        <v>7840</v>
      </c>
      <c r="G137" s="2">
        <f>VLOOKUP(A137,[1]Pricing!$A:$H,8,FALSE)</f>
        <v>4.5575999999999998E-2</v>
      </c>
      <c r="H137" s="2">
        <f>VLOOKUP(A137,[1]Pricing!$A:$J,10,FALSE)</f>
        <v>5.5580487804878051E-2</v>
      </c>
      <c r="I137">
        <f>VLOOKUP(A137,MIN!A:B,2,FALSE)</f>
        <v>60</v>
      </c>
      <c r="J137" t="str">
        <f t="shared" si="5"/>
        <v>NO</v>
      </c>
      <c r="K137">
        <f>VLOOKUP(A137,[1]Pricing!$A:$G,7,FALSE)</f>
        <v>8000</v>
      </c>
      <c r="L137" t="s">
        <v>1960</v>
      </c>
      <c r="M137" t="str">
        <f t="shared" si="6"/>
        <v>664-068184-002</v>
      </c>
    </row>
    <row r="138" spans="1:13" x14ac:dyDescent="0.25">
      <c r="A138" t="s">
        <v>1452</v>
      </c>
      <c r="B138" s="14" t="str">
        <f>VLOOKUP(A138,[1]Pricing!$A:$R,18,FALSE)</f>
        <v>RG2012P-3242-B-T5</v>
      </c>
      <c r="C138" t="s">
        <v>2617</v>
      </c>
      <c r="D138" t="str">
        <f>VLOOKUP(A138,[1]AVL!$A:$F,6,FALSE)</f>
        <v>RES.SMD,0805,32.4K OHMS,0.1%,ROHS</v>
      </c>
      <c r="E138" t="str">
        <f>VLOOKUP(A138,[1]Pricing!$A:$F,6,FALSE)</f>
        <v>25 Weeks</v>
      </c>
      <c r="F138">
        <f>VLOOKUP(B138,[2]Sheet2!$B:$E,4,FALSE)</f>
        <v>5000</v>
      </c>
      <c r="G138" s="2">
        <f>VLOOKUP(A138,[1]Pricing!$A:$H,8,FALSE)</f>
        <v>0.164217</v>
      </c>
      <c r="H138" s="2">
        <f>VLOOKUP(A138,[1]Pricing!$A:$J,10,FALSE)</f>
        <v>0.20026463414634149</v>
      </c>
      <c r="I138">
        <f>VLOOKUP(A138,MIN!A:B,2,FALSE)</f>
        <v>25</v>
      </c>
      <c r="J138" t="str">
        <f t="shared" si="5"/>
        <v>NO</v>
      </c>
      <c r="K138">
        <f>VLOOKUP(A138,[1]Pricing!$A:$G,7,FALSE)</f>
        <v>5000</v>
      </c>
      <c r="L138" t="s">
        <v>1960</v>
      </c>
      <c r="M138" t="str">
        <f t="shared" si="6"/>
        <v>615-049171-324</v>
      </c>
    </row>
    <row r="139" spans="1:13" x14ac:dyDescent="0.25">
      <c r="A139" t="s">
        <v>881</v>
      </c>
      <c r="B139" s="14" t="str">
        <f>VLOOKUP(A139,[1]Pricing!$A:$R,18,FALSE)</f>
        <v>ESR03EZPF2002</v>
      </c>
      <c r="C139" t="s">
        <v>2630</v>
      </c>
      <c r="D139" t="str">
        <f>VLOOKUP(A139,[1]AVL!$A:$F,6,FALSE)</f>
        <v>RES,SMD,20K OHM,1%,1/4W,100PPM,0603</v>
      </c>
      <c r="E139" t="str">
        <f>VLOOKUP(A139,[1]Pricing!$A:$F,6,FALSE)</f>
        <v>19 Weeks</v>
      </c>
      <c r="F139">
        <f>VLOOKUP(B139,[2]Sheet2!$B:$E,4,FALSE)</f>
        <v>5000</v>
      </c>
      <c r="G139" s="2">
        <f>VLOOKUP(A139,[1]Pricing!$A:$H,8,FALSE)</f>
        <v>2.1557E-2</v>
      </c>
      <c r="H139" s="2">
        <f>VLOOKUP(A139,[1]Pricing!$A:$J,10,FALSE)</f>
        <v>2.6289024390243904E-2</v>
      </c>
      <c r="I139">
        <f>VLOOKUP(A139,MIN!A:B,2,FALSE)</f>
        <v>15</v>
      </c>
      <c r="J139" t="str">
        <f t="shared" si="5"/>
        <v>NO</v>
      </c>
      <c r="K139">
        <f>VLOOKUP(A139,[1]Pricing!$A:$G,7,FALSE)</f>
        <v>5000</v>
      </c>
      <c r="L139" t="s">
        <v>1960</v>
      </c>
      <c r="M139" t="str">
        <f t="shared" si="6"/>
        <v>615-A14987-003</v>
      </c>
    </row>
    <row r="140" spans="1:13" x14ac:dyDescent="0.25">
      <c r="A140" t="s">
        <v>835</v>
      </c>
      <c r="B140" s="14" t="str">
        <f>VLOOKUP(A140,[1]Pricing!$A:$R,18,FALSE)</f>
        <v>ERA-8AEB4023V</v>
      </c>
      <c r="C140" t="s">
        <v>2617</v>
      </c>
      <c r="D140" t="str">
        <f>VLOOKUP(A140,[1]AVL!$A:$F,6,FALSE)</f>
        <v>RES,1206,TF,0.1%,25 PPM,402K ROHS</v>
      </c>
      <c r="E140" t="str">
        <f>VLOOKUP(A140,[1]Pricing!$A:$F,6,FALSE)</f>
        <v>21 Weeks</v>
      </c>
      <c r="F140">
        <f>VLOOKUP(B140,[2]Sheet2!$B:$E,4,FALSE)</f>
        <v>5000</v>
      </c>
      <c r="G140" s="2">
        <f>VLOOKUP(A140,[1]Pricing!$A:$H,8,FALSE)</f>
        <v>0.242588</v>
      </c>
      <c r="H140" s="2">
        <f>VLOOKUP(A140,[1]Pricing!$A:$J,10,FALSE)</f>
        <v>0.2958390243902439</v>
      </c>
      <c r="I140">
        <f>VLOOKUP(A140,MIN!A:B,2,FALSE)</f>
        <v>15</v>
      </c>
      <c r="J140" t="str">
        <f t="shared" si="5"/>
        <v>NO</v>
      </c>
      <c r="K140">
        <f>VLOOKUP(A140,[1]Pricing!$A:$G,7,FALSE)</f>
        <v>5000</v>
      </c>
      <c r="L140" t="s">
        <v>1960</v>
      </c>
      <c r="M140" t="str">
        <f t="shared" si="6"/>
        <v>615-080145-117</v>
      </c>
    </row>
    <row r="141" spans="1:13" x14ac:dyDescent="0.25">
      <c r="A141" t="s">
        <v>1266</v>
      </c>
      <c r="B141" s="14" t="str">
        <f>VLOOKUP(A141,[1]Pricing!$A:$R,18,FALSE)</f>
        <v>PMR18EZPFU6L00</v>
      </c>
      <c r="C141" t="s">
        <v>2630</v>
      </c>
      <c r="D141" t="str">
        <f>VLOOKUP(A141,[1]AVL!$A:$F,6,FALSE)</f>
        <v>RES,SMD,.006OHM,1% TOL,1W,1206</v>
      </c>
      <c r="E141" t="str">
        <f>VLOOKUP(A141,[1]Pricing!$A:$F,6,FALSE)</f>
        <v>29 Weeks</v>
      </c>
      <c r="F141">
        <f>VLOOKUP(B141,[2]Sheet2!$B:$E,4,FALSE)</f>
        <v>4776</v>
      </c>
      <c r="G141" s="2">
        <f>VLOOKUP(A141,[1]Pricing!$A:$H,8,FALSE)</f>
        <v>0.17647199999999999</v>
      </c>
      <c r="H141" s="2">
        <f>VLOOKUP(A141,[1]Pricing!$A:$J,10,FALSE)</f>
        <v>0.21520975609756099</v>
      </c>
      <c r="I141">
        <f>VLOOKUP(A141,MIN!A:B,2,FALSE)</f>
        <v>25</v>
      </c>
      <c r="J141" t="str">
        <f t="shared" si="5"/>
        <v>NO</v>
      </c>
      <c r="K141">
        <f>VLOOKUP(A141,[1]Pricing!$A:$G,7,FALSE)</f>
        <v>5000</v>
      </c>
      <c r="L141" t="s">
        <v>1960</v>
      </c>
      <c r="M141" t="str">
        <f t="shared" si="6"/>
        <v>615-B02355-001</v>
      </c>
    </row>
    <row r="142" spans="1:13" x14ac:dyDescent="0.25">
      <c r="A142" t="s">
        <v>827</v>
      </c>
      <c r="B142" s="14" t="str">
        <f>VLOOKUP(A142,[1]Pricing!$A:$R,18,FALSE)</f>
        <v>ERA-6AEB563V</v>
      </c>
      <c r="C142" t="s">
        <v>2618</v>
      </c>
      <c r="D142" t="str">
        <f>VLOOKUP(A142,[1]AVL!$A:$F,6,FALSE)</f>
        <v>RES,SMD,0805,MF,1/8W,0.1%,56K ROHS</v>
      </c>
      <c r="E142" t="str">
        <f>VLOOKUP(A142,[1]Pricing!$A:$F,6,FALSE)</f>
        <v>25 Weeks</v>
      </c>
      <c r="F142">
        <f>VLOOKUP(B142,[2]Sheet2!$B:$E,4,FALSE)</f>
        <v>5000</v>
      </c>
      <c r="G142" s="2">
        <f>VLOOKUP(A142,[1]Pricing!$A:$H,8,FALSE)</f>
        <v>4.913E-2</v>
      </c>
      <c r="H142" s="2">
        <f>VLOOKUP(A142,[1]Pricing!$A:$J,10,FALSE)</f>
        <v>5.9914634146341468E-2</v>
      </c>
      <c r="I142">
        <f>VLOOKUP(A142,MIN!A:B,2,FALSE)</f>
        <v>15</v>
      </c>
      <c r="J142" t="str">
        <f t="shared" si="5"/>
        <v>NO</v>
      </c>
      <c r="K142">
        <f>VLOOKUP(A142,[1]Pricing!$A:$G,7,FALSE)</f>
        <v>5000</v>
      </c>
      <c r="L142" t="s">
        <v>1960</v>
      </c>
      <c r="M142" t="str">
        <f t="shared" si="6"/>
        <v>615-052828-056</v>
      </c>
    </row>
    <row r="143" spans="1:13" x14ac:dyDescent="0.25">
      <c r="A143" t="s">
        <v>801</v>
      </c>
      <c r="B143" s="14" t="str">
        <f>VLOOKUP(A143,[1]Pricing!$A:$R,18,FALSE)</f>
        <v>ERA-3AEB1182V</v>
      </c>
      <c r="C143" t="s">
        <v>2618</v>
      </c>
      <c r="D143" t="str">
        <f>VLOOKUP(A143,[1]AVL!$A:$F,6,FALSE)</f>
        <v>RES,SMD,11.8K,0.1%,1/10W,0603,ROHS</v>
      </c>
      <c r="E143" t="str">
        <f>VLOOKUP(A143,[1]Pricing!$A:$F,6,FALSE)</f>
        <v>21 Weeks</v>
      </c>
      <c r="F143">
        <f>VLOOKUP(B143,[2]Sheet2!$B:$E,4,FALSE)</f>
        <v>5000</v>
      </c>
      <c r="G143" s="2">
        <f>VLOOKUP(A143,[1]Pricing!$A:$H,8,FALSE)</f>
        <v>3.424E-2</v>
      </c>
      <c r="H143" s="2">
        <f>VLOOKUP(A143,[1]Pricing!$A:$J,10,FALSE)</f>
        <v>4.1756097560975612E-2</v>
      </c>
      <c r="I143">
        <f>VLOOKUP(A143,MIN!A:B,2,FALSE)</f>
        <v>15</v>
      </c>
      <c r="J143" t="str">
        <f t="shared" si="5"/>
        <v>NO</v>
      </c>
      <c r="K143">
        <f>VLOOKUP(A143,[1]Pricing!$A:$G,7,FALSE)</f>
        <v>5000</v>
      </c>
      <c r="L143" t="s">
        <v>1960</v>
      </c>
      <c r="M143" t="str">
        <f t="shared" si="6"/>
        <v>615-310567-274</v>
      </c>
    </row>
    <row r="144" spans="1:13" x14ac:dyDescent="0.25">
      <c r="A144" t="s">
        <v>863</v>
      </c>
      <c r="B144" s="14" t="str">
        <f>VLOOKUP(A144,[1]Pricing!$A:$R,18,FALSE)</f>
        <v>ERJ-6ENF10R0V</v>
      </c>
      <c r="C144" t="s">
        <v>2618</v>
      </c>
      <c r="D144" t="str">
        <f>VLOOKUP(A144,[1]AVL!$A:$F,6,FALSE)</f>
        <v>RES,SMD,0805,10OHM,±1%,1/8W,THK FILM</v>
      </c>
      <c r="E144" t="str">
        <f>VLOOKUP(A144,[1]Pricing!$A:$F,6,FALSE)</f>
        <v>23 Weeks</v>
      </c>
      <c r="F144">
        <f>VLOOKUP(B144,[2]Sheet2!$B:$E,4,FALSE)</f>
        <v>5000</v>
      </c>
      <c r="G144" s="2">
        <f>VLOOKUP(A144,[1]Pricing!$A:$H,8,FALSE)</f>
        <v>1.452E-2</v>
      </c>
      <c r="H144" s="2">
        <f>VLOOKUP(A144,[1]Pricing!$A:$J,10,FALSE)</f>
        <v>1.7707317073170734E-2</v>
      </c>
      <c r="I144">
        <f>VLOOKUP(A144,MIN!A:B,2,FALSE)</f>
        <v>15</v>
      </c>
      <c r="J144" t="str">
        <f t="shared" si="5"/>
        <v>NO</v>
      </c>
      <c r="K144">
        <f>VLOOKUP(A144,[1]Pricing!$A:$G,7,FALSE)</f>
        <v>5000</v>
      </c>
      <c r="L144" t="s">
        <v>1960</v>
      </c>
      <c r="M144" t="str">
        <f t="shared" si="6"/>
        <v>615-325897-001</v>
      </c>
    </row>
    <row r="145" spans="1:13" x14ac:dyDescent="0.25">
      <c r="A145" t="s">
        <v>861</v>
      </c>
      <c r="B145" s="14" t="str">
        <f>VLOOKUP(A145,[1]Pricing!$A:$R,18,FALSE)</f>
        <v>ERJ-6ENF1000V</v>
      </c>
      <c r="C145" t="s">
        <v>2618</v>
      </c>
      <c r="D145" t="str">
        <f>VLOOKUP(A145,[1]AVL!$A:$F,6,FALSE)</f>
        <v>RES,THICK FILM,100 OHM,1/8W,1%,150V,SMT</v>
      </c>
      <c r="E145" t="str">
        <f>VLOOKUP(A145,[1]Pricing!$A:$F,6,FALSE)</f>
        <v>26 Weeks</v>
      </c>
      <c r="F145">
        <f>VLOOKUP(B145,[2]Sheet2!$B:$E,4,FALSE)</f>
        <v>5000</v>
      </c>
      <c r="G145" s="2">
        <f>VLOOKUP(A145,[1]Pricing!$A:$H,8,FALSE)</f>
        <v>1.103E-2</v>
      </c>
      <c r="H145" s="2">
        <f>VLOOKUP(A145,[1]Pricing!$A:$J,10,FALSE)</f>
        <v>1.3451219512195122E-2</v>
      </c>
      <c r="I145">
        <f>VLOOKUP(A145,MIN!A:B,2,FALSE)</f>
        <v>35</v>
      </c>
      <c r="J145" t="str">
        <f t="shared" si="5"/>
        <v>NO</v>
      </c>
      <c r="K145">
        <f>VLOOKUP(A145,[1]Pricing!$A:$G,7,FALSE)</f>
        <v>5000</v>
      </c>
      <c r="L145" t="s">
        <v>1960</v>
      </c>
      <c r="M145" t="str">
        <f t="shared" si="6"/>
        <v>28-390234-00</v>
      </c>
    </row>
    <row r="146" spans="1:13" x14ac:dyDescent="0.25">
      <c r="A146" t="s">
        <v>635</v>
      </c>
      <c r="B146" s="14" t="str">
        <f>VLOOKUP(A146,[1]Pricing!$A:$R,18,FALSE)</f>
        <v>CF14JT100K</v>
      </c>
      <c r="C146" t="s">
        <v>2628</v>
      </c>
      <c r="D146" t="str">
        <f>VLOOKUP(A146,[1]AVL!$A:$F,6,FALSE)</f>
        <v>RES 1/4W 5% 100K CF,ROHS</v>
      </c>
      <c r="E146" t="str">
        <f>VLOOKUP(A146,[1]Pricing!$A:$F,6,FALSE)</f>
        <v>15 Weeks</v>
      </c>
      <c r="F146">
        <f>VLOOKUP(B146,[2]Sheet2!$B:$E,4,FALSE)</f>
        <v>5000</v>
      </c>
      <c r="G146" s="2">
        <f>VLOOKUP(A146,[1]Pricing!$A:$H,8,FALSE)</f>
        <v>1.1838E-2</v>
      </c>
      <c r="H146" s="2">
        <f>VLOOKUP(A146,[1]Pricing!$A:$J,10,FALSE)</f>
        <v>1.4436585365853658E-2</v>
      </c>
      <c r="I146">
        <f>VLOOKUP(A146,MIN!A:B,2,FALSE)</f>
        <v>15</v>
      </c>
      <c r="J146" t="str">
        <f t="shared" si="5"/>
        <v>NO</v>
      </c>
      <c r="K146">
        <f>VLOOKUP(A146,[1]Pricing!$A:$G,7,FALSE)</f>
        <v>5000</v>
      </c>
      <c r="L146" t="s">
        <v>1960</v>
      </c>
      <c r="M146" t="str">
        <f t="shared" si="6"/>
        <v>619-000390-104</v>
      </c>
    </row>
    <row r="147" spans="1:13" x14ac:dyDescent="0.25">
      <c r="A147" t="s">
        <v>674</v>
      </c>
      <c r="B147" s="14" t="str">
        <f>VLOOKUP(A147,[1]Pricing!$A:$R,18,FALSE)</f>
        <v>CRCW0603100KFKEA</v>
      </c>
      <c r="C147" t="s">
        <v>2617</v>
      </c>
      <c r="D147" t="str">
        <f>VLOOKUP(A147,[1]AVL!$A:$F,6,FALSE)</f>
        <v>RES,SMD, 100KOHM,TOL 1%,0603, 0.1W</v>
      </c>
      <c r="E147" t="str">
        <f>VLOOKUP(A147,[1]Pricing!$A:$F,6,FALSE)</f>
        <v>15 Weeks</v>
      </c>
      <c r="F147">
        <f>VLOOKUP(B147,[2]Sheet2!$B:$E,4,FALSE)</f>
        <v>5000</v>
      </c>
      <c r="G147" s="2">
        <f>VLOOKUP(A147,[1]Pricing!$A:$H,8,FALSE)</f>
        <v>3.6770000000000001E-3</v>
      </c>
      <c r="H147" s="2">
        <f>VLOOKUP(A147,[1]Pricing!$A:$J,10,FALSE)</f>
        <v>4.4841463414634153E-3</v>
      </c>
      <c r="I147">
        <f>VLOOKUP(A147,MIN!A:B,2,FALSE)</f>
        <v>25</v>
      </c>
      <c r="J147" t="str">
        <f t="shared" si="5"/>
        <v>NO</v>
      </c>
      <c r="K147">
        <f>VLOOKUP(A147,[1]Pricing!$A:$G,7,FALSE)</f>
        <v>5000</v>
      </c>
      <c r="L147" t="s">
        <v>1960</v>
      </c>
      <c r="M147" t="str">
        <f t="shared" si="6"/>
        <v>615-221230-008</v>
      </c>
    </row>
    <row r="148" spans="1:13" x14ac:dyDescent="0.25">
      <c r="A148" t="s">
        <v>678</v>
      </c>
      <c r="B148" s="14" t="str">
        <f>VLOOKUP(A148,[1]Pricing!$A:$R,18,FALSE)</f>
        <v>CRCW0603365RFKEA</v>
      </c>
      <c r="C148" t="s">
        <v>2617</v>
      </c>
      <c r="D148" t="str">
        <f>VLOOKUP(A148,[1]AVL!$A:$F,6,FALSE)</f>
        <v>RES,0603,THKF,1%,1/10W,100PPM,365 ROHS</v>
      </c>
      <c r="E148" t="str">
        <f>VLOOKUP(A148,[1]Pricing!$A:$F,6,FALSE)</f>
        <v>23 Weeks</v>
      </c>
      <c r="F148">
        <f>VLOOKUP(B148,[2]Sheet2!$B:$E,4,FALSE)</f>
        <v>5000</v>
      </c>
      <c r="G148" s="2">
        <f>VLOOKUP(A148,[1]Pricing!$A:$H,8,FALSE)</f>
        <v>4.9020000000000001E-3</v>
      </c>
      <c r="H148" s="2">
        <f>VLOOKUP(A148,[1]Pricing!$A:$J,10,FALSE)</f>
        <v>5.9780487804878052E-3</v>
      </c>
      <c r="I148">
        <f>VLOOKUP(A148,MIN!A:B,2,FALSE)</f>
        <v>25</v>
      </c>
      <c r="J148" t="str">
        <f t="shared" si="5"/>
        <v>NO</v>
      </c>
      <c r="K148">
        <f>VLOOKUP(A148,[1]Pricing!$A:$G,7,FALSE)</f>
        <v>5000</v>
      </c>
      <c r="L148" t="s">
        <v>1960</v>
      </c>
      <c r="M148" t="str">
        <f t="shared" si="6"/>
        <v>615-068558-365</v>
      </c>
    </row>
    <row r="149" spans="1:13" x14ac:dyDescent="0.25">
      <c r="A149" t="s">
        <v>682</v>
      </c>
      <c r="B149" s="14" t="str">
        <f>VLOOKUP(A149,[1]Pricing!$A:$R,18,FALSE)</f>
        <v>CRCW0805180KJNEA</v>
      </c>
      <c r="C149" t="s">
        <v>2631</v>
      </c>
      <c r="D149" t="str">
        <f>VLOOKUP(A149,[1]AVL!$A:$F,6,FALSE)</f>
        <v>RES,SMD,0805,180K,5%,1/10W,ROHS</v>
      </c>
      <c r="E149" t="str">
        <f>VLOOKUP(A149,[1]Pricing!$A:$F,6,FALSE)</f>
        <v>15 Weeks</v>
      </c>
      <c r="F149">
        <f>VLOOKUP(B149,[2]Sheet2!$B:$E,4,FALSE)</f>
        <v>5000</v>
      </c>
      <c r="G149" s="2">
        <f>VLOOKUP(A149,[1]Pricing!$A:$H,8,FALSE)</f>
        <v>4.9020000000000001E-3</v>
      </c>
      <c r="H149" s="2">
        <f>VLOOKUP(A149,[1]Pricing!$A:$J,10,FALSE)</f>
        <v>5.9780487804878052E-3</v>
      </c>
      <c r="I149">
        <f>VLOOKUP(A149,MIN!A:B,2,FALSE)</f>
        <v>15</v>
      </c>
      <c r="J149" t="str">
        <f t="shared" si="5"/>
        <v>NO</v>
      </c>
      <c r="K149">
        <f>VLOOKUP(A149,[1]Pricing!$A:$G,7,FALSE)</f>
        <v>5000</v>
      </c>
      <c r="L149" t="s">
        <v>1960</v>
      </c>
      <c r="M149" t="str">
        <f t="shared" si="6"/>
        <v>615-901294-184</v>
      </c>
    </row>
    <row r="150" spans="1:13" x14ac:dyDescent="0.25">
      <c r="A150" t="s">
        <v>859</v>
      </c>
      <c r="B150" s="14" t="str">
        <f>VLOOKUP(A150,[1]Pricing!$A:$R,18,FALSE)</f>
        <v>ERJ-3EKF4701V</v>
      </c>
      <c r="C150" t="s">
        <v>2618</v>
      </c>
      <c r="D150" t="str">
        <f>VLOOKUP(A150,[1]AVL!$A:$F,6,FALSE)</f>
        <v>RES,SMD,1%TOL,0.1W,±100PPM,4.7KOHM,0603</v>
      </c>
      <c r="E150" t="str">
        <f>VLOOKUP(A150,[1]Pricing!$A:$F,6,FALSE)</f>
        <v>23 Weeks</v>
      </c>
      <c r="F150">
        <f>VLOOKUP(B150,[2]Sheet2!$B:$E,4,FALSE)</f>
        <v>5000</v>
      </c>
      <c r="G150" s="2">
        <f>VLOOKUP(A150,[1]Pricing!$A:$H,8,FALSE)</f>
        <v>4.9020000000000001E-3</v>
      </c>
      <c r="H150" s="2">
        <f>VLOOKUP(A150,[1]Pricing!$A:$J,10,FALSE)</f>
        <v>5.9780487804878052E-3</v>
      </c>
      <c r="I150">
        <f>VLOOKUP(A150,MIN!A:B,2,FALSE)</f>
        <v>15</v>
      </c>
      <c r="J150" t="str">
        <f t="shared" si="5"/>
        <v>NO</v>
      </c>
      <c r="K150">
        <f>VLOOKUP(A150,[1]Pricing!$A:$G,7,FALSE)</f>
        <v>5000</v>
      </c>
      <c r="L150" t="s">
        <v>1960</v>
      </c>
      <c r="M150" t="str">
        <f t="shared" si="6"/>
        <v>615-255712-047</v>
      </c>
    </row>
    <row r="151" spans="1:13" x14ac:dyDescent="0.25">
      <c r="A151" t="s">
        <v>1498</v>
      </c>
      <c r="B151" s="14" t="str">
        <f>VLOOKUP(A151,[1]Pricing!$A:$R,18,FALSE)</f>
        <v>RMCF1206FT2K20</v>
      </c>
      <c r="C151" t="s">
        <v>2628</v>
      </c>
      <c r="D151" t="str">
        <f>VLOOKUP(A151,[1]AVL!$A:$F,6,FALSE)</f>
        <v>RES,SMD,THK,2.2K OHM,1%,1/4W,1206</v>
      </c>
      <c r="E151" t="str">
        <f>VLOOKUP(A151,[1]Pricing!$A:$F,6,FALSE)</f>
        <v>19 Weeks</v>
      </c>
      <c r="F151">
        <f>VLOOKUP(B151,[2]Sheet2!$B:$E,4,FALSE)</f>
        <v>5000</v>
      </c>
      <c r="G151" s="2">
        <f>VLOOKUP(A151,[1]Pricing!$A:$H,8,FALSE)</f>
        <v>5.4530000000000004E-3</v>
      </c>
      <c r="H151" s="2">
        <f>VLOOKUP(A151,[1]Pricing!$A:$J,10,FALSE)</f>
        <v>6.6500000000000005E-3</v>
      </c>
      <c r="I151">
        <f>VLOOKUP(A151,MIN!A:B,2,FALSE)</f>
        <v>15</v>
      </c>
      <c r="J151" t="str">
        <f t="shared" si="5"/>
        <v>NO</v>
      </c>
      <c r="K151">
        <f>VLOOKUP(A151,[1]Pricing!$A:$G,7,FALSE)</f>
        <v>5000</v>
      </c>
      <c r="L151" t="s">
        <v>1960</v>
      </c>
      <c r="M151" t="str">
        <f t="shared" si="6"/>
        <v>615-A79047-003</v>
      </c>
    </row>
    <row r="152" spans="1:13" x14ac:dyDescent="0.25">
      <c r="A152" t="s">
        <v>1399</v>
      </c>
      <c r="B152" s="14" t="str">
        <f>VLOOKUP(A152,[1]Pricing!$A:$R,18,FALSE)</f>
        <v>RC1206FR-07215KL</v>
      </c>
      <c r="C152" t="s">
        <v>2580</v>
      </c>
      <c r="D152" t="str">
        <f>VLOOKUP(A152,[1]AVL!$A:$F,6,FALSE)</f>
        <v>RES,1206,1%,1/4W,100PPM,215K,ROHS</v>
      </c>
      <c r="E152" t="str">
        <f>VLOOKUP(A152,[1]Pricing!$A:$F,6,FALSE)</f>
        <v>29 Weeks</v>
      </c>
      <c r="F152">
        <f>VLOOKUP(B152,[2]Sheet2!$B:$E,4,FALSE)</f>
        <v>5000</v>
      </c>
      <c r="G152" s="2">
        <f>VLOOKUP(A152,[1]Pricing!$A:$H,8,FALSE)</f>
        <v>8.5789999999999998E-3</v>
      </c>
      <c r="H152" s="2">
        <f>VLOOKUP(A152,[1]Pricing!$A:$J,10,FALSE)</f>
        <v>1.046219512195122E-2</v>
      </c>
      <c r="I152">
        <f>VLOOKUP(A152,MIN!A:B,2,FALSE)</f>
        <v>15</v>
      </c>
      <c r="J152" t="str">
        <f t="shared" si="5"/>
        <v>NO</v>
      </c>
      <c r="K152">
        <f>VLOOKUP(A152,[1]Pricing!$A:$G,7,FALSE)</f>
        <v>5000</v>
      </c>
      <c r="L152" t="s">
        <v>1960</v>
      </c>
      <c r="M152" t="str">
        <f t="shared" si="6"/>
        <v>615-116030-215</v>
      </c>
    </row>
    <row r="153" spans="1:13" x14ac:dyDescent="0.25">
      <c r="A153" t="s">
        <v>1373</v>
      </c>
      <c r="B153" s="14" t="str">
        <f>VLOOKUP(A153,[1]Pricing!$A:$R,18,FALSE)</f>
        <v>RC0805FR-07357KL</v>
      </c>
      <c r="C153" t="s">
        <v>2632</v>
      </c>
      <c r="D153" t="str">
        <f>VLOOKUP(A153,[1]AVL!$A:$F,6,FALSE)</f>
        <v>RES,0805,357K,1%,1/10W,ROHS</v>
      </c>
      <c r="E153" t="str">
        <f>VLOOKUP(A153,[1]Pricing!$A:$F,6,FALSE)</f>
        <v>15 Weeks</v>
      </c>
      <c r="F153">
        <f>VLOOKUP(B153,[2]Sheet2!$B:$E,4,FALSE)</f>
        <v>5000</v>
      </c>
      <c r="G153" s="2">
        <f>VLOOKUP(A153,[1]Pricing!$A:$H,8,FALSE)</f>
        <v>8.5789999999999998E-3</v>
      </c>
      <c r="H153" s="2">
        <f>VLOOKUP(A153,[1]Pricing!$A:$J,10,FALSE)</f>
        <v>1.046219512195122E-2</v>
      </c>
      <c r="I153">
        <f>VLOOKUP(A153,MIN!A:B,2,FALSE)</f>
        <v>15</v>
      </c>
      <c r="J153" t="str">
        <f t="shared" si="5"/>
        <v>NO</v>
      </c>
      <c r="K153">
        <f>VLOOKUP(A153,[1]Pricing!$A:$G,7,FALSE)</f>
        <v>5000</v>
      </c>
      <c r="L153" t="s">
        <v>1960</v>
      </c>
      <c r="M153" t="str">
        <f t="shared" si="6"/>
        <v>615-901303-357</v>
      </c>
    </row>
    <row r="154" spans="1:13" x14ac:dyDescent="0.25">
      <c r="A154" t="s">
        <v>938</v>
      </c>
      <c r="B154" s="14" t="str">
        <f>VLOOKUP(A154,[1]Pricing!$A:$R,18,FALSE)</f>
        <v>GRT188R61H105KE13D</v>
      </c>
      <c r="C154" t="s">
        <v>2627</v>
      </c>
      <c r="D154" t="str">
        <f>VLOOKUP(A154,[1]AVL!$A:$F,6,FALSE)</f>
        <v>CAP,SMD,CER,1UF,+/-10%,50V,X5R,0603</v>
      </c>
      <c r="E154" t="str">
        <f>VLOOKUP(A154,[1]Pricing!$A:$F,6,FALSE)</f>
        <v>21 Weeks</v>
      </c>
      <c r="F154">
        <f>VLOOKUP(B154,[2]Sheet2!$B:$E,4,FALSE)</f>
        <v>3946</v>
      </c>
      <c r="G154" s="2">
        <f>VLOOKUP(A154,[1]Pricing!$A:$H,8,FALSE)</f>
        <v>2.6960999999999999E-2</v>
      </c>
      <c r="H154" s="2">
        <f>VLOOKUP(A154,[1]Pricing!$A:$J,10,FALSE)</f>
        <v>3.287926829268293E-2</v>
      </c>
      <c r="I154">
        <f>VLOOKUP(A154,MIN!A:B,2,FALSE)</f>
        <v>15</v>
      </c>
      <c r="J154" t="str">
        <f t="shared" si="5"/>
        <v>NO</v>
      </c>
      <c r="K154">
        <f>VLOOKUP(A154,[1]Pricing!$A:$G,7,FALSE)</f>
        <v>4000</v>
      </c>
      <c r="L154" t="s">
        <v>1960</v>
      </c>
      <c r="M154" t="str">
        <f t="shared" si="6"/>
        <v>648-B07531-105</v>
      </c>
    </row>
    <row r="155" spans="1:13" x14ac:dyDescent="0.25">
      <c r="A155" t="s">
        <v>928</v>
      </c>
      <c r="B155" s="14" t="str">
        <f>VLOOKUP(A155,[1]Pricing!$A:$R,18,FALSE)</f>
        <v>GRM3195C1H203JA01D</v>
      </c>
      <c r="C155" t="s">
        <v>2627</v>
      </c>
      <c r="D155" t="str">
        <f>VLOOKUP(A155,[1]AVL!$A:$F,6,FALSE)</f>
        <v>CAP,SMD,CER,0.02UF,+/-5%,50V,NP0,1206</v>
      </c>
      <c r="E155" t="str">
        <f>VLOOKUP(A155,[1]Pricing!$A:$F,6,FALSE)</f>
        <v>13 Weeks</v>
      </c>
      <c r="F155">
        <f>VLOOKUP(B155,[2]Sheet2!$B:$E,4,FALSE)</f>
        <v>4000</v>
      </c>
      <c r="G155" s="2">
        <f>VLOOKUP(A155,[1]Pricing!$A:$H,8,FALSE)</f>
        <v>7.8836000000000003E-2</v>
      </c>
      <c r="H155" s="2">
        <f>VLOOKUP(A155,[1]Pricing!$A:$J,10,FALSE)</f>
        <v>9.6141463414634157E-2</v>
      </c>
      <c r="I155">
        <f>VLOOKUP(A155,MIN!A:B,2,FALSE)</f>
        <v>50</v>
      </c>
      <c r="J155" t="str">
        <f t="shared" si="5"/>
        <v>NO</v>
      </c>
      <c r="K155">
        <f>VLOOKUP(A155,[1]Pricing!$A:$G,7,FALSE)</f>
        <v>4000</v>
      </c>
      <c r="L155" t="s">
        <v>1960</v>
      </c>
      <c r="M155" t="str">
        <f t="shared" si="6"/>
        <v>648-A35911-002</v>
      </c>
    </row>
    <row r="156" spans="1:13" x14ac:dyDescent="0.25">
      <c r="A156" t="s">
        <v>1212</v>
      </c>
      <c r="B156" s="14" t="str">
        <f>VLOOKUP(A156,[1]Pricing!$A:$R,18,FALSE)</f>
        <v>NMC0603NPO101J50TRPF</v>
      </c>
      <c r="C156" t="s">
        <v>2633</v>
      </c>
      <c r="D156" t="str">
        <f>VLOOKUP(A156,[1]AVL!$A:$F,6,FALSE)</f>
        <v>CAP,0603,CER,COG,5%,50V 100PF ROHS</v>
      </c>
      <c r="E156" t="str">
        <f>VLOOKUP(A156,[1]Pricing!$A:$F,6,FALSE)</f>
        <v>36 Weeks</v>
      </c>
      <c r="F156">
        <f>VLOOKUP(B156,[2]Sheet2!$B:$E,4,FALSE)</f>
        <v>4000</v>
      </c>
      <c r="G156" s="2">
        <f>VLOOKUP(A156,[1]Pricing!$A:$H,8,FALSE)</f>
        <v>1.7672E-2</v>
      </c>
      <c r="H156" s="2">
        <f>VLOOKUP(A156,[1]Pricing!$A:$J,10,FALSE)</f>
        <v>2.1551219512195123E-2</v>
      </c>
      <c r="I156">
        <f>VLOOKUP(A156,MIN!A:B,2,FALSE)</f>
        <v>25</v>
      </c>
      <c r="J156" t="str">
        <f t="shared" si="5"/>
        <v>NO</v>
      </c>
      <c r="K156">
        <f>VLOOKUP(A156,[1]Pricing!$A:$G,7,FALSE)</f>
        <v>4000</v>
      </c>
      <c r="L156" t="s">
        <v>1960</v>
      </c>
      <c r="M156" t="str">
        <f t="shared" si="6"/>
        <v>648-068442-101</v>
      </c>
    </row>
    <row r="157" spans="1:13" x14ac:dyDescent="0.25">
      <c r="A157" t="s">
        <v>1171</v>
      </c>
      <c r="B157" s="14" t="str">
        <f>VLOOKUP(A157,[1]Pricing!$A:$R,18,FALSE)</f>
        <v>MMBD452LT1G</v>
      </c>
      <c r="C157" t="s">
        <v>2634</v>
      </c>
      <c r="D157" t="str">
        <f>VLOOKUP(A157,[1]AVL!$A:$F,6,FALSE)</f>
        <v>DIO,SMD,SCHOTTKY,RF,SER,30V,SOT-23</v>
      </c>
      <c r="E157" t="str">
        <f>VLOOKUP(A157,[1]Pricing!$A:$F,6,FALSE)</f>
        <v>14 Weeks</v>
      </c>
      <c r="F157">
        <f>VLOOKUP(B157,[2]Sheet2!$B:$E,4,FALSE)</f>
        <v>2940</v>
      </c>
      <c r="G157" s="2">
        <f>VLOOKUP(A157,[1]Pricing!$A:$H,8,FALSE)</f>
        <v>7.5981000000000007E-2</v>
      </c>
      <c r="H157" s="2">
        <f>VLOOKUP(A157,[1]Pricing!$A:$J,10,FALSE)</f>
        <v>9.2659756097560983E-2</v>
      </c>
      <c r="I157">
        <f>VLOOKUP(A157,MIN!A:B,2,FALSE)</f>
        <v>15</v>
      </c>
      <c r="J157" t="str">
        <f t="shared" si="5"/>
        <v>NO</v>
      </c>
      <c r="K157">
        <f>VLOOKUP(A157,[1]Pricing!$A:$G,7,FALSE)</f>
        <v>3000</v>
      </c>
      <c r="L157" t="s">
        <v>1960</v>
      </c>
      <c r="M157" t="str">
        <f t="shared" si="6"/>
        <v>609-B31647-001</v>
      </c>
    </row>
    <row r="158" spans="1:13" x14ac:dyDescent="0.25">
      <c r="A158" t="s">
        <v>1183</v>
      </c>
      <c r="B158" s="14" t="str">
        <f>VLOOKUP(A158,[1]Pricing!$A:$R,18,FALSE)</f>
        <v>MMSZ11T1G</v>
      </c>
      <c r="C158" t="s">
        <v>2623</v>
      </c>
      <c r="D158" t="str">
        <f>VLOOKUP(A158,[1]AVL!$A:$F,6,FALSE)</f>
        <v>DIO,SMD,ZENER,11V,500MW,SOD-123,ROHS</v>
      </c>
      <c r="E158" t="str">
        <f>VLOOKUP(A158,[1]Pricing!$A:$F,6,FALSE)</f>
        <v>11 Weeks</v>
      </c>
      <c r="F158">
        <f>VLOOKUP(B158,[2]Sheet2!$B:$E,4,FALSE)</f>
        <v>3000</v>
      </c>
      <c r="G158" s="2">
        <f>VLOOKUP(A158,[1]Pricing!$A:$H,8,FALSE)</f>
        <v>2.2058999999999999E-2</v>
      </c>
      <c r="H158" s="2">
        <f>VLOOKUP(A158,[1]Pricing!$A:$J,10,FALSE)</f>
        <v>2.6901219512195124E-2</v>
      </c>
      <c r="I158">
        <f>VLOOKUP(A158,MIN!A:B,2,FALSE)</f>
        <v>15</v>
      </c>
      <c r="J158" t="str">
        <f t="shared" si="5"/>
        <v>NO</v>
      </c>
      <c r="K158">
        <f>VLOOKUP(A158,[1]Pricing!$A:$G,7,FALSE)</f>
        <v>3000</v>
      </c>
      <c r="L158" t="s">
        <v>1960</v>
      </c>
      <c r="M158" t="str">
        <f t="shared" si="6"/>
        <v>609-117540-002</v>
      </c>
    </row>
    <row r="159" spans="1:13" x14ac:dyDescent="0.25">
      <c r="A159" t="s">
        <v>1151</v>
      </c>
      <c r="B159" s="14" t="str">
        <f>VLOOKUP(A159,[1]Pricing!$A:$R,18,FALSE)</f>
        <v>MBR140SFT1G</v>
      </c>
      <c r="C159" t="s">
        <v>2623</v>
      </c>
      <c r="D159" t="str">
        <f>VLOOKUP(A159,[1]AVL!$A:$F,6,FALSE)</f>
        <v>DIO,SMD,PWR,MBR140SFT1G,40V,1A,ROHS</v>
      </c>
      <c r="E159" t="str">
        <f>VLOOKUP(A159,[1]Pricing!$A:$F,6,FALSE)</f>
        <v>19 Weeks</v>
      </c>
      <c r="F159">
        <f>VLOOKUP(B159,[2]Sheet2!$B:$E,4,FALSE)</f>
        <v>2510</v>
      </c>
      <c r="G159" s="2">
        <f>VLOOKUP(A159,[1]Pricing!$A:$H,8,FALSE)</f>
        <v>9.4364000000000003E-2</v>
      </c>
      <c r="H159" s="2">
        <f>VLOOKUP(A159,[1]Pricing!$A:$J,10,FALSE)</f>
        <v>0.11507804878048782</v>
      </c>
      <c r="I159">
        <f>VLOOKUP(A159,MIN!A:B,2,FALSE)</f>
        <v>15</v>
      </c>
      <c r="J159" t="str">
        <f t="shared" si="5"/>
        <v>NO</v>
      </c>
      <c r="K159">
        <f>VLOOKUP(A159,[1]Pricing!$A:$G,7,FALSE)</f>
        <v>3000</v>
      </c>
      <c r="L159" t="s">
        <v>1960</v>
      </c>
      <c r="M159" t="str">
        <f t="shared" si="6"/>
        <v>609-068260-001</v>
      </c>
    </row>
    <row r="160" spans="1:13" x14ac:dyDescent="0.25">
      <c r="A160" t="s">
        <v>1442</v>
      </c>
      <c r="B160" s="14" t="str">
        <f>VLOOKUP(A160,[1]Pricing!$A:$R,18,FALSE)</f>
        <v>RCLAMP3324T.TCT</v>
      </c>
      <c r="C160" t="s">
        <v>2626</v>
      </c>
      <c r="D160" t="str">
        <f>VLOOKUP(A160,[1]AVL!$A:$F,6,FALSE)</f>
        <v>DIO,SMD,TVS,RCLAMP,3.3VWM,10.5VC</v>
      </c>
      <c r="E160" t="str">
        <f>VLOOKUP(A160,[1]Pricing!$A:$F,6,FALSE)</f>
        <v>16 Weeks</v>
      </c>
      <c r="F160">
        <f>VLOOKUP(B160,[2]Sheet2!$B:$E,4,FALSE)</f>
        <v>3000</v>
      </c>
      <c r="G160" s="2">
        <f>VLOOKUP(A160,[1]Pricing!$A:$H,8,FALSE)</f>
        <v>0.43260199999999999</v>
      </c>
      <c r="H160" s="2">
        <f>VLOOKUP(A160,[1]Pricing!$A:$J,10,FALSE)</f>
        <v>0.52756341463414635</v>
      </c>
      <c r="I160">
        <f>VLOOKUP(A160,MIN!A:B,2,FALSE)</f>
        <v>25</v>
      </c>
      <c r="J160" t="str">
        <f t="shared" si="5"/>
        <v>NO</v>
      </c>
      <c r="K160">
        <f>VLOOKUP(A160,[1]Pricing!$A:$G,7,FALSE)</f>
        <v>3000</v>
      </c>
      <c r="L160" t="s">
        <v>1960</v>
      </c>
      <c r="M160" t="str">
        <f t="shared" si="6"/>
        <v>609-287457-001</v>
      </c>
    </row>
    <row r="161" spans="1:13" x14ac:dyDescent="0.25">
      <c r="A161" t="s">
        <v>756</v>
      </c>
      <c r="B161" s="14" t="str">
        <f>VLOOKUP(A161,[1]Pricing!$A:$R,18,FALSE)</f>
        <v>ECP-U1C104MA5</v>
      </c>
      <c r="C161" t="s">
        <v>2618</v>
      </c>
      <c r="D161" t="str">
        <f>VLOOKUP(A161,[1]AVL!$A:$F,6,FALSE)</f>
        <v>CAP,SMD,FILM 0.1UF 16V</v>
      </c>
      <c r="E161" t="str">
        <f>VLOOKUP(A161,[1]Pricing!$A:$F,6,FALSE)</f>
        <v>25 Weeks</v>
      </c>
      <c r="F161">
        <f>VLOOKUP(B161,[2]Sheet2!$B:$E,4,FALSE)</f>
        <v>3000</v>
      </c>
      <c r="G161" s="2">
        <f>VLOOKUP(A161,[1]Pricing!$A:$H,8,FALSE)</f>
        <v>0.21138599999999999</v>
      </c>
      <c r="H161" s="2">
        <f>VLOOKUP(A161,[1]Pricing!$A:$J,10,FALSE)</f>
        <v>0.25778780487804881</v>
      </c>
      <c r="I161">
        <f>VLOOKUP(A161,MIN!A:B,2,FALSE)</f>
        <v>25</v>
      </c>
      <c r="J161" t="str">
        <f t="shared" si="5"/>
        <v>NO</v>
      </c>
      <c r="K161">
        <f>VLOOKUP(A161,[1]Pricing!$A:$G,7,FALSE)</f>
        <v>3000</v>
      </c>
      <c r="L161" t="s">
        <v>1960</v>
      </c>
      <c r="M161" t="str">
        <f t="shared" si="6"/>
        <v>648-122562-001</v>
      </c>
    </row>
    <row r="162" spans="1:13" x14ac:dyDescent="0.25">
      <c r="A162" t="s">
        <v>1179</v>
      </c>
      <c r="B162" s="14" t="str">
        <f>VLOOKUP(A162,[1]Pricing!$A:$R,18,FALSE)</f>
        <v>MMBZ5240BLT1G</v>
      </c>
      <c r="C162" t="s">
        <v>2623</v>
      </c>
      <c r="D162" t="str">
        <f>VLOOKUP(A162,[1]AVL!$A:$F,6,FALSE)</f>
        <v>DIO,SMD,ZENER,225MW,MMBZ,10V,ROHS</v>
      </c>
      <c r="E162" t="str">
        <f>VLOOKUP(A162,[1]Pricing!$A:$F,6,FALSE)</f>
        <v>21 Weeks</v>
      </c>
      <c r="F162">
        <f>VLOOKUP(B162,[2]Sheet2!$B:$E,4,FALSE)</f>
        <v>3000</v>
      </c>
      <c r="G162" s="2">
        <f>VLOOKUP(A162,[1]Pricing!$A:$H,8,FALSE)</f>
        <v>1.9608E-2</v>
      </c>
      <c r="H162" s="2">
        <f>VLOOKUP(A162,[1]Pricing!$A:$J,10,FALSE)</f>
        <v>2.3912195121951221E-2</v>
      </c>
      <c r="I162">
        <f>VLOOKUP(A162,MIN!A:B,2,FALSE)</f>
        <v>25</v>
      </c>
      <c r="J162" t="str">
        <f t="shared" si="5"/>
        <v>NO</v>
      </c>
      <c r="K162">
        <f>VLOOKUP(A162,[1]Pricing!$A:$G,7,FALSE)</f>
        <v>3000</v>
      </c>
      <c r="L162" t="s">
        <v>1960</v>
      </c>
      <c r="M162" t="str">
        <f t="shared" si="6"/>
        <v>609-004010-100</v>
      </c>
    </row>
    <row r="163" spans="1:13" x14ac:dyDescent="0.25">
      <c r="A163" t="s">
        <v>1175</v>
      </c>
      <c r="B163" s="14" t="str">
        <f>VLOOKUP(A163,[1]Pricing!$A:$R,18,FALSE)</f>
        <v>MMBT5087LT1G</v>
      </c>
      <c r="C163" t="s">
        <v>2623</v>
      </c>
      <c r="D163" t="str">
        <f>VLOOKUP(A163,[1]AVL!$A:$F,6,FALSE)</f>
        <v>XSTR,SMD,PNP,50V,.05A,300MW,SOT-23</v>
      </c>
      <c r="E163" t="str">
        <f>VLOOKUP(A163,[1]Pricing!$A:$F,6,FALSE)</f>
        <v>21 Weeks</v>
      </c>
      <c r="F163">
        <f>VLOOKUP(B163,[2]Sheet2!$B:$E,4,FALSE)</f>
        <v>2955</v>
      </c>
      <c r="G163" s="2">
        <f>VLOOKUP(A163,[1]Pricing!$A:$H,8,FALSE)</f>
        <v>3.0637999999999999E-2</v>
      </c>
      <c r="H163" s="2">
        <f>VLOOKUP(A163,[1]Pricing!$A:$J,10,FALSE)</f>
        <v>3.7363414634146344E-2</v>
      </c>
      <c r="I163">
        <f>VLOOKUP(A163,MIN!A:B,2,FALSE)</f>
        <v>15</v>
      </c>
      <c r="J163" t="str">
        <f t="shared" si="5"/>
        <v>NO</v>
      </c>
      <c r="K163">
        <f>VLOOKUP(A163,[1]Pricing!$A:$G,7,FALSE)</f>
        <v>3000</v>
      </c>
      <c r="L163" t="s">
        <v>1960</v>
      </c>
      <c r="M163" t="str">
        <f t="shared" si="6"/>
        <v>626-267696-001</v>
      </c>
    </row>
    <row r="164" spans="1:13" x14ac:dyDescent="0.25">
      <c r="A164" t="s">
        <v>1656</v>
      </c>
      <c r="B164" s="14" t="str">
        <f>VLOOKUP(A164,[1]Pricing!$A:$R,18,FALSE)</f>
        <v>SMBJ51A</v>
      </c>
      <c r="C164" t="s">
        <v>2620</v>
      </c>
      <c r="D164" t="str">
        <f>VLOOKUP(A164,[1]AVL!$A:$F,6,FALSE)</f>
        <v>DIO,SMD,PWR,TVS,600W 51V ROHS</v>
      </c>
      <c r="E164" t="str">
        <f>VLOOKUP(A164,[1]Pricing!$A:$F,6,FALSE)</f>
        <v>15 Weeks</v>
      </c>
      <c r="F164">
        <f>VLOOKUP(B164,[2]Sheet2!$B:$E,4,FALSE)</f>
        <v>3000</v>
      </c>
      <c r="G164" s="2">
        <f>VLOOKUP(A164,[1]Pricing!$A:$H,8,FALSE)</f>
        <v>6.3774999999999998E-2</v>
      </c>
      <c r="H164" s="2">
        <f>VLOOKUP(A164,[1]Pricing!$A:$J,10,FALSE)</f>
        <v>7.7774390243902439E-2</v>
      </c>
      <c r="I164">
        <f>VLOOKUP(A164,MIN!A:B,2,FALSE)</f>
        <v>15</v>
      </c>
      <c r="J164" t="str">
        <f t="shared" si="5"/>
        <v>NO</v>
      </c>
      <c r="K164">
        <f>VLOOKUP(A164,[1]Pricing!$A:$G,7,FALSE)</f>
        <v>3000</v>
      </c>
      <c r="L164" t="s">
        <v>1960</v>
      </c>
      <c r="M164" t="str">
        <f t="shared" si="6"/>
        <v>609-034003-030</v>
      </c>
    </row>
    <row r="165" spans="1:13" x14ac:dyDescent="0.25">
      <c r="A165" t="s">
        <v>1153</v>
      </c>
      <c r="B165" s="14" t="str">
        <f>VLOOKUP(A165,[1]Pricing!$A:$R,18,FALSE)</f>
        <v>MBRS130T3G</v>
      </c>
      <c r="C165" t="s">
        <v>2635</v>
      </c>
      <c r="D165" t="str">
        <f>VLOOKUP(A165,[1]AVL!$A:$F,6,FALSE)</f>
        <v>DIO,SMD,SCHOTTKY,1A,30V,SMB,ROHS</v>
      </c>
      <c r="E165" t="str">
        <f>VLOOKUP(A165,[1]Pricing!$A:$F,6,FALSE)</f>
        <v>27 Weeks</v>
      </c>
      <c r="F165">
        <f>VLOOKUP(B165,[2]Sheet2!$B:$E,4,FALSE)</f>
        <v>2500</v>
      </c>
      <c r="G165" s="2">
        <f>VLOOKUP(A165,[1]Pricing!$A:$H,8,FALSE)</f>
        <v>0.54</v>
      </c>
      <c r="H165" s="2">
        <f>VLOOKUP(A165,[1]Pricing!$A:$J,10,FALSE)</f>
        <v>0.65853658536585369</v>
      </c>
      <c r="I165">
        <f>VLOOKUP(A165,MIN!A:B,2,FALSE)</f>
        <v>40</v>
      </c>
      <c r="J165" t="str">
        <f t="shared" si="5"/>
        <v>NO</v>
      </c>
      <c r="K165">
        <f>VLOOKUP(A165,[1]Pricing!$A:$G,7,FALSE)</f>
        <v>3000</v>
      </c>
      <c r="L165" t="s">
        <v>1960</v>
      </c>
      <c r="M165" t="str">
        <f t="shared" si="6"/>
        <v>609-098296-002</v>
      </c>
    </row>
    <row r="166" spans="1:13" x14ac:dyDescent="0.25">
      <c r="A166" t="s">
        <v>1725</v>
      </c>
      <c r="B166" s="14" t="str">
        <f>VLOOKUP(A166,[1]Pricing!$A:$R,18,FALSE)</f>
        <v>SUD50P04-09L-E3</v>
      </c>
      <c r="C166" t="s">
        <v>2617</v>
      </c>
      <c r="D166" t="str">
        <f>VLOOKUP(A166,[1]AVL!$A:$F,6,FALSE)</f>
        <v>XSTR,SMD,MOSFET,P-CHAN,40VDS,50A,TO-252</v>
      </c>
      <c r="E166" t="str">
        <f>VLOOKUP(A166,[1]Pricing!$A:$F,6,FALSE)</f>
        <v>3 Weeks</v>
      </c>
      <c r="F166">
        <f>VLOOKUP(B166,[2]Sheet2!$B:$E,4,FALSE)</f>
        <v>2000</v>
      </c>
      <c r="G166" s="2">
        <f>VLOOKUP(A166,[1]Pricing!$A:$H,8,FALSE)</f>
        <v>1.1274599999999999</v>
      </c>
      <c r="H166" s="2">
        <f>VLOOKUP(A166,[1]Pricing!$A:$J,10,FALSE)</f>
        <v>1.3749512195121951</v>
      </c>
      <c r="I166">
        <f>VLOOKUP(A166,MIN!A:B,2,FALSE)</f>
        <v>15</v>
      </c>
      <c r="J166" t="str">
        <f t="shared" si="5"/>
        <v>NO</v>
      </c>
      <c r="K166">
        <f>VLOOKUP(A166,[1]Pricing!$A:$G,7,FALSE)</f>
        <v>2000</v>
      </c>
      <c r="L166" t="s">
        <v>1960</v>
      </c>
      <c r="M166" t="str">
        <f t="shared" si="6"/>
        <v>626-A32953-001</v>
      </c>
    </row>
    <row r="167" spans="1:13" x14ac:dyDescent="0.25">
      <c r="A167" t="s">
        <v>708</v>
      </c>
      <c r="B167" s="14" t="str">
        <f>VLOOKUP(A167,[1]Pricing!$A:$R,18,FALSE)</f>
        <v>CRCW25121K00JNEG</v>
      </c>
      <c r="C167" t="s">
        <v>2617</v>
      </c>
      <c r="D167" t="str">
        <f>VLOOKUP(A167,[1]AVL!$A:$F,6,FALSE)</f>
        <v>RES,SMD,2512,THKF,5%,1W,1K,ROHS</v>
      </c>
      <c r="E167" t="str">
        <f>VLOOKUP(A167,[1]Pricing!$A:$F,6,FALSE)</f>
        <v>17 Weeks</v>
      </c>
      <c r="F167">
        <f>VLOOKUP(B167,[2]Sheet2!$B:$E,4,FALSE)</f>
        <v>1984</v>
      </c>
      <c r="G167" s="2">
        <f>VLOOKUP(A167,[1]Pricing!$A:$H,8,FALSE)</f>
        <v>6.3934000000000005E-2</v>
      </c>
      <c r="H167" s="2">
        <f>VLOOKUP(A167,[1]Pricing!$A:$J,10,FALSE)</f>
        <v>7.7968292682926835E-2</v>
      </c>
      <c r="I167">
        <f>VLOOKUP(A167,MIN!A:B,2,FALSE)</f>
        <v>25</v>
      </c>
      <c r="J167" t="str">
        <f t="shared" si="5"/>
        <v>NO</v>
      </c>
      <c r="K167">
        <f>VLOOKUP(A167,[1]Pricing!$A:$G,7,FALSE)</f>
        <v>2000</v>
      </c>
      <c r="L167" t="s">
        <v>1960</v>
      </c>
      <c r="M167" t="str">
        <f t="shared" si="6"/>
        <v>615-067318-102</v>
      </c>
    </row>
    <row r="168" spans="1:13" x14ac:dyDescent="0.25">
      <c r="A168" t="s">
        <v>656</v>
      </c>
      <c r="B168" s="14" t="str">
        <f>VLOOKUP(A168,[1]Pricing!$A:$R,18,FALSE)</f>
        <v>CL32A106KLULNNE</v>
      </c>
      <c r="C168" t="s">
        <v>2636</v>
      </c>
      <c r="D168" t="str">
        <f>VLOOKUP(A168,[1]AVL!$A:$F,6,FALSE)</f>
        <v>CAP,SMD,MLCC,10UF,35V,10%,X5R,1210</v>
      </c>
      <c r="E168" t="str">
        <f>VLOOKUP(A168,[1]Pricing!$A:$F,6,FALSE)</f>
        <v>13 Weeks</v>
      </c>
      <c r="F168">
        <f>VLOOKUP(B168,[2]Sheet2!$B:$E,4,FALSE)</f>
        <v>2000</v>
      </c>
      <c r="G168" s="2">
        <f>VLOOKUP(A168,[1]Pricing!$A:$H,8,FALSE)</f>
        <v>7.7206999999999998E-2</v>
      </c>
      <c r="H168" s="2">
        <f>VLOOKUP(A168,[1]Pricing!$A:$J,10,FALSE)</f>
        <v>9.4154878048780491E-2</v>
      </c>
      <c r="I168">
        <f>VLOOKUP(A168,MIN!A:B,2,FALSE)</f>
        <v>15</v>
      </c>
      <c r="J168" t="str">
        <f t="shared" si="5"/>
        <v>NO</v>
      </c>
      <c r="K168">
        <f>VLOOKUP(A168,[1]Pricing!$A:$G,7,FALSE)</f>
        <v>2000</v>
      </c>
      <c r="L168" t="s">
        <v>1960</v>
      </c>
      <c r="M168" t="str">
        <f t="shared" si="6"/>
        <v>29-445233-00</v>
      </c>
    </row>
    <row r="169" spans="1:13" x14ac:dyDescent="0.25">
      <c r="A169" t="s">
        <v>1705</v>
      </c>
      <c r="B169" s="14" t="str">
        <f>VLOOKUP(A169,[1]Pricing!$A:$R,18,FALSE)</f>
        <v>SOMC160310K0GEA</v>
      </c>
      <c r="C169" t="s">
        <v>2617</v>
      </c>
      <c r="D169" t="str">
        <f>VLOOKUP(A169,[1]AVL!$A:$F,6,FALSE)</f>
        <v>RNET,ISOL 10K 8 RES SOM16,ROHS</v>
      </c>
      <c r="E169" t="str">
        <f>VLOOKUP(A169,[1]Pricing!$A:$F,6,FALSE)</f>
        <v>18 Weeks</v>
      </c>
      <c r="F169">
        <f>VLOOKUP(B169,[2]Sheet2!$B:$E,4,FALSE)</f>
        <v>2000</v>
      </c>
      <c r="G169" s="2">
        <f>VLOOKUP(A169,[1]Pricing!$A:$H,8,FALSE)</f>
        <v>0.81008000000000002</v>
      </c>
      <c r="H169" s="2">
        <f>VLOOKUP(A169,[1]Pricing!$A:$J,10,FALSE)</f>
        <v>0.98790243902439034</v>
      </c>
      <c r="I169">
        <f>VLOOKUP(A169,MIN!A:B,2,FALSE)</f>
        <v>15</v>
      </c>
      <c r="J169" t="str">
        <f t="shared" si="5"/>
        <v>NO</v>
      </c>
      <c r="K169">
        <f>VLOOKUP(A169,[1]Pricing!$A:$G,7,FALSE)</f>
        <v>2000</v>
      </c>
      <c r="L169" t="s">
        <v>1960</v>
      </c>
      <c r="M169" t="str">
        <f t="shared" si="6"/>
        <v>607-098383-103</v>
      </c>
    </row>
    <row r="170" spans="1:13" x14ac:dyDescent="0.25">
      <c r="A170" t="s">
        <v>185</v>
      </c>
      <c r="B170" s="14" t="str">
        <f>VLOOKUP(A170,[1]Pricing!$A:$R,18,FALSE)</f>
        <v>2920L075DR</v>
      </c>
      <c r="C170" t="s">
        <v>2620</v>
      </c>
      <c r="D170" t="str">
        <f>VLOOKUP(A170,[1]AVL!$A:$F,6,FALSE)</f>
        <v>FUSE,SMD,2920,RESETABLE,30V,0.75A,ROHS</v>
      </c>
      <c r="E170" t="str">
        <f>VLOOKUP(A170,[1]Pricing!$A:$F,6,FALSE)</f>
        <v>16 Weeks</v>
      </c>
      <c r="F170">
        <f>VLOOKUP(B170,[2]Sheet2!$B:$E,4,FALSE)</f>
        <v>1116</v>
      </c>
      <c r="G170" s="2">
        <f>VLOOKUP(A170,[1]Pricing!$A:$H,8,FALSE)</f>
        <v>0.25490400000000002</v>
      </c>
      <c r="H170" s="2">
        <f>VLOOKUP(A170,[1]Pricing!$A:$J,10,FALSE)</f>
        <v>0.31085853658536589</v>
      </c>
      <c r="I170">
        <f>VLOOKUP(A170,MIN!A:B,2,FALSE)</f>
        <v>25</v>
      </c>
      <c r="J170" t="str">
        <f t="shared" si="5"/>
        <v>NO</v>
      </c>
      <c r="K170">
        <f>VLOOKUP(A170,[1]Pricing!$A:$G,7,FALSE)</f>
        <v>1500</v>
      </c>
      <c r="L170" t="s">
        <v>2689</v>
      </c>
      <c r="M170" t="str">
        <f t="shared" si="6"/>
        <v>682-117131-003</v>
      </c>
    </row>
    <row r="171" spans="1:13" x14ac:dyDescent="0.25">
      <c r="A171" t="s">
        <v>440</v>
      </c>
      <c r="B171" s="14" t="str">
        <f>VLOOKUP(A171,[1]Pricing!$A:$R,18,FALSE)</f>
        <v>87438-0443</v>
      </c>
      <c r="C171" t="s">
        <v>2610</v>
      </c>
      <c r="D171" t="str">
        <f>VLOOKUP(A171,[1]AVL!$A:$F,6,FALSE)</f>
        <v>CONN,HDR,SMD,RTANG,1.5MM PITCH,4CKT</v>
      </c>
      <c r="E171" t="str">
        <f>VLOOKUP(A171,[1]Pricing!$A:$F,6,FALSE)</f>
        <v>15 Weeks</v>
      </c>
      <c r="F171">
        <f>VLOOKUP(B171,[2]Sheet2!$B:$E,4,FALSE)</f>
        <v>995</v>
      </c>
      <c r="G171" s="2">
        <f>VLOOKUP(A171,[1]Pricing!$A:$H,8,FALSE)</f>
        <v>0.39583699999999999</v>
      </c>
      <c r="H171" s="2">
        <f>VLOOKUP(A171,[1]Pricing!$A:$J,10,FALSE)</f>
        <v>0.48272804878048781</v>
      </c>
      <c r="I171">
        <f>VLOOKUP(A171,MIN!A:B,2,FALSE)</f>
        <v>25</v>
      </c>
      <c r="J171" t="str">
        <f t="shared" si="5"/>
        <v>NO</v>
      </c>
      <c r="K171">
        <f>VLOOKUP(A171,[1]Pricing!$A:$G,7,FALSE)</f>
        <v>1000</v>
      </c>
      <c r="L171" t="s">
        <v>1960</v>
      </c>
      <c r="M171" t="str">
        <f t="shared" si="6"/>
        <v>668-238349-004</v>
      </c>
    </row>
    <row r="172" spans="1:13" x14ac:dyDescent="0.25">
      <c r="A172" t="s">
        <v>760</v>
      </c>
      <c r="B172" s="14" t="str">
        <f>VLOOKUP(A172,[1]Pricing!$A:$R,18,FALSE)</f>
        <v>EEE-1VA100SR</v>
      </c>
      <c r="C172" t="s">
        <v>2637</v>
      </c>
      <c r="D172" t="str">
        <f>VLOOKUP(A172,[1]AVL!$A:$F,6,FALSE)</f>
        <v>CAP,SMD,10UF,20%,35V,ALUM,VERT,ROHS</v>
      </c>
      <c r="E172" t="str">
        <f>VLOOKUP(A172,[1]Pricing!$A:$F,6,FALSE)</f>
        <v>24 Weeks</v>
      </c>
      <c r="F172">
        <f>VLOOKUP(B172,[2]Sheet2!$B:$E,4,FALSE)</f>
        <v>1000</v>
      </c>
      <c r="G172" s="2">
        <f>VLOOKUP(A172,[1]Pricing!$A:$H,8,FALSE)</f>
        <v>7.9658000000000007E-2</v>
      </c>
      <c r="H172" s="2">
        <f>VLOOKUP(A172,[1]Pricing!$A:$J,10,FALSE)</f>
        <v>9.7143902439024404E-2</v>
      </c>
      <c r="I172">
        <f>VLOOKUP(A172,MIN!A:B,2,FALSE)</f>
        <v>25</v>
      </c>
      <c r="J172" t="str">
        <f t="shared" si="5"/>
        <v>NO</v>
      </c>
      <c r="K172">
        <f>VLOOKUP(A172,[1]Pricing!$A:$G,7,FALSE)</f>
        <v>1000</v>
      </c>
      <c r="L172" t="s">
        <v>1960</v>
      </c>
      <c r="M172" t="str">
        <f t="shared" si="6"/>
        <v>648-099503-106</v>
      </c>
    </row>
    <row r="173" spans="1:13" x14ac:dyDescent="0.25">
      <c r="A173" t="s">
        <v>762</v>
      </c>
      <c r="B173" s="14" t="str">
        <f>VLOOKUP(A173,[1]Pricing!$A:$R,18,FALSE)</f>
        <v>EEE-1VA220WR</v>
      </c>
      <c r="C173" t="s">
        <v>2618</v>
      </c>
      <c r="D173" t="str">
        <f>VLOOKUP(A173,[1]AVL!$A:$F,6,FALSE)</f>
        <v>CAP,SMD,AL,ELCTLT,22UF,EEE1,20%,35V,ROHS</v>
      </c>
      <c r="E173" t="str">
        <f>VLOOKUP(A173,[1]Pricing!$A:$F,6,FALSE)</f>
        <v>24 Weeks</v>
      </c>
      <c r="F173">
        <f>VLOOKUP(B173,[2]Sheet2!$B:$E,4,FALSE)</f>
        <v>1000</v>
      </c>
      <c r="G173" s="2">
        <f>VLOOKUP(A173,[1]Pricing!$A:$H,8,FALSE)</f>
        <v>8.7010000000000004E-2</v>
      </c>
      <c r="H173" s="2">
        <f>VLOOKUP(A173,[1]Pricing!$A:$J,10,FALSE)</f>
        <v>0.10610975609756099</v>
      </c>
      <c r="I173">
        <f>VLOOKUP(A173,MIN!A:B,2,FALSE)</f>
        <v>15</v>
      </c>
      <c r="J173" t="str">
        <f t="shared" si="5"/>
        <v>NO</v>
      </c>
      <c r="K173">
        <f>VLOOKUP(A173,[1]Pricing!$A:$G,7,FALSE)</f>
        <v>1000</v>
      </c>
      <c r="L173" t="s">
        <v>1960</v>
      </c>
      <c r="M173" t="str">
        <f t="shared" si="6"/>
        <v>648-054586-220</v>
      </c>
    </row>
    <row r="174" spans="1:13" x14ac:dyDescent="0.25">
      <c r="A174" t="s">
        <v>1776</v>
      </c>
      <c r="B174" s="14" t="str">
        <f>VLOOKUP(A174,[1]Pricing!$A:$R,18,FALSE)</f>
        <v>TNPW120610K0BEEA</v>
      </c>
      <c r="C174" t="s">
        <v>2617</v>
      </c>
      <c r="D174" t="str">
        <f>VLOOKUP(A174,[1]AVL!$A:$F,6,FALSE)</f>
        <v>RES,SMD,1206,H-P,WRAPARO.TF,0.1%,10K,ROH</v>
      </c>
      <c r="E174" t="str">
        <f>VLOOKUP(A174,[1]Pricing!$A:$F,6,FALSE)</f>
        <v>32 Weeks</v>
      </c>
      <c r="F174">
        <f>VLOOKUP(B174,[2]Sheet2!$B:$E,4,FALSE)</f>
        <v>5000</v>
      </c>
      <c r="G174" s="2">
        <f>VLOOKUP(A174,[1]Pricing!$A:$H,8,FALSE)</f>
        <v>0.22</v>
      </c>
      <c r="H174" s="2">
        <f>VLOOKUP(A174,[1]Pricing!$A:$J,10,FALSE)</f>
        <v>0.26829268292682928</v>
      </c>
      <c r="I174">
        <f>VLOOKUP(A174,MIN!A:B,2,FALSE)</f>
        <v>25</v>
      </c>
      <c r="J174" t="str">
        <f t="shared" si="5"/>
        <v>NO</v>
      </c>
      <c r="K174">
        <f>VLOOKUP(A174,[1]Pricing!$A:$G,7,FALSE)</f>
        <v>1000</v>
      </c>
      <c r="L174" t="s">
        <v>1960</v>
      </c>
      <c r="M174" t="str">
        <f t="shared" si="6"/>
        <v>615-044084-103</v>
      </c>
    </row>
    <row r="175" spans="1:13" x14ac:dyDescent="0.25">
      <c r="A175" t="s">
        <v>228</v>
      </c>
      <c r="B175" s="14" t="str">
        <f>VLOOKUP(A175,[1]Pricing!$A:$R,18,FALSE)</f>
        <v>3-1462039-7</v>
      </c>
      <c r="C175" t="s">
        <v>2599</v>
      </c>
      <c r="D175" t="str">
        <f>VLOOKUP(A175,[1]AVL!$A:$F,6,FALSE)</f>
        <v>RLY,DPDT,24VDC,5A,SMT MTG,GULL WING</v>
      </c>
      <c r="E175" t="str">
        <f>VLOOKUP(A175,[1]Pricing!$A:$F,6,FALSE)</f>
        <v>29 Weeks</v>
      </c>
      <c r="F175">
        <f>VLOOKUP(B175,[2]Sheet2!$B:$E,4,FALSE)</f>
        <v>829</v>
      </c>
      <c r="G175" s="2">
        <f>VLOOKUP(A175,[1]Pricing!$A:$H,8,FALSE)</f>
        <v>2.8836020000000002</v>
      </c>
      <c r="H175" s="2">
        <f>VLOOKUP(A175,[1]Pricing!$A:$J,10,FALSE)</f>
        <v>3.5165878048780495</v>
      </c>
      <c r="I175">
        <f>VLOOKUP(A175,MIN!A:B,2,FALSE)</f>
        <v>25</v>
      </c>
      <c r="J175" t="str">
        <f t="shared" si="5"/>
        <v>NO</v>
      </c>
      <c r="K175">
        <f>VLOOKUP(A175,[1]Pricing!$A:$G,7,FALSE)</f>
        <v>1000</v>
      </c>
      <c r="L175" t="s">
        <v>2689</v>
      </c>
      <c r="M175" t="str">
        <f t="shared" si="6"/>
        <v>632-A91703-001</v>
      </c>
    </row>
    <row r="176" spans="1:13" x14ac:dyDescent="0.25">
      <c r="A176" t="s">
        <v>1713</v>
      </c>
      <c r="B176" s="14" t="str">
        <f>VLOOKUP(A176,[1]Pricing!$A:$R,18,FALSE)</f>
        <v>SSC54-E3/57T</v>
      </c>
      <c r="C176" t="s">
        <v>2617</v>
      </c>
      <c r="D176" t="str">
        <f>VLOOKUP(A176,[1]AVL!$A:$F,6,FALSE)</f>
        <v>DIO,SMD,SCHOTTKY,RECT,40V,5A,SGL,PKG-57T</v>
      </c>
      <c r="E176" t="str">
        <f>VLOOKUP(A176,[1]Pricing!$A:$F,6,FALSE)</f>
        <v>11 Weeks</v>
      </c>
      <c r="F176">
        <f>VLOOKUP(B176,[2]Sheet2!$B:$E,4,FALSE)</f>
        <v>825</v>
      </c>
      <c r="G176" s="2">
        <f>VLOOKUP(A176,[1]Pricing!$A:$H,8,FALSE)</f>
        <v>0.242649</v>
      </c>
      <c r="H176" s="2">
        <f>VLOOKUP(A176,[1]Pricing!$A:$J,10,FALSE)</f>
        <v>0.29591341463414639</v>
      </c>
      <c r="I176">
        <f>VLOOKUP(A176,MIN!A:B,2,FALSE)</f>
        <v>25</v>
      </c>
      <c r="J176" t="str">
        <f t="shared" si="5"/>
        <v>NO</v>
      </c>
      <c r="K176">
        <f>VLOOKUP(A176,[1]Pricing!$A:$G,7,FALSE)</f>
        <v>850</v>
      </c>
      <c r="L176" t="s">
        <v>1960</v>
      </c>
      <c r="M176" t="str">
        <f t="shared" si="6"/>
        <v>609-258986-001</v>
      </c>
    </row>
    <row r="177" spans="1:13" x14ac:dyDescent="0.25">
      <c r="A177" t="s">
        <v>273</v>
      </c>
      <c r="B177" s="14" t="str">
        <f>VLOOKUP(A177,[1]Pricing!$A:$R,18,FALSE)</f>
        <v>43045-0600</v>
      </c>
      <c r="C177" t="s">
        <v>2610</v>
      </c>
      <c r="D177" t="str">
        <f>VLOOKUP(A177,[1]AVL!$A:$F,6,FALSE)</f>
        <v>CONN,HDR,RTANG,2 ROWS,6 CKT,PCB MT</v>
      </c>
      <c r="E177" t="str">
        <f>VLOOKUP(A177,[1]Pricing!$A:$F,6,FALSE)</f>
        <v>10 Weeks</v>
      </c>
      <c r="F177">
        <f>VLOOKUP(B177,[2]Sheet2!$B:$E,4,FALSE)</f>
        <v>600</v>
      </c>
      <c r="G177" s="2">
        <f>VLOOKUP(A177,[1]Pricing!$A:$H,8,FALSE)</f>
        <v>1.1200000000000001</v>
      </c>
      <c r="H177" s="2">
        <f>VLOOKUP(A177,[1]Pricing!$A:$J,10,FALSE)</f>
        <v>1.3658536585365855</v>
      </c>
      <c r="I177">
        <f>VLOOKUP(A177,MIN!A:B,2,FALSE)</f>
        <v>15</v>
      </c>
      <c r="J177" t="str">
        <f t="shared" si="5"/>
        <v>NO</v>
      </c>
      <c r="K177">
        <f>VLOOKUP(A177,[1]Pricing!$A:$G,7,FALSE)</f>
        <v>600</v>
      </c>
      <c r="L177" t="s">
        <v>1960</v>
      </c>
      <c r="M177" t="str">
        <f t="shared" si="6"/>
        <v>668-293080-006</v>
      </c>
    </row>
    <row r="178" spans="1:13" x14ac:dyDescent="0.25">
      <c r="A178" t="s">
        <v>424</v>
      </c>
      <c r="B178" s="14" t="str">
        <f>VLOOKUP(A178,[1]Pricing!$A:$R,18,FALSE)</f>
        <v>76HPSB10GWRT</v>
      </c>
      <c r="C178" t="s">
        <v>2638</v>
      </c>
      <c r="D178" t="str">
        <f>VLOOKUP(A178,[1]AVL!$A:$F,6,FALSE)</f>
        <v>SW,SMD,DIP STRAIGHT 10 POLES,ROHS</v>
      </c>
      <c r="E178" t="str">
        <f>VLOOKUP(A178,[1]Pricing!$A:$F,6,FALSE)</f>
        <v>12 Weeks</v>
      </c>
      <c r="F178">
        <f>VLOOKUP(B178,[2]Sheet2!$B:$E,4,FALSE)</f>
        <v>480</v>
      </c>
      <c r="G178" s="2">
        <f>VLOOKUP(A178,[1]Pricing!$A:$H,8,FALSE)</f>
        <v>3.7758389999999999</v>
      </c>
      <c r="H178" s="2">
        <f>VLOOKUP(A178,[1]Pricing!$A:$J,10,FALSE)</f>
        <v>4.6046817073170736</v>
      </c>
      <c r="I178">
        <f>VLOOKUP(A178,MIN!A:B,2,FALSE)</f>
        <v>15</v>
      </c>
      <c r="J178" t="str">
        <f t="shared" si="5"/>
        <v>NO</v>
      </c>
      <c r="K178">
        <f>VLOOKUP(A178,[1]Pricing!$A:$G,7,FALSE)</f>
        <v>500</v>
      </c>
      <c r="L178" t="s">
        <v>1960</v>
      </c>
      <c r="M178" t="str">
        <f t="shared" si="6"/>
        <v>646-130453-010</v>
      </c>
    </row>
    <row r="179" spans="1:13" x14ac:dyDescent="0.25">
      <c r="A179" t="s">
        <v>752</v>
      </c>
      <c r="B179" s="14" t="str">
        <f>VLOOKUP(A179,[1]Pricing!$A:$R,18,FALSE)</f>
        <v>DW-25-07-G-D-200</v>
      </c>
      <c r="C179" t="s">
        <v>2608</v>
      </c>
      <c r="D179" t="str">
        <f>VLOOKUP(A179,[1]AVL!$A:$F,6,FALSE)</f>
        <v>CONN,HDR,BD STACK,50PIN,VERT,2ROW,2.54MM</v>
      </c>
      <c r="E179" t="str">
        <f>VLOOKUP(A179,[1]Pricing!$A:$F,6,FALSE)</f>
        <v>8 Weeks</v>
      </c>
      <c r="F179">
        <f>VLOOKUP(B179,[2]Sheet2!$B:$E,4,FALSE)</f>
        <v>500</v>
      </c>
      <c r="G179" s="2">
        <f>VLOOKUP(A179,[1]Pricing!$A:$H,8,FALSE)</f>
        <v>8.1740849999999998</v>
      </c>
      <c r="H179" s="2">
        <f>VLOOKUP(A179,[1]Pricing!$A:$J,10,FALSE)</f>
        <v>9.9683963414634142</v>
      </c>
      <c r="I179">
        <f>VLOOKUP(A179,MIN!A:B,2,FALSE)</f>
        <v>25</v>
      </c>
      <c r="J179" t="str">
        <f t="shared" si="5"/>
        <v>NO</v>
      </c>
      <c r="K179">
        <f>VLOOKUP(A179,[1]Pricing!$A:$G,7,FALSE)</f>
        <v>500</v>
      </c>
      <c r="L179" t="s">
        <v>1960</v>
      </c>
      <c r="M179" t="str">
        <f t="shared" si="6"/>
        <v>668-A93181-050</v>
      </c>
    </row>
    <row r="180" spans="1:13" x14ac:dyDescent="0.25">
      <c r="A180" t="s">
        <v>530</v>
      </c>
      <c r="B180" s="14" t="str">
        <f>VLOOKUP(A180,[1]Pricing!$A:$R,18,FALSE)</f>
        <v>B5B-XH-AM(LF)(SN)</v>
      </c>
      <c r="C180" t="s">
        <v>529</v>
      </c>
      <c r="D180" t="str">
        <f>VLOOKUP(A180,[1]AVL!$A:$F,6,FALSE)</f>
        <v>CONN,HDR,SHRD,TOPENTRY,5P,WHT,BD GDE,TH</v>
      </c>
      <c r="E180" t="str">
        <f>VLOOKUP(A180,[1]Pricing!$A:$F,6,FALSE)</f>
        <v>19 Weeks</v>
      </c>
      <c r="F180">
        <f>VLOOKUP(B180,[2]Sheet2!$B:$E,4,FALSE)</f>
        <v>500</v>
      </c>
      <c r="G180" s="2">
        <f>VLOOKUP(A180,[1]Pricing!$A:$H,8,FALSE)</f>
        <v>0.15522</v>
      </c>
      <c r="H180" s="2">
        <f>VLOOKUP(A180,[1]Pricing!$A:$J,10,FALSE)</f>
        <v>0.18929268292682927</v>
      </c>
      <c r="I180">
        <f>VLOOKUP(A180,MIN!A:B,2,FALSE)</f>
        <v>25</v>
      </c>
      <c r="J180" t="str">
        <f t="shared" si="5"/>
        <v>NO</v>
      </c>
      <c r="K180">
        <f>VLOOKUP(A180,[1]Pricing!$A:$G,7,FALSE)</f>
        <v>500</v>
      </c>
      <c r="L180" t="s">
        <v>1960</v>
      </c>
      <c r="M180" t="str">
        <f t="shared" si="6"/>
        <v>668-A35830-005</v>
      </c>
    </row>
    <row r="181" spans="1:13" x14ac:dyDescent="0.25">
      <c r="A181" t="s">
        <v>1609</v>
      </c>
      <c r="B181" s="14" t="str">
        <f>VLOOKUP(A181,[1]Pricing!$A:$R,18,FALSE)</f>
        <v>S4B-XH-A-1(LF)(SN)</v>
      </c>
      <c r="C181" t="s">
        <v>529</v>
      </c>
      <c r="D181" t="str">
        <f>VLOOKUP(A181,[1]AVL!$A:$F,6,FALSE)</f>
        <v>CONN,HDR,SHRD,SIDEENTRY,4P,WHT,2.5MM,TH</v>
      </c>
      <c r="E181" t="str">
        <f>VLOOKUP(A181,[1]Pricing!$A:$F,6,FALSE)</f>
        <v>19 Weeks</v>
      </c>
      <c r="F181">
        <f>VLOOKUP(B181,[2]Sheet2!$B:$E,4,FALSE)</f>
        <v>500</v>
      </c>
      <c r="G181" s="2">
        <f>VLOOKUP(A181,[1]Pricing!$A:$H,8,FALSE)</f>
        <v>0.15922</v>
      </c>
      <c r="H181" s="2">
        <f>VLOOKUP(A181,[1]Pricing!$A:$J,10,FALSE)</f>
        <v>0.19417073170731708</v>
      </c>
      <c r="I181">
        <f>VLOOKUP(A181,MIN!A:B,2,FALSE)</f>
        <v>25</v>
      </c>
      <c r="J181" t="str">
        <f t="shared" si="5"/>
        <v>NO</v>
      </c>
      <c r="K181">
        <f>VLOOKUP(A181,[1]Pricing!$A:$G,7,FALSE)</f>
        <v>500</v>
      </c>
      <c r="L181" t="s">
        <v>1960</v>
      </c>
      <c r="M181" t="str">
        <f t="shared" si="6"/>
        <v>668-A96376-004</v>
      </c>
    </row>
    <row r="182" spans="1:13" x14ac:dyDescent="0.25">
      <c r="A182" t="s">
        <v>428</v>
      </c>
      <c r="B182" s="14" t="str">
        <f>VLOOKUP(A182,[1]Pricing!$A:$R,18,FALSE)</f>
        <v>76SB08ST</v>
      </c>
      <c r="C182" t="s">
        <v>2621</v>
      </c>
      <c r="D182" t="str">
        <f>VLOOKUP(A182,[1]AVL!$A:$F,6,FALSE)</f>
        <v>SWITCH  DIP ROCKER SPST 8-POS,ROHS</v>
      </c>
      <c r="E182" t="str">
        <f>VLOOKUP(A182,[1]Pricing!$A:$F,6,FALSE)</f>
        <v>12 Weeks</v>
      </c>
      <c r="F182">
        <f>VLOOKUP(B182,[2]Sheet2!$B:$E,4,FALSE)</f>
        <v>469</v>
      </c>
      <c r="G182" s="2">
        <f>VLOOKUP(A182,[1]Pricing!$A:$H,8,FALSE)</f>
        <v>2.7042700000000002</v>
      </c>
      <c r="H182" s="2">
        <f>VLOOKUP(A182,[1]Pricing!$A:$J,10,FALSE)</f>
        <v>3.2978902439024393</v>
      </c>
      <c r="I182">
        <f>VLOOKUP(A182,MIN!A:B,2,FALSE)</f>
        <v>25</v>
      </c>
      <c r="J182" t="str">
        <f t="shared" si="5"/>
        <v>NO</v>
      </c>
      <c r="K182">
        <f>VLOOKUP(A182,[1]Pricing!$A:$G,7,FALSE)</f>
        <v>500</v>
      </c>
      <c r="L182" t="s">
        <v>1960</v>
      </c>
      <c r="M182" t="str">
        <f t="shared" si="6"/>
        <v>645-000381-008</v>
      </c>
    </row>
    <row r="183" spans="1:13" x14ac:dyDescent="0.25">
      <c r="A183" t="s">
        <v>422</v>
      </c>
      <c r="B183" s="14" t="str">
        <f>VLOOKUP(A183,[1]Pricing!$A:$R,18,FALSE)</f>
        <v>76HPSB08GWRT</v>
      </c>
      <c r="C183" t="s">
        <v>2638</v>
      </c>
      <c r="D183" t="str">
        <f>VLOOKUP(A183,[1]AVL!$A:$F,6,FALSE)</f>
        <v>SW,SMD,DIP STRAIGHT 8 POLES,ROHS</v>
      </c>
      <c r="E183" t="str">
        <f>VLOOKUP(A183,[1]Pricing!$A:$F,6,FALSE)</f>
        <v>15 Weeks</v>
      </c>
      <c r="F183">
        <v>500</v>
      </c>
      <c r="G183" s="2">
        <f>VLOOKUP(A183,[1]Pricing!$A:$H,8,FALSE)</f>
        <v>3.4395600000000002</v>
      </c>
      <c r="H183" s="2">
        <f>VLOOKUP(A183,[1]Pricing!$A:$J,10,FALSE)</f>
        <v>4.1945853658536594</v>
      </c>
      <c r="I183">
        <f>VLOOKUP(A183,MIN!A:B,2,FALSE)</f>
        <v>15</v>
      </c>
      <c r="J183" t="str">
        <f t="shared" si="5"/>
        <v>NO</v>
      </c>
      <c r="K183">
        <f>VLOOKUP(A183,[1]Pricing!$A:$G,7,FALSE)</f>
        <v>500</v>
      </c>
      <c r="M183" t="str">
        <f t="shared" si="6"/>
        <v>646-130453-008</v>
      </c>
    </row>
    <row r="184" spans="1:13" x14ac:dyDescent="0.25">
      <c r="A184" t="s">
        <v>311</v>
      </c>
      <c r="B184" s="14" t="str">
        <f>VLOOKUP(A184,[1]Pricing!$A:$R,18,FALSE)</f>
        <v>5-103635-4</v>
      </c>
      <c r="C184" t="s">
        <v>2599</v>
      </c>
      <c r="D184" t="str">
        <f>VLOOKUP(A184,[1]AVL!$A:$F,6,FALSE)</f>
        <v>CONN,HDR,MALE,5POS,3A,RTANG,SLDR,THT</v>
      </c>
      <c r="E184" t="str">
        <f>VLOOKUP(A184,[1]Pricing!$A:$F,6,FALSE)</f>
        <v>24 Weeks</v>
      </c>
      <c r="F184">
        <f>VLOOKUP(B184,[2]Sheet2!$B:$E,4,FALSE)</f>
        <v>500</v>
      </c>
      <c r="G184" s="2">
        <f>VLOOKUP(A184,[1]Pricing!$A:$H,8,FALSE)</f>
        <v>0.73958900000000005</v>
      </c>
      <c r="H184" s="2">
        <f>VLOOKUP(A184,[1]Pricing!$A:$J,10,FALSE)</f>
        <v>0.90193780487804887</v>
      </c>
      <c r="I184">
        <f>VLOOKUP(A184,MIN!A:B,2,FALSE)</f>
        <v>15</v>
      </c>
      <c r="J184" t="str">
        <f t="shared" si="5"/>
        <v>NO</v>
      </c>
      <c r="K184">
        <f>VLOOKUP(A184,[1]Pricing!$A:$G,7,FALSE)</f>
        <v>500</v>
      </c>
      <c r="L184" t="s">
        <v>1960</v>
      </c>
      <c r="M184" t="str">
        <f t="shared" si="6"/>
        <v>668-346844-004</v>
      </c>
    </row>
    <row r="185" spans="1:13" x14ac:dyDescent="0.25">
      <c r="A185" t="s">
        <v>1806</v>
      </c>
      <c r="B185" s="14" t="str">
        <f>VLOOKUP(A185,[1]Pricing!$A:$R,18,FALSE)</f>
        <v>TPSE476K035R0200</v>
      </c>
      <c r="C185" t="s">
        <v>2581</v>
      </c>
      <c r="D185" t="str">
        <f>VLOOKUP(A185,[1]AVL!$A:$F,6,FALSE)</f>
        <v>CAP,SMD,TANT,47UF,10%,35V,LOW ESR</v>
      </c>
      <c r="E185" t="str">
        <f>VLOOKUP(A185,[1]Pricing!$A:$F,6,FALSE)</f>
        <v>16 Weeks</v>
      </c>
      <c r="F185">
        <f>VLOOKUP(B185,[2]Sheet2!$B:$E,4,FALSE)</f>
        <v>370</v>
      </c>
      <c r="G185" s="2">
        <f>VLOOKUP(A185,[1]Pricing!$A:$H,8,FALSE)</f>
        <v>1.56864</v>
      </c>
      <c r="H185" s="2">
        <f>VLOOKUP(A185,[1]Pricing!$A:$J,10,FALSE)</f>
        <v>1.9129756097560977</v>
      </c>
      <c r="I185">
        <f>VLOOKUP(A185,MIN!A:B,2,FALSE)</f>
        <v>25</v>
      </c>
      <c r="J185" t="str">
        <f t="shared" si="5"/>
        <v>NO</v>
      </c>
      <c r="K185">
        <f>VLOOKUP(A185,[1]Pricing!$A:$G,7,FALSE)</f>
        <v>400</v>
      </c>
      <c r="L185" t="s">
        <v>1960</v>
      </c>
      <c r="M185" t="str">
        <f t="shared" si="6"/>
        <v>648-019150-476</v>
      </c>
    </row>
    <row r="186" spans="1:13" x14ac:dyDescent="0.25">
      <c r="A186" t="s">
        <v>1596</v>
      </c>
      <c r="B186" s="14" t="str">
        <f>VLOOKUP(A186,[1]Pricing!$A:$R,18,FALSE)</f>
        <v>RXEF375</v>
      </c>
      <c r="C186" t="s">
        <v>2620</v>
      </c>
      <c r="D186" t="str">
        <f>VLOOKUP(A186,[1]AVL!$A:$F,6,FALSE)</f>
        <v>PTC,RXE SERIES 3.75A,ROHS</v>
      </c>
      <c r="E186" t="str">
        <f>VLOOKUP(A186,[1]Pricing!$A:$F,6,FALSE)</f>
        <v>17 Weeks</v>
      </c>
      <c r="F186">
        <f>VLOOKUP(B186,[2]Sheet2!$B:$E,4,FALSE)</f>
        <v>221</v>
      </c>
      <c r="G186" s="2">
        <f>VLOOKUP(A186,[1]Pricing!$A:$H,8,FALSE)</f>
        <v>0.54779900000000004</v>
      </c>
      <c r="H186" s="2">
        <f>VLOOKUP(A186,[1]Pricing!$A:$J,10,FALSE)</f>
        <v>0.6680475609756098</v>
      </c>
      <c r="I186">
        <f>VLOOKUP(A186,MIN!A:B,2,FALSE)</f>
        <v>25</v>
      </c>
      <c r="J186" t="str">
        <f t="shared" si="5"/>
        <v>NO</v>
      </c>
      <c r="K186">
        <f>VLOOKUP(A186,[1]Pricing!$A:$G,7,FALSE)</f>
        <v>250</v>
      </c>
      <c r="L186" t="s">
        <v>1960</v>
      </c>
      <c r="M186" t="str">
        <f t="shared" si="6"/>
        <v>670-095989-375</v>
      </c>
    </row>
    <row r="187" spans="1:13" x14ac:dyDescent="0.25">
      <c r="A187" t="s">
        <v>1588</v>
      </c>
      <c r="B187" s="14" t="str">
        <f>VLOOKUP(A187,[1]Pricing!$A:$R,18,FALSE)</f>
        <v>RUEF900</v>
      </c>
      <c r="C187" t="s">
        <v>2620</v>
      </c>
      <c r="D187" t="str">
        <f>VLOOKUP(A187,[1]AVL!$A:$F,6,FALSE)</f>
        <v>FUSE,PTC,RUEF, 9.0A ROHS</v>
      </c>
      <c r="E187" t="str">
        <f>VLOOKUP(A187,[1]Pricing!$A:$F,6,FALSE)</f>
        <v>17 Weeks</v>
      </c>
      <c r="F187">
        <f>VLOOKUP(B187,[2]Sheet2!$B:$E,4,FALSE)</f>
        <v>194</v>
      </c>
      <c r="G187" s="2">
        <f>VLOOKUP(A187,[1]Pricing!$A:$H,8,FALSE)</f>
        <v>0.47461199999999998</v>
      </c>
      <c r="H187" s="2">
        <f>VLOOKUP(A187,[1]Pricing!$A:$J,10,FALSE)</f>
        <v>0.57879512195121952</v>
      </c>
      <c r="I187">
        <f>VLOOKUP(A187,MIN!A:B,2,FALSE)</f>
        <v>25</v>
      </c>
      <c r="J187" t="str">
        <f t="shared" si="5"/>
        <v>NO</v>
      </c>
      <c r="K187">
        <f>VLOOKUP(A187,[1]Pricing!$A:$G,7,FALSE)</f>
        <v>250</v>
      </c>
      <c r="L187" t="s">
        <v>2689</v>
      </c>
      <c r="M187" t="str">
        <f t="shared" si="6"/>
        <v>670-097092-900</v>
      </c>
    </row>
    <row r="188" spans="1:13" x14ac:dyDescent="0.25">
      <c r="A188" t="s">
        <v>344</v>
      </c>
      <c r="B188" s="14" t="str">
        <f>VLOOKUP(A188,[1]Pricing!$A:$R,18,FALSE)</f>
        <v>5557969-1</v>
      </c>
      <c r="C188" t="s">
        <v>2599</v>
      </c>
      <c r="D188" t="str">
        <f>VLOOKUP(A188,[1]AVL!$A:$F,6,FALSE)</f>
        <v>CONN,MDLR JK,8P8,RJ45,VERT SH,ROHS</v>
      </c>
      <c r="E188" t="str">
        <f>VLOOKUP(A188,[1]Pricing!$A:$F,6,FALSE)</f>
        <v>3 Weeks</v>
      </c>
      <c r="F188">
        <f>VLOOKUP(B188,[2]Sheet2!$B:$E,4,FALSE)</f>
        <v>119</v>
      </c>
      <c r="G188" s="2">
        <f>VLOOKUP(A188,[1]Pricing!$A:$H,8,FALSE)</f>
        <v>2.7981500000000001</v>
      </c>
      <c r="H188" s="2">
        <f>VLOOKUP(A188,[1]Pricing!$A:$J,10,FALSE)</f>
        <v>3.412378048780488</v>
      </c>
      <c r="I188">
        <f>VLOOKUP(A188,MIN!A:B,2,FALSE)</f>
        <v>15</v>
      </c>
      <c r="J188" t="str">
        <f t="shared" si="5"/>
        <v>NO</v>
      </c>
      <c r="K188">
        <f>VLOOKUP(A188,[1]Pricing!$A:$G,7,FALSE)</f>
        <v>216</v>
      </c>
      <c r="L188" t="s">
        <v>1960</v>
      </c>
      <c r="M188" t="str">
        <f t="shared" si="6"/>
        <v>668-099048-008</v>
      </c>
    </row>
    <row r="189" spans="1:13" x14ac:dyDescent="0.25">
      <c r="A189" t="s">
        <v>962</v>
      </c>
      <c r="B189" s="14" t="str">
        <f>VLOOKUP(A189,[1]Pricing!$A:$R,18,FALSE)</f>
        <v>IF-E98</v>
      </c>
      <c r="C189" t="s">
        <v>2639</v>
      </c>
      <c r="D189" t="str">
        <f>VLOOKUP(A189,[1]AVL!$A:$F,6,FALSE)</f>
        <v>LED,FIBER OPT,50MBPS,650NM,1.9V FWD,RED</v>
      </c>
      <c r="E189" t="str">
        <f>VLOOKUP(A189,[1]Pricing!$A:$F,6,FALSE)</f>
        <v>3 Weeks</v>
      </c>
      <c r="F189">
        <f>VLOOKUP(B189,[2]Sheet2!$B:$E,4,FALSE)</f>
        <v>200</v>
      </c>
      <c r="G189" s="2">
        <f>VLOOKUP(A189,[1]Pricing!$A:$H,8,FALSE)</f>
        <v>10.604497</v>
      </c>
      <c r="H189" s="2">
        <f>VLOOKUP(A189,[1]Pricing!$A:$J,10,FALSE)</f>
        <v>12.932313414634148</v>
      </c>
      <c r="I189">
        <f>VLOOKUP(A189,MIN!A:B,2,FALSE)</f>
        <v>25</v>
      </c>
      <c r="J189" t="str">
        <f t="shared" si="5"/>
        <v>NO</v>
      </c>
      <c r="K189">
        <f>VLOOKUP(A189,[1]Pricing!$A:$G,7,FALSE)</f>
        <v>200</v>
      </c>
      <c r="L189" t="s">
        <v>1960</v>
      </c>
      <c r="M189" t="str">
        <f t="shared" si="6"/>
        <v>795-A93075-001</v>
      </c>
    </row>
    <row r="190" spans="1:13" x14ac:dyDescent="0.25">
      <c r="A190" t="s">
        <v>1116</v>
      </c>
      <c r="B190" s="14" t="str">
        <f>VLOOKUP(A190,[1]Pricing!$A:$R,18,FALSE)</f>
        <v>LTV-845</v>
      </c>
      <c r="C190" t="s">
        <v>2629</v>
      </c>
      <c r="D190" t="str">
        <f>VLOOKUP(A190,[1]AVL!$A:$F,6,FALSE)</f>
        <v>IC,PHOTOCOUPLER,4 CHAN,35V,50 MA,DIP16</v>
      </c>
      <c r="E190" t="str">
        <f>VLOOKUP(A190,[1]Pricing!$A:$F,6,FALSE)</f>
        <v>15 Weeks</v>
      </c>
      <c r="F190">
        <f>VLOOKUP(B190,[2]Sheet2!$B:$E,4,FALSE)</f>
        <v>157</v>
      </c>
      <c r="G190" s="2">
        <f>VLOOKUP(A190,[1]Pricing!$A:$H,8,FALSE)</f>
        <v>0.52696500000000002</v>
      </c>
      <c r="H190" s="2">
        <f>VLOOKUP(A190,[1]Pricing!$A:$J,10,FALSE)</f>
        <v>0.64264024390243912</v>
      </c>
      <c r="I190">
        <f>VLOOKUP(A190,MIN!A:B,2,FALSE)</f>
        <v>15</v>
      </c>
      <c r="J190" t="str">
        <f t="shared" si="5"/>
        <v>NO</v>
      </c>
      <c r="K190">
        <f>VLOOKUP(A190,[1]Pricing!$A:$G,7,FALSE)</f>
        <v>200</v>
      </c>
      <c r="L190" t="s">
        <v>1960</v>
      </c>
      <c r="M190" t="str">
        <f t="shared" si="6"/>
        <v>631-318336-001</v>
      </c>
    </row>
    <row r="191" spans="1:13" x14ac:dyDescent="0.25">
      <c r="A191" t="s">
        <v>1743</v>
      </c>
      <c r="B191" s="14" t="str">
        <f>VLOOKUP(A191,[1]Pricing!$A:$R,18,FALSE)</f>
        <v>TGHLV10R0JE</v>
      </c>
      <c r="C191" t="s">
        <v>2640</v>
      </c>
      <c r="D191" t="str">
        <f>VLOOKUP(A191,[1]AVL!$A:$F,6,FALSE)</f>
        <v>RES,THK FILM,10 OHM,5%,200W,SOT227</v>
      </c>
      <c r="E191" t="str">
        <f>VLOOKUP(A191,[1]Pricing!$A:$F,6,FALSE)</f>
        <v>20 Weeks</v>
      </c>
      <c r="F191">
        <f>VLOOKUP(B191,[2]Sheet2!$B:$E,4,FALSE)</f>
        <v>150</v>
      </c>
      <c r="G191" s="2">
        <f>VLOOKUP(A191,[1]Pricing!$A:$H,8,FALSE)</f>
        <v>29.195399999999999</v>
      </c>
      <c r="H191" s="2">
        <f>VLOOKUP(A191,[1]Pricing!$A:$J,10,FALSE)</f>
        <v>35.604146341463419</v>
      </c>
      <c r="I191">
        <f>VLOOKUP(A191,MIN!A:B,2,FALSE)</f>
        <v>75</v>
      </c>
      <c r="J191" t="str">
        <f t="shared" si="5"/>
        <v>NO</v>
      </c>
      <c r="K191">
        <f>VLOOKUP(A191,[1]Pricing!$A:$G,7,FALSE)</f>
        <v>150</v>
      </c>
      <c r="L191" t="s">
        <v>1960</v>
      </c>
      <c r="M191" t="str">
        <f t="shared" si="6"/>
        <v>618-B36776-100</v>
      </c>
    </row>
    <row r="192" spans="1:13" x14ac:dyDescent="0.25">
      <c r="A192" t="s">
        <v>1283</v>
      </c>
      <c r="B192" s="14" t="str">
        <f>VLOOKUP(A192,[1]Pricing!$A:$R,18,FALSE)</f>
        <v>R-78C3.3-1.0</v>
      </c>
      <c r="C192" t="s">
        <v>2641</v>
      </c>
      <c r="D192" t="str">
        <f>VLOOKUP(A192,[1]AVL!$A:$F,6,FALSE)</f>
        <v>PS,CONV,DC/DC,7-42VIN,3.3VOUT,1A</v>
      </c>
      <c r="E192" t="str">
        <f>VLOOKUP(A192,[1]Pricing!$A:$F,6,FALSE)</f>
        <v>37 Weeks</v>
      </c>
      <c r="F192">
        <f>VLOOKUP(B192,[2]Sheet2!$B:$E,4,FALSE)</f>
        <v>72</v>
      </c>
      <c r="G192" s="2">
        <f>VLOOKUP(A192,[1]Pricing!$A:$H,8,FALSE)</f>
        <v>9.3891679999999997</v>
      </c>
      <c r="H192" s="2">
        <f>VLOOKUP(A192,[1]Pricing!$A:$J,10,FALSE)</f>
        <v>11.450204878048782</v>
      </c>
      <c r="I192">
        <f>VLOOKUP(A192,MIN!A:B,2,FALSE)</f>
        <v>15</v>
      </c>
      <c r="J192" t="str">
        <f t="shared" si="5"/>
        <v>NO</v>
      </c>
      <c r="K192">
        <f>VLOOKUP(A192,[1]Pricing!$A:$G,7,FALSE)</f>
        <v>100</v>
      </c>
      <c r="L192" t="s">
        <v>1960</v>
      </c>
      <c r="M192" t="str">
        <f t="shared" si="6"/>
        <v>660-150506-003</v>
      </c>
    </row>
    <row r="193" spans="1:13" x14ac:dyDescent="0.25">
      <c r="A193" t="s">
        <v>292</v>
      </c>
      <c r="B193" s="14">
        <f>VLOOKUP(A193,[1]Pricing!$A:$R,18,FALSE)</f>
        <v>5003</v>
      </c>
      <c r="C193" t="s">
        <v>2642</v>
      </c>
      <c r="D193" t="str">
        <f>VLOOKUP(A193,[1]AVL!$A:$F,6,FALSE)</f>
        <v>TP,PCB,MINIATURE LOOP,ORANGE</v>
      </c>
      <c r="E193" t="str">
        <f>VLOOKUP(A193,[1]Pricing!$A:$F,6,FALSE)</f>
        <v>3 Weeks</v>
      </c>
      <c r="F193">
        <f>VLOOKUP(B193,[2]Sheet2!$B:$E,4,FALSE)</f>
        <v>100</v>
      </c>
      <c r="G193" s="2">
        <f>VLOOKUP(A193,[1]Pricing!$A:$H,8,FALSE)</f>
        <v>0.24510000000000001</v>
      </c>
      <c r="H193" s="2">
        <f>VLOOKUP(A193,[1]Pricing!$A:$J,10,FALSE)</f>
        <v>0.29890243902439029</v>
      </c>
      <c r="I193">
        <f>VLOOKUP(A193,MIN!A:B,2,FALSE)</f>
        <v>25</v>
      </c>
      <c r="J193" t="str">
        <f t="shared" ref="J193:J224" si="7">IF(F193&lt;=I193,"REORDER","NO")</f>
        <v>NO</v>
      </c>
      <c r="K193">
        <f>VLOOKUP(A193,[1]Pricing!$A:$G,7,FALSE)</f>
        <v>100</v>
      </c>
      <c r="L193" t="s">
        <v>1960</v>
      </c>
      <c r="M193" t="str">
        <f t="shared" si="6"/>
        <v>671-219755-004</v>
      </c>
    </row>
    <row r="194" spans="1:13" x14ac:dyDescent="0.25">
      <c r="A194" t="s">
        <v>336</v>
      </c>
      <c r="B194" s="14" t="str">
        <f>VLOOKUP(A194,[1]Pricing!$A:$R,18,FALSE)</f>
        <v>550-2205F</v>
      </c>
      <c r="C194" t="s">
        <v>2643</v>
      </c>
      <c r="D194" t="str">
        <f>VLOOKUP(A194,[1]AVL!$A:$F,6,FALSE)</f>
        <v>LED,PCB,RA,5MM,HIGH,EFF GRN ROHS</v>
      </c>
      <c r="E194" t="str">
        <f>VLOOKUP(A194,[1]Pricing!$A:$F,6,FALSE)</f>
        <v>15 Weeks</v>
      </c>
      <c r="F194">
        <f>VLOOKUP(B194,[2]Sheet2!$B:$E,4,FALSE)</f>
        <v>75</v>
      </c>
      <c r="G194" s="2">
        <f>VLOOKUP(A194,[1]Pricing!$A:$H,8,FALSE)</f>
        <v>0.54534800000000005</v>
      </c>
      <c r="H194" s="2">
        <f>VLOOKUP(A194,[1]Pricing!$A:$J,10,FALSE)</f>
        <v>0.66505853658536596</v>
      </c>
      <c r="I194">
        <f>VLOOKUP(A194,MIN!A:B,2,FALSE)</f>
        <v>15</v>
      </c>
      <c r="J194" t="str">
        <f t="shared" si="7"/>
        <v>NO</v>
      </c>
      <c r="K194">
        <f>VLOOKUP(A194,[1]Pricing!$A:$G,7,FALSE)</f>
        <v>100</v>
      </c>
      <c r="L194" t="s">
        <v>2689</v>
      </c>
      <c r="M194" t="str">
        <f t="shared" si="6"/>
        <v>662-094083-001</v>
      </c>
    </row>
    <row r="195" spans="1:13" x14ac:dyDescent="0.25">
      <c r="A195" t="s">
        <v>990</v>
      </c>
      <c r="B195" s="14" t="str">
        <f>VLOOKUP(A195,[1]Pricing!$A:$R,18,FALSE)</f>
        <v>JW1FSN-DC24V</v>
      </c>
      <c r="C195" t="s">
        <v>2618</v>
      </c>
      <c r="D195" t="str">
        <f>VLOOKUP(A195,[1]AVL!$A:$F,6,FALSE)</f>
        <v>RLY,PWR,SPDT,24V,10A,SEALED,AG-NI,THT</v>
      </c>
      <c r="E195" t="str">
        <f>VLOOKUP(A195,[1]Pricing!$A:$F,6,FALSE)</f>
        <v>24 Weeks</v>
      </c>
      <c r="F195">
        <f>VLOOKUP(B195,[2]Sheet2!$B:$E,4,FALSE)</f>
        <v>60</v>
      </c>
      <c r="G195" s="2">
        <f>VLOOKUP(A195,[1]Pricing!$A:$H,8,FALSE)</f>
        <v>1.8985449999999999</v>
      </c>
      <c r="H195" s="2">
        <f>VLOOKUP(A195,[1]Pricing!$A:$J,10,FALSE)</f>
        <v>2.3152987804878049</v>
      </c>
      <c r="I195">
        <f>VLOOKUP(A195,MIN!A:B,2,FALSE)</f>
        <v>15</v>
      </c>
      <c r="J195" t="str">
        <f t="shared" si="7"/>
        <v>NO</v>
      </c>
      <c r="K195">
        <f>VLOOKUP(A195,[1]Pricing!$A:$G,7,FALSE)</f>
        <v>100</v>
      </c>
      <c r="L195" t="s">
        <v>1960</v>
      </c>
      <c r="M195" t="str">
        <f t="shared" ref="M195:M258" si="8">A195</f>
        <v>644-A02502-024</v>
      </c>
    </row>
    <row r="196" spans="1:13" x14ac:dyDescent="0.25">
      <c r="A196" t="s">
        <v>431</v>
      </c>
      <c r="B196" s="14">
        <f>VLOOKUP(A196,[1]Pricing!$A:$R,18,FALSE)</f>
        <v>7786</v>
      </c>
      <c r="C196" t="s">
        <v>2644</v>
      </c>
      <c r="D196" t="str">
        <f>VLOOKUP(A196,[1]AVL!$A:$F,6,FALSE)</f>
        <v>TERM,PCB,6-32,30A</v>
      </c>
      <c r="E196" t="str">
        <f>VLOOKUP(A196,[1]Pricing!$A:$F,6,FALSE)</f>
        <v>3 Weeks</v>
      </c>
      <c r="F196">
        <f>VLOOKUP(B196,[2]Sheet2!$B:$E,4,FALSE)</f>
        <v>100</v>
      </c>
      <c r="G196" s="2">
        <f>VLOOKUP(A196,[1]Pricing!$A:$H,8,FALSE)</f>
        <v>0.43995400000000001</v>
      </c>
      <c r="H196" s="2">
        <f>VLOOKUP(A196,[1]Pricing!$A:$J,10,FALSE)</f>
        <v>0.53652926829268299</v>
      </c>
      <c r="I196">
        <f>VLOOKUP(A196,MIN!A:B,2,FALSE)</f>
        <v>25</v>
      </c>
      <c r="J196" t="str">
        <f t="shared" si="7"/>
        <v>NO</v>
      </c>
      <c r="K196">
        <f>VLOOKUP(A196,[1]Pricing!$A:$G,7,FALSE)</f>
        <v>100</v>
      </c>
      <c r="L196" t="s">
        <v>1960</v>
      </c>
      <c r="M196" t="str">
        <f t="shared" si="8"/>
        <v>671-119709-001</v>
      </c>
    </row>
    <row r="197" spans="1:13" x14ac:dyDescent="0.25">
      <c r="A197" t="s">
        <v>1808</v>
      </c>
      <c r="B197" s="14" t="str">
        <f>VLOOKUP(A197,[1]Pricing!$A:$R,18,FALSE)</f>
        <v>TQ2SA-12V</v>
      </c>
      <c r="C197" t="s">
        <v>2618</v>
      </c>
      <c r="D197" t="str">
        <f>VLOOKUP(A197,[1]AVL!$A:$F,6,FALSE)</f>
        <v>RLY,SMD,DPDT,2FC,S-SIDED,STABLE 12V</v>
      </c>
      <c r="E197" t="str">
        <f>VLOOKUP(A197,[1]Pricing!$A:$F,6,FALSE)</f>
        <v>43 Weeks</v>
      </c>
      <c r="F197">
        <f>VLOOKUP(B197,[2]Sheet2!$B:$E,4,FALSE)</f>
        <v>100</v>
      </c>
      <c r="G197" s="2">
        <f>VLOOKUP(A197,[1]Pricing!$A:$H,8,FALSE)</f>
        <v>1.7731760000000001</v>
      </c>
      <c r="H197" s="2">
        <f>VLOOKUP(A197,[1]Pricing!$A:$J,10,FALSE)</f>
        <v>2.1624097560975613</v>
      </c>
      <c r="I197">
        <f>VLOOKUP(A197,MIN!A:B,2,FALSE)</f>
        <v>15</v>
      </c>
      <c r="J197" t="str">
        <f t="shared" si="7"/>
        <v>NO</v>
      </c>
      <c r="K197">
        <f>VLOOKUP(A197,[1]Pricing!$A:$G,7,FALSE)</f>
        <v>100</v>
      </c>
      <c r="L197" t="s">
        <v>1960</v>
      </c>
      <c r="M197" t="str">
        <f t="shared" si="8"/>
        <v>632-024687-001</v>
      </c>
    </row>
    <row r="198" spans="1:13" x14ac:dyDescent="0.25">
      <c r="A198" t="s">
        <v>1008</v>
      </c>
      <c r="B198" s="14" t="str">
        <f>VLOOKUP(A198,[1]Pricing!$A:$R,18,FALSE)</f>
        <v>KAN1104RT</v>
      </c>
      <c r="C198" t="s">
        <v>2645</v>
      </c>
      <c r="D198" t="str">
        <f>VLOOKUP(A198,[1]AVL!$A:$F,6,FALSE)</f>
        <v>SW,SMD,DIP,SPST,4CKT,.025A/24VDC,1.27MM</v>
      </c>
      <c r="E198" t="str">
        <f>VLOOKUP(A198,[1]Pricing!$A:$F,6,FALSE)</f>
        <v>18 Weeks</v>
      </c>
      <c r="F198">
        <f>VLOOKUP(B198,[2]Sheet2!$B:$E,4,FALSE)</f>
        <v>75</v>
      </c>
      <c r="G198" s="2">
        <f>VLOOKUP(A198,[1]Pricing!$A:$H,8,FALSE)</f>
        <v>1.91178</v>
      </c>
      <c r="H198" s="2">
        <f>VLOOKUP(A198,[1]Pricing!$A:$J,10,FALSE)</f>
        <v>2.3314390243902441</v>
      </c>
      <c r="I198">
        <f>VLOOKUP(A198,MIN!A:B,2,FALSE)</f>
        <v>25</v>
      </c>
      <c r="J198" t="str">
        <f t="shared" si="7"/>
        <v>NO</v>
      </c>
      <c r="K198">
        <f>VLOOKUP(A198,[1]Pricing!$A:$G,7,FALSE)</f>
        <v>75</v>
      </c>
      <c r="L198" t="s">
        <v>1960</v>
      </c>
      <c r="M198" t="str">
        <f t="shared" si="8"/>
        <v>646-243658-002</v>
      </c>
    </row>
    <row r="199" spans="1:13" x14ac:dyDescent="0.25">
      <c r="A199" t="s">
        <v>307</v>
      </c>
      <c r="B199" s="14" t="str">
        <f>VLOOKUP(A199,[1]Pricing!$A:$R,18,FALSE)</f>
        <v>5-103635-1</v>
      </c>
      <c r="C199" t="s">
        <v>2599</v>
      </c>
      <c r="D199" t="str">
        <f>VLOOKUP(A199,[1]AVL!$A:$F,6,FALSE)</f>
        <v>CONN,HDR,MALE,2POS,3A,RTANG,SLDR,THT</v>
      </c>
      <c r="E199" t="str">
        <f>VLOOKUP(A199,[1]Pricing!$A:$F,6,FALSE)</f>
        <v>3 Weeks</v>
      </c>
      <c r="F199">
        <f>VLOOKUP(B199,[2]Sheet2!$B:$E,4,FALSE)</f>
        <v>71</v>
      </c>
      <c r="G199" s="2">
        <f>VLOOKUP(A199,[1]Pricing!$A:$H,8,FALSE)</f>
        <v>0.87234800000000001</v>
      </c>
      <c r="H199" s="2">
        <f>VLOOKUP(A199,[1]Pricing!$A:$J,10,FALSE)</f>
        <v>1.063839024390244</v>
      </c>
      <c r="I199">
        <f>VLOOKUP(A199,MIN!A:B,2,FALSE)</f>
        <v>25</v>
      </c>
      <c r="J199" t="str">
        <f t="shared" si="7"/>
        <v>NO</v>
      </c>
      <c r="K199">
        <f>VLOOKUP(A199,[1]Pricing!$A:$G,7,FALSE)</f>
        <v>71</v>
      </c>
      <c r="L199" t="s">
        <v>1960</v>
      </c>
      <c r="M199" t="str">
        <f t="shared" si="8"/>
        <v>668-346844-001</v>
      </c>
    </row>
    <row r="200" spans="1:13" x14ac:dyDescent="0.25">
      <c r="A200" t="s">
        <v>115</v>
      </c>
      <c r="B200" s="14" t="str">
        <f>VLOOKUP(A200,[1]Pricing!$A:$R,18,FALSE)</f>
        <v>178-015-313R571</v>
      </c>
      <c r="C200" t="s">
        <v>2585</v>
      </c>
      <c r="D200" t="str">
        <f>VLOOKUP(A200,[1]AVL!$A:$F,6,FALSE)</f>
        <v>CONN,DSUB,DUAL PORT,15P/15P,F/M ROHS</v>
      </c>
      <c r="E200" t="str">
        <f>VLOOKUP(A200,[1]Pricing!$A:$F,6,FALSE)</f>
        <v>3 Weeks</v>
      </c>
      <c r="F200">
        <f>VLOOKUP(B200,[2]Sheet2!$B:$E,4,FALSE)</f>
        <v>69</v>
      </c>
      <c r="G200" s="2">
        <f>VLOOKUP(A200,[1]Pricing!$A:$H,8,FALSE)</f>
        <v>9.0809549999999994</v>
      </c>
      <c r="H200" s="2">
        <f>VLOOKUP(A200,[1]Pricing!$A:$J,10,FALSE)</f>
        <v>11.074335365853658</v>
      </c>
      <c r="I200">
        <f>VLOOKUP(A200,MIN!A:B,2,FALSE)</f>
        <v>25</v>
      </c>
      <c r="J200" t="str">
        <f t="shared" si="7"/>
        <v>NO</v>
      </c>
      <c r="K200">
        <f>VLOOKUP(A200,[1]Pricing!$A:$G,7,FALSE)</f>
        <v>70</v>
      </c>
      <c r="L200" t="s">
        <v>1960</v>
      </c>
      <c r="M200" t="str">
        <f t="shared" si="8"/>
        <v>668-034058-004</v>
      </c>
    </row>
    <row r="201" spans="1:13" x14ac:dyDescent="0.25">
      <c r="A201" t="s">
        <v>378</v>
      </c>
      <c r="B201" s="14">
        <f>VLOOKUP(A201,[1]Pricing!$A:$R,18,FALSE)</f>
        <v>65100516121</v>
      </c>
      <c r="C201" t="s">
        <v>2646</v>
      </c>
      <c r="D201" t="str">
        <f>VLOOKUP(A201,[1]AVL!$A:$F,6,FALSE)</f>
        <v>CONN,USB,MINI-B TYPE SKT,5POS,SMT,30VAC,</v>
      </c>
      <c r="E201" t="str">
        <f>VLOOKUP(A201,[1]Pricing!$A:$F,6,FALSE)</f>
        <v>3 Weeks</v>
      </c>
      <c r="F201">
        <v>0</v>
      </c>
      <c r="G201" s="2">
        <f>VLOOKUP(A201,[1]Pricing!$A:$H,8,FALSE)</f>
        <v>1.1482939999999999</v>
      </c>
      <c r="H201" s="2">
        <f>VLOOKUP(A201,[1]Pricing!$A:$J,10,FALSE)</f>
        <v>1.4003585365853659</v>
      </c>
      <c r="I201">
        <f>VLOOKUP(A201,MIN!A:B,2,FALSE)</f>
        <v>15</v>
      </c>
      <c r="J201" t="str">
        <f t="shared" si="7"/>
        <v>REORDER</v>
      </c>
      <c r="K201">
        <f>VLOOKUP(A201,[1]Pricing!$A:$G,7,FALSE)</f>
        <v>60</v>
      </c>
      <c r="M201" t="str">
        <f t="shared" si="8"/>
        <v>39-433734-00</v>
      </c>
    </row>
    <row r="202" spans="1:13" x14ac:dyDescent="0.25">
      <c r="A202" t="s">
        <v>1746</v>
      </c>
      <c r="B202" s="14" t="str">
        <f>VLOOKUP(A202,[1]Pricing!$A:$R,18,FALSE)</f>
        <v>TGHLV1K00JE</v>
      </c>
      <c r="C202" t="s">
        <v>2640</v>
      </c>
      <c r="D202" t="str">
        <f>VLOOKUP(A202,[1]AVL!$A:$F,6,FALSE)</f>
        <v>RES,THK FILM,1K OHM,5%,200W,SOT227</v>
      </c>
      <c r="E202" t="str">
        <f>VLOOKUP(A202,[1]Pricing!$A:$F,6,FALSE)</f>
        <v>20 Weeks</v>
      </c>
      <c r="F202">
        <f>VLOOKUP(B202,[2]Sheet2!$B:$E,4,FALSE)</f>
        <v>60</v>
      </c>
      <c r="G202" s="2">
        <f>VLOOKUP(A202,[1]Pricing!$A:$H,8,FALSE)</f>
        <v>37.2438</v>
      </c>
      <c r="H202" s="2">
        <f>VLOOKUP(A202,[1]Pricing!$A:$J,10,FALSE)</f>
        <v>45.419268292682929</v>
      </c>
      <c r="I202">
        <f>VLOOKUP(A202,MIN!A:B,2,FALSE)</f>
        <v>30</v>
      </c>
      <c r="J202" t="str">
        <f t="shared" si="7"/>
        <v>NO</v>
      </c>
      <c r="K202">
        <f>VLOOKUP(A202,[1]Pricing!$A:$G,7,FALSE)</f>
        <v>60</v>
      </c>
      <c r="L202" t="s">
        <v>1960</v>
      </c>
      <c r="M202" t="str">
        <f t="shared" si="8"/>
        <v>618-B36776-102</v>
      </c>
    </row>
    <row r="203" spans="1:13" x14ac:dyDescent="0.25">
      <c r="A203" t="s">
        <v>315</v>
      </c>
      <c r="B203" s="14" t="str">
        <f>VLOOKUP(A203,[1]Pricing!$A:$R,18,FALSE)</f>
        <v>5-104363-2</v>
      </c>
      <c r="C203" t="s">
        <v>2599</v>
      </c>
      <c r="D203" t="str">
        <f>VLOOKUP(A203,[1]AVL!$A:$F,6,FALSE)</f>
        <v>CONN,HDR 3P VERT MTE,ROHS</v>
      </c>
      <c r="E203" t="str">
        <f>VLOOKUP(A203,[1]Pricing!$A:$F,6,FALSE)</f>
        <v>19 Weeks</v>
      </c>
      <c r="F203">
        <v>0</v>
      </c>
      <c r="G203" s="2">
        <f>VLOOKUP(A203,[1]Pricing!$A:$H,8,FALSE)</f>
        <v>1.2236130000000001</v>
      </c>
      <c r="H203" s="2">
        <f>VLOOKUP(A203,[1]Pricing!$A:$J,10,FALSE)</f>
        <v>1.4922109756097564</v>
      </c>
      <c r="I203">
        <f>VLOOKUP(A203,MIN!A:B,2,FALSE)</f>
        <v>25</v>
      </c>
      <c r="J203" t="str">
        <f t="shared" si="7"/>
        <v>REORDER</v>
      </c>
      <c r="K203">
        <f>VLOOKUP(A203,[1]Pricing!$A:$G,7,FALSE)</f>
        <v>52</v>
      </c>
      <c r="M203" t="str">
        <f t="shared" si="8"/>
        <v>668-098496-003</v>
      </c>
    </row>
    <row r="204" spans="1:13" x14ac:dyDescent="0.25">
      <c r="A204" t="s">
        <v>1000</v>
      </c>
      <c r="B204" s="14" t="str">
        <f>VLOOKUP(A204,[1]Pricing!$A:$R,18,FALSE)</f>
        <v>K66X-B44S-N</v>
      </c>
      <c r="C204" t="s">
        <v>2612</v>
      </c>
      <c r="D204" t="str">
        <f>VLOOKUP(A204,[1]AVL!$A:$F,6,FALSE)</f>
        <v>CONN,RCPT,HD D-SUB, RA, FEMALE,ROHS,44P</v>
      </c>
      <c r="E204" t="str">
        <f>VLOOKUP(A204,[1]Pricing!$A:$F,6,FALSE)</f>
        <v>27 Weeks</v>
      </c>
      <c r="F204">
        <f>VLOOKUP(B204,[2]Sheet2!$B:$E,4,FALSE)</f>
        <v>36</v>
      </c>
      <c r="G204" s="2">
        <f>VLOOKUP(A204,[1]Pricing!$A:$H,8,FALSE)</f>
        <v>8.9554639999999992</v>
      </c>
      <c r="H204" s="2">
        <f>VLOOKUP(A204,[1]Pricing!$A:$J,10,FALSE)</f>
        <v>10.92129756097561</v>
      </c>
      <c r="I204">
        <f>VLOOKUP(A204,MIN!A:B,2,FALSE)</f>
        <v>15</v>
      </c>
      <c r="J204" t="str">
        <f t="shared" si="7"/>
        <v>NO</v>
      </c>
      <c r="K204">
        <f>VLOOKUP(A204,[1]Pricing!$A:$G,7,FALSE)</f>
        <v>50</v>
      </c>
      <c r="L204" t="s">
        <v>2689</v>
      </c>
      <c r="M204" t="str">
        <f t="shared" si="8"/>
        <v>668-064219-044</v>
      </c>
    </row>
    <row r="205" spans="1:13" x14ac:dyDescent="0.25">
      <c r="A205" t="s">
        <v>1719</v>
      </c>
      <c r="B205" s="14" t="str">
        <f>VLOOKUP(A205,[1]Pricing!$A:$R,18,FALSE)</f>
        <v>SSW-117-01-G-D</v>
      </c>
      <c r="C205" t="s">
        <v>2608</v>
      </c>
      <c r="D205" t="str">
        <f>VLOOKUP(A205,[1]AVL!$A:$F,6,FALSE)</f>
        <v>CONN,SKT,STR,.1 X .1, 34 PIN</v>
      </c>
      <c r="E205" t="str">
        <f>VLOOKUP(A205,[1]Pricing!$A:$F,6,FALSE)</f>
        <v>7 Weeks</v>
      </c>
      <c r="F205">
        <f>VLOOKUP(B205,[2]Sheet2!$B:$E,4,FALSE)</f>
        <v>381</v>
      </c>
      <c r="G205" s="2">
        <f>VLOOKUP(A205,[1]Pricing!$A:$H,8,FALSE)</f>
        <v>4.7794499999999998</v>
      </c>
      <c r="H205" s="2">
        <f>VLOOKUP(A205,[1]Pricing!$A:$J,10,FALSE)</f>
        <v>5.8285975609756102</v>
      </c>
      <c r="I205">
        <f>VLOOKUP(A205,MIN!A:B,2,FALSE)</f>
        <v>25</v>
      </c>
      <c r="J205" t="str">
        <f t="shared" si="7"/>
        <v>NO</v>
      </c>
      <c r="K205">
        <f>VLOOKUP(A205,[1]Pricing!$A:$G,7,FALSE)</f>
        <v>400</v>
      </c>
      <c r="L205" t="s">
        <v>1960</v>
      </c>
      <c r="M205" t="str">
        <f t="shared" si="8"/>
        <v>668-900922-034</v>
      </c>
    </row>
    <row r="206" spans="1:13" x14ac:dyDescent="0.25">
      <c r="A206" t="s">
        <v>1750</v>
      </c>
      <c r="B206" s="14" t="str">
        <f>VLOOKUP(A206,[1]Pricing!$A:$R,18,FALSE)</f>
        <v>THN10-2423WIR</v>
      </c>
      <c r="C206" t="s">
        <v>2647</v>
      </c>
      <c r="D206" t="str">
        <f>VLOOKUP(A206,[1]AVL!$A:$F,6,FALSE)</f>
        <v>PS,DC-DC,9-36V INPUT,+/-15V,.333A,PCB,TH</v>
      </c>
      <c r="E206" t="str">
        <f>VLOOKUP(A206,[1]Pricing!$A:$F,6,FALSE)</f>
        <v>25 Weeks</v>
      </c>
      <c r="F206">
        <f>VLOOKUP(B206,[2]Sheet2!$B:$E,4,FALSE)</f>
        <v>26</v>
      </c>
      <c r="G206" s="2">
        <f>VLOOKUP(A206,[1]Pricing!$A:$H,8,FALSE)</f>
        <v>38.559600000000003</v>
      </c>
      <c r="H206" s="2">
        <f>VLOOKUP(A206,[1]Pricing!$A:$J,10,FALSE)</f>
        <v>47.023902439024397</v>
      </c>
      <c r="I206">
        <f>VLOOKUP(A206,MIN!A:B,2,FALSE)</f>
        <v>15</v>
      </c>
      <c r="J206" t="str">
        <f t="shared" si="7"/>
        <v>NO</v>
      </c>
      <c r="K206">
        <f>VLOOKUP(A206,[1]Pricing!$A:$G,7,FALSE)</f>
        <v>30</v>
      </c>
      <c r="L206" t="s">
        <v>1960</v>
      </c>
      <c r="M206" t="str">
        <f t="shared" si="8"/>
        <v>660-A86741-008</v>
      </c>
    </row>
    <row r="207" spans="1:13" x14ac:dyDescent="0.25">
      <c r="A207" t="s">
        <v>231</v>
      </c>
      <c r="B207" s="14" t="str">
        <f>VLOOKUP(A207,[1]Pricing!$A:$R,18,FALSE)</f>
        <v>3296W-1-104LF</v>
      </c>
      <c r="C207" t="s">
        <v>2648</v>
      </c>
      <c r="D207" t="str">
        <f>VLOOKUP(A207,[1]AVL!$A:$F,6,FALSE)</f>
        <v>POT TRIM,100K,25T,PCMT,ROHS</v>
      </c>
      <c r="E207" t="str">
        <f>VLOOKUP(A207,[1]Pricing!$A:$F,6,FALSE)</f>
        <v>14 Weeks</v>
      </c>
      <c r="F207">
        <f>VLOOKUP(B207,[2]Sheet2!$B:$E,4,FALSE)</f>
        <v>485</v>
      </c>
      <c r="G207" s="2">
        <f>VLOOKUP(A207,[1]Pricing!$A:$H,8,FALSE)</f>
        <v>1.5395799999999999</v>
      </c>
      <c r="H207" s="2">
        <f>VLOOKUP(A207,[1]Pricing!$A:$J,10,FALSE)</f>
        <v>1.8775365853658537</v>
      </c>
      <c r="I207">
        <f>VLOOKUP(A207,MIN!A:B,2,FALSE)</f>
        <v>25</v>
      </c>
      <c r="J207" t="str">
        <f t="shared" si="7"/>
        <v>NO</v>
      </c>
      <c r="K207">
        <f>VLOOKUP(A207,[1]Pricing!$A:$G,7,FALSE)</f>
        <v>500</v>
      </c>
      <c r="L207" t="s">
        <v>1960</v>
      </c>
      <c r="M207" t="str">
        <f t="shared" si="8"/>
        <v>621-095110-104</v>
      </c>
    </row>
    <row r="208" spans="1:13" x14ac:dyDescent="0.25">
      <c r="A208" t="s">
        <v>235</v>
      </c>
      <c r="B208" s="14" t="str">
        <f>VLOOKUP(A208,[1]Pricing!$A:$R,18,FALSE)</f>
        <v>3296W-1-302LF</v>
      </c>
      <c r="C208" t="s">
        <v>2648</v>
      </c>
      <c r="D208" t="str">
        <f>VLOOKUP(A208,[1]AVL!$A:$F,6,FALSE)</f>
        <v>POT TRIM,3K,25T,PCMT,ROHS</v>
      </c>
      <c r="E208" t="str">
        <f>VLOOKUP(A208,[1]Pricing!$A:$F,6,FALSE)</f>
        <v>10 Weeks</v>
      </c>
      <c r="F208">
        <f>VLOOKUP(B208,[2]Sheet2!$B:$E,4,FALSE)</f>
        <v>500</v>
      </c>
      <c r="G208" s="2">
        <f>VLOOKUP(A208,[1]Pricing!$A:$H,8,FALSE)</f>
        <v>1.13849</v>
      </c>
      <c r="H208" s="2">
        <f>VLOOKUP(A208,[1]Pricing!$A:$J,10,FALSE)</f>
        <v>1.3884024390243903</v>
      </c>
      <c r="I208">
        <f>VLOOKUP(A208,MIN!A:B,2,FALSE)</f>
        <v>15</v>
      </c>
      <c r="J208" t="str">
        <f t="shared" si="7"/>
        <v>NO</v>
      </c>
      <c r="K208">
        <f>VLOOKUP(A208,[1]Pricing!$A:$G,7,FALSE)</f>
        <v>500</v>
      </c>
      <c r="L208" t="s">
        <v>1960</v>
      </c>
      <c r="M208" t="str">
        <f t="shared" si="8"/>
        <v>621-095110-302</v>
      </c>
    </row>
    <row r="209" spans="1:13" x14ac:dyDescent="0.25">
      <c r="A209" t="s">
        <v>448</v>
      </c>
      <c r="B209" s="14" t="str">
        <f>VLOOKUP(A209,[1]Pricing!$A:$R,18,FALSE)</f>
        <v>9290-05-00</v>
      </c>
      <c r="C209" t="s">
        <v>2649</v>
      </c>
      <c r="D209" t="str">
        <f>VLOOKUP(A209,[1]AVL!$A:$F,6,FALSE)</f>
        <v>RLY,SMD,REED,SPST-NO,5VDC COIL V,GULLWG</v>
      </c>
      <c r="E209" t="str">
        <f>VLOOKUP(A209,[1]Pricing!$A:$F,6,FALSE)</f>
        <v>72 Weeks</v>
      </c>
      <c r="F209">
        <f>VLOOKUP(B209,[2]Sheet2!$B:$E,4,FALSE)</f>
        <v>109</v>
      </c>
      <c r="G209" s="2">
        <f>VLOOKUP(A209,[1]Pricing!$A:$H,8,FALSE)</f>
        <v>7.2717489999999998</v>
      </c>
      <c r="H209" s="2">
        <f>VLOOKUP(A209,[1]Pricing!$A:$J,10,FALSE)</f>
        <v>8.8679865853658537</v>
      </c>
      <c r="I209">
        <f>VLOOKUP(A209,MIN!A:B,2,FALSE)</f>
        <v>50</v>
      </c>
      <c r="J209" t="str">
        <f t="shared" si="7"/>
        <v>NO</v>
      </c>
      <c r="K209">
        <f>VLOOKUP(A209,[1]Pricing!$A:$G,7,FALSE)</f>
        <v>100</v>
      </c>
      <c r="L209" t="s">
        <v>1960</v>
      </c>
      <c r="M209" t="str">
        <f t="shared" si="8"/>
        <v>632-B14832-001</v>
      </c>
    </row>
    <row r="210" spans="1:13" x14ac:dyDescent="0.25">
      <c r="A210" t="s">
        <v>855</v>
      </c>
      <c r="B210" s="14" t="str">
        <f>VLOOKUP(A210,[1]Pricing!$A:$R,18,FALSE)</f>
        <v>ERJ-2RKF5491X</v>
      </c>
      <c r="C210" t="s">
        <v>2618</v>
      </c>
      <c r="D210" t="str">
        <f>VLOOKUP(A210,[1]AVL!$A:$F,6,FALSE)</f>
        <v>RES,SMD,5.49K,1/10W,1%,0402</v>
      </c>
      <c r="E210" t="str">
        <f>VLOOKUP(A210,[1]Pricing!$A:$F,6,FALSE)</f>
        <v>23 Weeks</v>
      </c>
      <c r="F210">
        <f>VLOOKUP(B210,[2]Sheet2!$B:$E,4,FALSE)</f>
        <v>9999</v>
      </c>
      <c r="G210" s="2">
        <f>VLOOKUP(A210,[1]Pricing!$A:$H,8,FALSE)</f>
        <v>6.0000000000000001E-3</v>
      </c>
      <c r="H210" s="2">
        <f>VLOOKUP(A210,[1]Pricing!$A:$J,10,FALSE)</f>
        <v>7.3170731707317077E-3</v>
      </c>
      <c r="I210">
        <f>VLOOKUP(A210,MIN!A:B,2,FALSE)</f>
        <v>15</v>
      </c>
      <c r="J210" t="str">
        <f t="shared" si="7"/>
        <v>NO</v>
      </c>
      <c r="K210">
        <f>VLOOKUP(A210,[1]Pricing!$A:$G,7,FALSE)</f>
        <v>10000</v>
      </c>
      <c r="L210" t="s">
        <v>1960</v>
      </c>
      <c r="M210" t="str">
        <f t="shared" si="8"/>
        <v>615-121726-207</v>
      </c>
    </row>
    <row r="211" spans="1:13" x14ac:dyDescent="0.25">
      <c r="A211" t="s">
        <v>62</v>
      </c>
      <c r="B211" s="14" t="str">
        <f>VLOOKUP(A211,[1]Pricing!$A:$R,18,FALSE)</f>
        <v>1410-G110-L2F1-S01-6.3A</v>
      </c>
      <c r="C211" t="s">
        <v>2611</v>
      </c>
      <c r="D211" t="str">
        <f>VLOOKUP(A211,[1]AVL!$A:$F,6,FALSE)</f>
        <v>CB,PC MT,6.3A</v>
      </c>
      <c r="E211" t="str">
        <f>VLOOKUP(A211,[1]Pricing!$A:$F,6,FALSE)</f>
        <v>12 Weeks</v>
      </c>
      <c r="F211">
        <f>VLOOKUP(B211,[2]Sheet2!$B:$E,4,FALSE)</f>
        <v>50</v>
      </c>
      <c r="G211" s="2">
        <f>VLOOKUP(A211,[1]Pricing!$A:$H,8,FALSE)</f>
        <v>10.453514999999999</v>
      </c>
      <c r="H211" s="2">
        <f>VLOOKUP(A211,[1]Pricing!$A:$J,10,FALSE)</f>
        <v>12.748189024390244</v>
      </c>
      <c r="I211">
        <f>VLOOKUP(A211,MIN!A:B,2,FALSE)</f>
        <v>25</v>
      </c>
      <c r="J211" t="str">
        <f t="shared" si="7"/>
        <v>NO</v>
      </c>
      <c r="K211">
        <f>VLOOKUP(A211,[1]Pricing!$A:$G,7,FALSE)</f>
        <v>50</v>
      </c>
      <c r="L211" t="s">
        <v>1960</v>
      </c>
      <c r="M211" t="str">
        <f t="shared" si="8"/>
        <v>34-295469-00</v>
      </c>
    </row>
    <row r="212" spans="1:13" x14ac:dyDescent="0.25">
      <c r="A212" t="s">
        <v>1824</v>
      </c>
      <c r="B212" s="14" t="str">
        <f>VLOOKUP(A212,[1]Pricing!$A:$R,18,FALSE)</f>
        <v>TSW-113-07-G-D</v>
      </c>
      <c r="C212" t="s">
        <v>2608</v>
      </c>
      <c r="D212" t="str">
        <f>VLOOKUP(A212,[1]AVL!$A:$F,6,FALSE)</f>
        <v>CONN,HDR,26PIN,2ROW,2.54MM PITCH,AU PLD</v>
      </c>
      <c r="E212" t="str">
        <f>VLOOKUP(A212,[1]Pricing!$A:$F,6,FALSE)</f>
        <v>9 Weeks</v>
      </c>
      <c r="F212">
        <f>VLOOKUP(B212,[2]Sheet2!$B:$E,4,FALSE)</f>
        <v>200</v>
      </c>
      <c r="G212" s="2">
        <f>VLOOKUP(A212,[1]Pricing!$A:$H,8,FALSE)</f>
        <v>2.5122749999999998</v>
      </c>
      <c r="H212" s="2">
        <f>VLOOKUP(A212,[1]Pricing!$A:$J,10,FALSE)</f>
        <v>3.0637499999999998</v>
      </c>
      <c r="I212">
        <f>VLOOKUP(A212,MIN!A:B,2,FALSE)</f>
        <v>25</v>
      </c>
      <c r="J212" t="str">
        <f t="shared" si="7"/>
        <v>NO</v>
      </c>
      <c r="K212">
        <f>VLOOKUP(A212,[1]Pricing!$A:$G,7,FALSE)</f>
        <v>200</v>
      </c>
      <c r="L212" t="s">
        <v>1960</v>
      </c>
      <c r="M212" t="str">
        <f t="shared" si="8"/>
        <v>668-A49130-026</v>
      </c>
    </row>
    <row r="213" spans="1:13" x14ac:dyDescent="0.25">
      <c r="A213" t="s">
        <v>758</v>
      </c>
      <c r="B213" s="14" t="str">
        <f>VLOOKUP(A213,[1]Pricing!$A:$R,18,FALSE)</f>
        <v>ECS-120-20-30B-TR</v>
      </c>
      <c r="C213" t="s">
        <v>2650</v>
      </c>
      <c r="D213" t="str">
        <f>VLOOKUP(A213,[1]AVL!$A:$F,6,FALSE)</f>
        <v>OSC,SMD,XTAL,12MHZ,20PF</v>
      </c>
      <c r="E213" t="str">
        <f>VLOOKUP(A213,[1]Pricing!$A:$F,6,FALSE)</f>
        <v>15 Weeks</v>
      </c>
      <c r="F213">
        <f>VLOOKUP(B213,[2]Sheet2!$B:$E,4,FALSE)</f>
        <v>978</v>
      </c>
      <c r="G213" s="2">
        <f>VLOOKUP(A213,[1]Pricing!$A:$H,8,FALSE)</f>
        <v>0.40038299999999999</v>
      </c>
      <c r="H213" s="2">
        <f>VLOOKUP(A213,[1]Pricing!$A:$J,10,FALSE)</f>
        <v>0.48827195121951222</v>
      </c>
      <c r="I213">
        <f>VLOOKUP(A213,MIN!A:B,2,FALSE)</f>
        <v>15</v>
      </c>
      <c r="J213" t="str">
        <f t="shared" si="7"/>
        <v>NO</v>
      </c>
      <c r="K213">
        <f>VLOOKUP(A213,[1]Pricing!$A:$G,7,FALSE)</f>
        <v>1000</v>
      </c>
      <c r="L213" t="s">
        <v>1960</v>
      </c>
      <c r="M213" t="str">
        <f t="shared" si="8"/>
        <v>635-121981-001</v>
      </c>
    </row>
    <row r="214" spans="1:13" x14ac:dyDescent="0.25">
      <c r="A214" t="s">
        <v>839</v>
      </c>
      <c r="B214" s="14" t="str">
        <f>VLOOKUP(A214,[1]Pricing!$A:$R,18,FALSE)</f>
        <v>ERJ-1GNF4990C</v>
      </c>
      <c r="C214" t="s">
        <v>2618</v>
      </c>
      <c r="D214" t="str">
        <f>VLOOKUP(A214,[1]AVL!$A:$F,6,FALSE)</f>
        <v>RES,SMD,499,1%,1/20W,0201</v>
      </c>
      <c r="E214" t="str">
        <f>VLOOKUP(A214,[1]Pricing!$A:$F,6,FALSE)</f>
        <v>21 Weeks</v>
      </c>
      <c r="F214">
        <f>VLOOKUP(B214,[2]Sheet2!$B:$E,4,FALSE)</f>
        <v>14372</v>
      </c>
      <c r="G214" s="2">
        <f>VLOOKUP(A214,[1]Pricing!$A:$H,8,FALSE)</f>
        <v>4.9020000000000001E-3</v>
      </c>
      <c r="H214" s="2">
        <f>VLOOKUP(A214,[1]Pricing!$A:$J,10,FALSE)</f>
        <v>5.9780487804878052E-3</v>
      </c>
      <c r="I214">
        <f>VLOOKUP(A214,MIN!A:B,2,FALSE)</f>
        <v>25</v>
      </c>
      <c r="J214" t="str">
        <f t="shared" si="7"/>
        <v>NO</v>
      </c>
      <c r="K214">
        <f>VLOOKUP(A214,[1]Pricing!$A:$G,7,FALSE)</f>
        <v>15000</v>
      </c>
      <c r="L214" t="s">
        <v>1960</v>
      </c>
      <c r="M214" t="str">
        <f t="shared" si="8"/>
        <v>615-312994-195</v>
      </c>
    </row>
    <row r="215" spans="1:13" x14ac:dyDescent="0.25">
      <c r="A215" t="s">
        <v>145</v>
      </c>
      <c r="B215" s="14" t="str">
        <f>VLOOKUP(A215,[1]Pricing!$A:$R,18,FALSE)</f>
        <v>1N914ATR</v>
      </c>
      <c r="C215" t="s">
        <v>2623</v>
      </c>
      <c r="D215" t="str">
        <f>VLOOKUP(A215,[1]AVL!$A:$F,6,FALSE)</f>
        <v>DIO,SIG,GEN PURP, 100V, DO-35</v>
      </c>
      <c r="E215" t="str">
        <f>VLOOKUP(A215,[1]Pricing!$A:$F,6,FALSE)</f>
        <v>3 Weeks</v>
      </c>
      <c r="F215">
        <f>VLOOKUP(B215,[2]Sheet2!$B:$E,4,FALSE)</f>
        <v>9778</v>
      </c>
      <c r="G215" s="2">
        <f>VLOOKUP(A215,[1]Pricing!$A:$H,8,FALSE)</f>
        <v>3.3089E-2</v>
      </c>
      <c r="H215" s="2">
        <f>VLOOKUP(A215,[1]Pricing!$A:$J,10,FALSE)</f>
        <v>4.0352439024390244E-2</v>
      </c>
      <c r="I215">
        <f>VLOOKUP(A215,MIN!A:B,2,FALSE)</f>
        <v>25</v>
      </c>
      <c r="J215" t="str">
        <f t="shared" si="7"/>
        <v>NO</v>
      </c>
      <c r="K215">
        <f>VLOOKUP(A215,[1]Pricing!$A:$G,7,FALSE)</f>
        <v>10000</v>
      </c>
      <c r="L215" t="s">
        <v>1960</v>
      </c>
      <c r="M215" t="str">
        <f t="shared" si="8"/>
        <v>610-208000-001</v>
      </c>
    </row>
    <row r="216" spans="1:13" x14ac:dyDescent="0.25">
      <c r="A216" t="s">
        <v>1662</v>
      </c>
      <c r="B216" s="14" t="str">
        <f>VLOOKUP(A216,[1]Pricing!$A:$R,18,FALSE)</f>
        <v>SMTSO-M2-3ET</v>
      </c>
      <c r="C216" t="s">
        <v>2651</v>
      </c>
      <c r="D216" t="str">
        <f>VLOOKUP(A216,[1]AVL!$A:$F,6,FALSE)</f>
        <v>STDF,SURF MTG,M2X0.4 THD,3MM LG,CS</v>
      </c>
      <c r="E216" t="str">
        <f>VLOOKUP(A216,[1]Pricing!$A:$F,6,FALSE)</f>
        <v>12 Weeks</v>
      </c>
      <c r="F216">
        <f>VLOOKUP(B216,[2]Sheet2!$B:$E,4,FALSE)</f>
        <v>1935</v>
      </c>
      <c r="G216" s="2">
        <f>VLOOKUP(A216,[1]Pricing!$A:$H,8,FALSE)</f>
        <v>0.46568999999999999</v>
      </c>
      <c r="H216" s="2">
        <f>VLOOKUP(A216,[1]Pricing!$A:$J,10,FALSE)</f>
        <v>0.56791463414634147</v>
      </c>
      <c r="I216">
        <f>VLOOKUP(A216,MIN!A:B,2,FALSE)</f>
        <v>25</v>
      </c>
      <c r="J216" t="str">
        <f t="shared" si="7"/>
        <v>NO</v>
      </c>
      <c r="K216">
        <f>VLOOKUP(A216,[1]Pricing!$A:$G,7,FALSE)</f>
        <v>1000</v>
      </c>
      <c r="L216" t="s">
        <v>1960</v>
      </c>
      <c r="M216" t="str">
        <f t="shared" si="8"/>
        <v>723-B29816-003</v>
      </c>
    </row>
    <row r="217" spans="1:13" x14ac:dyDescent="0.25">
      <c r="A217" t="s">
        <v>1277</v>
      </c>
      <c r="B217" s="14" t="str">
        <f>VLOOKUP(A217,[1]Pricing!$A:$R,18,FALSE)</f>
        <v>R05C05TE05SR</v>
      </c>
      <c r="C217" t="s">
        <v>2641</v>
      </c>
      <c r="D217" t="str">
        <f>VLOOKUP(A217,[1]AVL!$A:$F,6,FALSE)</f>
        <v>PS,DC-DC,4.5-5.5VINPUT,5VOUT,0.5W,SOIC16</v>
      </c>
      <c r="E217" t="str">
        <f>VLOOKUP(A217,[1]Pricing!$A:$F,6,FALSE)</f>
        <v>9 Weeks</v>
      </c>
      <c r="F217">
        <f>VLOOKUP(B217,[2]Sheet2!$B:$E,4,FALSE)</f>
        <v>500</v>
      </c>
      <c r="G217" s="2">
        <f>VLOOKUP(A217,[1]Pricing!$A:$H,8,FALSE)</f>
        <v>3.5243910000000001</v>
      </c>
      <c r="H217" s="2">
        <f>VLOOKUP(A217,[1]Pricing!$A:$J,10,FALSE)</f>
        <v>4.2980378048780494</v>
      </c>
      <c r="I217">
        <f>VLOOKUP(A217,MIN!A:B,2,FALSE)</f>
        <v>15</v>
      </c>
      <c r="J217" t="str">
        <f t="shared" si="7"/>
        <v>NO</v>
      </c>
      <c r="K217">
        <f>VLOOKUP(A217,[1]Pricing!$A:$G,7,FALSE)</f>
        <v>500</v>
      </c>
      <c r="L217" t="s">
        <v>1960</v>
      </c>
      <c r="M217" t="str">
        <f t="shared" si="8"/>
        <v>660-B05108-001</v>
      </c>
    </row>
    <row r="218" spans="1:13" x14ac:dyDescent="0.25">
      <c r="A218" t="s">
        <v>1869</v>
      </c>
      <c r="B218" s="14" t="str">
        <f>VLOOKUP(A218,[1]Pricing!$A:$R,18,FALSE)</f>
        <v>Z-14E</v>
      </c>
      <c r="C218" t="s">
        <v>2640</v>
      </c>
      <c r="D218" t="str">
        <f>VLOOKUP(A218,[1]AVL!$A:$F,6,FALSE)</f>
        <v>INDUCTOR 44uH,ROHS</v>
      </c>
      <c r="E218" t="str">
        <f>VLOOKUP(A218,[1]Pricing!$A:$F,6,FALSE)</f>
        <v>24 Weeks</v>
      </c>
      <c r="F218">
        <f>VLOOKUP(B218,[2]Sheet2!$B:$E,4,FALSE)</f>
        <v>82</v>
      </c>
      <c r="G218" s="2">
        <f>VLOOKUP(A218,[1]Pricing!$A:$H,8,FALSE)</f>
        <v>11.69</v>
      </c>
      <c r="H218" s="2">
        <f>VLOOKUP(A218,[1]Pricing!$A:$J,10,FALSE)</f>
        <v>14.25609756097561</v>
      </c>
      <c r="I218">
        <f>VLOOKUP(A218,MIN!A:B,2,FALSE)</f>
        <v>25</v>
      </c>
      <c r="J218" t="str">
        <f t="shared" si="7"/>
        <v>NO</v>
      </c>
      <c r="K218">
        <f>VLOOKUP(A218,[1]Pricing!$A:$G,7,FALSE)</f>
        <v>100</v>
      </c>
      <c r="L218" t="s">
        <v>2689</v>
      </c>
      <c r="M218" t="str">
        <f t="shared" si="8"/>
        <v>641-006530-001</v>
      </c>
    </row>
    <row r="219" spans="1:13" x14ac:dyDescent="0.25">
      <c r="A219" t="s">
        <v>694</v>
      </c>
      <c r="B219" s="14" t="str">
        <f>VLOOKUP(A219,[1]Pricing!$A:$R,18,FALSE)</f>
        <v>CRCW12067K15FKEA</v>
      </c>
      <c r="C219" t="s">
        <v>2580</v>
      </c>
      <c r="D219" t="str">
        <f>VLOOKUP(A219,[1]AVL!$A:$F,6,FALSE)</f>
        <v>RES,1206,1% 1/4W,7.15K ROHS</v>
      </c>
      <c r="E219" t="str">
        <f>VLOOKUP(A219,[1]Pricing!$A:$F,6,FALSE)</f>
        <v>31 Weeks</v>
      </c>
      <c r="F219">
        <f>VLOOKUP(B219,[2]Sheet2!$B:$E,4,FALSE)</f>
        <v>5999</v>
      </c>
      <c r="G219" s="2">
        <f>VLOOKUP(A219,[1]Pricing!$A:$H,8,FALSE)</f>
        <v>9.1540000000000007E-3</v>
      </c>
      <c r="H219" s="2">
        <f>VLOOKUP(A219,[1]Pricing!$A:$J,10,FALSE)</f>
        <v>1.1163414634146343E-2</v>
      </c>
      <c r="I219">
        <f>VLOOKUP(A219,MIN!A:B,2,FALSE)</f>
        <v>15</v>
      </c>
      <c r="J219" t="str">
        <f t="shared" si="7"/>
        <v>NO</v>
      </c>
      <c r="K219">
        <f>VLOOKUP(A219,[1]Pricing!$A:$G,7,FALSE)</f>
        <v>5000</v>
      </c>
      <c r="L219" t="s">
        <v>1960</v>
      </c>
      <c r="M219" t="str">
        <f t="shared" si="8"/>
        <v>615-116028-715</v>
      </c>
    </row>
    <row r="220" spans="1:13" x14ac:dyDescent="0.25">
      <c r="A220" t="s">
        <v>1456</v>
      </c>
      <c r="B220" s="14" t="str">
        <f>VLOOKUP(A220,[1]Pricing!$A:$R,18,FALSE)</f>
        <v>RG2012P-7152-B-T5</v>
      </c>
      <c r="C220" t="s">
        <v>2617</v>
      </c>
      <c r="D220" t="str">
        <f>VLOOKUP(A220,[1]AVL!$A:$F,6,FALSE)</f>
        <v>RES.SMD,0805,71.5K OHMS,0.1%,ROHS</v>
      </c>
      <c r="E220" t="str">
        <f>VLOOKUP(A220,[1]Pricing!$A:$F,6,FALSE)</f>
        <v>25 Weeks</v>
      </c>
      <c r="F220">
        <f>VLOOKUP(B220,[2]Sheet2!$B:$E,4,FALSE)</f>
        <v>5000</v>
      </c>
      <c r="G220" s="2">
        <f>VLOOKUP(A220,[1]Pricing!$A:$H,8,FALSE)</f>
        <v>0.164217</v>
      </c>
      <c r="H220" s="2">
        <f>VLOOKUP(A220,[1]Pricing!$A:$J,10,FALSE)</f>
        <v>0.20026463414634149</v>
      </c>
      <c r="I220">
        <f>VLOOKUP(A220,MIN!A:B,2,FALSE)</f>
        <v>25</v>
      </c>
      <c r="J220" t="str">
        <f t="shared" si="7"/>
        <v>NO</v>
      </c>
      <c r="K220">
        <f>VLOOKUP(A220,[1]Pricing!$A:$G,7,FALSE)</f>
        <v>5000</v>
      </c>
      <c r="L220" t="s">
        <v>1960</v>
      </c>
      <c r="M220" t="str">
        <f t="shared" si="8"/>
        <v>615-049171-715</v>
      </c>
    </row>
    <row r="221" spans="1:13" x14ac:dyDescent="0.25">
      <c r="A221" t="s">
        <v>1508</v>
      </c>
      <c r="B221" s="14" t="str">
        <f>VLOOKUP(A221,[1]Pricing!$A:$R,18,FALSE)</f>
        <v>RQ73C2B267RBTD</v>
      </c>
      <c r="C221" t="s">
        <v>2599</v>
      </c>
      <c r="D221" t="str">
        <f>VLOOKUP(A221,[1]AVL!$A:$F,6,FALSE)</f>
        <v>RES,SMD,267OHM,0.4W,200V,0.1%,1206,ROHS</v>
      </c>
      <c r="E221" t="str">
        <f>VLOOKUP(A221,[1]Pricing!$A:$F,6,FALSE)</f>
        <v>53 Weeks</v>
      </c>
      <c r="F221">
        <f>VLOOKUP(B221,[2]Sheet2!$B:$E,4,FALSE)</f>
        <v>5000</v>
      </c>
      <c r="G221" s="2">
        <f>VLOOKUP(A221,[1]Pricing!$A:$H,8,FALSE)</f>
        <v>0.29044399999999998</v>
      </c>
      <c r="H221" s="2">
        <f>VLOOKUP(A221,[1]Pricing!$A:$J,10,FALSE)</f>
        <v>0.35420000000000001</v>
      </c>
      <c r="I221">
        <f>VLOOKUP(A221,MIN!A:B,2,FALSE)</f>
        <v>25</v>
      </c>
      <c r="J221" t="str">
        <f t="shared" si="7"/>
        <v>NO</v>
      </c>
      <c r="K221">
        <f>VLOOKUP(A221,[1]Pricing!$A:$G,7,FALSE)</f>
        <v>5000</v>
      </c>
      <c r="L221" t="s">
        <v>1960</v>
      </c>
      <c r="M221" t="str">
        <f t="shared" si="8"/>
        <v>615-A61037-267</v>
      </c>
    </row>
    <row r="222" spans="1:13" x14ac:dyDescent="0.25">
      <c r="A222" t="s">
        <v>1458</v>
      </c>
      <c r="B222" s="14" t="str">
        <f>VLOOKUP(A222,[1]Pricing!$A:$R,18,FALSE)</f>
        <v>RG2012P-82R5-B-T5</v>
      </c>
      <c r="C222" t="s">
        <v>2652</v>
      </c>
      <c r="D222" t="str">
        <f>VLOOKUP(A222,[1]AVL!$A:$F,6,FALSE)</f>
        <v>RES,0805,TF,1/8W,0.1%,25PPM,82.5 ROHS</v>
      </c>
      <c r="E222" t="str">
        <f>VLOOKUP(A222,[1]Pricing!$A:$F,6,FALSE)</f>
        <v>25 Weeks</v>
      </c>
      <c r="F222">
        <f>VLOOKUP(B222,[2]Sheet2!$B:$E,4,FALSE)</f>
        <v>5000</v>
      </c>
      <c r="G222" s="2">
        <f>VLOOKUP(A222,[1]Pricing!$A:$H,8,FALSE)</f>
        <v>5.1263000000000003E-2</v>
      </c>
      <c r="H222" s="2">
        <f>VLOOKUP(A222,[1]Pricing!$A:$J,10,FALSE)</f>
        <v>6.2515853658536596E-2</v>
      </c>
      <c r="I222">
        <f>VLOOKUP(A222,MIN!A:B,2,FALSE)</f>
        <v>15</v>
      </c>
      <c r="J222" t="str">
        <f t="shared" si="7"/>
        <v>NO</v>
      </c>
      <c r="K222">
        <f>VLOOKUP(A222,[1]Pricing!$A:$G,7,FALSE)</f>
        <v>5000</v>
      </c>
      <c r="L222" t="s">
        <v>1960</v>
      </c>
      <c r="M222" t="str">
        <f t="shared" si="8"/>
        <v>615-162861-030</v>
      </c>
    </row>
    <row r="223" spans="1:13" x14ac:dyDescent="0.25">
      <c r="A223" t="s">
        <v>700</v>
      </c>
      <c r="B223" s="14" t="str">
        <f>VLOOKUP(A223,[1]Pricing!$A:$R,18,FALSE)</f>
        <v>CRCW20102K70JNEF</v>
      </c>
      <c r="C223" t="s">
        <v>2617</v>
      </c>
      <c r="D223" t="str">
        <f>VLOOKUP(A223,[1]AVL!$A:$F,6,FALSE)</f>
        <v>RES,SMD,THKF,2.7K,2010 5% 1/2W</v>
      </c>
      <c r="E223" t="str">
        <f>VLOOKUP(A223,[1]Pricing!$A:$F,6,FALSE)</f>
        <v>9 Weeks</v>
      </c>
      <c r="F223">
        <f>VLOOKUP(B223,[2]Sheet2!$B:$E,4,FALSE)</f>
        <v>4000</v>
      </c>
      <c r="G223" s="2">
        <f>VLOOKUP(A223,[1]Pricing!$A:$H,8,FALSE)</f>
        <v>3.7990999999999997E-2</v>
      </c>
      <c r="H223" s="2">
        <f>VLOOKUP(A223,[1]Pricing!$A:$J,10,FALSE)</f>
        <v>4.633048780487805E-2</v>
      </c>
      <c r="I223">
        <f>VLOOKUP(A223,MIN!A:B,2,FALSE)</f>
        <v>25</v>
      </c>
      <c r="J223" t="str">
        <f t="shared" si="7"/>
        <v>NO</v>
      </c>
      <c r="K223">
        <f>VLOOKUP(A223,[1]Pricing!$A:$G,7,FALSE)</f>
        <v>4000</v>
      </c>
      <c r="L223" t="s">
        <v>1960</v>
      </c>
      <c r="M223" t="str">
        <f t="shared" si="8"/>
        <v>615-098743-272</v>
      </c>
    </row>
    <row r="224" spans="1:13" x14ac:dyDescent="0.25">
      <c r="A224" t="s">
        <v>1626</v>
      </c>
      <c r="B224" s="14" t="str">
        <f>VLOOKUP(A224,[1]Pricing!$A:$R,18,FALSE)</f>
        <v>SF-1206HH20M-2</v>
      </c>
      <c r="C224" t="s">
        <v>2620</v>
      </c>
      <c r="D224" t="str">
        <f>VLOOKUP(A224,[1]AVL!$A:$F,6,FALSE)</f>
        <v>FUSE,SMD,20A,1206,ROHS</v>
      </c>
      <c r="E224" t="str">
        <f>VLOOKUP(A224,[1]Pricing!$A:$F,6,FALSE)</f>
        <v>21 Weeks</v>
      </c>
      <c r="F224">
        <f>VLOOKUP(B224,[2]Sheet2!$B:$E,4,FALSE)</f>
        <v>3000</v>
      </c>
      <c r="G224" s="2">
        <f>VLOOKUP(A224,[1]Pricing!$A:$H,8,FALSE)</f>
        <v>0.45336100000000001</v>
      </c>
      <c r="H224" s="2">
        <f>VLOOKUP(A224,[1]Pricing!$A:$J,10,FALSE)</f>
        <v>0.55287926829268297</v>
      </c>
      <c r="I224">
        <f>VLOOKUP(A224,MIN!A:B,2,FALSE)</f>
        <v>25</v>
      </c>
      <c r="J224" t="str">
        <f t="shared" si="7"/>
        <v>NO</v>
      </c>
      <c r="K224">
        <f>VLOOKUP(A224,[1]Pricing!$A:$G,7,FALSE)</f>
        <v>3000</v>
      </c>
      <c r="L224" t="s">
        <v>1960</v>
      </c>
      <c r="M224" t="str">
        <f t="shared" si="8"/>
        <v>682-336597-020</v>
      </c>
    </row>
    <row r="225" spans="1:13" x14ac:dyDescent="0.25">
      <c r="A225" t="s">
        <v>1628</v>
      </c>
      <c r="B225" s="14" t="str">
        <f>VLOOKUP(A225,[1]Pricing!$A:$R,18,FALSE)</f>
        <v>SF-1206HH30M-2</v>
      </c>
      <c r="C225" t="s">
        <v>2648</v>
      </c>
      <c r="D225" t="str">
        <f>VLOOKUP(A225,[1]AVL!$A:$F,6,FALSE)</f>
        <v>FUSE,SMD,30A,24VDC,SGL BLOW,1206</v>
      </c>
      <c r="E225" t="str">
        <f>VLOOKUP(A225,[1]Pricing!$A:$F,6,FALSE)</f>
        <v>24 Weeks</v>
      </c>
      <c r="F225">
        <f>VLOOKUP(B225,[2]Sheet2!$B:$E,4,FALSE)</f>
        <v>3000</v>
      </c>
      <c r="G225" s="2">
        <f>VLOOKUP(A225,[1]Pricing!$A:$H,8,FALSE)</f>
        <v>0.39951300000000001</v>
      </c>
      <c r="H225" s="2">
        <f>VLOOKUP(A225,[1]Pricing!$A:$J,10,FALSE)</f>
        <v>0.48721097560975613</v>
      </c>
      <c r="I225">
        <f>VLOOKUP(A225,MIN!A:B,2,FALSE)</f>
        <v>25</v>
      </c>
      <c r="J225" t="str">
        <f t="shared" ref="J225:J256" si="9">IF(F225&lt;=I225,"REORDER","NO")</f>
        <v>NO</v>
      </c>
      <c r="K225">
        <f>VLOOKUP(A225,[1]Pricing!$A:$G,7,FALSE)</f>
        <v>3000</v>
      </c>
      <c r="L225" t="s">
        <v>1960</v>
      </c>
      <c r="M225" t="str">
        <f t="shared" si="8"/>
        <v>682-A56420-030</v>
      </c>
    </row>
    <row r="226" spans="1:13" x14ac:dyDescent="0.25">
      <c r="A226" t="s">
        <v>1016</v>
      </c>
      <c r="B226" s="14" t="str">
        <f>VLOOKUP(A226,[1]Pricing!$A:$R,18,FALSE)</f>
        <v>KFS2-440</v>
      </c>
      <c r="C226" t="s">
        <v>2651</v>
      </c>
      <c r="D226" t="str">
        <f>VLOOKUP(A226,[1]AVL!$A:$F,6,FALSE)</f>
        <v>STDF,SST,PEMNUT,PC BOARD,4-40,KFS2</v>
      </c>
      <c r="E226" t="str">
        <f>VLOOKUP(A226,[1]Pricing!$A:$F,6,FALSE)</f>
        <v>12 Weeks</v>
      </c>
      <c r="F226">
        <f>VLOOKUP(B226,[2]Sheet2!$B:$E,4,FALSE)</f>
        <v>1000</v>
      </c>
      <c r="G226" s="2">
        <f>VLOOKUP(A226,[1]Pricing!$A:$H,8,FALSE)</f>
        <v>0.24632599999999999</v>
      </c>
      <c r="H226" s="2">
        <f>VLOOKUP(A226,[1]Pricing!$A:$J,10,FALSE)</f>
        <v>0.30039756097560977</v>
      </c>
      <c r="I226">
        <f>VLOOKUP(A226,MIN!A:B,2,FALSE)</f>
        <v>15</v>
      </c>
      <c r="J226" t="str">
        <f t="shared" si="9"/>
        <v>NO</v>
      </c>
      <c r="K226">
        <f>VLOOKUP(A226,[1]Pricing!$A:$G,7,FALSE)</f>
        <v>1000</v>
      </c>
      <c r="L226" t="s">
        <v>1960</v>
      </c>
      <c r="M226" t="str">
        <f t="shared" si="8"/>
        <v>723-036612-004</v>
      </c>
    </row>
    <row r="227" spans="1:13" x14ac:dyDescent="0.25">
      <c r="A227" t="s">
        <v>1004</v>
      </c>
      <c r="B227" s="14" t="str">
        <f>VLOOKUP(A227,[1]Pricing!$A:$R,18,FALSE)</f>
        <v>K86X-BD-44S-BR</v>
      </c>
      <c r="C227" t="s">
        <v>2612</v>
      </c>
      <c r="D227" t="str">
        <f>VLOOKUP(A227,[1]AVL!$A:$F,6,FALSE)</f>
        <v>CONN,RCPT,HIGH DENSITY DSUB,44 ROHS</v>
      </c>
      <c r="E227" t="str">
        <f>VLOOKUP(A227,[1]Pricing!$A:$F,6,FALSE)</f>
        <v>27 Weeks</v>
      </c>
      <c r="F227">
        <f>VLOOKUP(B227,[2]Sheet2!$B:$E,4,FALSE)</f>
        <v>867</v>
      </c>
      <c r="G227" s="2">
        <f>VLOOKUP(A227,[1]Pricing!$A:$H,8,FALSE)</f>
        <v>11.35</v>
      </c>
      <c r="H227" s="2">
        <f>VLOOKUP(A227,[1]Pricing!$A:$J,10,FALSE)</f>
        <v>13.841463414634147</v>
      </c>
      <c r="I227">
        <f>VLOOKUP(A227,MIN!A:B,2,FALSE)</f>
        <v>15</v>
      </c>
      <c r="J227" t="str">
        <f t="shared" si="9"/>
        <v>NO</v>
      </c>
      <c r="K227">
        <f>VLOOKUP(A227,[1]Pricing!$A:$G,7,FALSE)</f>
        <v>1015</v>
      </c>
      <c r="L227" t="s">
        <v>1960</v>
      </c>
      <c r="M227" t="str">
        <f t="shared" si="8"/>
        <v>668-014495-044</v>
      </c>
    </row>
    <row r="228" spans="1:13" x14ac:dyDescent="0.25">
      <c r="A228" t="s">
        <v>129</v>
      </c>
      <c r="B228" s="14" t="str">
        <f>VLOOKUP(A228,[1]Pricing!$A:$R,18,FALSE)</f>
        <v>181-062-113R561</v>
      </c>
      <c r="C228" t="s">
        <v>2585</v>
      </c>
      <c r="D228" t="str">
        <f>VLOOKUP(A228,[1]AVL!$A:$F,6,FALSE)</f>
        <v>CONN,PLUG,D-SUB,HD,62POSN,RTANG,4-40SCR</v>
      </c>
      <c r="E228" t="str">
        <f>VLOOKUP(A228,[1]Pricing!$A:$F,6,FALSE)</f>
        <v>24 Weeks</v>
      </c>
      <c r="F228">
        <f>VLOOKUP(B228,[2]Sheet2!$B:$E,4,FALSE)</f>
        <v>280</v>
      </c>
      <c r="G228" s="2">
        <f>VLOOKUP(A228,[1]Pricing!$A:$H,8,FALSE)</f>
        <v>10.93146</v>
      </c>
      <c r="H228" s="2">
        <f>VLOOKUP(A228,[1]Pricing!$A:$J,10,FALSE)</f>
        <v>13.331048780487805</v>
      </c>
      <c r="I228">
        <f>VLOOKUP(A228,MIN!A:B,2,FALSE)</f>
        <v>25</v>
      </c>
      <c r="J228" t="str">
        <f t="shared" si="9"/>
        <v>NO</v>
      </c>
      <c r="K228">
        <f>VLOOKUP(A228,[1]Pricing!$A:$G,7,FALSE)</f>
        <v>280</v>
      </c>
      <c r="L228" t="s">
        <v>1960</v>
      </c>
      <c r="M228" t="str">
        <f t="shared" si="8"/>
        <v>668-A26902-062</v>
      </c>
    </row>
    <row r="229" spans="1:13" x14ac:dyDescent="0.25">
      <c r="A229" t="s">
        <v>952</v>
      </c>
      <c r="B229" s="14" t="str">
        <f>VLOOKUP(A229,[1]Pricing!$A:$R,18,FALSE)</f>
        <v>HW-03-08-F-D-350-SM</v>
      </c>
      <c r="C229" t="s">
        <v>2608</v>
      </c>
      <c r="D229" t="str">
        <f>VLOOKUP(A229,[1]AVL!$A:$F,6,FALSE)</f>
        <v>CONN,SMD,HDR,3POSN,2 ROW,2.54MM PITCH</v>
      </c>
      <c r="E229" t="str">
        <f>VLOOKUP(A229,[1]Pricing!$A:$F,6,FALSE)</f>
        <v>5 Weeks</v>
      </c>
      <c r="F229">
        <f>VLOOKUP(B229,[2]Sheet2!$B:$E,4,FALSE)</f>
        <v>200</v>
      </c>
      <c r="G229" s="2">
        <f>VLOOKUP(A229,[1]Pricing!$A:$H,8,FALSE)</f>
        <v>0.62745600000000001</v>
      </c>
      <c r="H229" s="2">
        <f>VLOOKUP(A229,[1]Pricing!$A:$J,10,FALSE)</f>
        <v>0.76519024390243906</v>
      </c>
      <c r="I229">
        <f>VLOOKUP(A229,MIN!A:B,2,FALSE)</f>
        <v>25</v>
      </c>
      <c r="J229" t="str">
        <f t="shared" si="9"/>
        <v>NO</v>
      </c>
      <c r="K229">
        <f>VLOOKUP(A229,[1]Pricing!$A:$G,7,FALSE)</f>
        <v>200</v>
      </c>
      <c r="L229" t="s">
        <v>1960</v>
      </c>
      <c r="M229" t="str">
        <f t="shared" si="8"/>
        <v>667-B30855-003</v>
      </c>
    </row>
    <row r="230" spans="1:13" x14ac:dyDescent="0.25">
      <c r="A230" t="s">
        <v>1198</v>
      </c>
      <c r="B230" s="14" t="str">
        <f>VLOOKUP(A230,[1]Pricing!$A:$R,18,FALSE)</f>
        <v>MT112TB-RG-A</v>
      </c>
      <c r="C230" t="s">
        <v>2653</v>
      </c>
      <c r="D230" t="str">
        <f>VLOOKUP(A230,[1]AVL!$A:$F,6,FALSE)</f>
        <v>LED,RED RECTANGULAR,ROHS</v>
      </c>
      <c r="E230" t="str">
        <f>VLOOKUP(A230,[1]Pricing!$A:$F,6,FALSE)</f>
        <v>3 Weeks</v>
      </c>
      <c r="F230">
        <f>VLOOKUP(B230,[2]Sheet2!$B:$E,4,FALSE)</f>
        <v>167</v>
      </c>
      <c r="G230" s="2">
        <f>VLOOKUP(A230,[1]Pricing!$A:$H,8,FALSE)</f>
        <v>6.3726000000000005E-2</v>
      </c>
      <c r="H230" s="2">
        <f>VLOOKUP(A230,[1]Pricing!$A:$J,10,FALSE)</f>
        <v>7.7714634146341471E-2</v>
      </c>
      <c r="I230">
        <f>VLOOKUP(A230,MIN!A:B,2,FALSE)</f>
        <v>15</v>
      </c>
      <c r="J230" t="str">
        <f t="shared" si="9"/>
        <v>NO</v>
      </c>
      <c r="K230">
        <f>VLOOKUP(A230,[1]Pricing!$A:$G,7,FALSE)</f>
        <v>200</v>
      </c>
      <c r="L230" t="s">
        <v>1960</v>
      </c>
      <c r="M230" t="str">
        <f t="shared" si="8"/>
        <v>32-10023-00</v>
      </c>
    </row>
    <row r="231" spans="1:13" x14ac:dyDescent="0.25">
      <c r="A231" t="s">
        <v>519</v>
      </c>
      <c r="B231" s="14" t="str">
        <f>VLOOKUP(A231,[1]Pricing!$A:$R,18,FALSE)</f>
        <v>ASP-134604-04</v>
      </c>
      <c r="C231" t="s">
        <v>2608</v>
      </c>
      <c r="D231" t="str">
        <f>VLOOKUP(A231,[1]AVL!$A:$F,6,FALSE)</f>
        <v>CONN,SMD,VITA57.1 FMC MEZZ LPC,160POS,PB</v>
      </c>
      <c r="E231" t="str">
        <f>VLOOKUP(A231,[1]Pricing!$A:$F,6,FALSE)</f>
        <v>10 Weeks</v>
      </c>
      <c r="F231">
        <f>VLOOKUP(B231,[2]Sheet2!$B:$E,4,FALSE)</f>
        <v>200</v>
      </c>
      <c r="G231" s="2">
        <f>VLOOKUP(A231,[1]Pricing!$A:$H,8,FALSE)</f>
        <v>13.149615000000001</v>
      </c>
      <c r="H231" s="2">
        <f>VLOOKUP(A231,[1]Pricing!$A:$J,10,FALSE)</f>
        <v>16.03611585365854</v>
      </c>
      <c r="I231">
        <f>VLOOKUP(A231,MIN!A:B,2,FALSE)</f>
        <v>25</v>
      </c>
      <c r="J231" t="str">
        <f t="shared" si="9"/>
        <v>NO</v>
      </c>
      <c r="K231">
        <f>VLOOKUP(A231,[1]Pricing!$A:$G,7,FALSE)</f>
        <v>200</v>
      </c>
      <c r="L231" t="s">
        <v>1960</v>
      </c>
      <c r="M231" t="str">
        <f t="shared" si="8"/>
        <v>667-A11760-160</v>
      </c>
    </row>
    <row r="232" spans="1:13" x14ac:dyDescent="0.25">
      <c r="A232" t="s">
        <v>60</v>
      </c>
      <c r="B232" s="14" t="str">
        <f>VLOOKUP(A232,[1]Pricing!$A:$R,18,FALSE)</f>
        <v>1410-G110-L2F1-S01-4A</v>
      </c>
      <c r="C232" t="s">
        <v>2611</v>
      </c>
      <c r="D232" t="str">
        <f>VLOOKUP(A232,[1]AVL!$A:$F,6,FALSE)</f>
        <v>CB,THRM,1P,4A,28 VDC,240 VAC,PCB MTG</v>
      </c>
      <c r="E232" t="str">
        <f>VLOOKUP(A232,[1]Pricing!$A:$F,6,FALSE)</f>
        <v>11 Weeks</v>
      </c>
      <c r="F232">
        <f>VLOOKUP(B232,[2]Sheet2!$B:$E,4,FALSE)</f>
        <v>196</v>
      </c>
      <c r="G232" s="2">
        <f>VLOOKUP(A232,[1]Pricing!$A:$H,8,FALSE)</f>
        <v>9.0899009999999993</v>
      </c>
      <c r="H232" s="2">
        <f>VLOOKUP(A232,[1]Pricing!$A:$J,10,FALSE)</f>
        <v>11.085245121951219</v>
      </c>
      <c r="I232">
        <f>VLOOKUP(A232,MIN!A:B,2,FALSE)</f>
        <v>15</v>
      </c>
      <c r="J232" t="str">
        <f t="shared" si="9"/>
        <v>NO</v>
      </c>
      <c r="K232">
        <f>VLOOKUP(A232,[1]Pricing!$A:$G,7,FALSE)</f>
        <v>200</v>
      </c>
      <c r="L232" t="s">
        <v>1960</v>
      </c>
      <c r="M232" t="str">
        <f t="shared" si="8"/>
        <v>670-265857-007</v>
      </c>
    </row>
    <row r="233" spans="1:13" x14ac:dyDescent="0.25">
      <c r="A233" t="s">
        <v>453</v>
      </c>
      <c r="B233" s="14">
        <f>VLOOKUP(A233,[1]Pricing!$A:$R,18,FALSE)</f>
        <v>9551666816741</v>
      </c>
      <c r="C233" t="s">
        <v>2599</v>
      </c>
      <c r="D233" t="str">
        <f>VLOOKUP(A233,[1]AVL!$A:$F,6,FALSE)</f>
        <v>CONN,SMD,D-SUB,MR,7.3MM,9P ROHS</v>
      </c>
      <c r="E233" t="str">
        <f>VLOOKUP(A233,[1]Pricing!$A:$F,6,FALSE)</f>
        <v>3 Weeks</v>
      </c>
      <c r="F233">
        <f>VLOOKUP(B233,[2]Sheet2!$B:$E,4,FALSE)</f>
        <v>142</v>
      </c>
      <c r="G233" s="2">
        <f>VLOOKUP(A233,[1]Pricing!$A:$H,8,FALSE)</f>
        <v>4.1054250000000003</v>
      </c>
      <c r="H233" s="2">
        <f>VLOOKUP(A233,[1]Pricing!$A:$J,10,FALSE)</f>
        <v>5.0066158536585377</v>
      </c>
      <c r="I233">
        <f>VLOOKUP(A233,MIN!A:B,2,FALSE)</f>
        <v>15</v>
      </c>
      <c r="J233" t="str">
        <f t="shared" si="9"/>
        <v>NO</v>
      </c>
      <c r="K233">
        <f>VLOOKUP(A233,[1]Pricing!$A:$G,7,FALSE)</f>
        <v>160</v>
      </c>
      <c r="L233" t="s">
        <v>1960</v>
      </c>
      <c r="M233" t="str">
        <f t="shared" si="8"/>
        <v>667-072912-009</v>
      </c>
    </row>
    <row r="234" spans="1:13" x14ac:dyDescent="0.25">
      <c r="A234" t="s">
        <v>643</v>
      </c>
      <c r="B234" s="14" t="str">
        <f>VLOOKUP(A234,[1]Pricing!$A:$R,18,FALSE)</f>
        <v>CJT-T-P-HH-RA-BH1</v>
      </c>
      <c r="C234" t="s">
        <v>2608</v>
      </c>
      <c r="D234" t="str">
        <f>VLOOKUP(A234,[1]AVL!$A:$F,6,FALSE)</f>
        <v>CONN,JACK,RF,BULKHEAD,THRU HOLE</v>
      </c>
      <c r="E234" t="str">
        <f>VLOOKUP(A234,[1]Pricing!$A:$F,6,FALSE)</f>
        <v>3 Weeks</v>
      </c>
      <c r="F234">
        <v>0</v>
      </c>
      <c r="G234" s="2">
        <f>VLOOKUP(A234,[1]Pricing!$A:$H,8,FALSE)</f>
        <v>62.160668999999999</v>
      </c>
      <c r="H234" s="2">
        <f>VLOOKUP(A234,[1]Pricing!$A:$J,10,FALSE)</f>
        <v>75.805693902439032</v>
      </c>
      <c r="I234">
        <f>VLOOKUP(A234,MIN!A:B,2,FALSE)</f>
        <v>25</v>
      </c>
      <c r="J234" t="str">
        <f t="shared" si="9"/>
        <v>REORDER</v>
      </c>
      <c r="K234">
        <f>VLOOKUP(A234,[1]Pricing!$A:$G,7,FALSE)</f>
        <v>100</v>
      </c>
      <c r="M234" t="str">
        <f t="shared" si="8"/>
        <v>668-131891-001</v>
      </c>
    </row>
    <row r="235" spans="1:13" x14ac:dyDescent="0.25">
      <c r="A235" t="s">
        <v>1014</v>
      </c>
      <c r="B235" s="14" t="str">
        <f>VLOOKUP(A235,[1]Pricing!$A:$R,18,FALSE)</f>
        <v>KFE-M3-12-ET</v>
      </c>
      <c r="C235" t="s">
        <v>2651</v>
      </c>
      <c r="D235" t="str">
        <f>VLOOKUP(A235,[1]AVL!$A:$F,6,FALSE)</f>
        <v>STDF,RND,PCB,M3,12MM LONG</v>
      </c>
      <c r="E235" t="str">
        <f>VLOOKUP(A235,[1]Pricing!$A:$F,6,FALSE)</f>
        <v>3 Weeks</v>
      </c>
      <c r="F235">
        <f>VLOOKUP(B235,[2]Sheet2!$B:$E,4,FALSE)</f>
        <v>75</v>
      </c>
      <c r="G235" s="2">
        <f>VLOOKUP(A235,[1]Pricing!$A:$H,8,FALSE)</f>
        <v>0.40196399999999999</v>
      </c>
      <c r="H235" s="2">
        <f>VLOOKUP(A235,[1]Pricing!$A:$J,10,FALSE)</f>
        <v>0.49020000000000002</v>
      </c>
      <c r="I235">
        <f>VLOOKUP(A235,MIN!A:B,2,FALSE)</f>
        <v>25</v>
      </c>
      <c r="J235" t="str">
        <f t="shared" si="9"/>
        <v>NO</v>
      </c>
      <c r="K235">
        <f>VLOOKUP(A235,[1]Pricing!$A:$G,7,FALSE)</f>
        <v>100</v>
      </c>
      <c r="L235" t="s">
        <v>1960</v>
      </c>
      <c r="M235" t="str">
        <f t="shared" si="8"/>
        <v>723-A22202-001</v>
      </c>
    </row>
    <row r="236" spans="1:13" x14ac:dyDescent="0.25">
      <c r="A236" t="s">
        <v>921</v>
      </c>
      <c r="B236" s="14" t="str">
        <f>VLOOKUP(A236,[1]Pricing!$A:$R,18,FALSE)</f>
        <v>GRF1-J-P-08-E-RA-TH1-E</v>
      </c>
      <c r="C236" t="s">
        <v>2608</v>
      </c>
      <c r="D236" t="str">
        <f>VLOOKUP(A236,[1]AVL!$A:$F,6,FALSE)</f>
        <v>CONN,RA,JACK,RF,8POS</v>
      </c>
      <c r="E236" t="str">
        <f>VLOOKUP(A236,[1]Pricing!$A:$F,6,FALSE)</f>
        <v>12 Weeks</v>
      </c>
      <c r="F236">
        <f>VLOOKUP(B236,[2]Sheet2!$B:$E,4,FALSE)</f>
        <v>10</v>
      </c>
      <c r="G236" s="2">
        <f>VLOOKUP(A236,[1]Pricing!$A:$H,8,FALSE)</f>
        <v>34.578462999999999</v>
      </c>
      <c r="H236" s="2">
        <f>VLOOKUP(A236,[1]Pricing!$A:$J,10,FALSE)</f>
        <v>42.168857317073176</v>
      </c>
      <c r="I236">
        <f>VLOOKUP(A236,MIN!A:B,2,FALSE)</f>
        <v>25</v>
      </c>
      <c r="J236" t="str">
        <f t="shared" si="9"/>
        <v>REORDER</v>
      </c>
      <c r="K236">
        <f>VLOOKUP(A236,[1]Pricing!$A:$G,7,FALSE)</f>
        <v>55</v>
      </c>
      <c r="L236" t="s">
        <v>1960</v>
      </c>
      <c r="M236" t="str">
        <f t="shared" si="8"/>
        <v>668-244954-004</v>
      </c>
    </row>
    <row r="237" spans="1:13" x14ac:dyDescent="0.25">
      <c r="A237" t="s">
        <v>59</v>
      </c>
      <c r="B237" s="14">
        <f>VLOOKUP(A237,[1]Pricing!$A:$R,18,FALSE)</f>
        <v>132291</v>
      </c>
      <c r="C237" t="s">
        <v>2602</v>
      </c>
      <c r="D237" t="str">
        <f>VLOOKUP(A237,[1]AVL!$A:$F,6,FALSE)</f>
        <v>CONN,SMA,JACK,STR,50 OHM,PCB</v>
      </c>
      <c r="E237" t="str">
        <f>VLOOKUP(A237,[1]Pricing!$A:$F,6,FALSE)</f>
        <v>3 Weeks</v>
      </c>
      <c r="F237">
        <f>VLOOKUP(B237,[2]Sheet2!$B:$E,4,FALSE)</f>
        <v>50</v>
      </c>
      <c r="G237" s="2">
        <f>VLOOKUP(A237,[1]Pricing!$A:$H,8,FALSE)</f>
        <v>5.2206299999999999</v>
      </c>
      <c r="H237" s="2">
        <f>VLOOKUP(A237,[1]Pricing!$A:$J,10,FALSE)</f>
        <v>6.3666219512195124</v>
      </c>
      <c r="I237">
        <f>VLOOKUP(A237,MIN!A:B,2,FALSE)</f>
        <v>25</v>
      </c>
      <c r="J237" t="str">
        <f t="shared" si="9"/>
        <v>NO</v>
      </c>
      <c r="K237">
        <f>VLOOKUP(A237,[1]Pricing!$A:$G,7,FALSE)</f>
        <v>50</v>
      </c>
      <c r="L237" t="s">
        <v>1960</v>
      </c>
      <c r="M237" t="str">
        <f t="shared" si="8"/>
        <v>668-290744-001</v>
      </c>
    </row>
    <row r="238" spans="1:13" x14ac:dyDescent="0.25">
      <c r="A238" t="s">
        <v>560</v>
      </c>
      <c r="B238" s="14" t="str">
        <f>VLOOKUP(A238,[1]Pricing!$A:$R,18,FALSE)</f>
        <v>C0603C101F5GAC</v>
      </c>
      <c r="C238" t="s">
        <v>2581</v>
      </c>
      <c r="D238" t="str">
        <f>VLOOKUP(A238,[1]AVL!$A:$F,6,FALSE)</f>
        <v>CAP,SMD,0603,CER,C0G,1%,50V,100PF</v>
      </c>
      <c r="E238" t="str">
        <f>VLOOKUP(A238,[1]Pricing!$A:$F,6,FALSE)</f>
        <v>30 Weeks</v>
      </c>
      <c r="F238">
        <f>VLOOKUP(B238,[2]Sheet2!$B:$E,4,FALSE)</f>
        <v>3947</v>
      </c>
      <c r="G238" s="2">
        <f>VLOOKUP(A238,[1]Pricing!$A:$H,8,FALSE)</f>
        <v>6.1275000000000003E-2</v>
      </c>
      <c r="H238" s="2">
        <f>VLOOKUP(A238,[1]Pricing!$A:$J,10,FALSE)</f>
        <v>7.4725609756097572E-2</v>
      </c>
      <c r="I238">
        <f>VLOOKUP(A238,MIN!A:B,2,FALSE)</f>
        <v>15</v>
      </c>
      <c r="J238" t="str">
        <f t="shared" si="9"/>
        <v>NO</v>
      </c>
      <c r="K238">
        <f>VLOOKUP(A238,[1]Pricing!$A:$G,7,FALSE)</f>
        <v>4000</v>
      </c>
      <c r="L238" t="s">
        <v>1960</v>
      </c>
      <c r="M238" t="str">
        <f t="shared" si="8"/>
        <v>648-250747-101</v>
      </c>
    </row>
    <row r="239" spans="1:13" x14ac:dyDescent="0.25">
      <c r="A239" t="s">
        <v>1287</v>
      </c>
      <c r="B239" s="14" t="str">
        <f>VLOOKUP(A239,[1]Pricing!$A:$R,18,FALSE)</f>
        <v>RAPC722X</v>
      </c>
      <c r="C239" t="s">
        <v>2654</v>
      </c>
      <c r="D239" t="str">
        <f>VLOOKUP(A239,[1]AVL!$A:$F,6,FALSE)</f>
        <v>CONN,DC POWER,JACK,2POS,RIGHT ANGLE,THRU</v>
      </c>
      <c r="E239" t="str">
        <f>VLOOKUP(A239,[1]Pricing!$A:$F,6,FALSE)</f>
        <v>11 Weeks</v>
      </c>
      <c r="F239">
        <f>VLOOKUP(B239,[2]Sheet2!$B:$E,4,FALSE)</f>
        <v>500</v>
      </c>
      <c r="G239" s="2">
        <f>VLOOKUP(A239,[1]Pricing!$A:$H,8,FALSE)</f>
        <v>1.1482939999999999</v>
      </c>
      <c r="H239" s="2">
        <f>VLOOKUP(A239,[1]Pricing!$A:$J,10,FALSE)</f>
        <v>1.4003585365853659</v>
      </c>
      <c r="I239">
        <f>VLOOKUP(A239,MIN!A:B,2,FALSE)</f>
        <v>15</v>
      </c>
      <c r="J239" t="str">
        <f t="shared" si="9"/>
        <v>NO</v>
      </c>
      <c r="K239">
        <f>VLOOKUP(A239,[1]Pricing!$A:$G,7,FALSE)</f>
        <v>500</v>
      </c>
      <c r="L239" t="s">
        <v>1960</v>
      </c>
      <c r="M239" t="str">
        <f t="shared" si="8"/>
        <v>39-452851-00</v>
      </c>
    </row>
    <row r="240" spans="1:13" x14ac:dyDescent="0.25">
      <c r="A240" t="s">
        <v>934</v>
      </c>
      <c r="B240" s="14" t="str">
        <f>VLOOKUP(A240,[1]Pricing!$A:$R,18,FALSE)</f>
        <v>GRM32ER71A476ME15L</v>
      </c>
      <c r="C240" t="s">
        <v>2627</v>
      </c>
      <c r="D240" t="str">
        <f>VLOOKUP(A240,[1]AVL!$A:$F,6,FALSE)</f>
        <v>CAP,SMD,CER,47UF,20%,10VDC,X7R,1210</v>
      </c>
      <c r="E240" t="str">
        <f>VLOOKUP(A240,[1]Pricing!$A:$F,6,FALSE)</f>
        <v>17 Weeks</v>
      </c>
      <c r="F240">
        <f>VLOOKUP(B240,[2]Sheet2!$B:$E,4,FALSE)</f>
        <v>945</v>
      </c>
      <c r="G240" s="2">
        <f>VLOOKUP(A240,[1]Pricing!$A:$H,8,FALSE)</f>
        <v>0.272061</v>
      </c>
      <c r="H240" s="2">
        <f>VLOOKUP(A240,[1]Pricing!$A:$J,10,FALSE)</f>
        <v>0.33178170731707318</v>
      </c>
      <c r="I240">
        <f>VLOOKUP(A240,MIN!A:B,2,FALSE)</f>
        <v>25</v>
      </c>
      <c r="J240" t="str">
        <f t="shared" si="9"/>
        <v>NO</v>
      </c>
      <c r="K240">
        <f>VLOOKUP(A240,[1]Pricing!$A:$G,7,FALSE)</f>
        <v>1000</v>
      </c>
      <c r="L240" t="s">
        <v>1960</v>
      </c>
      <c r="M240" t="str">
        <f t="shared" si="8"/>
        <v>648-A72845-001</v>
      </c>
    </row>
    <row r="241" spans="1:13" x14ac:dyDescent="0.25">
      <c r="A241" t="s">
        <v>75</v>
      </c>
      <c r="B241" s="14" t="str">
        <f>VLOOKUP(A241,[1]Pricing!$A:$R,18,FALSE)</f>
        <v>163A16169X</v>
      </c>
      <c r="C241" t="s">
        <v>2592</v>
      </c>
      <c r="D241" t="str">
        <f>VLOOKUP(A241,[1]AVL!$A:$F,6,FALSE)</f>
        <v>CONN,PLUG,DSUB,15POS,VERT,7.5A,125V</v>
      </c>
      <c r="E241" t="str">
        <f>VLOOKUP(A241,[1]Pricing!$A:$F,6,FALSE)</f>
        <v>9 Weeks</v>
      </c>
      <c r="F241">
        <f>VLOOKUP(B241,[2]Sheet2!$B:$E,4,FALSE)</f>
        <v>50</v>
      </c>
      <c r="G241" s="2">
        <f>VLOOKUP(A241,[1]Pricing!$A:$H,8,FALSE)</f>
        <v>8.9422280000000001</v>
      </c>
      <c r="H241" s="2">
        <f>VLOOKUP(A241,[1]Pricing!$A:$J,10,FALSE)</f>
        <v>10.905156097560976</v>
      </c>
      <c r="I241">
        <f>VLOOKUP(A241,MIN!A:B,2,FALSE)</f>
        <v>25</v>
      </c>
      <c r="J241" t="str">
        <f t="shared" si="9"/>
        <v>NO</v>
      </c>
      <c r="K241">
        <f>VLOOKUP(A241,[1]Pricing!$A:$G,7,FALSE)</f>
        <v>50</v>
      </c>
      <c r="L241" t="s">
        <v>1960</v>
      </c>
      <c r="M241" t="str">
        <f t="shared" si="8"/>
        <v>668-277308-003</v>
      </c>
    </row>
    <row r="242" spans="1:13" x14ac:dyDescent="0.25">
      <c r="A242" t="s">
        <v>1822</v>
      </c>
      <c r="B242" s="14" t="str">
        <f>VLOOKUP(A242,[1]Pricing!$A:$R,18,FALSE)</f>
        <v>TSM4YJ105KR05</v>
      </c>
      <c r="C242" t="s">
        <v>2617</v>
      </c>
      <c r="D242" t="str">
        <f>VLOOKUP(A242,[1]AVL!$A:$F,6,FALSE)</f>
        <v>RES,SMD,POT,1M,10%,MULTI TURN</v>
      </c>
      <c r="E242" t="str">
        <f>VLOOKUP(A242,[1]Pricing!$A:$F,6,FALSE)</f>
        <v>25 Weeks</v>
      </c>
      <c r="F242">
        <f>VLOOKUP(B242,[2]Sheet2!$B:$E,4,FALSE)</f>
        <v>500</v>
      </c>
      <c r="G242" s="2">
        <f>VLOOKUP(A242,[1]Pricing!$A:$H,8,FALSE)</f>
        <v>4.9877849999999997</v>
      </c>
      <c r="H242" s="2">
        <f>VLOOKUP(A242,[1]Pricing!$A:$J,10,FALSE)</f>
        <v>6.0826646341463411</v>
      </c>
      <c r="I242">
        <f>VLOOKUP(A242,MIN!A:B,2,FALSE)</f>
        <v>15</v>
      </c>
      <c r="J242" t="str">
        <f t="shared" si="9"/>
        <v>NO</v>
      </c>
      <c r="K242">
        <f>VLOOKUP(A242,[1]Pricing!$A:$G,7,FALSE)</f>
        <v>500</v>
      </c>
      <c r="L242" t="s">
        <v>1960</v>
      </c>
      <c r="M242" t="str">
        <f t="shared" si="8"/>
        <v>608-114716-106</v>
      </c>
    </row>
    <row r="243" spans="1:13" x14ac:dyDescent="0.25">
      <c r="A243" t="s">
        <v>283</v>
      </c>
      <c r="B243" s="14" t="str">
        <f>VLOOKUP(A243,[1]Pricing!$A:$R,18,FALSE)</f>
        <v>43160-6302</v>
      </c>
      <c r="C243" t="s">
        <v>2610</v>
      </c>
      <c r="D243" t="str">
        <f>VLOOKUP(A243,[1]AVL!$A:$F,6,FALSE)</f>
        <v>CONN,HDR,2CKT,18A,VERT MT,THROUGH-HOLE</v>
      </c>
      <c r="E243" t="str">
        <f>VLOOKUP(A243,[1]Pricing!$A:$F,6,FALSE)</f>
        <v>16 Weeks</v>
      </c>
      <c r="F243">
        <f>VLOOKUP(B243,[2]Sheet2!$B:$E,4,FALSE)</f>
        <v>1050</v>
      </c>
      <c r="G243" s="2">
        <f>VLOOKUP(A243,[1]Pricing!$A:$H,8,FALSE)</f>
        <v>0.95799999999999996</v>
      </c>
      <c r="H243" s="2">
        <f>VLOOKUP(A243,[1]Pricing!$A:$J,10,FALSE)</f>
        <v>1.1682926829268292</v>
      </c>
      <c r="I243">
        <f>VLOOKUP(A243,MIN!A:B,2,FALSE)</f>
        <v>15</v>
      </c>
      <c r="J243" t="str">
        <f t="shared" si="9"/>
        <v>NO</v>
      </c>
      <c r="K243">
        <f>VLOOKUP(A243,[1]Pricing!$A:$G,7,FALSE)</f>
        <v>1050</v>
      </c>
      <c r="L243" t="s">
        <v>1960</v>
      </c>
      <c r="M243" t="str">
        <f t="shared" si="8"/>
        <v>668-324407-004</v>
      </c>
    </row>
    <row r="244" spans="1:13" x14ac:dyDescent="0.25">
      <c r="A244" t="s">
        <v>841</v>
      </c>
      <c r="B244" s="14" t="str">
        <f>VLOOKUP(A244,[1]Pricing!$A:$R,18,FALSE)</f>
        <v>ERJ-1GNF5761C</v>
      </c>
      <c r="C244" t="s">
        <v>2618</v>
      </c>
      <c r="D244" t="str">
        <f>VLOOKUP(A244,[1]AVL!$A:$F,6,FALSE)</f>
        <v>RES,SMD,5.76K,1%,1/20W,0201</v>
      </c>
      <c r="E244" t="str">
        <f>VLOOKUP(A244,[1]Pricing!$A:$F,6,FALSE)</f>
        <v>21 Weeks</v>
      </c>
      <c r="F244">
        <f>VLOOKUP(B244,[2]Sheet2!$B:$E,4,FALSE)</f>
        <v>14341</v>
      </c>
      <c r="G244" s="2">
        <f>VLOOKUP(A244,[1]Pricing!$A:$H,8,FALSE)</f>
        <v>7.3530000000000002E-3</v>
      </c>
      <c r="H244" s="2">
        <f>VLOOKUP(A244,[1]Pricing!$A:$J,10,FALSE)</f>
        <v>8.9670731707317073E-3</v>
      </c>
      <c r="I244">
        <f>VLOOKUP(A244,MIN!A:B,2,FALSE)</f>
        <v>60</v>
      </c>
      <c r="J244" t="str">
        <f t="shared" si="9"/>
        <v>NO</v>
      </c>
      <c r="K244">
        <f>VLOOKUP(A244,[1]Pricing!$A:$G,7,FALSE)</f>
        <v>15000</v>
      </c>
      <c r="L244" t="s">
        <v>1960</v>
      </c>
      <c r="M244" t="str">
        <f t="shared" si="8"/>
        <v>615-312994-316</v>
      </c>
    </row>
    <row r="245" spans="1:13" x14ac:dyDescent="0.25">
      <c r="A245" t="s">
        <v>1311</v>
      </c>
      <c r="B245" s="14" t="str">
        <f>VLOOKUP(A245,[1]Pricing!$A:$R,18,FALSE)</f>
        <v>RC0402FR-071K37L</v>
      </c>
      <c r="C245" t="s">
        <v>2655</v>
      </c>
      <c r="D245" t="str">
        <f>VLOOKUP(A245,[1]AVL!$A:$F,6,FALSE)</f>
        <v>RES,0402,THKF,1/16W,1%,1.37K,ROHS</v>
      </c>
      <c r="E245" t="str">
        <f>VLOOKUP(A245,[1]Pricing!$A:$F,6,FALSE)</f>
        <v>23 Weeks</v>
      </c>
      <c r="F245">
        <f>VLOOKUP(B245,[2]Sheet2!$B:$E,4,FALSE)</f>
        <v>19945</v>
      </c>
      <c r="G245" s="2">
        <f>VLOOKUP(A245,[1]Pricing!$A:$H,8,FALSE)</f>
        <v>3.6770000000000001E-3</v>
      </c>
      <c r="H245" s="2">
        <f>VLOOKUP(A245,[1]Pricing!$A:$J,10,FALSE)</f>
        <v>4.4841463414634153E-3</v>
      </c>
      <c r="I245">
        <f>VLOOKUP(A245,MIN!A:B,2,FALSE)</f>
        <v>15</v>
      </c>
      <c r="J245" t="str">
        <f t="shared" si="9"/>
        <v>NO</v>
      </c>
      <c r="K245">
        <f>VLOOKUP(A245,[1]Pricing!$A:$G,7,FALSE)</f>
        <v>10000</v>
      </c>
      <c r="L245" t="s">
        <v>1960</v>
      </c>
      <c r="M245" t="str">
        <f t="shared" si="8"/>
        <v>615-123461-137</v>
      </c>
    </row>
    <row r="246" spans="1:13" x14ac:dyDescent="0.25">
      <c r="A246" t="s">
        <v>1295</v>
      </c>
      <c r="B246" s="14" t="str">
        <f>VLOOKUP(A246,[1]Pricing!$A:$R,18,FALSE)</f>
        <v>RC0402FR-0710K5L</v>
      </c>
      <c r="C246" t="s">
        <v>2580</v>
      </c>
      <c r="D246" t="str">
        <f>VLOOKUP(A246,[1]AVL!$A:$F,6,FALSE)</f>
        <v>RES,0402,THKF,1/16W,1%,10.5K,ROHS</v>
      </c>
      <c r="E246" t="str">
        <f>VLOOKUP(A246,[1]Pricing!$A:$F,6,FALSE)</f>
        <v>22 Weeks</v>
      </c>
      <c r="F246">
        <f>VLOOKUP(B246,[2]Sheet2!$B:$E,4,FALSE)</f>
        <v>10000</v>
      </c>
      <c r="G246" s="2">
        <f>VLOOKUP(A246,[1]Pricing!$A:$H,8,FALSE)</f>
        <v>2.5739999999999999E-3</v>
      </c>
      <c r="H246" s="2">
        <f>VLOOKUP(A246,[1]Pricing!$A:$J,10,FALSE)</f>
        <v>3.1390243902439025E-3</v>
      </c>
      <c r="I246">
        <f>VLOOKUP(A246,MIN!A:B,2,FALSE)</f>
        <v>25</v>
      </c>
      <c r="J246" t="str">
        <f t="shared" si="9"/>
        <v>NO</v>
      </c>
      <c r="K246">
        <f>VLOOKUP(A246,[1]Pricing!$A:$G,7,FALSE)</f>
        <v>10000</v>
      </c>
      <c r="L246" t="s">
        <v>1960</v>
      </c>
      <c r="M246" t="str">
        <f t="shared" si="8"/>
        <v>615-123462-105</v>
      </c>
    </row>
    <row r="247" spans="1:13" x14ac:dyDescent="0.25">
      <c r="A247" t="s">
        <v>1305</v>
      </c>
      <c r="B247" s="14" t="str">
        <f>VLOOKUP(A247,[1]Pricing!$A:$R,18,FALSE)</f>
        <v>RC0402FR-071K02L</v>
      </c>
      <c r="C247" t="s">
        <v>2580</v>
      </c>
      <c r="D247" t="str">
        <f>VLOOKUP(A247,[1]AVL!$A:$F,6,FALSE)</f>
        <v>RES,0402,THKF,1/16W,1% 1.02K ROHS</v>
      </c>
      <c r="E247" t="str">
        <f>VLOOKUP(A247,[1]Pricing!$A:$F,6,FALSE)</f>
        <v>23 Weeks</v>
      </c>
      <c r="F247">
        <f>VLOOKUP(B247,[2]Sheet2!$B:$E,4,FALSE)</f>
        <v>10000</v>
      </c>
      <c r="G247" s="2">
        <f>VLOOKUP(A247,[1]Pricing!$A:$H,8,FALSE)</f>
        <v>1.8140000000000001E-3</v>
      </c>
      <c r="H247" s="2">
        <f>VLOOKUP(A247,[1]Pricing!$A:$J,10,FALSE)</f>
        <v>2.2121951219512197E-3</v>
      </c>
      <c r="I247">
        <f>VLOOKUP(A247,MIN!A:B,2,FALSE)</f>
        <v>30</v>
      </c>
      <c r="J247" t="str">
        <f t="shared" si="9"/>
        <v>NO</v>
      </c>
      <c r="K247">
        <f>VLOOKUP(A247,[1]Pricing!$A:$G,7,FALSE)</f>
        <v>10000</v>
      </c>
      <c r="L247" t="s">
        <v>1960</v>
      </c>
      <c r="M247" t="str">
        <f t="shared" si="8"/>
        <v>615-123461-102</v>
      </c>
    </row>
    <row r="248" spans="1:13" x14ac:dyDescent="0.25">
      <c r="A248" t="s">
        <v>1307</v>
      </c>
      <c r="B248" s="14" t="str">
        <f>VLOOKUP(A248,[1]Pricing!$A:$R,18,FALSE)</f>
        <v>RC0402FR-071K15L</v>
      </c>
      <c r="C248" t="s">
        <v>2580</v>
      </c>
      <c r="D248" t="str">
        <f>VLOOKUP(A248,[1]AVL!$A:$F,6,FALSE)</f>
        <v>RES,0402,THKF,1/16W,1%,1.15K,ROHS</v>
      </c>
      <c r="E248" t="str">
        <f>VLOOKUP(A248,[1]Pricing!$A:$F,6,FALSE)</f>
        <v>23 Weeks</v>
      </c>
      <c r="F248">
        <f>VLOOKUP(B248,[2]Sheet2!$B:$E,4,FALSE)</f>
        <v>10000</v>
      </c>
      <c r="G248" s="2">
        <f>VLOOKUP(A248,[1]Pricing!$A:$H,8,FALSE)</f>
        <v>2.4510000000000001E-3</v>
      </c>
      <c r="H248" s="2">
        <f>VLOOKUP(A248,[1]Pricing!$A:$J,10,FALSE)</f>
        <v>2.9890243902439026E-3</v>
      </c>
      <c r="I248">
        <f>VLOOKUP(A248,MIN!A:B,2,FALSE)</f>
        <v>30</v>
      </c>
      <c r="J248" t="str">
        <f t="shared" si="9"/>
        <v>NO</v>
      </c>
      <c r="K248">
        <f>VLOOKUP(A248,[1]Pricing!$A:$G,7,FALSE)</f>
        <v>10000</v>
      </c>
      <c r="L248" t="s">
        <v>1960</v>
      </c>
      <c r="M248" t="str">
        <f t="shared" si="8"/>
        <v>615-123461-115</v>
      </c>
    </row>
    <row r="249" spans="1:13" x14ac:dyDescent="0.25">
      <c r="A249" t="s">
        <v>1313</v>
      </c>
      <c r="B249" s="14" t="str">
        <f>VLOOKUP(A249,[1]Pricing!$A:$R,18,FALSE)</f>
        <v>RC0402FR-071K69L</v>
      </c>
      <c r="C249" t="s">
        <v>2580</v>
      </c>
      <c r="D249" t="str">
        <f>VLOOKUP(A249,[1]AVL!$A:$F,6,FALSE)</f>
        <v>RES,0402,THKF,1/16W,1% 1.69K ROHS</v>
      </c>
      <c r="E249" t="str">
        <f>VLOOKUP(A249,[1]Pricing!$A:$F,6,FALSE)</f>
        <v>23 Weeks</v>
      </c>
      <c r="F249">
        <f>VLOOKUP(B249,[2]Sheet2!$B:$E,4,FALSE)</f>
        <v>10000</v>
      </c>
      <c r="G249" s="2">
        <f>VLOOKUP(A249,[1]Pricing!$A:$H,8,FALSE)</f>
        <v>2.4510000000000001E-3</v>
      </c>
      <c r="H249" s="2">
        <f>VLOOKUP(A249,[1]Pricing!$A:$J,10,FALSE)</f>
        <v>2.9890243902439026E-3</v>
      </c>
      <c r="I249">
        <f>VLOOKUP(A249,MIN!A:B,2,FALSE)</f>
        <v>25</v>
      </c>
      <c r="J249" t="str">
        <f t="shared" si="9"/>
        <v>NO</v>
      </c>
      <c r="K249">
        <f>VLOOKUP(A249,[1]Pricing!$A:$G,7,FALSE)</f>
        <v>10000</v>
      </c>
      <c r="L249" t="s">
        <v>1960</v>
      </c>
      <c r="M249" t="str">
        <f t="shared" si="8"/>
        <v>615-123461-169</v>
      </c>
    </row>
    <row r="250" spans="1:13" x14ac:dyDescent="0.25">
      <c r="A250" t="s">
        <v>1315</v>
      </c>
      <c r="B250" s="14" t="str">
        <f>VLOOKUP(A250,[1]Pricing!$A:$R,18,FALSE)</f>
        <v>RC0402FR-071K87L</v>
      </c>
      <c r="C250" t="s">
        <v>2580</v>
      </c>
      <c r="D250" t="str">
        <f>VLOOKUP(A250,[1]AVL!$A:$F,6,FALSE)</f>
        <v>RES,0402,THKF,1/16W,1% 1.87K ROHS</v>
      </c>
      <c r="E250" t="str">
        <f>VLOOKUP(A250,[1]Pricing!$A:$F,6,FALSE)</f>
        <v>13 Weeks</v>
      </c>
      <c r="F250">
        <f>VLOOKUP(B250,[2]Sheet2!$B:$E,4,FALSE)</f>
        <v>10000</v>
      </c>
      <c r="G250" s="2">
        <f>VLOOKUP(A250,[1]Pricing!$A:$H,8,FALSE)</f>
        <v>2.4510000000000001E-3</v>
      </c>
      <c r="H250" s="2">
        <f>VLOOKUP(A250,[1]Pricing!$A:$J,10,FALSE)</f>
        <v>2.9890243902439026E-3</v>
      </c>
      <c r="I250">
        <f>VLOOKUP(A250,MIN!A:B,2,FALSE)</f>
        <v>25</v>
      </c>
      <c r="J250" t="str">
        <f t="shared" si="9"/>
        <v>NO</v>
      </c>
      <c r="K250">
        <f>VLOOKUP(A250,[1]Pricing!$A:$G,7,FALSE)</f>
        <v>10000</v>
      </c>
      <c r="L250" t="s">
        <v>1960</v>
      </c>
      <c r="M250" t="str">
        <f t="shared" si="8"/>
        <v>615-123461-187</v>
      </c>
    </row>
    <row r="251" spans="1:13" x14ac:dyDescent="0.25">
      <c r="A251" t="s">
        <v>1321</v>
      </c>
      <c r="B251" s="14" t="str">
        <f>VLOOKUP(A251,[1]Pricing!$A:$R,18,FALSE)</f>
        <v>RC0402FR-0721K5L</v>
      </c>
      <c r="C251" t="s">
        <v>2580</v>
      </c>
      <c r="D251" t="str">
        <f>VLOOKUP(A251,[1]AVL!$A:$F,6,FALSE)</f>
        <v>RES,0402,THKF,1/16W,1% 21.5K ROHS</v>
      </c>
      <c r="E251" t="str">
        <f>VLOOKUP(A251,[1]Pricing!$A:$F,6,FALSE)</f>
        <v>23 Weeks</v>
      </c>
      <c r="F251">
        <f>VLOOKUP(B251,[2]Sheet2!$B:$E,4,FALSE)</f>
        <v>10000</v>
      </c>
      <c r="G251" s="2">
        <f>VLOOKUP(A251,[1]Pricing!$A:$H,8,FALSE)</f>
        <v>2.4510000000000001E-3</v>
      </c>
      <c r="H251" s="2">
        <f>VLOOKUP(A251,[1]Pricing!$A:$J,10,FALSE)</f>
        <v>2.9890243902439026E-3</v>
      </c>
      <c r="I251">
        <f>VLOOKUP(A251,MIN!A:B,2,FALSE)</f>
        <v>25</v>
      </c>
      <c r="J251" t="str">
        <f t="shared" si="9"/>
        <v>NO</v>
      </c>
      <c r="K251">
        <f>VLOOKUP(A251,[1]Pricing!$A:$G,7,FALSE)</f>
        <v>10000</v>
      </c>
      <c r="L251" t="s">
        <v>1960</v>
      </c>
      <c r="M251" t="str">
        <f t="shared" si="8"/>
        <v>615-123462-215</v>
      </c>
    </row>
    <row r="252" spans="1:13" x14ac:dyDescent="0.25">
      <c r="A252" t="s">
        <v>1323</v>
      </c>
      <c r="B252" s="14" t="str">
        <f>VLOOKUP(A252,[1]Pricing!$A:$R,18,FALSE)</f>
        <v>RC0402FR-0722KL</v>
      </c>
      <c r="C252" t="s">
        <v>2580</v>
      </c>
      <c r="D252" t="str">
        <f>VLOOKUP(A252,[1]AVL!$A:$F,6,FALSE)</f>
        <v>RES,0402,THKF,1/16W,1% 22K ROHS</v>
      </c>
      <c r="E252" t="str">
        <f>VLOOKUP(A252,[1]Pricing!$A:$F,6,FALSE)</f>
        <v>23 Weeks</v>
      </c>
      <c r="F252">
        <f>VLOOKUP(B252,[2]Sheet2!$B:$E,4,FALSE)</f>
        <v>10000</v>
      </c>
      <c r="G252" s="2">
        <f>VLOOKUP(A252,[1]Pricing!$A:$H,8,FALSE)</f>
        <v>2.5739999999999999E-3</v>
      </c>
      <c r="H252" s="2">
        <f>VLOOKUP(A252,[1]Pricing!$A:$J,10,FALSE)</f>
        <v>3.1390243902439025E-3</v>
      </c>
      <c r="I252">
        <f>VLOOKUP(A252,MIN!A:B,2,FALSE)</f>
        <v>25</v>
      </c>
      <c r="J252" t="str">
        <f t="shared" si="9"/>
        <v>NO</v>
      </c>
      <c r="K252">
        <f>VLOOKUP(A252,[1]Pricing!$A:$G,7,FALSE)</f>
        <v>10000</v>
      </c>
      <c r="L252" t="s">
        <v>1960</v>
      </c>
      <c r="M252" t="str">
        <f t="shared" si="8"/>
        <v>615-123462-220</v>
      </c>
    </row>
    <row r="253" spans="1:13" x14ac:dyDescent="0.25">
      <c r="A253" t="s">
        <v>1325</v>
      </c>
      <c r="B253" s="14" t="str">
        <f>VLOOKUP(A253,[1]Pricing!$A:$R,18,FALSE)</f>
        <v>RC0402FR-0722RL</v>
      </c>
      <c r="C253" t="s">
        <v>2580</v>
      </c>
      <c r="D253" t="str">
        <f>VLOOKUP(A253,[1]AVL!$A:$F,6,FALSE)</f>
        <v>RES,SMD,0402,1%,1/16W,22 OHM</v>
      </c>
      <c r="E253" t="str">
        <f>VLOOKUP(A253,[1]Pricing!$A:$F,6,FALSE)</f>
        <v>23 Weeks</v>
      </c>
      <c r="F253">
        <f>VLOOKUP(B253,[2]Sheet2!$B:$E,4,FALSE)</f>
        <v>10000</v>
      </c>
      <c r="G253" s="2">
        <f>VLOOKUP(A253,[1]Pricing!$A:$H,8,FALSE)</f>
        <v>2.4510000000000001E-3</v>
      </c>
      <c r="H253" s="2">
        <f>VLOOKUP(A253,[1]Pricing!$A:$J,10,FALSE)</f>
        <v>2.9890243902439026E-3</v>
      </c>
      <c r="I253">
        <f>VLOOKUP(A253,MIN!A:B,2,FALSE)</f>
        <v>25</v>
      </c>
      <c r="J253" t="str">
        <f t="shared" si="9"/>
        <v>NO</v>
      </c>
      <c r="K253">
        <f>VLOOKUP(A253,[1]Pricing!$A:$G,7,FALSE)</f>
        <v>10000</v>
      </c>
      <c r="L253" t="s">
        <v>1960</v>
      </c>
      <c r="M253" t="str">
        <f t="shared" si="8"/>
        <v>615-233527-001</v>
      </c>
    </row>
    <row r="254" spans="1:13" x14ac:dyDescent="0.25">
      <c r="A254" t="s">
        <v>1331</v>
      </c>
      <c r="B254" s="14" t="str">
        <f>VLOOKUP(A254,[1]Pricing!$A:$R,18,FALSE)</f>
        <v>RC0402FR-072R49L</v>
      </c>
      <c r="C254" t="s">
        <v>2580</v>
      </c>
      <c r="D254" t="str">
        <f>VLOOKUP(A254,[1]AVL!$A:$F,6,FALSE)</f>
        <v>RES,0402,THKF,1/16W,1% 2.49 ROHS</v>
      </c>
      <c r="E254" t="str">
        <f>VLOOKUP(A254,[1]Pricing!$A:$F,6,FALSE)</f>
        <v>15 Weeks</v>
      </c>
      <c r="F254">
        <f>VLOOKUP(B254,[2]Sheet2!$B:$E,4,FALSE)</f>
        <v>9722</v>
      </c>
      <c r="G254" s="2">
        <f>VLOOKUP(A254,[1]Pricing!$A:$H,8,FALSE)</f>
        <v>4.9020000000000001E-3</v>
      </c>
      <c r="H254" s="2">
        <f>VLOOKUP(A254,[1]Pricing!$A:$J,10,FALSE)</f>
        <v>5.9780487804878052E-3</v>
      </c>
      <c r="I254">
        <f>VLOOKUP(A254,MIN!A:B,2,FALSE)</f>
        <v>25</v>
      </c>
      <c r="J254" t="str">
        <f t="shared" si="9"/>
        <v>NO</v>
      </c>
      <c r="K254">
        <f>VLOOKUP(A254,[1]Pricing!$A:$G,7,FALSE)</f>
        <v>10000</v>
      </c>
      <c r="L254" t="s">
        <v>1960</v>
      </c>
      <c r="M254" t="str">
        <f t="shared" si="8"/>
        <v>615-123458-249</v>
      </c>
    </row>
    <row r="255" spans="1:13" x14ac:dyDescent="0.25">
      <c r="A255" t="s">
        <v>1335</v>
      </c>
      <c r="B255" s="14" t="str">
        <f>VLOOKUP(A255,[1]Pricing!$A:$R,18,FALSE)</f>
        <v>RC0402FR-07348RL</v>
      </c>
      <c r="C255" t="s">
        <v>2580</v>
      </c>
      <c r="D255" t="str">
        <f>VLOOKUP(A255,[1]AVL!$A:$F,6,FALSE)</f>
        <v>RES,0402,THKF,1/16W,1% 348 ROHS</v>
      </c>
      <c r="E255" t="str">
        <f>VLOOKUP(A255,[1]Pricing!$A:$F,6,FALSE)</f>
        <v>50 Weeks</v>
      </c>
      <c r="F255">
        <f>VLOOKUP(B255,[2]Sheet2!$B:$E,4,FALSE)</f>
        <v>9878</v>
      </c>
      <c r="G255" s="2">
        <f>VLOOKUP(A255,[1]Pricing!$A:$H,8,FALSE)</f>
        <v>5.4660000000000004E-3</v>
      </c>
      <c r="H255" s="2">
        <f>VLOOKUP(A255,[1]Pricing!$A:$J,10,FALSE)</f>
        <v>6.6658536585365866E-3</v>
      </c>
      <c r="I255">
        <f>VLOOKUP(A255,MIN!A:B,2,FALSE)</f>
        <v>15</v>
      </c>
      <c r="J255" t="str">
        <f t="shared" si="9"/>
        <v>NO</v>
      </c>
      <c r="K255">
        <f>VLOOKUP(A255,[1]Pricing!$A:$G,7,FALSE)</f>
        <v>10000</v>
      </c>
      <c r="L255" t="s">
        <v>1960</v>
      </c>
      <c r="M255" t="str">
        <f t="shared" si="8"/>
        <v>615-123460-348</v>
      </c>
    </row>
    <row r="256" spans="1:13" x14ac:dyDescent="0.25">
      <c r="A256" t="s">
        <v>1337</v>
      </c>
      <c r="B256" s="14" t="str">
        <f>VLOOKUP(A256,[1]Pricing!$A:$R,18,FALSE)</f>
        <v>RC0402FR-0747K5L</v>
      </c>
      <c r="C256" t="s">
        <v>2580</v>
      </c>
      <c r="D256" t="str">
        <f>VLOOKUP(A256,[1]AVL!$A:$F,6,FALSE)</f>
        <v>RES,0402,THKF,1/16W,1%, 47.5K ROHS</v>
      </c>
      <c r="E256" t="str">
        <f>VLOOKUP(A256,[1]Pricing!$A:$F,6,FALSE)</f>
        <v>23 Weeks</v>
      </c>
      <c r="F256">
        <f>VLOOKUP(B256,[2]Sheet2!$B:$E,4,FALSE)</f>
        <v>9790</v>
      </c>
      <c r="G256" s="2">
        <f>VLOOKUP(A256,[1]Pricing!$A:$H,8,FALSE)</f>
        <v>2.4510000000000001E-3</v>
      </c>
      <c r="H256" s="2">
        <f>VLOOKUP(A256,[1]Pricing!$A:$J,10,FALSE)</f>
        <v>2.9890243902439026E-3</v>
      </c>
      <c r="I256">
        <f>VLOOKUP(A256,MIN!A:B,2,FALSE)</f>
        <v>15</v>
      </c>
      <c r="J256" t="str">
        <f t="shared" si="9"/>
        <v>NO</v>
      </c>
      <c r="K256">
        <f>VLOOKUP(A256,[1]Pricing!$A:$G,7,FALSE)</f>
        <v>10000</v>
      </c>
      <c r="L256" t="s">
        <v>1960</v>
      </c>
      <c r="M256" t="str">
        <f t="shared" si="8"/>
        <v>615-123462-475</v>
      </c>
    </row>
    <row r="257" spans="1:13" x14ac:dyDescent="0.25">
      <c r="A257" t="s">
        <v>1339</v>
      </c>
      <c r="B257" s="14" t="str">
        <f>VLOOKUP(A257,[1]Pricing!$A:$R,18,FALSE)</f>
        <v>RC0402FR-074K02L</v>
      </c>
      <c r="C257" t="s">
        <v>2580</v>
      </c>
      <c r="D257" t="str">
        <f>VLOOKUP(A257,[1]AVL!$A:$F,6,FALSE)</f>
        <v>RES,0402,THKF,1/16W,1% 4.02K ROHS</v>
      </c>
      <c r="E257" t="str">
        <f>VLOOKUP(A257,[1]Pricing!$A:$F,6,FALSE)</f>
        <v>19 Weeks</v>
      </c>
      <c r="F257">
        <f>VLOOKUP(B257,[2]Sheet2!$B:$E,4,FALSE)</f>
        <v>9939</v>
      </c>
      <c r="G257" s="2">
        <f>VLOOKUP(A257,[1]Pricing!$A:$H,8,FALSE)</f>
        <v>3.2599999999999999E-3</v>
      </c>
      <c r="H257" s="2">
        <f>VLOOKUP(A257,[1]Pricing!$A:$J,10,FALSE)</f>
        <v>3.975609756097561E-3</v>
      </c>
      <c r="I257">
        <f>VLOOKUP(A257,MIN!A:B,2,FALSE)</f>
        <v>25</v>
      </c>
      <c r="J257" t="str">
        <f t="shared" ref="J257:J321" si="10">IF(F257&lt;=I257,"REORDER","NO")</f>
        <v>NO</v>
      </c>
      <c r="K257">
        <f>VLOOKUP(A257,[1]Pricing!$A:$G,7,FALSE)</f>
        <v>10000</v>
      </c>
      <c r="L257" t="s">
        <v>1960</v>
      </c>
      <c r="M257" t="str">
        <f t="shared" si="8"/>
        <v>615-123461-402</v>
      </c>
    </row>
    <row r="258" spans="1:13" x14ac:dyDescent="0.25">
      <c r="A258" t="s">
        <v>1341</v>
      </c>
      <c r="B258" s="14" t="str">
        <f>VLOOKUP(A258,[1]Pricing!$A:$R,18,FALSE)</f>
        <v>RC0402FR-0752R3L</v>
      </c>
      <c r="C258" t="s">
        <v>2580</v>
      </c>
      <c r="D258" t="str">
        <f>VLOOKUP(A258,[1]AVL!$A:$F,6,FALSE)</f>
        <v>RES,0402,THKF,1/16W,1%,52.3,ROHS</v>
      </c>
      <c r="E258" t="str">
        <f>VLOOKUP(A258,[1]Pricing!$A:$F,6,FALSE)</f>
        <v>21 Weeks</v>
      </c>
      <c r="F258">
        <f>VLOOKUP(B258,[2]Sheet2!$B:$E,4,FALSE)</f>
        <v>10000</v>
      </c>
      <c r="G258" s="2">
        <f>VLOOKUP(A258,[1]Pricing!$A:$H,8,FALSE)</f>
        <v>1.8140000000000001E-3</v>
      </c>
      <c r="H258" s="2">
        <f>VLOOKUP(A258,[1]Pricing!$A:$J,10,FALSE)</f>
        <v>2.2121951219512197E-3</v>
      </c>
      <c r="I258">
        <f>VLOOKUP(A258,MIN!A:B,2,FALSE)</f>
        <v>25</v>
      </c>
      <c r="J258" t="str">
        <f t="shared" si="10"/>
        <v>NO</v>
      </c>
      <c r="K258">
        <f>VLOOKUP(A258,[1]Pricing!$A:$G,7,FALSE)</f>
        <v>10000</v>
      </c>
      <c r="L258" t="s">
        <v>1960</v>
      </c>
      <c r="M258" t="str">
        <f t="shared" si="8"/>
        <v>615-123459-523</v>
      </c>
    </row>
    <row r="259" spans="1:13" x14ac:dyDescent="0.25">
      <c r="A259" t="s">
        <v>1345</v>
      </c>
      <c r="B259" s="14" t="str">
        <f>VLOOKUP(A259,[1]Pricing!$A:$R,18,FALSE)</f>
        <v>RC0402FR-075K9L</v>
      </c>
      <c r="C259" t="s">
        <v>2580</v>
      </c>
      <c r="D259" t="str">
        <f>VLOOKUP(A259,[1]AVL!$A:$F,6,FALSE)</f>
        <v>RES,0402,THKF,1/16W,1%,5.90K,ROHS</v>
      </c>
      <c r="E259" t="str">
        <f>VLOOKUP(A259,[1]Pricing!$A:$F,6,FALSE)</f>
        <v>23 Weeks</v>
      </c>
      <c r="F259">
        <f>VLOOKUP(B259,[2]Sheet2!$B:$E,4,FALSE)</f>
        <v>9940</v>
      </c>
      <c r="G259" s="2">
        <f>VLOOKUP(A259,[1]Pricing!$A:$H,8,FALSE)</f>
        <v>2.4510000000000001E-3</v>
      </c>
      <c r="H259" s="2">
        <f>VLOOKUP(A259,[1]Pricing!$A:$J,10,FALSE)</f>
        <v>2.9890243902439026E-3</v>
      </c>
      <c r="I259">
        <f>VLOOKUP(A259,MIN!A:B,2,FALSE)</f>
        <v>25</v>
      </c>
      <c r="J259" t="str">
        <f t="shared" si="10"/>
        <v>NO</v>
      </c>
      <c r="K259">
        <f>VLOOKUP(A259,[1]Pricing!$A:$G,7,FALSE)</f>
        <v>10000</v>
      </c>
      <c r="L259" t="s">
        <v>1960</v>
      </c>
      <c r="M259" t="str">
        <f t="shared" ref="M259:M323" si="11">A259</f>
        <v>615-123461-590</v>
      </c>
    </row>
    <row r="260" spans="1:13" x14ac:dyDescent="0.25">
      <c r="A260" t="s">
        <v>1347</v>
      </c>
      <c r="B260" s="14" t="str">
        <f>VLOOKUP(A260,[1]Pricing!$A:$R,18,FALSE)</f>
        <v>RC0402FR-075R11L</v>
      </c>
      <c r="C260" t="s">
        <v>2617</v>
      </c>
      <c r="D260" t="str">
        <f>VLOOKUP(A260,[1]AVL!$A:$F,6,FALSE)</f>
        <v>RES,0402,THKF,1/16W,1%,5.11,ROHS</v>
      </c>
      <c r="E260" t="str">
        <f>VLOOKUP(A260,[1]Pricing!$A:$F,6,FALSE)</f>
        <v>19 Weeks</v>
      </c>
      <c r="F260">
        <f>VLOOKUP(B260,[2]Sheet2!$B:$E,4,FALSE)</f>
        <v>8720</v>
      </c>
      <c r="G260" s="2">
        <f>VLOOKUP(A260,[1]Pricing!$A:$H,8,FALSE)</f>
        <v>6.1279999999999998E-3</v>
      </c>
      <c r="H260" s="2">
        <f>VLOOKUP(A260,[1]Pricing!$A:$J,10,FALSE)</f>
        <v>7.4731707317073175E-3</v>
      </c>
      <c r="I260">
        <f>VLOOKUP(A260,MIN!A:B,2,FALSE)</f>
        <v>25</v>
      </c>
      <c r="J260" t="str">
        <f t="shared" si="10"/>
        <v>NO</v>
      </c>
      <c r="K260">
        <f>VLOOKUP(A260,[1]Pricing!$A:$G,7,FALSE)</f>
        <v>10000</v>
      </c>
      <c r="L260" t="s">
        <v>1960</v>
      </c>
      <c r="M260" t="str">
        <f t="shared" si="11"/>
        <v>615-123458-511</v>
      </c>
    </row>
    <row r="261" spans="1:13" x14ac:dyDescent="0.25">
      <c r="A261" t="s">
        <v>1351</v>
      </c>
      <c r="B261" s="14" t="str">
        <f>VLOOKUP(A261,[1]Pricing!$A:$R,18,FALSE)</f>
        <v>RC0402FR-078R25L</v>
      </c>
      <c r="C261" t="s">
        <v>2580</v>
      </c>
      <c r="D261" t="str">
        <f>VLOOKUP(A261,[1]AVL!$A:$F,6,FALSE)</f>
        <v>RES,0402,THKF,1/16W,1% 8.25 ROHS</v>
      </c>
      <c r="E261" t="str">
        <f>VLOOKUP(A261,[1]Pricing!$A:$F,6,FALSE)</f>
        <v>3 Weeks</v>
      </c>
      <c r="F261">
        <f>VLOOKUP(B261,[2]Sheet2!$B:$E,4,FALSE)</f>
        <v>10000</v>
      </c>
      <c r="G261" s="2">
        <f>VLOOKUP(A261,[1]Pricing!$A:$H,8,FALSE)</f>
        <v>4.9020000000000001E-3</v>
      </c>
      <c r="H261" s="2">
        <f>VLOOKUP(A261,[1]Pricing!$A:$J,10,FALSE)</f>
        <v>5.9780487804878052E-3</v>
      </c>
      <c r="I261">
        <f>VLOOKUP(A261,MIN!A:B,2,FALSE)</f>
        <v>60</v>
      </c>
      <c r="J261" t="str">
        <f t="shared" si="10"/>
        <v>NO</v>
      </c>
      <c r="K261">
        <f>VLOOKUP(A261,[1]Pricing!$A:$G,7,FALSE)</f>
        <v>10000</v>
      </c>
      <c r="L261" t="s">
        <v>1960</v>
      </c>
      <c r="M261" t="str">
        <f t="shared" si="11"/>
        <v>615-123458-825</v>
      </c>
    </row>
    <row r="262" spans="1:13" x14ac:dyDescent="0.25">
      <c r="A262" t="s">
        <v>1353</v>
      </c>
      <c r="B262" s="14" t="str">
        <f>VLOOKUP(A262,[1]Pricing!$A:$R,18,FALSE)</f>
        <v>RC0603FR-0710KL</v>
      </c>
      <c r="C262" t="s">
        <v>2580</v>
      </c>
      <c r="D262" t="str">
        <f>VLOOKUP(A262,[1]AVL!$A:$F,6,FALSE)</f>
        <v>RES,THICK FILM,10K OHM,1%,1/10W,50V,SMT</v>
      </c>
      <c r="E262" t="str">
        <f>VLOOKUP(A262,[1]Pricing!$A:$F,6,FALSE)</f>
        <v>27 Weeks</v>
      </c>
      <c r="F262">
        <f>VLOOKUP(B262,[2]Sheet2!$B:$E,4,FALSE)</f>
        <v>10000</v>
      </c>
      <c r="G262" s="2">
        <f>VLOOKUP(A262,[1]Pricing!$A:$H,8,FALSE)</f>
        <v>3.627E-3</v>
      </c>
      <c r="H262" s="2">
        <f>VLOOKUP(A262,[1]Pricing!$A:$J,10,FALSE)</f>
        <v>4.4231707317073177E-3</v>
      </c>
      <c r="I262">
        <f>VLOOKUP(A262,MIN!A:B,2,FALSE)</f>
        <v>15</v>
      </c>
      <c r="J262" t="str">
        <f t="shared" si="10"/>
        <v>NO</v>
      </c>
      <c r="K262">
        <f>VLOOKUP(A262,[1]Pricing!$A:$G,7,FALSE)</f>
        <v>10000</v>
      </c>
      <c r="L262" t="s">
        <v>1960</v>
      </c>
      <c r="M262" t="str">
        <f t="shared" si="11"/>
        <v>28-426179-00</v>
      </c>
    </row>
    <row r="263" spans="1:13" x14ac:dyDescent="0.25">
      <c r="A263" t="s">
        <v>605</v>
      </c>
      <c r="B263" s="14" t="str">
        <f>VLOOKUP(A263,[1]Pricing!$A:$R,18,FALSE)</f>
        <v>CC0402JRNPO9BN180</v>
      </c>
      <c r="C263" t="s">
        <v>2627</v>
      </c>
      <c r="D263" t="str">
        <f>VLOOKUP(A263,[1]AVL!$A:$F,6,FALSE)</f>
        <v>CAP,SMD,CER,18PF,50V,5%,NP0,0402</v>
      </c>
      <c r="E263" t="str">
        <f>VLOOKUP(A263,[1]Pricing!$A:$F,6,FALSE)</f>
        <v>3 Weeks</v>
      </c>
      <c r="F263">
        <f>VLOOKUP(B263,[2]Sheet2!$B:$E,4,FALSE)</f>
        <v>10000</v>
      </c>
      <c r="G263" s="2">
        <f>VLOOKUP(A263,[1]Pricing!$A:$H,8,FALSE)</f>
        <v>5.7600000000000004E-3</v>
      </c>
      <c r="H263" s="2">
        <f>VLOOKUP(A263,[1]Pricing!$A:$J,10,FALSE)</f>
        <v>7.0243902439024401E-3</v>
      </c>
      <c r="I263">
        <f>VLOOKUP(A263,MIN!A:B,2,FALSE)</f>
        <v>25</v>
      </c>
      <c r="J263" t="str">
        <f t="shared" si="10"/>
        <v>NO</v>
      </c>
      <c r="K263">
        <f>VLOOKUP(A263,[1]Pricing!$A:$G,7,FALSE)</f>
        <v>10000</v>
      </c>
      <c r="L263" t="s">
        <v>1960</v>
      </c>
      <c r="M263" t="str">
        <f t="shared" si="11"/>
        <v>648-228694-005</v>
      </c>
    </row>
    <row r="264" spans="1:13" x14ac:dyDescent="0.25">
      <c r="A264" t="s">
        <v>607</v>
      </c>
      <c r="B264" s="14" t="str">
        <f>VLOOKUP(A264,[1]Pricing!$A:$R,18,FALSE)</f>
        <v>CC0402KRX7R9BB333</v>
      </c>
      <c r="C264" t="s">
        <v>2656</v>
      </c>
      <c r="D264" t="str">
        <f>VLOOKUP(A264,[1]AVL!$A:$F,6,FALSE)</f>
        <v>CAP,SMD,0402,CER,X7R,10%,50V,33NF ROHS</v>
      </c>
      <c r="E264" t="str">
        <f>VLOOKUP(A264,[1]Pricing!$A:$F,6,FALSE)</f>
        <v>15 Weeks</v>
      </c>
      <c r="F264">
        <f>VLOOKUP(B264,[2]Sheet2!$B:$E,4,FALSE)</f>
        <v>9687</v>
      </c>
      <c r="G264" s="2">
        <f>VLOOKUP(A264,[1]Pricing!$A:$H,8,FALSE)</f>
        <v>6.1279999999999998E-3</v>
      </c>
      <c r="H264" s="2">
        <f>VLOOKUP(A264,[1]Pricing!$A:$J,10,FALSE)</f>
        <v>7.4731707317073175E-3</v>
      </c>
      <c r="I264">
        <f>VLOOKUP(A264,MIN!A:B,2,FALSE)</f>
        <v>15</v>
      </c>
      <c r="J264" t="str">
        <f t="shared" si="10"/>
        <v>NO</v>
      </c>
      <c r="K264">
        <f>VLOOKUP(A264,[1]Pricing!$A:$G,7,FALSE)</f>
        <v>10000</v>
      </c>
      <c r="L264" t="s">
        <v>1960</v>
      </c>
      <c r="M264" t="str">
        <f t="shared" si="11"/>
        <v>648-124321-333</v>
      </c>
    </row>
    <row r="265" spans="1:13" x14ac:dyDescent="0.25">
      <c r="A265" t="s">
        <v>609</v>
      </c>
      <c r="B265" s="14" t="str">
        <f>VLOOKUP(A265,[1]Pricing!$A:$R,18,FALSE)</f>
        <v>CC0402KRX7R9BB681</v>
      </c>
      <c r="C265" t="s">
        <v>2581</v>
      </c>
      <c r="D265" t="str">
        <f>VLOOKUP(A265,[1]AVL!$A:$F,6,FALSE)</f>
        <v>CAP,SMD,0402,CER,X7R,10%,50V,680PF ROHS</v>
      </c>
      <c r="E265" t="str">
        <f>VLOOKUP(A265,[1]Pricing!$A:$F,6,FALSE)</f>
        <v>3 Weeks</v>
      </c>
      <c r="F265">
        <f>VLOOKUP(B265,[2]Sheet2!$B:$E,4,FALSE)</f>
        <v>10000</v>
      </c>
      <c r="G265" s="2">
        <f>VLOOKUP(A265,[1]Pricing!$A:$H,8,FALSE)</f>
        <v>3.6770000000000001E-3</v>
      </c>
      <c r="H265" s="2">
        <f>VLOOKUP(A265,[1]Pricing!$A:$J,10,FALSE)</f>
        <v>4.4841463414634153E-3</v>
      </c>
      <c r="I265">
        <f>VLOOKUP(A265,MIN!A:B,2,FALSE)</f>
        <v>15</v>
      </c>
      <c r="J265" t="str">
        <f t="shared" si="10"/>
        <v>NO</v>
      </c>
      <c r="K265">
        <f>VLOOKUP(A265,[1]Pricing!$A:$G,7,FALSE)</f>
        <v>10000</v>
      </c>
      <c r="L265" t="s">
        <v>1960</v>
      </c>
      <c r="M265" t="str">
        <f t="shared" si="11"/>
        <v>648-124321-681</v>
      </c>
    </row>
    <row r="266" spans="1:13" x14ac:dyDescent="0.25">
      <c r="A266" t="s">
        <v>1291</v>
      </c>
      <c r="B266" s="14" t="str">
        <f>VLOOKUP(A266,[1]Pricing!$A:$R,18,FALSE)</f>
        <v>RC0402FR-070RL</v>
      </c>
      <c r="C266" t="s">
        <v>2580</v>
      </c>
      <c r="D266" t="str">
        <f>VLOOKUP(A266,[1]AVL!$A:$F,6,FALSE)</f>
        <v>RES,SMD,THK FILM,0OHM,1%,1/16W,0402</v>
      </c>
      <c r="E266" t="str">
        <f>VLOOKUP(A266,[1]Pricing!$A:$F,6,FALSE)</f>
        <v>23 Weeks</v>
      </c>
      <c r="F266">
        <f>VLOOKUP(B266,[2]Sheet2!$B:$E,4,FALSE)</f>
        <v>9577</v>
      </c>
      <c r="G266" s="2">
        <f>VLOOKUP(A266,[1]Pricing!$A:$H,8,FALSE)</f>
        <v>1.446E-3</v>
      </c>
      <c r="H266" s="2">
        <f>VLOOKUP(A266,[1]Pricing!$A:$J,10,FALSE)</f>
        <v>1.7634146341463416E-3</v>
      </c>
      <c r="I266">
        <f>VLOOKUP(A266,MIN!A:B,2,FALSE)</f>
        <v>15</v>
      </c>
      <c r="J266" t="str">
        <f t="shared" si="10"/>
        <v>NO</v>
      </c>
      <c r="K266">
        <f>VLOOKUP(A266,[1]Pricing!$A:$G,7,FALSE)</f>
        <v>10000</v>
      </c>
      <c r="L266" t="s">
        <v>1960</v>
      </c>
      <c r="M266" t="str">
        <f t="shared" si="11"/>
        <v>615-A74149-001</v>
      </c>
    </row>
    <row r="267" spans="1:13" x14ac:dyDescent="0.25">
      <c r="A267" t="s">
        <v>1299</v>
      </c>
      <c r="B267" s="14" t="str">
        <f>VLOOKUP(A267,[1]Pricing!$A:$R,18,FALSE)</f>
        <v>RC0402FR-07120KL</v>
      </c>
      <c r="C267" t="s">
        <v>2655</v>
      </c>
      <c r="D267" t="str">
        <f>VLOOKUP(A267,[1]AVL!$A:$F,6,FALSE)</f>
        <v>RES,0402,THKF,1/16W,1% 120K ROHS</v>
      </c>
      <c r="E267" t="str">
        <f>VLOOKUP(A267,[1]Pricing!$A:$F,6,FALSE)</f>
        <v>15 Weeks</v>
      </c>
      <c r="F267">
        <f>VLOOKUP(B267,[2]Sheet2!$B:$E,4,FALSE)</f>
        <v>10000</v>
      </c>
      <c r="G267" s="2">
        <f>VLOOKUP(A267,[1]Pricing!$A:$H,8,FALSE)</f>
        <v>3.6770000000000001E-3</v>
      </c>
      <c r="H267" s="2">
        <f>VLOOKUP(A267,[1]Pricing!$A:$J,10,FALSE)</f>
        <v>4.4841463414634153E-3</v>
      </c>
      <c r="I267">
        <f>VLOOKUP(A267,MIN!A:B,2,FALSE)</f>
        <v>25</v>
      </c>
      <c r="J267" t="str">
        <f t="shared" si="10"/>
        <v>NO</v>
      </c>
      <c r="K267">
        <f>VLOOKUP(A267,[1]Pricing!$A:$G,7,FALSE)</f>
        <v>10000</v>
      </c>
      <c r="L267" t="s">
        <v>1960</v>
      </c>
      <c r="M267" t="str">
        <f t="shared" si="11"/>
        <v>615-123463-120</v>
      </c>
    </row>
    <row r="268" spans="1:13" x14ac:dyDescent="0.25">
      <c r="A268" t="s">
        <v>1301</v>
      </c>
      <c r="B268" s="14" t="str">
        <f>VLOOKUP(A268,[1]Pricing!$A:$R,18,FALSE)</f>
        <v>RC0402FR-07124KL</v>
      </c>
      <c r="C268" t="s">
        <v>2655</v>
      </c>
      <c r="D268" t="str">
        <f>VLOOKUP(A268,[1]AVL!$A:$F,6,FALSE)</f>
        <v>RES,0402,THKF,1/16W,1% 124K ROHS</v>
      </c>
      <c r="E268" t="str">
        <f>VLOOKUP(A268,[1]Pricing!$A:$F,6,FALSE)</f>
        <v>15 Weeks</v>
      </c>
      <c r="F268">
        <f>VLOOKUP(B268,[2]Sheet2!$B:$E,4,FALSE)</f>
        <v>10000</v>
      </c>
      <c r="G268" s="2">
        <f>VLOOKUP(A268,[1]Pricing!$A:$H,8,FALSE)</f>
        <v>3.6770000000000001E-3</v>
      </c>
      <c r="H268" s="2">
        <f>VLOOKUP(A268,[1]Pricing!$A:$J,10,FALSE)</f>
        <v>4.4841463414634153E-3</v>
      </c>
      <c r="I268">
        <f>VLOOKUP(A268,MIN!A:B,2,FALSE)</f>
        <v>15</v>
      </c>
      <c r="J268" t="str">
        <f t="shared" si="10"/>
        <v>NO</v>
      </c>
      <c r="K268">
        <f>VLOOKUP(A268,[1]Pricing!$A:$G,7,FALSE)</f>
        <v>10000</v>
      </c>
      <c r="L268" t="s">
        <v>1960</v>
      </c>
      <c r="M268" t="str">
        <f t="shared" si="11"/>
        <v>615-123463-124</v>
      </c>
    </row>
    <row r="269" spans="1:13" x14ac:dyDescent="0.25">
      <c r="A269" t="s">
        <v>1303</v>
      </c>
      <c r="B269" s="14" t="str">
        <f>VLOOKUP(A269,[1]Pricing!$A:$R,18,FALSE)</f>
        <v>RC0402FR-0712K7L</v>
      </c>
      <c r="C269" t="s">
        <v>2580</v>
      </c>
      <c r="D269" t="str">
        <f>VLOOKUP(A269,[1]AVL!$A:$F,6,FALSE)</f>
        <v>RES,0402,THKF,1/16W,1%,12.7K,ROHS</v>
      </c>
      <c r="E269" t="str">
        <f>VLOOKUP(A269,[1]Pricing!$A:$F,6,FALSE)</f>
        <v>4 Weeks</v>
      </c>
      <c r="F269">
        <f>VLOOKUP(B269,[2]Sheet2!$B:$E,4,FALSE)</f>
        <v>10000</v>
      </c>
      <c r="G269" s="2">
        <f>VLOOKUP(A269,[1]Pricing!$A:$H,8,FALSE)</f>
        <v>2.4510000000000001E-3</v>
      </c>
      <c r="H269" s="2">
        <f>VLOOKUP(A269,[1]Pricing!$A:$J,10,FALSE)</f>
        <v>2.9890243902439026E-3</v>
      </c>
      <c r="I269">
        <f>VLOOKUP(A269,MIN!A:B,2,FALSE)</f>
        <v>15</v>
      </c>
      <c r="J269" t="str">
        <f t="shared" si="10"/>
        <v>NO</v>
      </c>
      <c r="K269">
        <f>VLOOKUP(A269,[1]Pricing!$A:$G,7,FALSE)</f>
        <v>10000</v>
      </c>
      <c r="L269" t="s">
        <v>1960</v>
      </c>
      <c r="M269" t="str">
        <f t="shared" si="11"/>
        <v>615-123462-127</v>
      </c>
    </row>
    <row r="270" spans="1:13" x14ac:dyDescent="0.25">
      <c r="A270" t="s">
        <v>471</v>
      </c>
      <c r="B270" s="14" t="str">
        <f>VLOOKUP(A270,[1]Pricing!$A:$R,18,FALSE)</f>
        <v>AC0603FR-073K24L</v>
      </c>
      <c r="C270" t="s">
        <v>2580</v>
      </c>
      <c r="D270" t="str">
        <f>VLOOKUP(A270,[1]AVL!$A:$F,6,FALSE)</f>
        <v>RES,SMD,THKF,1%,1/10W,100PPM,3.24K,ROHS</v>
      </c>
      <c r="E270" t="str">
        <f>VLOOKUP(A270,[1]Pricing!$A:$F,6,FALSE)</f>
        <v>23 Weeks</v>
      </c>
      <c r="F270">
        <f>VLOOKUP(B270,[2]Sheet2!$B:$E,4,FALSE)</f>
        <v>4945</v>
      </c>
      <c r="G270" s="2">
        <f>VLOOKUP(A270,[1]Pricing!$A:$H,8,FALSE)</f>
        <v>4.9020000000000001E-3</v>
      </c>
      <c r="H270" s="2">
        <f>VLOOKUP(A270,[1]Pricing!$A:$J,10,FALSE)</f>
        <v>5.9780487804878052E-3</v>
      </c>
      <c r="I270">
        <f>VLOOKUP(A270,MIN!A:B,2,FALSE)</f>
        <v>25</v>
      </c>
      <c r="J270" t="str">
        <f t="shared" si="10"/>
        <v>NO</v>
      </c>
      <c r="K270">
        <f>VLOOKUP(A270,[1]Pricing!$A:$G,7,FALSE)</f>
        <v>5000</v>
      </c>
      <c r="L270" t="s">
        <v>1960</v>
      </c>
      <c r="M270" t="str">
        <f t="shared" si="11"/>
        <v>615-068559-324</v>
      </c>
    </row>
    <row r="271" spans="1:13" x14ac:dyDescent="0.25">
      <c r="A271" t="s">
        <v>475</v>
      </c>
      <c r="B271" s="14" t="str">
        <f>VLOOKUP(A271,[1]Pricing!$A:$R,18,FALSE)</f>
        <v>AC0603FR-074K12L</v>
      </c>
      <c r="C271" t="s">
        <v>2617</v>
      </c>
      <c r="D271" t="str">
        <f>VLOOKUP(A271,[1]AVL!$A:$F,6,FALSE)</f>
        <v>RES,0603,THKF,1%,1/10W,100PPM,4.12K ROHS</v>
      </c>
      <c r="E271" t="str">
        <f>VLOOKUP(A271,[1]Pricing!$A:$F,6,FALSE)</f>
        <v>16 Weeks</v>
      </c>
      <c r="F271">
        <f>VLOOKUP(B271,[2]Sheet2!$B:$E,4,FALSE)</f>
        <v>4945</v>
      </c>
      <c r="G271" s="2">
        <f>VLOOKUP(A271,[1]Pricing!$A:$H,8,FALSE)</f>
        <v>4.9020000000000001E-3</v>
      </c>
      <c r="H271" s="2">
        <f>VLOOKUP(A271,[1]Pricing!$A:$J,10,FALSE)</f>
        <v>5.9780487804878052E-3</v>
      </c>
      <c r="I271">
        <f>VLOOKUP(A271,MIN!A:B,2,FALSE)</f>
        <v>15</v>
      </c>
      <c r="J271" t="str">
        <f t="shared" si="10"/>
        <v>NO</v>
      </c>
      <c r="K271">
        <f>VLOOKUP(A271,[1]Pricing!$A:$G,7,FALSE)</f>
        <v>5000</v>
      </c>
      <c r="L271" t="s">
        <v>1960</v>
      </c>
      <c r="M271" t="str">
        <f t="shared" si="11"/>
        <v>615-068559-412</v>
      </c>
    </row>
    <row r="272" spans="1:13" x14ac:dyDescent="0.25">
      <c r="A272" t="s">
        <v>1355</v>
      </c>
      <c r="B272" s="14" t="str">
        <f>VLOOKUP(A272,[1]Pricing!$A:$R,18,FALSE)</f>
        <v>RC0603FR-071ML</v>
      </c>
      <c r="C272" t="s">
        <v>2618</v>
      </c>
      <c r="D272" t="str">
        <f>VLOOKUP(A272,[1]AVL!$A:$F,6,FALSE)</f>
        <v>RES,0603,THKF,1%,1/10W,100PPM,1M ROHS</v>
      </c>
      <c r="E272" t="str">
        <f>VLOOKUP(A272,[1]Pricing!$A:$F,6,FALSE)</f>
        <v>27 Weeks</v>
      </c>
      <c r="F272">
        <f>VLOOKUP(B272,[2]Sheet2!$B:$E,4,FALSE)</f>
        <v>4660</v>
      </c>
      <c r="G272" s="2">
        <f>VLOOKUP(A272,[1]Pricing!$A:$H,8,FALSE)</f>
        <v>4.9020000000000001E-3</v>
      </c>
      <c r="H272" s="2">
        <f>VLOOKUP(A272,[1]Pricing!$A:$J,10,FALSE)</f>
        <v>5.9780487804878052E-3</v>
      </c>
      <c r="I272">
        <f>VLOOKUP(A272,MIN!A:B,2,FALSE)</f>
        <v>15</v>
      </c>
      <c r="J272" t="str">
        <f t="shared" si="10"/>
        <v>NO</v>
      </c>
      <c r="K272">
        <f>VLOOKUP(A272,[1]Pricing!$A:$G,7,FALSE)</f>
        <v>5000</v>
      </c>
      <c r="L272" t="s">
        <v>1960</v>
      </c>
      <c r="M272" t="str">
        <f t="shared" si="11"/>
        <v>615-068562-100</v>
      </c>
    </row>
    <row r="273" spans="1:13" x14ac:dyDescent="0.25">
      <c r="A273" t="s">
        <v>1357</v>
      </c>
      <c r="B273" s="14" t="str">
        <f>VLOOKUP(A273,[1]Pricing!$A:$R,18,FALSE)</f>
        <v>RC0603FR-074K7L</v>
      </c>
      <c r="C273" t="s">
        <v>2580</v>
      </c>
      <c r="D273" t="str">
        <f>VLOOKUP(A273,[1]AVL!$A:$F,6,FALSE)</f>
        <v>RES,SMD,4.7K OHM,1%,1/10W,50V</v>
      </c>
      <c r="E273" t="str">
        <f>VLOOKUP(A273,[1]Pricing!$A:$F,6,FALSE)</f>
        <v>27 Weeks</v>
      </c>
      <c r="F273">
        <f>VLOOKUP(B273,[2]Sheet2!$B:$E,4,FALSE)</f>
        <v>5000</v>
      </c>
      <c r="G273" s="2">
        <f>VLOOKUP(A273,[1]Pricing!$A:$H,8,FALSE)</f>
        <v>3.6770000000000001E-3</v>
      </c>
      <c r="H273" s="2">
        <f>VLOOKUP(A273,[1]Pricing!$A:$J,10,FALSE)</f>
        <v>4.4841463414634153E-3</v>
      </c>
      <c r="I273">
        <f>VLOOKUP(A273,MIN!A:B,2,FALSE)</f>
        <v>25</v>
      </c>
      <c r="J273" t="str">
        <f t="shared" si="10"/>
        <v>NO</v>
      </c>
      <c r="K273">
        <f>VLOOKUP(A273,[1]Pricing!$A:$G,7,FALSE)</f>
        <v>5000</v>
      </c>
      <c r="L273" t="s">
        <v>1960</v>
      </c>
      <c r="M273" t="str">
        <f t="shared" si="11"/>
        <v>615-301314-001</v>
      </c>
    </row>
    <row r="274" spans="1:13" x14ac:dyDescent="0.25">
      <c r="A274" t="s">
        <v>1359</v>
      </c>
      <c r="B274" s="14" t="str">
        <f>VLOOKUP(A274,[1]Pricing!$A:$R,18,FALSE)</f>
        <v>RC0603JR-0722RL</v>
      </c>
      <c r="C274" t="s">
        <v>2656</v>
      </c>
      <c r="D274" t="str">
        <f>VLOOKUP(A274,[1]AVL!$A:$F,6,FALSE)</f>
        <v>RES, SMD,TF,0603,22 OHM, 5%, 1/10W, ROHS</v>
      </c>
      <c r="E274" t="str">
        <f>VLOOKUP(A274,[1]Pricing!$A:$F,6,FALSE)</f>
        <v>19 Weeks</v>
      </c>
      <c r="F274">
        <f>VLOOKUP(B274,[2]Sheet2!$B:$E,4,FALSE)</f>
        <v>4943</v>
      </c>
      <c r="G274" s="2">
        <f>VLOOKUP(A274,[1]Pricing!$A:$H,8,FALSE)</f>
        <v>3.088E-3</v>
      </c>
      <c r="H274" s="2">
        <f>VLOOKUP(A274,[1]Pricing!$A:$J,10,FALSE)</f>
        <v>3.7658536585365855E-3</v>
      </c>
      <c r="I274">
        <f>VLOOKUP(A274,MIN!A:B,2,FALSE)</f>
        <v>25</v>
      </c>
      <c r="J274" t="str">
        <f t="shared" si="10"/>
        <v>NO</v>
      </c>
      <c r="K274">
        <f>VLOOKUP(A274,[1]Pricing!$A:$G,7,FALSE)</f>
        <v>5000</v>
      </c>
      <c r="L274" t="s">
        <v>1960</v>
      </c>
      <c r="M274" t="str">
        <f t="shared" si="11"/>
        <v>615-051883-220</v>
      </c>
    </row>
    <row r="275" spans="1:13" x14ac:dyDescent="0.25">
      <c r="A275" t="s">
        <v>1363</v>
      </c>
      <c r="B275" s="14" t="str">
        <f>VLOOKUP(A275,[1]Pricing!$A:$R,18,FALSE)</f>
        <v>RC0805FR-07150RL</v>
      </c>
      <c r="C275" t="s">
        <v>2617</v>
      </c>
      <c r="D275" t="str">
        <f>VLOOKUP(A275,[1]AVL!$A:$F,6,FALSE)</f>
        <v>RES,SMD,0805,150,1%,1/10W,ROHS</v>
      </c>
      <c r="E275" t="str">
        <f>VLOOKUP(A275,[1]Pricing!$A:$F,6,FALSE)</f>
        <v>31 Weeks</v>
      </c>
      <c r="F275">
        <f>VLOOKUP(B275,[2]Sheet2!$B:$E,4,FALSE)</f>
        <v>4865</v>
      </c>
      <c r="G275" s="2">
        <f>VLOOKUP(A275,[1]Pricing!$A:$H,8,FALSE)</f>
        <v>6.0289999999999996E-3</v>
      </c>
      <c r="H275" s="2">
        <f>VLOOKUP(A275,[1]Pricing!$A:$J,10,FALSE)</f>
        <v>7.3524390243902438E-3</v>
      </c>
      <c r="I275">
        <f>VLOOKUP(A275,MIN!A:B,2,FALSE)</f>
        <v>15</v>
      </c>
      <c r="J275" t="str">
        <f t="shared" si="10"/>
        <v>NO</v>
      </c>
      <c r="K275">
        <f>VLOOKUP(A275,[1]Pricing!$A:$G,7,FALSE)</f>
        <v>5000</v>
      </c>
      <c r="L275" t="s">
        <v>1960</v>
      </c>
      <c r="M275" t="str">
        <f t="shared" si="11"/>
        <v>615-901300-150</v>
      </c>
    </row>
    <row r="276" spans="1:13" x14ac:dyDescent="0.25">
      <c r="A276" t="s">
        <v>1367</v>
      </c>
      <c r="B276" s="14" t="str">
        <f>VLOOKUP(A276,[1]Pricing!$A:$R,18,FALSE)</f>
        <v>RC0805FR-0722K1L</v>
      </c>
      <c r="C276" t="s">
        <v>2580</v>
      </c>
      <c r="D276" t="str">
        <f>VLOOKUP(A276,[1]AVL!$A:$F,6,FALSE)</f>
        <v>RES,0805,22.1K,1%,1/10W,ROHS</v>
      </c>
      <c r="E276" t="str">
        <f>VLOOKUP(A276,[1]Pricing!$A:$F,6,FALSE)</f>
        <v>19 Weeks</v>
      </c>
      <c r="F276">
        <f>VLOOKUP(B276,[2]Sheet2!$B:$E,4,FALSE)</f>
        <v>5000</v>
      </c>
      <c r="G276" s="2">
        <f>VLOOKUP(A276,[1]Pricing!$A:$H,8,FALSE)</f>
        <v>6.1279999999999998E-3</v>
      </c>
      <c r="H276" s="2">
        <f>VLOOKUP(A276,[1]Pricing!$A:$J,10,FALSE)</f>
        <v>7.4731707317073175E-3</v>
      </c>
      <c r="I276">
        <f>VLOOKUP(A276,MIN!A:B,2,FALSE)</f>
        <v>15</v>
      </c>
      <c r="J276" t="str">
        <f t="shared" si="10"/>
        <v>NO</v>
      </c>
      <c r="K276">
        <f>VLOOKUP(A276,[1]Pricing!$A:$G,7,FALSE)</f>
        <v>5000</v>
      </c>
      <c r="L276" t="s">
        <v>1960</v>
      </c>
      <c r="M276" t="str">
        <f t="shared" si="11"/>
        <v>615-901302-221</v>
      </c>
    </row>
    <row r="277" spans="1:13" x14ac:dyDescent="0.25">
      <c r="A277" t="s">
        <v>1383</v>
      </c>
      <c r="B277" s="14" t="str">
        <f>VLOOKUP(A277,[1]Pricing!$A:$R,18,FALSE)</f>
        <v>RC0805JR-07100KL</v>
      </c>
      <c r="C277" t="s">
        <v>2617</v>
      </c>
      <c r="D277" t="str">
        <f>VLOOKUP(A277,[1]AVL!$A:$F,6,FALSE)</f>
        <v>RES,SMD,0805,100K,5%,1/10W,ROHS</v>
      </c>
      <c r="E277" t="str">
        <f>VLOOKUP(A277,[1]Pricing!$A:$F,6,FALSE)</f>
        <v>3 Weeks</v>
      </c>
      <c r="F277">
        <f>VLOOKUP(B277,[2]Sheet2!$B:$E,4,FALSE)</f>
        <v>5000</v>
      </c>
      <c r="G277" s="2">
        <f>VLOOKUP(A277,[1]Pricing!$A:$H,8,FALSE)</f>
        <v>3.6770000000000001E-3</v>
      </c>
      <c r="H277" s="2">
        <f>VLOOKUP(A277,[1]Pricing!$A:$J,10,FALSE)</f>
        <v>4.4841463414634153E-3</v>
      </c>
      <c r="I277">
        <f>VLOOKUP(A277,MIN!A:B,2,FALSE)</f>
        <v>15</v>
      </c>
      <c r="J277" t="str">
        <f t="shared" si="10"/>
        <v>NO</v>
      </c>
      <c r="K277">
        <f>VLOOKUP(A277,[1]Pricing!$A:$G,7,FALSE)</f>
        <v>5000</v>
      </c>
      <c r="L277" t="s">
        <v>1960</v>
      </c>
      <c r="M277" t="str">
        <f t="shared" si="11"/>
        <v>615-901294-104</v>
      </c>
    </row>
    <row r="278" spans="1:13" x14ac:dyDescent="0.25">
      <c r="A278" t="s">
        <v>1385</v>
      </c>
      <c r="B278" s="14" t="str">
        <f>VLOOKUP(A278,[1]Pricing!$A:$R,18,FALSE)</f>
        <v>RC0805JR-07680RL</v>
      </c>
      <c r="C278" t="s">
        <v>2580</v>
      </c>
      <c r="D278" t="str">
        <f>VLOOKUP(A278,[1]AVL!$A:$F,6,FALSE)</f>
        <v>RES,SMD,0805,680 OHM,5%,1/10W,ROHS</v>
      </c>
      <c r="E278" t="str">
        <f>VLOOKUP(A278,[1]Pricing!$A:$F,6,FALSE)</f>
        <v>3 Weeks</v>
      </c>
      <c r="F278">
        <f>VLOOKUP(B278,[2]Sheet2!$B:$E,4,FALSE)</f>
        <v>5000</v>
      </c>
      <c r="G278" s="2">
        <f>VLOOKUP(A278,[1]Pricing!$A:$H,8,FALSE)</f>
        <v>4.9020000000000001E-3</v>
      </c>
      <c r="H278" s="2">
        <f>VLOOKUP(A278,[1]Pricing!$A:$J,10,FALSE)</f>
        <v>5.9780487804878052E-3</v>
      </c>
      <c r="I278">
        <f>VLOOKUP(A278,MIN!A:B,2,FALSE)</f>
        <v>25</v>
      </c>
      <c r="J278" t="str">
        <f t="shared" si="10"/>
        <v>NO</v>
      </c>
      <c r="K278">
        <f>VLOOKUP(A278,[1]Pricing!$A:$G,7,FALSE)</f>
        <v>5000</v>
      </c>
      <c r="L278" t="s">
        <v>1960</v>
      </c>
      <c r="M278" t="str">
        <f t="shared" si="11"/>
        <v>615-901294-681</v>
      </c>
    </row>
    <row r="279" spans="1:13" x14ac:dyDescent="0.25">
      <c r="A279" t="s">
        <v>1421</v>
      </c>
      <c r="B279" s="14" t="str">
        <f>VLOOKUP(A279,[1]Pricing!$A:$R,18,FALSE)</f>
        <v>RC1206JR-070RL</v>
      </c>
      <c r="C279" t="s">
        <v>2617</v>
      </c>
      <c r="D279" t="str">
        <f>VLOOKUP(A279,[1]AVL!$A:$F,6,FALSE)</f>
        <v>RES,SMD,THKF,1206,0 OHM,5%,1/4W,ROHS</v>
      </c>
      <c r="E279" t="str">
        <f>VLOOKUP(A279,[1]Pricing!$A:$F,6,FALSE)</f>
        <v>24 Weeks</v>
      </c>
      <c r="F279">
        <f>VLOOKUP(B279,[2]Sheet2!$B:$E,4,FALSE)</f>
        <v>5000</v>
      </c>
      <c r="G279" s="2">
        <f>VLOOKUP(A279,[1]Pricing!$A:$H,8,FALSE)</f>
        <v>6.1279999999999998E-3</v>
      </c>
      <c r="H279" s="2">
        <f>VLOOKUP(A279,[1]Pricing!$A:$J,10,FALSE)</f>
        <v>7.4731707317073175E-3</v>
      </c>
      <c r="I279">
        <f>VLOOKUP(A279,MIN!A:B,2,FALSE)</f>
        <v>25</v>
      </c>
      <c r="J279" t="str">
        <f t="shared" si="10"/>
        <v>NO</v>
      </c>
      <c r="K279">
        <f>VLOOKUP(A279,[1]Pricing!$A:$G,7,FALSE)</f>
        <v>5000</v>
      </c>
      <c r="L279" t="s">
        <v>1960</v>
      </c>
      <c r="M279" t="str">
        <f t="shared" si="11"/>
        <v>615-032231-040</v>
      </c>
    </row>
    <row r="280" spans="1:13" x14ac:dyDescent="0.25">
      <c r="A280" t="s">
        <v>34</v>
      </c>
      <c r="B280" s="14" t="str">
        <f>VLOOKUP(A280,[1]Pricing!$A:$R,18,FALSE)</f>
        <v>10090929-S264XLF</v>
      </c>
      <c r="C280" t="s">
        <v>2586</v>
      </c>
      <c r="D280" t="str">
        <f>VLOOKUP(A280,[1]AVL!$A:$F,6,FALSE)</f>
        <v>CONN,RCPT,DSUB HD,26 POSN,2.5A,W/BD LOCK</v>
      </c>
      <c r="E280" t="str">
        <f>VLOOKUP(A280,[1]Pricing!$A:$F,6,FALSE)</f>
        <v>13 Weeks</v>
      </c>
      <c r="F280">
        <f>VLOOKUP(B280,[2]Sheet2!$B:$E,4,FALSE)</f>
        <v>1534</v>
      </c>
      <c r="G280" s="2">
        <f>VLOOKUP(A280,[1]Pricing!$A:$H,8,FALSE)</f>
        <v>1.8137399999999999</v>
      </c>
      <c r="H280" s="2">
        <f>VLOOKUP(A280,[1]Pricing!$A:$J,10,FALSE)</f>
        <v>2.2118780487804877</v>
      </c>
      <c r="I280">
        <f>VLOOKUP(A280,MIN!A:B,2,FALSE)</f>
        <v>15</v>
      </c>
      <c r="J280" t="str">
        <f t="shared" si="10"/>
        <v>NO</v>
      </c>
      <c r="K280">
        <f>VLOOKUP(A280,[1]Pricing!$A:$G,7,FALSE)</f>
        <v>1540</v>
      </c>
      <c r="L280" t="s">
        <v>1960</v>
      </c>
      <c r="M280" t="str">
        <f t="shared" si="11"/>
        <v>668-335595-001</v>
      </c>
    </row>
    <row r="281" spans="1:13" x14ac:dyDescent="0.25">
      <c r="A281" t="s">
        <v>295</v>
      </c>
      <c r="B281" s="14">
        <f>VLOOKUP(A281,[1]Pricing!$A:$R,18,FALSE)</f>
        <v>5019530307</v>
      </c>
      <c r="C281" t="s">
        <v>2610</v>
      </c>
      <c r="D281" t="str">
        <f>VLOOKUP(A281,[1]AVL!$A:$F,6,FALSE)</f>
        <v>CONN,SMD,HDR,3PIN,1MM PITCH,SN PLD,RTANG</v>
      </c>
      <c r="E281" t="str">
        <f>VLOOKUP(A281,[1]Pricing!$A:$F,6,FALSE)</f>
        <v>3 Weeks</v>
      </c>
      <c r="F281">
        <f>VLOOKUP(B281,[2]Sheet2!$B:$E,4,FALSE)</f>
        <v>24</v>
      </c>
      <c r="G281" s="2">
        <f>VLOOKUP(A281,[1]Pricing!$A:$H,8,FALSE)</f>
        <v>0.307674</v>
      </c>
      <c r="H281" s="2">
        <f>VLOOKUP(A281,[1]Pricing!$A:$J,10,FALSE)</f>
        <v>0.37521219512195125</v>
      </c>
      <c r="I281">
        <f>VLOOKUP(A281,MIN!A:B,2,FALSE)</f>
        <v>25</v>
      </c>
      <c r="J281" t="s">
        <v>2744</v>
      </c>
      <c r="K281">
        <f>VLOOKUP(A281,[1]Pricing!$A:$G,7,FALSE)</f>
        <v>1300</v>
      </c>
      <c r="L281" t="s">
        <v>2689</v>
      </c>
      <c r="M281" t="str">
        <f t="shared" si="11"/>
        <v>667-A73672-003</v>
      </c>
    </row>
    <row r="282" spans="1:13" x14ac:dyDescent="0.25">
      <c r="A282" t="s">
        <v>295</v>
      </c>
      <c r="B282" s="14">
        <f>VLOOKUP(A282,[1]Pricing!$A:$R,18,FALSE)</f>
        <v>5019530307</v>
      </c>
      <c r="C282" t="s">
        <v>2610</v>
      </c>
      <c r="D282" t="str">
        <f>VLOOKUP(A282,[1]AVL!$A:$F,6,FALSE)</f>
        <v>CONN,SMD,HDR,3PIN,1MM PITCH,SN PLD,RTANG</v>
      </c>
      <c r="E282" t="str">
        <f>VLOOKUP(A282,[1]Pricing!$A:$F,6,FALSE)</f>
        <v>3 Weeks</v>
      </c>
      <c r="F282">
        <v>1254</v>
      </c>
      <c r="G282" s="2">
        <f>VLOOKUP(A282,[1]Pricing!$A:$H,8,FALSE)</f>
        <v>0.307674</v>
      </c>
      <c r="H282" s="2">
        <f>VLOOKUP(A282,[1]Pricing!$A:$J,10,FALSE)</f>
        <v>0.37521219512195125</v>
      </c>
      <c r="I282">
        <f>VLOOKUP(A282,MIN!A:B,2,FALSE)</f>
        <v>25</v>
      </c>
      <c r="J282" t="str">
        <f t="shared" ref="J282" si="12">IF(F282&lt;=I282,"REORDER","NO")</f>
        <v>NO</v>
      </c>
      <c r="K282">
        <f>VLOOKUP(A282,[1]Pricing!$A:$G,7,FALSE)</f>
        <v>1300</v>
      </c>
      <c r="L282" t="s">
        <v>1960</v>
      </c>
    </row>
    <row r="283" spans="1:13" x14ac:dyDescent="0.25">
      <c r="A283" t="s">
        <v>1598</v>
      </c>
      <c r="B283" s="14" t="str">
        <f>VLOOKUP(A283,[1]Pricing!$A:$R,18,FALSE)</f>
        <v>S1621-46</v>
      </c>
      <c r="C283" t="s">
        <v>2657</v>
      </c>
      <c r="D283" t="str">
        <f>VLOOKUP(A283,[1]AVL!$A:$F,6,FALSE)</f>
        <v>TERM,SMD,JUMPER</v>
      </c>
      <c r="E283" t="str">
        <f>VLOOKUP(A283,[1]Pricing!$A:$F,6,FALSE)</f>
        <v>23 Weeks</v>
      </c>
      <c r="F283">
        <f>VLOOKUP(B283,[2]Sheet2!$B:$E,4,FALSE)</f>
        <v>1000</v>
      </c>
      <c r="G283" s="2">
        <f>VLOOKUP(A283,[1]Pricing!$A:$H,8,FALSE)</f>
        <v>0.112746</v>
      </c>
      <c r="H283" s="2">
        <f>VLOOKUP(A283,[1]Pricing!$A:$J,10,FALSE)</f>
        <v>0.13749512195121952</v>
      </c>
      <c r="I283">
        <f>VLOOKUP(A283,MIN!A:B,2,FALSE)</f>
        <v>25</v>
      </c>
      <c r="J283" t="str">
        <f t="shared" si="10"/>
        <v>NO</v>
      </c>
      <c r="K283">
        <f>VLOOKUP(A283,[1]Pricing!$A:$G,7,FALSE)</f>
        <v>1000</v>
      </c>
      <c r="L283" t="s">
        <v>1960</v>
      </c>
      <c r="M283" t="str">
        <f t="shared" si="11"/>
        <v>674-130057-001</v>
      </c>
    </row>
    <row r="284" spans="1:13" x14ac:dyDescent="0.25">
      <c r="A284" t="s">
        <v>416</v>
      </c>
      <c r="B284" s="14" t="str">
        <f>VLOOKUP(A284,[1]Pricing!$A:$R,18,FALSE)</f>
        <v>76HPSB02GWRT</v>
      </c>
      <c r="C284" t="s">
        <v>2638</v>
      </c>
      <c r="D284" t="str">
        <f>VLOOKUP(A284,[1]AVL!$A:$F,6,FALSE)</f>
        <v>SW,SMD,DIP STRAIGHT 2 POLES,ROHS</v>
      </c>
      <c r="E284" t="str">
        <f>VLOOKUP(A284,[1]Pricing!$A:$F,6,FALSE)</f>
        <v>12 Weeks</v>
      </c>
      <c r="F284">
        <f>VLOOKUP(B284,[2]Sheet2!$B:$E,4,FALSE)</f>
        <v>500</v>
      </c>
      <c r="G284" s="2">
        <f>VLOOKUP(A284,[1]Pricing!$A:$H,8,FALSE)</f>
        <v>2.8676699999999999</v>
      </c>
      <c r="H284" s="2">
        <f>VLOOKUP(A284,[1]Pricing!$A:$J,10,FALSE)</f>
        <v>3.4971585365853661</v>
      </c>
      <c r="I284">
        <f>VLOOKUP(A284,MIN!A:B,2,FALSE)</f>
        <v>25</v>
      </c>
      <c r="J284" t="str">
        <f t="shared" si="10"/>
        <v>NO</v>
      </c>
      <c r="K284">
        <f>VLOOKUP(A284,[1]Pricing!$A:$G,7,FALSE)</f>
        <v>500</v>
      </c>
      <c r="L284" t="s">
        <v>1960</v>
      </c>
      <c r="M284" t="str">
        <f t="shared" si="11"/>
        <v>646-130453-002</v>
      </c>
    </row>
    <row r="285" spans="1:13" x14ac:dyDescent="0.25">
      <c r="A285" t="s">
        <v>381</v>
      </c>
      <c r="B285" s="14" t="str">
        <f>VLOOKUP(A285,[1]Pricing!$A:$R,18,FALSE)</f>
        <v>65474-010LF</v>
      </c>
      <c r="C285" t="s">
        <v>2658</v>
      </c>
      <c r="D285" t="str">
        <f>VLOOKUP(A285,[1]AVL!$A:$F,6,FALSE)</f>
        <v>JUMPER  FEMALE .100 CENTERS,ROHS</v>
      </c>
      <c r="E285" t="str">
        <f>VLOOKUP(A285,[1]Pricing!$A:$F,6,FALSE)</f>
        <v>3 Weeks</v>
      </c>
      <c r="F285">
        <f>VLOOKUP(B285,[2]Sheet2!$B:$E,4,FALSE)</f>
        <v>439</v>
      </c>
      <c r="G285" s="2">
        <f>VLOOKUP(A285,[1]Pricing!$A:$H,8,FALSE)</f>
        <v>0.36764999999999998</v>
      </c>
      <c r="H285" s="2">
        <f>VLOOKUP(A285,[1]Pricing!$A:$J,10,FALSE)</f>
        <v>0.44835365853658538</v>
      </c>
      <c r="I285">
        <f>VLOOKUP(A285,MIN!A:B,2,FALSE)</f>
        <v>15</v>
      </c>
      <c r="J285" t="str">
        <f t="shared" si="10"/>
        <v>NO</v>
      </c>
      <c r="K285">
        <f>VLOOKUP(A285,[1]Pricing!$A:$G,7,FALSE)</f>
        <v>500</v>
      </c>
      <c r="L285" t="s">
        <v>1960</v>
      </c>
      <c r="M285" t="str">
        <f t="shared" si="11"/>
        <v>669-007340-001</v>
      </c>
    </row>
    <row r="286" spans="1:13" x14ac:dyDescent="0.25">
      <c r="A286" t="s">
        <v>350</v>
      </c>
      <c r="B286" s="14" t="str">
        <f>VLOOKUP(A286,[1]Pricing!$A:$R,18,FALSE)</f>
        <v>5650919-5</v>
      </c>
      <c r="C286" t="s">
        <v>2599</v>
      </c>
      <c r="D286" t="str">
        <f>VLOOKUP(A286,[1]AVL!$A:$F,6,FALSE)</f>
        <v>CONN,PLUG,DIN,120 PIN,VERT,ROHS</v>
      </c>
      <c r="E286" t="str">
        <f>VLOOKUP(A286,[1]Pricing!$A:$F,6,FALSE)</f>
        <v>14 Weeks</v>
      </c>
      <c r="F286">
        <f>VLOOKUP(B286,[2]Sheet2!$B:$E,4,FALSE)</f>
        <v>401</v>
      </c>
      <c r="G286" s="2">
        <f>VLOOKUP(A286,[1]Pricing!$A:$H,8,FALSE)</f>
        <v>8.5049700000000001</v>
      </c>
      <c r="H286" s="2">
        <f>VLOOKUP(A286,[1]Pricing!$A:$J,10,FALSE)</f>
        <v>10.371914634146343</v>
      </c>
      <c r="I286">
        <f>VLOOKUP(A286,MIN!A:B,2,FALSE)</f>
        <v>15</v>
      </c>
      <c r="J286" t="str">
        <f t="shared" si="10"/>
        <v>NO</v>
      </c>
      <c r="K286">
        <f>VLOOKUP(A286,[1]Pricing!$A:$G,7,FALSE)</f>
        <v>600</v>
      </c>
      <c r="L286" t="s">
        <v>1960</v>
      </c>
      <c r="M286" t="str">
        <f t="shared" si="11"/>
        <v>668-129989-001</v>
      </c>
    </row>
    <row r="287" spans="1:13" x14ac:dyDescent="0.25">
      <c r="A287" t="s">
        <v>370</v>
      </c>
      <c r="B287" s="14" t="str">
        <f>VLOOKUP(A287,[1]Pricing!$A:$R,18,FALSE)</f>
        <v>61083-124402LF</v>
      </c>
      <c r="C287" t="s">
        <v>2586</v>
      </c>
      <c r="D287" t="str">
        <f>VLOOKUP(A287,[1]AVL!$A:$F,6,FALSE)</f>
        <v>CONN,SMD,HDR,2 ROW,0.8MM,120POSN,7.7MM</v>
      </c>
      <c r="E287" t="str">
        <f>VLOOKUP(A287,[1]Pricing!$A:$F,6,FALSE)</f>
        <v>9 Weeks</v>
      </c>
      <c r="F287">
        <f>VLOOKUP(B287,[2]Sheet2!$B:$E,4,FALSE)</f>
        <v>313</v>
      </c>
      <c r="G287" s="2">
        <f>VLOOKUP(A287,[1]Pricing!$A:$H,8,FALSE)</f>
        <v>5.7108299999999996</v>
      </c>
      <c r="H287" s="2">
        <f>VLOOKUP(A287,[1]Pricing!$A:$J,10,FALSE)</f>
        <v>6.9644268292682927</v>
      </c>
      <c r="I287">
        <f>VLOOKUP(A287,MIN!A:B,2,FALSE)</f>
        <v>25</v>
      </c>
      <c r="J287" t="str">
        <f t="shared" si="10"/>
        <v>NO</v>
      </c>
      <c r="K287">
        <f>VLOOKUP(A287,[1]Pricing!$A:$G,7,FALSE)</f>
        <v>400</v>
      </c>
      <c r="L287" t="s">
        <v>1960</v>
      </c>
      <c r="M287" t="str">
        <f t="shared" si="11"/>
        <v>667-160101-002</v>
      </c>
    </row>
    <row r="288" spans="1:13" x14ac:dyDescent="0.25">
      <c r="A288" t="s">
        <v>946</v>
      </c>
      <c r="B288" s="14" t="str">
        <f>VLOOKUP(A288,[1]Pricing!$A:$R,18,FALSE)</f>
        <v>HPP845E031R4</v>
      </c>
      <c r="C288" t="s">
        <v>2599</v>
      </c>
      <c r="D288" t="str">
        <f>VLOOKUP(A288,[1]AVL!$A:$F,6,FALSE)</f>
        <v>IC,SENSOR HUMID/TEMP 3V I2C 2% SMD</v>
      </c>
      <c r="E288" t="str">
        <f>VLOOKUP(A288,[1]Pricing!$A:$F,6,FALSE)</f>
        <v>13 Weeks</v>
      </c>
      <c r="F288">
        <f>VLOOKUP(B288,[2]Sheet2!$B:$E,4,FALSE)</f>
        <v>399</v>
      </c>
      <c r="G288" s="2">
        <f>VLOOKUP(A288,[1]Pricing!$A:$H,8,FALSE)</f>
        <v>2.4387449999999999</v>
      </c>
      <c r="H288" s="2">
        <f>VLOOKUP(A288,[1]Pricing!$A:$J,10,FALSE)</f>
        <v>2.9740792682926829</v>
      </c>
      <c r="I288">
        <f>VLOOKUP(A288,MIN!A:B,2,FALSE)</f>
        <v>15</v>
      </c>
      <c r="J288" t="str">
        <f t="shared" si="10"/>
        <v>NO</v>
      </c>
      <c r="K288">
        <f>VLOOKUP(A288,[1]Pricing!$A:$G,7,FALSE)</f>
        <v>400</v>
      </c>
      <c r="L288" t="s">
        <v>1960</v>
      </c>
      <c r="M288" t="str">
        <f t="shared" si="11"/>
        <v>630-307927-001</v>
      </c>
    </row>
    <row r="289" spans="1:13" x14ac:dyDescent="0.25">
      <c r="A289" t="s">
        <v>28</v>
      </c>
      <c r="B289" s="14" t="str">
        <f>VLOOKUP(A289,[1]Pricing!$A:$R,18,FALSE)</f>
        <v>10080054-079LF</v>
      </c>
      <c r="C289" t="s">
        <v>2659</v>
      </c>
      <c r="D289" t="str">
        <f>VLOOKUP(A289,[1]AVL!$A:$F,6,FALSE)</f>
        <v>CONN,PLUG,HEADER,20 PIN,VERT,ROHS</v>
      </c>
      <c r="E289" t="str">
        <f>VLOOKUP(A289,[1]Pricing!$A:$F,6,FALSE)</f>
        <v>23 Weeks</v>
      </c>
      <c r="F289">
        <f>VLOOKUP(B289,[2]Sheet2!$B:$E,4,FALSE)</f>
        <v>311</v>
      </c>
      <c r="G289" s="2">
        <f>VLOOKUP(A289,[1]Pricing!$A:$H,8,FALSE)</f>
        <v>3.8718940000000002</v>
      </c>
      <c r="H289" s="2">
        <f>VLOOKUP(A289,[1]Pricing!$A:$J,10,FALSE)</f>
        <v>4.7218219512195123</v>
      </c>
      <c r="I289">
        <f>VLOOKUP(A289,MIN!A:B,2,FALSE)</f>
        <v>15</v>
      </c>
      <c r="J289" t="str">
        <f t="shared" si="10"/>
        <v>NO</v>
      </c>
      <c r="K289">
        <f>VLOOKUP(A289,[1]Pricing!$A:$G,7,FALSE)</f>
        <v>360</v>
      </c>
      <c r="L289" t="s">
        <v>1960</v>
      </c>
      <c r="M289" t="str">
        <f t="shared" si="11"/>
        <v>668-130332-001</v>
      </c>
    </row>
    <row r="290" spans="1:13" x14ac:dyDescent="0.25">
      <c r="A290" t="s">
        <v>368</v>
      </c>
      <c r="B290" s="14" t="str">
        <f>VLOOKUP(A290,[1]Pricing!$A:$R,18,FALSE)</f>
        <v>61082-102400LF</v>
      </c>
      <c r="C290" t="s">
        <v>2586</v>
      </c>
      <c r="D290" t="str">
        <f>VLOOKUP(A290,[1]AVL!$A:$F,6,FALSE)</f>
        <v>CONN,SMD,RCPT,2ROW,100POSN,0.8MM PITCH</v>
      </c>
      <c r="E290" t="str">
        <f>VLOOKUP(A290,[1]Pricing!$A:$F,6,FALSE)</f>
        <v>9 Weeks</v>
      </c>
      <c r="F290">
        <f>VLOOKUP(B290,[2]Sheet2!$B:$E,4,FALSE)</f>
        <v>155</v>
      </c>
      <c r="G290" s="2">
        <f>VLOOKUP(A290,[1]Pricing!$A:$H,8,FALSE)</f>
        <v>4.1122880000000004</v>
      </c>
      <c r="H290" s="2">
        <f>VLOOKUP(A290,[1]Pricing!$A:$J,10,FALSE)</f>
        <v>5.0149853658536596</v>
      </c>
      <c r="I290">
        <f>VLOOKUP(A290,MIN!A:B,2,FALSE)</f>
        <v>15</v>
      </c>
      <c r="J290" t="str">
        <f t="shared" si="10"/>
        <v>NO</v>
      </c>
      <c r="K290">
        <f>VLOOKUP(A290,[1]Pricing!$A:$G,7,FALSE)</f>
        <v>200</v>
      </c>
      <c r="L290" t="s">
        <v>1960</v>
      </c>
      <c r="M290" t="str">
        <f t="shared" si="11"/>
        <v>667-A53008-010</v>
      </c>
    </row>
    <row r="291" spans="1:13" x14ac:dyDescent="0.25">
      <c r="A291" t="s">
        <v>30</v>
      </c>
      <c r="B291" s="14" t="str">
        <f>VLOOKUP(A291,[1]Pricing!$A:$R,18,FALSE)</f>
        <v>10090926-P444VLF</v>
      </c>
      <c r="C291" t="s">
        <v>2586</v>
      </c>
      <c r="D291" t="str">
        <f>VLOOKUP(A291,[1]AVL!$A:$F,6,FALSE)</f>
        <v>CONN,D-SUB,H-DENSITY,MALE,44POSN,RTANG</v>
      </c>
      <c r="E291" t="str">
        <f>VLOOKUP(A291,[1]Pricing!$A:$F,6,FALSE)</f>
        <v>13 Weeks</v>
      </c>
      <c r="F291">
        <f>VLOOKUP(B291,[2]Sheet2!$B:$E,4,FALSE)</f>
        <v>200</v>
      </c>
      <c r="G291" s="2">
        <f>VLOOKUP(A291,[1]Pricing!$A:$H,8,FALSE)</f>
        <v>2.9653420000000001</v>
      </c>
      <c r="H291" s="2">
        <f>VLOOKUP(A291,[1]Pricing!$A:$J,10,FALSE)</f>
        <v>3.6162707317073175</v>
      </c>
      <c r="I291">
        <f>VLOOKUP(A291,MIN!A:B,2,FALSE)</f>
        <v>25</v>
      </c>
      <c r="J291" t="str">
        <f t="shared" si="10"/>
        <v>NO</v>
      </c>
      <c r="K291">
        <f>VLOOKUP(A291,[1]Pricing!$A:$G,7,FALSE)</f>
        <v>200</v>
      </c>
      <c r="L291" t="s">
        <v>1960</v>
      </c>
      <c r="M291" t="str">
        <f t="shared" si="11"/>
        <v>668-A20995-044</v>
      </c>
    </row>
    <row r="292" spans="1:13" x14ac:dyDescent="0.25">
      <c r="A292" t="s">
        <v>281</v>
      </c>
      <c r="B292" s="14" t="str">
        <f>VLOOKUP(A292,[1]Pricing!$A:$R,18,FALSE)</f>
        <v>43160-0106</v>
      </c>
      <c r="C292" t="s">
        <v>2610</v>
      </c>
      <c r="D292" t="str">
        <f>VLOOKUP(A292,[1]AVL!$A:$F,6,FALSE)</f>
        <v>CONN,HDR,6CKT,7.5MM PITCH,18A,600V,TH</v>
      </c>
      <c r="E292" t="str">
        <f>VLOOKUP(A292,[1]Pricing!$A:$F,6,FALSE)</f>
        <v>27 Weeks</v>
      </c>
      <c r="F292">
        <f>VLOOKUP(B292,[2]Sheet2!$B:$E,4,FALSE)</f>
        <v>200</v>
      </c>
      <c r="G292" s="2">
        <f>VLOOKUP(A292,[1]Pricing!$A:$H,8,FALSE)</f>
        <v>1.7524649999999999</v>
      </c>
      <c r="H292" s="2">
        <f>VLOOKUP(A292,[1]Pricing!$A:$J,10,FALSE)</f>
        <v>2.1371524390243901</v>
      </c>
      <c r="I292">
        <f>VLOOKUP(A292,MIN!A:B,2,FALSE)</f>
        <v>15</v>
      </c>
      <c r="J292" t="str">
        <f t="shared" si="10"/>
        <v>NO</v>
      </c>
      <c r="K292">
        <f>VLOOKUP(A292,[1]Pricing!$A:$G,7,FALSE)</f>
        <v>200</v>
      </c>
      <c r="L292" t="s">
        <v>1960</v>
      </c>
      <c r="M292" t="str">
        <f t="shared" si="11"/>
        <v>668-A66066-006</v>
      </c>
    </row>
    <row r="293" spans="1:13" x14ac:dyDescent="0.25">
      <c r="A293" t="s">
        <v>279</v>
      </c>
      <c r="B293" s="14" t="str">
        <f>VLOOKUP(A293,[1]Pricing!$A:$R,18,FALSE)</f>
        <v>43160-0105</v>
      </c>
      <c r="C293" t="s">
        <v>2610</v>
      </c>
      <c r="D293" t="str">
        <f>VLOOKUP(A293,[1]AVL!$A:$F,6,FALSE)</f>
        <v>CONN,HDR,5CKT,7.5MM PITCH,18A,600V,TH</v>
      </c>
      <c r="E293" t="str">
        <f>VLOOKUP(A293,[1]Pricing!$A:$F,6,FALSE)</f>
        <v>23 Weeks</v>
      </c>
      <c r="F293">
        <f>VLOOKUP(B293,[2]Sheet2!$B:$E,4,FALSE)</f>
        <v>200</v>
      </c>
      <c r="G293" s="2">
        <f>VLOOKUP(A293,[1]Pricing!$A:$H,8,FALSE)</f>
        <v>1.8269599999999999</v>
      </c>
      <c r="H293" s="2">
        <f>VLOOKUP(A293,[1]Pricing!$A:$J,10,FALSE)</f>
        <v>2.2280000000000002</v>
      </c>
      <c r="I293">
        <f>VLOOKUP(A293,MIN!A:B,2,FALSE)</f>
        <v>15</v>
      </c>
      <c r="J293" t="str">
        <f t="shared" si="10"/>
        <v>NO</v>
      </c>
      <c r="K293">
        <f>VLOOKUP(A293,[1]Pricing!$A:$G,7,FALSE)</f>
        <v>200</v>
      </c>
      <c r="L293" t="s">
        <v>1960</v>
      </c>
      <c r="M293" t="str">
        <f t="shared" si="11"/>
        <v>668-A66066-005</v>
      </c>
    </row>
    <row r="294" spans="1:13" x14ac:dyDescent="0.25">
      <c r="A294" t="s">
        <v>1026</v>
      </c>
      <c r="B294" s="14" t="str">
        <f>VLOOKUP(A294,[1]Pricing!$A:$R,18,FALSE)</f>
        <v>L77DA15SF179A</v>
      </c>
      <c r="C294" t="s">
        <v>2586</v>
      </c>
      <c r="D294" t="str">
        <f>VLOOKUP(A294,[1]AVL!$A:$F,6,FALSE)</f>
        <v>CONN,D-SUB,RCPT,15 POSN,WIRE-WRAP TERMN</v>
      </c>
      <c r="E294" t="str">
        <f>VLOOKUP(A294,[1]Pricing!$A:$F,6,FALSE)</f>
        <v>17 Weeks</v>
      </c>
      <c r="F294">
        <f>VLOOKUP(B294,[2]Sheet2!$B:$E,4,FALSE)</f>
        <v>172</v>
      </c>
      <c r="G294" s="2">
        <f>VLOOKUP(A294,[1]Pricing!$A:$H,8,FALSE)</f>
        <v>7.7786770000000001</v>
      </c>
      <c r="H294" s="2">
        <f>VLOOKUP(A294,[1]Pricing!$A:$J,10,FALSE)</f>
        <v>9.4861914634146345</v>
      </c>
      <c r="I294">
        <f>VLOOKUP(A294,MIN!A:B,2,FALSE)</f>
        <v>15</v>
      </c>
      <c r="J294" t="str">
        <f t="shared" si="10"/>
        <v>NO</v>
      </c>
      <c r="K294">
        <f>VLOOKUP(A294,[1]Pricing!$A:$G,7,FALSE)</f>
        <v>400</v>
      </c>
      <c r="L294" t="s">
        <v>1960</v>
      </c>
      <c r="M294" t="str">
        <f t="shared" si="11"/>
        <v>668-A79668-015</v>
      </c>
    </row>
    <row r="295" spans="1:13" x14ac:dyDescent="0.25">
      <c r="A295" t="s">
        <v>392</v>
      </c>
      <c r="B295" s="14">
        <f>VLOOKUP(A295,[1]Pricing!$A:$R,18,FALSE)</f>
        <v>732055033</v>
      </c>
      <c r="C295" t="s">
        <v>2610</v>
      </c>
      <c r="D295" t="str">
        <f>VLOOKUP(A295,[1]AVL!$A:$F,6,FALSE)</f>
        <v>CONN,RCPT,TNC,50 OHM,RT ANGLE</v>
      </c>
      <c r="E295" t="str">
        <f>VLOOKUP(A295,[1]Pricing!$A:$F,6,FALSE)</f>
        <v>3 Weeks</v>
      </c>
      <c r="F295">
        <f>VLOOKUP(B295,[2]Sheet2!$B:$E,4,FALSE)</f>
        <v>50</v>
      </c>
      <c r="G295" s="2">
        <f>VLOOKUP(A295,[1]Pricing!$A:$H,8,FALSE)</f>
        <v>3.517185</v>
      </c>
      <c r="H295" s="2">
        <f>VLOOKUP(A295,[1]Pricing!$A:$J,10,FALSE)</f>
        <v>4.28925</v>
      </c>
      <c r="I295">
        <f>VLOOKUP(A295,MIN!A:B,2,FALSE)</f>
        <v>25</v>
      </c>
      <c r="J295" t="str">
        <f t="shared" si="10"/>
        <v>NO</v>
      </c>
      <c r="K295">
        <f>VLOOKUP(A295,[1]Pricing!$A:$G,7,FALSE)</f>
        <v>50</v>
      </c>
      <c r="L295" t="s">
        <v>1960</v>
      </c>
      <c r="M295" t="str">
        <f t="shared" si="11"/>
        <v>668-266373-001</v>
      </c>
    </row>
    <row r="296" spans="1:13" x14ac:dyDescent="0.25">
      <c r="A296" t="s">
        <v>521</v>
      </c>
      <c r="B296" s="14" t="str">
        <f>VLOOKUP(A296,[1]Pricing!$A:$R,18,FALSE)</f>
        <v>ATQR12</v>
      </c>
      <c r="C296" t="s">
        <v>2660</v>
      </c>
      <c r="D296" t="str">
        <f>VLOOKUP(A296,[1]AVL!$A:$F,6,FALSE)</f>
        <v>FUSE,CLASS CC,600V,TIME DLY,12 AMP</v>
      </c>
      <c r="E296" t="str">
        <f>VLOOKUP(A296,[1]Pricing!$A:$F,6,FALSE)</f>
        <v>17 Weeks</v>
      </c>
      <c r="F296">
        <f>VLOOKUP(B296,[2]Sheet2!$B:$E,4,FALSE)</f>
        <v>50</v>
      </c>
      <c r="G296" s="2">
        <f>VLOOKUP(A296,[1]Pricing!$A:$H,8,FALSE)</f>
        <v>51.283988999999998</v>
      </c>
      <c r="H296" s="2">
        <f>VLOOKUP(A296,[1]Pricing!$A:$J,10,FALSE)</f>
        <v>62.541450000000005</v>
      </c>
      <c r="I296">
        <f>VLOOKUP(A296,MIN!A:B,2,FALSE)</f>
        <v>25</v>
      </c>
      <c r="J296" t="str">
        <f t="shared" si="10"/>
        <v>NO</v>
      </c>
      <c r="K296">
        <f>VLOOKUP(A296,[1]Pricing!$A:$G,7,FALSE)</f>
        <v>50</v>
      </c>
      <c r="L296" t="s">
        <v>1960</v>
      </c>
      <c r="M296" t="str">
        <f t="shared" si="11"/>
        <v>670-037698-039</v>
      </c>
    </row>
    <row r="297" spans="1:13" x14ac:dyDescent="0.25">
      <c r="A297" t="s">
        <v>523</v>
      </c>
      <c r="B297" s="14" t="str">
        <f>VLOOKUP(A297,[1]Pricing!$A:$R,18,FALSE)</f>
        <v>ATQR15</v>
      </c>
      <c r="C297" t="s">
        <v>2661</v>
      </c>
      <c r="D297" t="str">
        <f>VLOOKUP(A297,[1]AVL!$A:$F,6,FALSE)</f>
        <v>FUSE,CLASS CC,600V,TIME DLY,15 AMP</v>
      </c>
      <c r="E297" t="str">
        <f>VLOOKUP(A297,[1]Pricing!$A:$F,6,FALSE)</f>
        <v>3 Weeks</v>
      </c>
      <c r="F297">
        <f>VLOOKUP(B297,[2]Sheet2!$B:$E,4,FALSE)</f>
        <v>100</v>
      </c>
      <c r="G297" s="2">
        <f>VLOOKUP(A297,[1]Pricing!$A:$H,8,FALSE)</f>
        <v>48.358800000000002</v>
      </c>
      <c r="H297" s="2">
        <f>VLOOKUP(A297,[1]Pricing!$A:$J,10,FALSE)</f>
        <v>58.974146341463424</v>
      </c>
      <c r="I297">
        <f>VLOOKUP(A297,MIN!A:B,2,FALSE)</f>
        <v>25</v>
      </c>
      <c r="J297" t="str">
        <f t="shared" si="10"/>
        <v>NO</v>
      </c>
      <c r="K297">
        <f>VLOOKUP(A297,[1]Pricing!$A:$G,7,FALSE)</f>
        <v>100</v>
      </c>
      <c r="L297" t="s">
        <v>1960</v>
      </c>
      <c r="M297" t="str">
        <f t="shared" si="11"/>
        <v>670-037698-040</v>
      </c>
    </row>
    <row r="298" spans="1:13" x14ac:dyDescent="0.25">
      <c r="A298" t="s">
        <v>1611</v>
      </c>
      <c r="B298" s="14" t="str">
        <f>VLOOKUP(A298,[1]Pricing!$A:$R,18,FALSE)</f>
        <v>S505H-1-R</v>
      </c>
      <c r="C298" t="s">
        <v>2662</v>
      </c>
      <c r="D298" t="str">
        <f>VLOOKUP(A298,[1]AVL!$A:$F,6,FALSE)</f>
        <v>FUSE,CRTG,1A,600VAC/400DC,5X20MM</v>
      </c>
      <c r="E298" t="str">
        <f>VLOOKUP(A298,[1]Pricing!$A:$F,6,FALSE)</f>
        <v>11 Weeks</v>
      </c>
      <c r="F298">
        <f>VLOOKUP(B298,[2]Sheet2!$B:$E,4,FALSE)</f>
        <v>199</v>
      </c>
      <c r="G298" s="2">
        <f>VLOOKUP(A298,[1]Pricing!$A:$H,8,FALSE)</f>
        <v>1.3357950000000001</v>
      </c>
      <c r="H298" s="2">
        <f>VLOOKUP(A298,[1]Pricing!$A:$J,10,FALSE)</f>
        <v>1.6290182926829271</v>
      </c>
      <c r="I298">
        <f>VLOOKUP(A298,MIN!A:B,2,FALSE)</f>
        <v>25</v>
      </c>
      <c r="J298" t="str">
        <f t="shared" si="10"/>
        <v>NO</v>
      </c>
      <c r="K298">
        <f>VLOOKUP(A298,[1]Pricing!$A:$G,7,FALSE)</f>
        <v>200</v>
      </c>
      <c r="L298" t="s">
        <v>1960</v>
      </c>
      <c r="M298" t="str">
        <f t="shared" si="11"/>
        <v>670-338640-100</v>
      </c>
    </row>
    <row r="299" spans="1:13" x14ac:dyDescent="0.25">
      <c r="A299" t="s">
        <v>538</v>
      </c>
      <c r="B299" s="14" t="str">
        <f>VLOOKUP(A299,[1]Pricing!$A:$R,18,FALSE)</f>
        <v>BK1/S505H-2-R</v>
      </c>
      <c r="C299" t="s">
        <v>2620</v>
      </c>
      <c r="D299" t="str">
        <f>VLOOKUP(A299,[1]AVL!$A:$F,6,FALSE)</f>
        <v>FUSE,CRTG,2A,600VAC/400DC,5X20MM</v>
      </c>
      <c r="E299" t="str">
        <f>VLOOKUP(A299,[1]Pricing!$A:$F,6,FALSE)</f>
        <v>10 Weeks</v>
      </c>
      <c r="F299">
        <f>VLOOKUP(B299,[2]Sheet2!$B:$E,4,FALSE)</f>
        <v>1000</v>
      </c>
      <c r="G299" s="2">
        <f>VLOOKUP(A299,[1]Pricing!$A:$H,8,FALSE)</f>
        <v>0.87004999999999999</v>
      </c>
      <c r="H299" s="2">
        <f>VLOOKUP(A299,[1]Pricing!$A:$J,10,FALSE)</f>
        <v>1.0610365853658537</v>
      </c>
      <c r="I299">
        <f>VLOOKUP(A299,MIN!A:B,2,FALSE)</f>
        <v>25</v>
      </c>
      <c r="J299" t="str">
        <f t="shared" si="10"/>
        <v>NO</v>
      </c>
      <c r="K299">
        <f>VLOOKUP(A299,[1]Pricing!$A:$G,7,FALSE)</f>
        <v>1000</v>
      </c>
      <c r="L299" t="s">
        <v>1960</v>
      </c>
      <c r="M299" t="str">
        <f t="shared" si="11"/>
        <v>670-338640-200</v>
      </c>
    </row>
    <row r="300" spans="1:13" x14ac:dyDescent="0.25">
      <c r="A300" t="s">
        <v>512</v>
      </c>
      <c r="B300" s="14" t="str">
        <f>VLOOKUP(A300,[1]Pricing!$A:$R,18,FALSE)</f>
        <v>APTD2012LCGCK</v>
      </c>
      <c r="C300" t="s">
        <v>2663</v>
      </c>
      <c r="D300" t="str">
        <f>VLOOKUP(A300,[1]AVL!$A:$F,6,FALSE)</f>
        <v>LED,SMD,570NM,40MCD,1.9V,GRN,2X1.25MM</v>
      </c>
      <c r="E300" t="str">
        <f>VLOOKUP(A300,[1]Pricing!$A:$F,6,FALSE)</f>
        <v>11 Weeks</v>
      </c>
      <c r="F300">
        <f>VLOOKUP(B300,[2]Sheet2!$B:$E,4,FALSE)</f>
        <v>2948</v>
      </c>
      <c r="G300" s="2">
        <f>VLOOKUP(A300,[1]Pricing!$A:$H,8,FALSE)</f>
        <v>0.100148</v>
      </c>
      <c r="H300" s="2">
        <f>VLOOKUP(A300,[1]Pricing!$A:$J,10,FALSE)</f>
        <v>0.12213170731707318</v>
      </c>
      <c r="I300">
        <f>VLOOKUP(A300,MIN!A:B,2,FALSE)</f>
        <v>25</v>
      </c>
      <c r="J300" t="str">
        <f t="shared" si="10"/>
        <v>NO</v>
      </c>
      <c r="K300">
        <f>VLOOKUP(A300,[1]Pricing!$A:$G,7,FALSE)</f>
        <v>3000</v>
      </c>
      <c r="L300" t="s">
        <v>1960</v>
      </c>
      <c r="M300" t="str">
        <f t="shared" si="11"/>
        <v>664-A92916-001</v>
      </c>
    </row>
    <row r="301" spans="1:13" x14ac:dyDescent="0.25">
      <c r="A301" t="s">
        <v>510</v>
      </c>
      <c r="B301" s="14" t="str">
        <f>VLOOKUP(A301,[1]Pricing!$A:$R,18,FALSE)</f>
        <v>APTD1608CGCK</v>
      </c>
      <c r="C301" t="s">
        <v>2663</v>
      </c>
      <c r="D301" t="str">
        <f>VLOOKUP(A301,[1]AVL!$A:$F,6,FALSE)</f>
        <v>LED,SMD,570NM,190MCD,2.1V,GRN,1608</v>
      </c>
      <c r="E301" t="str">
        <f>VLOOKUP(A301,[1]Pricing!$A:$F,6,FALSE)</f>
        <v>11 Weeks</v>
      </c>
      <c r="F301">
        <f>VLOOKUP(B301,[2]Sheet2!$B:$E,4,FALSE)</f>
        <v>2000</v>
      </c>
      <c r="G301" s="2">
        <f>VLOOKUP(A301,[1]Pricing!$A:$H,8,FALSE)</f>
        <v>9.4364000000000003E-2</v>
      </c>
      <c r="H301" s="2">
        <f>VLOOKUP(A301,[1]Pricing!$A:$J,10,FALSE)</f>
        <v>0.11507804878048782</v>
      </c>
      <c r="I301">
        <f>VLOOKUP(A301,MIN!A:B,2,FALSE)</f>
        <v>45</v>
      </c>
      <c r="J301" t="str">
        <f t="shared" si="10"/>
        <v>NO</v>
      </c>
      <c r="K301">
        <f>VLOOKUP(A301,[1]Pricing!$A:$G,7,FALSE)</f>
        <v>2000</v>
      </c>
      <c r="L301" t="s">
        <v>1960</v>
      </c>
      <c r="M301" t="str">
        <f t="shared" si="11"/>
        <v>664-343297-001</v>
      </c>
    </row>
    <row r="302" spans="1:13" x14ac:dyDescent="0.25">
      <c r="A302" t="s">
        <v>332</v>
      </c>
      <c r="B302" s="14" t="str">
        <f>VLOOKUP(A302,[1]Pricing!$A:$R,18,FALSE)</f>
        <v>53253-0670</v>
      </c>
      <c r="C302" t="s">
        <v>2610</v>
      </c>
      <c r="D302" t="str">
        <f>VLOOKUP(A302,[1]AVL!$A:$F,6,FALSE)</f>
        <v>CONN,HDR,PCB,6POSN,2A,125V,VERT MT,NYL</v>
      </c>
      <c r="E302" t="str">
        <f>VLOOKUP(A302,[1]Pricing!$A:$F,6,FALSE)</f>
        <v>13 Weeks</v>
      </c>
      <c r="F302">
        <f>VLOOKUP(B302,[2]Sheet2!$B:$E,4,FALSE)</f>
        <v>200</v>
      </c>
      <c r="G302" s="2">
        <f>VLOOKUP(A302,[1]Pricing!$A:$H,8,FALSE)</f>
        <v>0.19975699999999999</v>
      </c>
      <c r="H302" s="2">
        <f>VLOOKUP(A302,[1]Pricing!$A:$J,10,FALSE)</f>
        <v>0.24360609756097562</v>
      </c>
      <c r="I302">
        <f>VLOOKUP(A302,MIN!A:B,2,FALSE)</f>
        <v>25</v>
      </c>
      <c r="J302" t="str">
        <f t="shared" si="10"/>
        <v>NO</v>
      </c>
      <c r="K302">
        <f>VLOOKUP(A302,[1]Pricing!$A:$G,7,FALSE)</f>
        <v>200</v>
      </c>
      <c r="L302" t="s">
        <v>1960</v>
      </c>
      <c r="M302" t="str">
        <f t="shared" si="11"/>
        <v>668-338209-006</v>
      </c>
    </row>
    <row r="303" spans="1:13" x14ac:dyDescent="0.25">
      <c r="A303" t="s">
        <v>748</v>
      </c>
      <c r="B303" s="14" t="str">
        <f>VLOOKUP(A303,[1]Pricing!$A:$R,18,FALSE)</f>
        <v>DRP-03</v>
      </c>
      <c r="C303" t="s">
        <v>2664</v>
      </c>
      <c r="D303" t="str">
        <f>VLOOKUP(A303,[1]AVL!$A:$F,6,FALSE)</f>
        <v>BRKT,MOUNT,DIN RAIL,50X45 MM,AL. 6063-T5</v>
      </c>
      <c r="E303" t="str">
        <f>VLOOKUP(A303,[1]Pricing!$A:$F,6,FALSE)</f>
        <v>24 Weeks</v>
      </c>
      <c r="F303">
        <f>VLOOKUP(B303,[2]Sheet2!$B:$E,4,FALSE)</f>
        <v>100</v>
      </c>
      <c r="G303" s="2">
        <f>VLOOKUP(A303,[1]Pricing!$A:$H,8,FALSE)</f>
        <v>1.4093249999999999</v>
      </c>
      <c r="H303" s="2">
        <f>VLOOKUP(A303,[1]Pricing!$A:$J,10,FALSE)</f>
        <v>1.718689024390244</v>
      </c>
      <c r="I303">
        <f>VLOOKUP(A303,MIN!A:B,2,FALSE)</f>
        <v>15</v>
      </c>
      <c r="J303" t="str">
        <f t="shared" si="10"/>
        <v>NO</v>
      </c>
      <c r="K303">
        <f>VLOOKUP(A303,[1]Pricing!$A:$G,7,FALSE)</f>
        <v>100</v>
      </c>
      <c r="L303" t="s">
        <v>1960</v>
      </c>
      <c r="M303" t="str">
        <f t="shared" si="11"/>
        <v>726-345188-001</v>
      </c>
    </row>
    <row r="304" spans="1:13" x14ac:dyDescent="0.25">
      <c r="A304" t="s">
        <v>1707</v>
      </c>
      <c r="B304" s="14" t="str">
        <f>VLOOKUP(A304,[1]Pricing!$A:$R,18,FALSE)</f>
        <v>SS-12D07-VG4NSGAPA</v>
      </c>
      <c r="C304" t="s">
        <v>2665</v>
      </c>
      <c r="D304" t="str">
        <f>VLOOKUP(A304,[1]AVL!$A:$F,6,FALSE)</f>
        <v>SW,MINTR,SLIDE,SPDT,0.3A,30VDC,THT</v>
      </c>
      <c r="E304" t="str">
        <f>VLOOKUP(A304,[1]Pricing!$A:$F,6,FALSE)</f>
        <v>9 Weeks</v>
      </c>
      <c r="F304">
        <f>VLOOKUP(B304,[2]Sheet2!$B:$E,4,FALSE)</f>
        <v>89</v>
      </c>
      <c r="G304" s="2">
        <f>VLOOKUP(A304,[1]Pricing!$A:$H,8,FALSE)</f>
        <v>0.81875699999999996</v>
      </c>
      <c r="H304" s="2">
        <f>VLOOKUP(A304,[1]Pricing!$A:$J,10,FALSE)</f>
        <v>0.99848414634146343</v>
      </c>
      <c r="I304">
        <f>VLOOKUP(A304,MIN!A:B,2,FALSE)</f>
        <v>45</v>
      </c>
      <c r="J304" t="str">
        <f t="shared" si="10"/>
        <v>NO</v>
      </c>
      <c r="K304">
        <f>VLOOKUP(A304,[1]Pricing!$A:$G,7,FALSE)</f>
        <v>90</v>
      </c>
      <c r="L304" t="s">
        <v>1960</v>
      </c>
      <c r="M304" t="str">
        <f t="shared" si="11"/>
        <v>645-A64043-001</v>
      </c>
    </row>
    <row r="305" spans="1:13" x14ac:dyDescent="0.25">
      <c r="A305" t="s">
        <v>1285</v>
      </c>
      <c r="B305" s="14" t="str">
        <f>VLOOKUP(A305,[1]Pricing!$A:$R,18,FALSE)</f>
        <v>R-78T5.0-1.0/FC</v>
      </c>
      <c r="C305" t="s">
        <v>2641</v>
      </c>
      <c r="D305" t="str">
        <f>VLOOKUP(A305,[1]AVL!$A:$F,6,FALSE)</f>
        <v>PS, SMD,5V-1A, NON-ISO, ROHS</v>
      </c>
      <c r="E305" t="str">
        <f>VLOOKUP(A305,[1]Pricing!$A:$F,6,FALSE)</f>
        <v>3 Weeks</v>
      </c>
      <c r="F305">
        <f>VLOOKUP(B305,[2]Sheet2!$B:$E,4,FALSE)</f>
        <v>60</v>
      </c>
      <c r="G305" s="2">
        <f>VLOOKUP(A305,[1]Pricing!$A:$H,8,FALSE)</f>
        <v>12.47559</v>
      </c>
      <c r="H305" s="2">
        <f>VLOOKUP(A305,[1]Pricing!$A:$J,10,FALSE)</f>
        <v>15.214134146341465</v>
      </c>
      <c r="I305">
        <f>VLOOKUP(A305,MIN!A:B,2,FALSE)</f>
        <v>15</v>
      </c>
      <c r="J305" t="str">
        <f t="shared" si="10"/>
        <v>NO</v>
      </c>
      <c r="K305">
        <f>VLOOKUP(A305,[1]Pricing!$A:$G,7,FALSE)</f>
        <v>60</v>
      </c>
      <c r="L305" t="s">
        <v>1960</v>
      </c>
      <c r="M305" t="str">
        <f t="shared" si="11"/>
        <v>660-157746-005</v>
      </c>
    </row>
    <row r="306" spans="1:13" x14ac:dyDescent="0.25">
      <c r="A306" t="s">
        <v>442</v>
      </c>
      <c r="B306" s="14" t="str">
        <f>VLOOKUP(A306,[1]Pricing!$A:$R,18,FALSE)</f>
        <v>87831-1420</v>
      </c>
      <c r="C306" t="s">
        <v>2610</v>
      </c>
      <c r="D306" t="str">
        <f>VLOOKUP(A306,[1]AVL!$A:$F,6,FALSE)</f>
        <v>CONN,HDR,</v>
      </c>
      <c r="E306" t="str">
        <f>VLOOKUP(A306,[1]Pricing!$A:$F,6,FALSE)</f>
        <v>20 Weeks</v>
      </c>
      <c r="F306">
        <f>VLOOKUP(B306,[2]Sheet2!$B:$E,4,FALSE)</f>
        <v>32</v>
      </c>
      <c r="G306" s="2">
        <f>VLOOKUP(A306,[1]Pricing!$A:$H,8,FALSE)</f>
        <v>2.1981299999999999</v>
      </c>
      <c r="H306" s="2">
        <f>VLOOKUP(A306,[1]Pricing!$A:$J,10,FALSE)</f>
        <v>2.6806463414634147</v>
      </c>
      <c r="I306">
        <f>VLOOKUP(A306,MIN!A:B,2,FALSE)</f>
        <v>15</v>
      </c>
      <c r="J306" t="str">
        <f t="shared" si="10"/>
        <v>NO</v>
      </c>
      <c r="K306">
        <f>VLOOKUP(A306,[1]Pricing!$A:$G,7,FALSE)</f>
        <v>32</v>
      </c>
      <c r="L306" t="s">
        <v>1960</v>
      </c>
      <c r="M306" t="str">
        <f t="shared" si="11"/>
        <v>668-122991-001</v>
      </c>
    </row>
    <row r="307" spans="1:13" x14ac:dyDescent="0.25">
      <c r="A307" t="s">
        <v>1381</v>
      </c>
      <c r="B307" s="14" t="str">
        <f>VLOOKUP(A307,[1]Pricing!$A:$R,18,FALSE)</f>
        <v>RC0805FR-079K31L</v>
      </c>
      <c r="C307" t="s">
        <v>2580</v>
      </c>
      <c r="D307" t="str">
        <f>VLOOKUP(A307,[1]AVL!$A:$F,6,FALSE)</f>
        <v>RES,SMD,0805,9.31K,1%,1/10W,ROHS</v>
      </c>
      <c r="E307" t="str">
        <f>VLOOKUP(A307,[1]Pricing!$A:$F,6,FALSE)</f>
        <v>31 Weeks</v>
      </c>
      <c r="F307">
        <f>VLOOKUP(B307,[2]Sheet2!$B:$E,4,FALSE)</f>
        <v>5000</v>
      </c>
      <c r="G307" s="2">
        <f>VLOOKUP(A307,[1]Pricing!$A:$H,8,FALSE)</f>
        <v>6.1279999999999998E-3</v>
      </c>
      <c r="H307" s="2">
        <f>VLOOKUP(A307,[1]Pricing!$A:$J,10,FALSE)</f>
        <v>7.4731707317073175E-3</v>
      </c>
      <c r="I307">
        <f>VLOOKUP(A307,MIN!A:B,2,FALSE)</f>
        <v>15</v>
      </c>
      <c r="J307" t="str">
        <f t="shared" si="10"/>
        <v>NO</v>
      </c>
      <c r="K307">
        <f>VLOOKUP(A307,[1]Pricing!$A:$G,7,FALSE)</f>
        <v>5000</v>
      </c>
      <c r="L307" t="s">
        <v>1960</v>
      </c>
      <c r="M307" t="str">
        <f t="shared" si="11"/>
        <v>615-901301-931</v>
      </c>
    </row>
    <row r="308" spans="1:13" x14ac:dyDescent="0.25">
      <c r="A308" t="s">
        <v>1393</v>
      </c>
      <c r="B308" s="14" t="str">
        <f>VLOOKUP(A308,[1]Pricing!$A:$R,18,FALSE)</f>
        <v>RC1206FR-071KL</v>
      </c>
      <c r="C308" t="s">
        <v>2580</v>
      </c>
      <c r="D308" t="str">
        <f>VLOOKUP(A308,[1]AVL!$A:$F,6,FALSE)</f>
        <v>RES,SMD,1K OHM,0.25W,1% TOL,THICK FILM</v>
      </c>
      <c r="E308" t="str">
        <f>VLOOKUP(A308,[1]Pricing!$A:$F,6,FALSE)</f>
        <v>17 Weeks</v>
      </c>
      <c r="F308">
        <f>VLOOKUP(B308,[2]Sheet2!$B:$E,4,FALSE)</f>
        <v>4900</v>
      </c>
      <c r="G308" s="2">
        <f>VLOOKUP(A308,[1]Pricing!$A:$H,8,FALSE)</f>
        <v>8.5789999999999998E-3</v>
      </c>
      <c r="H308" s="2">
        <f>VLOOKUP(A308,[1]Pricing!$A:$J,10,FALSE)</f>
        <v>1.046219512195122E-2</v>
      </c>
      <c r="I308">
        <f>VLOOKUP(A308,MIN!A:B,2,FALSE)</f>
        <v>15</v>
      </c>
      <c r="J308" t="str">
        <f t="shared" si="10"/>
        <v>NO</v>
      </c>
      <c r="K308">
        <f>VLOOKUP(A308,[1]Pricing!$A:$G,7,FALSE)</f>
        <v>5000</v>
      </c>
      <c r="L308" t="s">
        <v>1960</v>
      </c>
      <c r="M308" t="str">
        <f t="shared" si="11"/>
        <v>615-179931-002</v>
      </c>
    </row>
    <row r="309" spans="1:13" x14ac:dyDescent="0.25">
      <c r="A309" t="s">
        <v>1395</v>
      </c>
      <c r="B309" s="14" t="str">
        <f>VLOOKUP(A309,[1]Pricing!$A:$R,18,FALSE)</f>
        <v>RC1206FR-07200KL</v>
      </c>
      <c r="C309" t="s">
        <v>2631</v>
      </c>
      <c r="D309" t="str">
        <f>VLOOKUP(A309,[1]AVL!$A:$F,6,FALSE)</f>
        <v>RES,SMD,1206,200K,1%,1/4W,ROHS</v>
      </c>
      <c r="E309" t="str">
        <f>VLOOKUP(A309,[1]Pricing!$A:$F,6,FALSE)</f>
        <v>21 Weeks</v>
      </c>
      <c r="F309">
        <f>VLOOKUP(B309,[2]Sheet2!$B:$E,4,FALSE)</f>
        <v>4980</v>
      </c>
      <c r="G309" s="2">
        <f>VLOOKUP(A309,[1]Pricing!$A:$H,8,FALSE)</f>
        <v>7.3530000000000002E-3</v>
      </c>
      <c r="H309" s="2">
        <f>VLOOKUP(A309,[1]Pricing!$A:$J,10,FALSE)</f>
        <v>8.9670731707317073E-3</v>
      </c>
      <c r="I309">
        <f>VLOOKUP(A309,MIN!A:B,2,FALSE)</f>
        <v>30</v>
      </c>
      <c r="J309" t="str">
        <f t="shared" si="10"/>
        <v>NO</v>
      </c>
      <c r="K309">
        <f>VLOOKUP(A309,[1]Pricing!$A:$G,7,FALSE)</f>
        <v>5000</v>
      </c>
      <c r="L309" t="s">
        <v>1960</v>
      </c>
      <c r="M309" t="str">
        <f t="shared" si="11"/>
        <v>615-116030-200</v>
      </c>
    </row>
    <row r="310" spans="1:13" x14ac:dyDescent="0.25">
      <c r="A310" t="s">
        <v>1397</v>
      </c>
      <c r="B310" s="14" t="str">
        <f>VLOOKUP(A310,[1]Pricing!$A:$R,18,FALSE)</f>
        <v>RC1206FR-0720KL</v>
      </c>
      <c r="C310" t="s">
        <v>2666</v>
      </c>
      <c r="D310" t="str">
        <f>VLOOKUP(A310,[1]AVL!$A:$F,6,FALSE)</f>
        <v>RES,SMD,1206,20.0K,1%,1/4W,ROHS</v>
      </c>
      <c r="E310" t="str">
        <f>VLOOKUP(A310,[1]Pricing!$A:$F,6,FALSE)</f>
        <v>21 Weeks</v>
      </c>
      <c r="F310">
        <f>VLOOKUP(B310,[2]Sheet2!$B:$E,4,FALSE)</f>
        <v>4784</v>
      </c>
      <c r="G310" s="2">
        <f>VLOOKUP(A310,[1]Pricing!$A:$H,8,FALSE)</f>
        <v>7.7819999999999999E-3</v>
      </c>
      <c r="H310" s="2">
        <f>VLOOKUP(A310,[1]Pricing!$A:$J,10,FALSE)</f>
        <v>9.4902439024390252E-3</v>
      </c>
      <c r="I310">
        <f>VLOOKUP(A310,MIN!A:B,2,FALSE)</f>
        <v>25</v>
      </c>
      <c r="J310" t="str">
        <f t="shared" si="10"/>
        <v>NO</v>
      </c>
      <c r="K310">
        <f>VLOOKUP(A310,[1]Pricing!$A:$G,7,FALSE)</f>
        <v>5000</v>
      </c>
      <c r="L310" t="s">
        <v>1960</v>
      </c>
      <c r="M310" t="str">
        <f t="shared" si="11"/>
        <v>615-116029-200</v>
      </c>
    </row>
    <row r="311" spans="1:13" x14ac:dyDescent="0.25">
      <c r="A311" t="s">
        <v>1403</v>
      </c>
      <c r="B311" s="14" t="str">
        <f>VLOOKUP(A311,[1]Pricing!$A:$R,18,FALSE)</f>
        <v>RC1206FR-072K49L</v>
      </c>
      <c r="C311" t="s">
        <v>2617</v>
      </c>
      <c r="D311" t="str">
        <f>VLOOKUP(A311,[1]AVL!$A:$F,6,FALSE)</f>
        <v>RES,1206,1% 1/4W,2.49K ROHS</v>
      </c>
      <c r="E311" t="str">
        <f>VLOOKUP(A311,[1]Pricing!$A:$F,6,FALSE)</f>
        <v>31 Weeks</v>
      </c>
      <c r="F311">
        <f>VLOOKUP(B311,[2]Sheet2!$B:$E,4,FALSE)</f>
        <v>4980</v>
      </c>
      <c r="G311" s="2">
        <f>VLOOKUP(A311,[1]Pricing!$A:$H,8,FALSE)</f>
        <v>7.3530000000000002E-3</v>
      </c>
      <c r="H311" s="2">
        <f>VLOOKUP(A311,[1]Pricing!$A:$J,10,FALSE)</f>
        <v>8.9670731707317073E-3</v>
      </c>
      <c r="I311">
        <f>VLOOKUP(A311,MIN!A:B,2,FALSE)</f>
        <v>25</v>
      </c>
      <c r="J311" t="str">
        <f t="shared" si="10"/>
        <v>NO</v>
      </c>
      <c r="K311">
        <f>VLOOKUP(A311,[1]Pricing!$A:$G,7,FALSE)</f>
        <v>5000</v>
      </c>
      <c r="L311" t="s">
        <v>1960</v>
      </c>
      <c r="M311" t="str">
        <f t="shared" si="11"/>
        <v>615-098001-249</v>
      </c>
    </row>
    <row r="312" spans="1:13" x14ac:dyDescent="0.25">
      <c r="A312" t="s">
        <v>1411</v>
      </c>
      <c r="B312" s="14" t="str">
        <f>VLOOKUP(A312,[1]Pricing!$A:$R,18,FALSE)</f>
        <v>RC1206FR-07402RL</v>
      </c>
      <c r="C312" t="s">
        <v>2617</v>
      </c>
      <c r="D312" t="str">
        <f>VLOOKUP(A312,[1]AVL!$A:$F,6,FALSE)</f>
        <v>RES,SMD,1206,402,1% 1/4W,ROHS</v>
      </c>
      <c r="E312" t="str">
        <f>VLOOKUP(A312,[1]Pricing!$A:$F,6,FALSE)</f>
        <v>31 Weeks</v>
      </c>
      <c r="F312">
        <f>VLOOKUP(B312,[2]Sheet2!$B:$E,4,FALSE)</f>
        <v>5000</v>
      </c>
      <c r="G312" s="2">
        <f>VLOOKUP(A312,[1]Pricing!$A:$H,8,FALSE)</f>
        <v>7.3530000000000002E-3</v>
      </c>
      <c r="H312" s="2">
        <f>VLOOKUP(A312,[1]Pricing!$A:$J,10,FALSE)</f>
        <v>8.9670731707317073E-3</v>
      </c>
      <c r="I312">
        <f>VLOOKUP(A312,MIN!A:B,2,FALSE)</f>
        <v>25</v>
      </c>
      <c r="J312" t="str">
        <f t="shared" si="10"/>
        <v>NO</v>
      </c>
      <c r="K312">
        <f>VLOOKUP(A312,[1]Pricing!$A:$G,7,FALSE)</f>
        <v>5000</v>
      </c>
      <c r="L312" t="s">
        <v>1960</v>
      </c>
      <c r="M312" t="str">
        <f t="shared" si="11"/>
        <v>615-116027-402</v>
      </c>
    </row>
    <row r="313" spans="1:13" x14ac:dyDescent="0.25">
      <c r="A313" t="s">
        <v>1423</v>
      </c>
      <c r="B313" s="14" t="str">
        <f>VLOOKUP(A313,[1]Pricing!$A:$R,18,FALSE)</f>
        <v>RC1206JR-07200RL</v>
      </c>
      <c r="C313" t="s">
        <v>2617</v>
      </c>
      <c r="D313" t="str">
        <f>VLOOKUP(A313,[1]AVL!$A:$F,6,FALSE)</f>
        <v>RES,SMD,1206,200,5% 1/8W,ROHS</v>
      </c>
      <c r="E313" t="str">
        <f>VLOOKUP(A313,[1]Pricing!$A:$F,6,FALSE)</f>
        <v>4 Weeks</v>
      </c>
      <c r="F313">
        <f>VLOOKUP(B313,[2]Sheet2!$B:$E,4,FALSE)</f>
        <v>5000</v>
      </c>
      <c r="G313" s="2">
        <f>VLOOKUP(A313,[1]Pricing!$A:$H,8,FALSE)</f>
        <v>7.3530000000000002E-3</v>
      </c>
      <c r="H313" s="2">
        <f>VLOOKUP(A313,[1]Pricing!$A:$J,10,FALSE)</f>
        <v>8.9670731707317073E-3</v>
      </c>
      <c r="I313">
        <f>VLOOKUP(A313,MIN!A:B,2,FALSE)</f>
        <v>15</v>
      </c>
      <c r="J313" t="str">
        <f t="shared" si="10"/>
        <v>NO</v>
      </c>
      <c r="K313">
        <f>VLOOKUP(A313,[1]Pricing!$A:$G,7,FALSE)</f>
        <v>5000</v>
      </c>
      <c r="L313" t="s">
        <v>1960</v>
      </c>
      <c r="M313" t="str">
        <f t="shared" si="11"/>
        <v>615-097890-201</v>
      </c>
    </row>
    <row r="314" spans="1:13" x14ac:dyDescent="0.25">
      <c r="A314" t="s">
        <v>1425</v>
      </c>
      <c r="B314" s="14" t="str">
        <f>VLOOKUP(A314,[1]Pricing!$A:$R,18,FALSE)</f>
        <v>RC1206JR-0724KL</v>
      </c>
      <c r="C314" t="s">
        <v>2580</v>
      </c>
      <c r="D314" t="str">
        <f>VLOOKUP(A314,[1]AVL!$A:$F,6,FALSE)</f>
        <v>RES,SMD,THKF,1206,24.0K OHM,5%,1/4W,ROHS</v>
      </c>
      <c r="E314" t="str">
        <f>VLOOKUP(A314,[1]Pricing!$A:$F,6,FALSE)</f>
        <v>19 Weeks</v>
      </c>
      <c r="F314">
        <f>VLOOKUP(B314,[2]Sheet2!$B:$E,4,FALSE)</f>
        <v>5000</v>
      </c>
      <c r="G314" s="2">
        <f>VLOOKUP(A314,[1]Pricing!$A:$H,8,FALSE)</f>
        <v>7.3530000000000002E-3</v>
      </c>
      <c r="H314" s="2">
        <f>VLOOKUP(A314,[1]Pricing!$A:$J,10,FALSE)</f>
        <v>8.9670731707317073E-3</v>
      </c>
      <c r="I314">
        <f>VLOOKUP(A314,MIN!A:B,2,FALSE)</f>
        <v>25</v>
      </c>
      <c r="J314" t="str">
        <f t="shared" si="10"/>
        <v>NO</v>
      </c>
      <c r="K314">
        <f>VLOOKUP(A314,[1]Pricing!$A:$G,7,FALSE)</f>
        <v>5000</v>
      </c>
      <c r="L314" t="s">
        <v>1960</v>
      </c>
      <c r="M314" t="str">
        <f t="shared" si="11"/>
        <v>615-032231-243</v>
      </c>
    </row>
    <row r="315" spans="1:13" x14ac:dyDescent="0.25">
      <c r="A315" t="s">
        <v>1427</v>
      </c>
      <c r="B315" s="14" t="str">
        <f>VLOOKUP(A315,[1]Pricing!$A:$R,18,FALSE)</f>
        <v>RC1206JR-0730RL</v>
      </c>
      <c r="C315" t="s">
        <v>2617</v>
      </c>
      <c r="D315" t="str">
        <f>VLOOKUP(A315,[1]AVL!$A:$F,6,FALSE)</f>
        <v>RES,SMD THKF,30 OHM,5%,1206,1/8W,ROHS</v>
      </c>
      <c r="E315" t="str">
        <f>VLOOKUP(A315,[1]Pricing!$A:$F,6,FALSE)</f>
        <v>15 Weeks</v>
      </c>
      <c r="F315">
        <f>VLOOKUP(B315,[2]Sheet2!$B:$E,4,FALSE)</f>
        <v>5000</v>
      </c>
      <c r="G315" s="2">
        <f>VLOOKUP(A315,[1]Pricing!$A:$H,8,FALSE)</f>
        <v>8.5789999999999998E-3</v>
      </c>
      <c r="H315" s="2">
        <f>VLOOKUP(A315,[1]Pricing!$A:$J,10,FALSE)</f>
        <v>1.046219512195122E-2</v>
      </c>
      <c r="I315">
        <f>VLOOKUP(A315,MIN!A:B,2,FALSE)</f>
        <v>45</v>
      </c>
      <c r="J315" t="str">
        <f t="shared" si="10"/>
        <v>NO</v>
      </c>
      <c r="K315">
        <f>VLOOKUP(A315,[1]Pricing!$A:$G,7,FALSE)</f>
        <v>5000</v>
      </c>
      <c r="L315" t="s">
        <v>1960</v>
      </c>
      <c r="M315" t="str">
        <f t="shared" si="11"/>
        <v>615-097890-300</v>
      </c>
    </row>
    <row r="316" spans="1:13" x14ac:dyDescent="0.25">
      <c r="A316" t="s">
        <v>1431</v>
      </c>
      <c r="B316" s="14" t="str">
        <f>VLOOKUP(A316,[1]Pricing!$A:$R,18,FALSE)</f>
        <v>RC1206JR-075R6L</v>
      </c>
      <c r="C316" t="s">
        <v>2617</v>
      </c>
      <c r="D316" t="str">
        <f>VLOOKUP(A316,[1]AVL!$A:$F,6,FALSE)</f>
        <v>RES,SMD,THKF,1206,5%,1/4W,5.6,ROHS</v>
      </c>
      <c r="E316" t="str">
        <f>VLOOKUP(A316,[1]Pricing!$A:$F,6,FALSE)</f>
        <v>23 Weeks</v>
      </c>
      <c r="F316">
        <f>VLOOKUP(B316,[2]Sheet2!$B:$E,4,FALSE)</f>
        <v>5000</v>
      </c>
      <c r="G316" s="2">
        <f>VLOOKUP(A316,[1]Pricing!$A:$H,8,FALSE)</f>
        <v>1.103E-2</v>
      </c>
      <c r="H316" s="2">
        <f>VLOOKUP(A316,[1]Pricing!$A:$J,10,FALSE)</f>
        <v>1.3451219512195122E-2</v>
      </c>
      <c r="I316">
        <f>VLOOKUP(A316,MIN!A:B,2,FALSE)</f>
        <v>25</v>
      </c>
      <c r="J316" t="str">
        <f t="shared" si="10"/>
        <v>NO</v>
      </c>
      <c r="K316">
        <f>VLOOKUP(A316,[1]Pricing!$A:$G,7,FALSE)</f>
        <v>5000</v>
      </c>
      <c r="L316" t="s">
        <v>1960</v>
      </c>
      <c r="M316" t="str">
        <f t="shared" si="11"/>
        <v>615-032231-569</v>
      </c>
    </row>
    <row r="317" spans="1:13" x14ac:dyDescent="0.25">
      <c r="A317" t="s">
        <v>1454</v>
      </c>
      <c r="B317" s="14" t="str">
        <f>VLOOKUP(A317,[1]Pricing!$A:$R,18,FALSE)</f>
        <v>RG2012P-472-B-T5</v>
      </c>
      <c r="C317" t="s">
        <v>2667</v>
      </c>
      <c r="D317" t="str">
        <f>VLOOKUP(A317,[1]AVL!$A:$F,6,FALSE)</f>
        <v>RES,0805,0.1%,1/8W,25PPM,4.7K ROHS</v>
      </c>
      <c r="E317" t="str">
        <f>VLOOKUP(A317,[1]Pricing!$A:$F,6,FALSE)</f>
        <v>26 Weeks</v>
      </c>
      <c r="F317">
        <f>VLOOKUP(B317,[2]Sheet2!$B:$E,4,FALSE)</f>
        <v>4854</v>
      </c>
      <c r="G317" s="2">
        <f>VLOOKUP(A317,[1]Pricing!$A:$H,8,FALSE)</f>
        <v>6.0380000000000003E-2</v>
      </c>
      <c r="H317" s="2">
        <f>VLOOKUP(A317,[1]Pricing!$A:$J,10,FALSE)</f>
        <v>7.3634146341463425E-2</v>
      </c>
      <c r="I317">
        <f>VLOOKUP(A317,MIN!A:B,2,FALSE)</f>
        <v>25</v>
      </c>
      <c r="J317" t="str">
        <f t="shared" si="10"/>
        <v>NO</v>
      </c>
      <c r="K317">
        <f>VLOOKUP(A317,[1]Pricing!$A:$G,7,FALSE)</f>
        <v>5000</v>
      </c>
      <c r="L317" t="s">
        <v>1960</v>
      </c>
      <c r="M317" t="str">
        <f t="shared" si="11"/>
        <v>615-052826-472</v>
      </c>
    </row>
    <row r="318" spans="1:13" x14ac:dyDescent="0.25">
      <c r="A318" t="s">
        <v>1574</v>
      </c>
      <c r="B318" s="14" t="str">
        <f>VLOOKUP(A318,[1]Pricing!$A:$R,18,FALSE)</f>
        <v>RT0805BRD074K99L</v>
      </c>
      <c r="C318" t="s">
        <v>2580</v>
      </c>
      <c r="D318" t="str">
        <f>VLOOKUP(A318,[1]AVL!$A:$F,6,FALSE)</f>
        <v>RES,SMD,0805,RG,MF,0.1%,1/10W,4.99K ROHS</v>
      </c>
      <c r="E318" t="str">
        <f>VLOOKUP(A318,[1]Pricing!$A:$F,6,FALSE)</f>
        <v>23 Weeks</v>
      </c>
      <c r="F318">
        <f>VLOOKUP(B318,[2]Sheet2!$B:$E,4,FALSE)</f>
        <v>5000</v>
      </c>
      <c r="G318" s="2">
        <f>VLOOKUP(A318,[1]Pricing!$A:$H,8,FALSE)</f>
        <v>5.0245999999999999E-2</v>
      </c>
      <c r="H318" s="2">
        <f>VLOOKUP(A318,[1]Pricing!$A:$J,10,FALSE)</f>
        <v>6.1275609756097561E-2</v>
      </c>
      <c r="I318">
        <f>VLOOKUP(A318,MIN!A:B,2,FALSE)</f>
        <v>15</v>
      </c>
      <c r="J318" t="str">
        <f t="shared" si="10"/>
        <v>NO</v>
      </c>
      <c r="K318">
        <f>VLOOKUP(A318,[1]Pricing!$A:$G,7,FALSE)</f>
        <v>5000</v>
      </c>
      <c r="L318" t="s">
        <v>1960</v>
      </c>
      <c r="M318" t="str">
        <f t="shared" si="11"/>
        <v>615-064170-499</v>
      </c>
    </row>
    <row r="319" spans="1:13" x14ac:dyDescent="0.25">
      <c r="A319" t="s">
        <v>463</v>
      </c>
      <c r="B319" s="14" t="str">
        <f>VLOOKUP(A319,[1]Pricing!$A:$R,18,FALSE)</f>
        <v>AC0402FR-0733RL</v>
      </c>
      <c r="C319" t="s">
        <v>2628</v>
      </c>
      <c r="D319" t="str">
        <f>VLOOKUP(A319,[1]AVL!$A:$F,6,FALSE)</f>
        <v>RES,0402,1% 1/16W,33.0 OHM ROHS</v>
      </c>
      <c r="E319" t="str">
        <f>VLOOKUP(A319,[1]Pricing!$A:$F,6,FALSE)</f>
        <v>27 Weeks</v>
      </c>
      <c r="F319">
        <f>VLOOKUP(B319,[2]Sheet2!$B:$E,4,FALSE)</f>
        <v>10000</v>
      </c>
      <c r="G319" s="2">
        <f>VLOOKUP(A319,[1]Pricing!$A:$H,8,FALSE)</f>
        <v>3.6770000000000001E-3</v>
      </c>
      <c r="H319" s="2">
        <f>VLOOKUP(A319,[1]Pricing!$A:$J,10,FALSE)</f>
        <v>4.4841463414634153E-3</v>
      </c>
      <c r="I319">
        <f>VLOOKUP(A319,MIN!A:B,2,FALSE)</f>
        <v>30</v>
      </c>
      <c r="J319" t="str">
        <f t="shared" si="10"/>
        <v>NO</v>
      </c>
      <c r="K319">
        <f>VLOOKUP(A319,[1]Pricing!$A:$G,7,FALSE)</f>
        <v>10000</v>
      </c>
      <c r="L319" t="s">
        <v>1960</v>
      </c>
      <c r="M319" t="str">
        <f t="shared" si="11"/>
        <v>615-188548-172</v>
      </c>
    </row>
    <row r="320" spans="1:13" x14ac:dyDescent="0.25">
      <c r="A320" t="s">
        <v>646</v>
      </c>
      <c r="B320" s="14" t="str">
        <f>VLOOKUP(A320,[1]Pricing!$A:$R,18,FALSE)</f>
        <v>CL05B224KO5NNNC</v>
      </c>
      <c r="C320" t="s">
        <v>2636</v>
      </c>
      <c r="D320" t="str">
        <f>VLOOKUP(A320,[1]AVL!$A:$F,6,FALSE)</f>
        <v>CAP,SMD,CER,0.22UF,±10%,16VDC,X7R,0402</v>
      </c>
      <c r="E320" t="str">
        <f>VLOOKUP(A320,[1]Pricing!$A:$F,6,FALSE)</f>
        <v>27 Weeks</v>
      </c>
      <c r="F320">
        <f>VLOOKUP(B320,[2]Sheet2!$B:$E,4,FALSE)</f>
        <v>9999</v>
      </c>
      <c r="G320" s="2">
        <f>VLOOKUP(A320,[1]Pricing!$A:$H,8,FALSE)</f>
        <v>4.9020000000000001E-3</v>
      </c>
      <c r="H320" s="2">
        <f>VLOOKUP(A320,[1]Pricing!$A:$J,10,FALSE)</f>
        <v>5.9780487804878052E-3</v>
      </c>
      <c r="I320">
        <f>VLOOKUP(A320,MIN!A:B,2,FALSE)</f>
        <v>25</v>
      </c>
      <c r="J320" t="str">
        <f t="shared" si="10"/>
        <v>NO</v>
      </c>
      <c r="K320">
        <f>VLOOKUP(A320,[1]Pricing!$A:$G,7,FALSE)</f>
        <v>10000</v>
      </c>
      <c r="L320" t="s">
        <v>1960</v>
      </c>
      <c r="M320" t="str">
        <f t="shared" si="11"/>
        <v>648-A60464-224</v>
      </c>
    </row>
    <row r="321" spans="1:13" x14ac:dyDescent="0.25">
      <c r="A321" t="s">
        <v>1293</v>
      </c>
      <c r="B321" s="14" t="str">
        <f>VLOOKUP(A321,[1]Pricing!$A:$R,18,FALSE)</f>
        <v>RC0402FR-0710K2L</v>
      </c>
      <c r="C321" t="s">
        <v>2580</v>
      </c>
      <c r="D321" t="str">
        <f>VLOOKUP(A321,[1]AVL!$A:$F,6,FALSE)</f>
        <v>RES,0402,THKF,1/16W,1% 10.2K ROHS</v>
      </c>
      <c r="E321" t="str">
        <f>VLOOKUP(A321,[1]Pricing!$A:$F,6,FALSE)</f>
        <v>23 Weeks</v>
      </c>
      <c r="F321">
        <f>VLOOKUP(B321,[2]Sheet2!$B:$E,4,FALSE)</f>
        <v>9863</v>
      </c>
      <c r="G321" s="2">
        <f>VLOOKUP(A321,[1]Pricing!$A:$H,8,FALSE)</f>
        <v>2.4510000000000001E-3</v>
      </c>
      <c r="H321" s="2">
        <f>VLOOKUP(A321,[1]Pricing!$A:$J,10,FALSE)</f>
        <v>2.9890243902439026E-3</v>
      </c>
      <c r="I321">
        <f>VLOOKUP(A321,MIN!A:B,2,FALSE)</f>
        <v>25</v>
      </c>
      <c r="J321" t="str">
        <f t="shared" si="10"/>
        <v>NO</v>
      </c>
      <c r="K321">
        <f>VLOOKUP(A321,[1]Pricing!$A:$G,7,FALSE)</f>
        <v>10000</v>
      </c>
      <c r="L321" t="s">
        <v>1960</v>
      </c>
      <c r="M321" t="str">
        <f t="shared" si="11"/>
        <v>615-123462-102</v>
      </c>
    </row>
    <row r="322" spans="1:13" x14ac:dyDescent="0.25">
      <c r="A322" t="s">
        <v>1327</v>
      </c>
      <c r="B322" s="14" t="str">
        <f>VLOOKUP(A322,[1]Pricing!$A:$R,18,FALSE)</f>
        <v>RC0402FR-0724K3L</v>
      </c>
      <c r="C322" t="s">
        <v>2580</v>
      </c>
      <c r="D322" t="str">
        <f>VLOOKUP(A322,[1]AVL!$A:$F,6,FALSE)</f>
        <v>RES,0402,THKF,1/16W,1% 24.3K ROHS</v>
      </c>
      <c r="E322" t="str">
        <f>VLOOKUP(A322,[1]Pricing!$A:$F,6,FALSE)</f>
        <v>23 Weeks</v>
      </c>
      <c r="F322">
        <f>VLOOKUP(B322,[2]Sheet2!$B:$E,4,FALSE)</f>
        <v>10000</v>
      </c>
      <c r="G322" s="2">
        <f>VLOOKUP(A322,[1]Pricing!$A:$H,8,FALSE)</f>
        <v>2.4510000000000001E-3</v>
      </c>
      <c r="H322" s="2">
        <f>VLOOKUP(A322,[1]Pricing!$A:$J,10,FALSE)</f>
        <v>2.9890243902439026E-3</v>
      </c>
      <c r="I322">
        <f>VLOOKUP(A322,MIN!A:B,2,FALSE)</f>
        <v>25</v>
      </c>
      <c r="J322" t="str">
        <f t="shared" ref="J322:J385" si="13">IF(F322&lt;=I322,"REORDER","NO")</f>
        <v>NO</v>
      </c>
      <c r="K322">
        <f>VLOOKUP(A322,[1]Pricing!$A:$G,7,FALSE)</f>
        <v>10000</v>
      </c>
      <c r="L322" t="s">
        <v>1960</v>
      </c>
      <c r="M322" t="str">
        <f t="shared" si="11"/>
        <v>615-123462-243</v>
      </c>
    </row>
    <row r="323" spans="1:13" x14ac:dyDescent="0.25">
      <c r="A323" t="s">
        <v>1329</v>
      </c>
      <c r="B323" s="14" t="str">
        <f>VLOOKUP(A323,[1]Pricing!$A:$R,18,FALSE)</f>
        <v>RC0402FR-072K67L</v>
      </c>
      <c r="C323" t="s">
        <v>2580</v>
      </c>
      <c r="D323" t="str">
        <f>VLOOKUP(A323,[1]AVL!$A:$F,6,FALSE)</f>
        <v>RES,0402,THKF,1/16W,1% 2.67K ROHS</v>
      </c>
      <c r="E323" t="str">
        <f>VLOOKUP(A323,[1]Pricing!$A:$F,6,FALSE)</f>
        <v>23 Weeks</v>
      </c>
      <c r="F323">
        <f>VLOOKUP(B323,[2]Sheet2!$B:$E,4,FALSE)</f>
        <v>10000</v>
      </c>
      <c r="G323" s="2">
        <f>VLOOKUP(A323,[1]Pricing!$A:$H,8,FALSE)</f>
        <v>2.4510000000000001E-3</v>
      </c>
      <c r="H323" s="2">
        <f>VLOOKUP(A323,[1]Pricing!$A:$J,10,FALSE)</f>
        <v>2.9890243902439026E-3</v>
      </c>
      <c r="I323">
        <f>VLOOKUP(A323,MIN!A:B,2,FALSE)</f>
        <v>60</v>
      </c>
      <c r="J323" t="str">
        <f t="shared" si="13"/>
        <v>NO</v>
      </c>
      <c r="K323">
        <f>VLOOKUP(A323,[1]Pricing!$A:$G,7,FALSE)</f>
        <v>10000</v>
      </c>
      <c r="L323" t="s">
        <v>1960</v>
      </c>
      <c r="M323" t="str">
        <f t="shared" si="11"/>
        <v>615-123461-267</v>
      </c>
    </row>
    <row r="324" spans="1:13" x14ac:dyDescent="0.25">
      <c r="A324" t="s">
        <v>1333</v>
      </c>
      <c r="B324" s="14" t="str">
        <f>VLOOKUP(A324,[1]Pricing!$A:$R,18,FALSE)</f>
        <v>RC0402FR-07340RL</v>
      </c>
      <c r="C324" t="s">
        <v>2580</v>
      </c>
      <c r="D324" t="str">
        <f>VLOOKUP(A324,[1]AVL!$A:$F,6,FALSE)</f>
        <v>RES,0402,THKF,1/16W,1%,340,ROHS</v>
      </c>
      <c r="E324" t="str">
        <f>VLOOKUP(A324,[1]Pricing!$A:$F,6,FALSE)</f>
        <v>23 Weeks</v>
      </c>
      <c r="F324">
        <f>VLOOKUP(B324,[2]Sheet2!$B:$E,4,FALSE)</f>
        <v>10000</v>
      </c>
      <c r="G324" s="2">
        <f>VLOOKUP(A324,[1]Pricing!$A:$H,8,FALSE)</f>
        <v>2.4510000000000001E-3</v>
      </c>
      <c r="H324" s="2">
        <f>VLOOKUP(A324,[1]Pricing!$A:$J,10,FALSE)</f>
        <v>2.9890243902439026E-3</v>
      </c>
      <c r="I324">
        <f>VLOOKUP(A324,MIN!A:B,2,FALSE)</f>
        <v>15</v>
      </c>
      <c r="J324" t="str">
        <f t="shared" si="13"/>
        <v>NO</v>
      </c>
      <c r="K324">
        <f>VLOOKUP(A324,[1]Pricing!$A:$G,7,FALSE)</f>
        <v>10000</v>
      </c>
      <c r="L324" t="s">
        <v>1960</v>
      </c>
      <c r="M324" t="str">
        <f t="shared" ref="M324:M387" si="14">A324</f>
        <v>615-123460-340</v>
      </c>
    </row>
    <row r="325" spans="1:13" x14ac:dyDescent="0.25">
      <c r="A325" t="s">
        <v>650</v>
      </c>
      <c r="B325" s="14" t="str">
        <f>VLOOKUP(A325,[1]Pricing!$A:$R,18,FALSE)</f>
        <v>CL21A106KAYNNNE</v>
      </c>
      <c r="C325" t="s">
        <v>2636</v>
      </c>
      <c r="D325" t="str">
        <f>VLOOKUP(A325,[1]AVL!$A:$F,6,FALSE)</f>
        <v>CAP,SMD,10UF,25V,10% TOL,X5R,CER</v>
      </c>
      <c r="E325" t="str">
        <f>VLOOKUP(A325,[1]Pricing!$A:$F,6,FALSE)</f>
        <v>23 Weeks</v>
      </c>
      <c r="F325">
        <f>VLOOKUP(B325,[2]Sheet2!$B:$E,4,FALSE)</f>
        <v>1999</v>
      </c>
      <c r="G325" s="2">
        <f>VLOOKUP(A325,[1]Pricing!$A:$H,8,FALSE)</f>
        <v>3.4313999999999997E-2</v>
      </c>
      <c r="H325" s="2">
        <f>VLOOKUP(A325,[1]Pricing!$A:$J,10,FALSE)</f>
        <v>4.1846341463414635E-2</v>
      </c>
      <c r="I325">
        <f>VLOOKUP(A325,MIN!A:B,2,FALSE)</f>
        <v>25</v>
      </c>
      <c r="J325" t="str">
        <f t="shared" si="13"/>
        <v>NO</v>
      </c>
      <c r="K325">
        <f>VLOOKUP(A325,[1]Pricing!$A:$G,7,FALSE)</f>
        <v>2000</v>
      </c>
      <c r="L325" t="s">
        <v>1960</v>
      </c>
      <c r="M325" t="str">
        <f t="shared" si="14"/>
        <v>648-228099-001</v>
      </c>
    </row>
    <row r="326" spans="1:13" x14ac:dyDescent="0.25">
      <c r="A326" t="s">
        <v>930</v>
      </c>
      <c r="B326" s="14" t="str">
        <f>VLOOKUP(A326,[1]Pricing!$A:$R,18,FALSE)</f>
        <v>GRM31C5C1H104JA01L</v>
      </c>
      <c r="C326" t="s">
        <v>2627</v>
      </c>
      <c r="D326" t="str">
        <f>VLOOKUP(A326,[1]AVL!$A:$F,6,FALSE)</f>
        <v>CAP,SMD,CER,0.1UF,50V,NP0,1206</v>
      </c>
      <c r="E326" t="str">
        <f>VLOOKUP(A326,[1]Pricing!$A:$F,6,FALSE)</f>
        <v>26 Weeks</v>
      </c>
      <c r="F326">
        <f>VLOOKUP(B326,[2]Sheet2!$B:$E,4,FALSE)</f>
        <v>1900</v>
      </c>
      <c r="G326" s="2">
        <f>VLOOKUP(A326,[1]Pricing!$A:$H,8,FALSE)</f>
        <v>0.13725599999999999</v>
      </c>
      <c r="H326" s="2">
        <f>VLOOKUP(A326,[1]Pricing!$A:$J,10,FALSE)</f>
        <v>0.16738536585365854</v>
      </c>
      <c r="I326">
        <f>VLOOKUP(A326,MIN!A:B,2,FALSE)</f>
        <v>15</v>
      </c>
      <c r="J326" t="str">
        <f t="shared" si="13"/>
        <v>NO</v>
      </c>
      <c r="K326">
        <f>VLOOKUP(A326,[1]Pricing!$A:$G,7,FALSE)</f>
        <v>2000</v>
      </c>
      <c r="L326" t="s">
        <v>1960</v>
      </c>
      <c r="M326" t="str">
        <f t="shared" si="14"/>
        <v>648-269920-001</v>
      </c>
    </row>
    <row r="327" spans="1:13" x14ac:dyDescent="0.25">
      <c r="A327" t="s">
        <v>54</v>
      </c>
      <c r="B327" s="14" t="str">
        <f>VLOOKUP(A327,[1]Pricing!$A:$R,18,FALSE)</f>
        <v>12065C473KAT2A</v>
      </c>
      <c r="C327" t="s">
        <v>2581</v>
      </c>
      <c r="D327" t="str">
        <f>VLOOKUP(A327,[1]AVL!$A:$F,6,FALSE)</f>
        <v>CAP,1206,.047UF,10%,50V,X7R,ROHS</v>
      </c>
      <c r="E327" t="str">
        <f>VLOOKUP(A327,[1]Pricing!$A:$F,6,FALSE)</f>
        <v>17 Weeks</v>
      </c>
      <c r="F327">
        <f>VLOOKUP(B327,[2]Sheet2!$B:$E,4,FALSE)</f>
        <v>4000</v>
      </c>
      <c r="G327" s="2">
        <f>VLOOKUP(A327,[1]Pricing!$A:$H,8,FALSE)</f>
        <v>4.9020000000000001E-2</v>
      </c>
      <c r="H327" s="2">
        <f>VLOOKUP(A327,[1]Pricing!$A:$J,10,FALSE)</f>
        <v>5.9780487804878053E-2</v>
      </c>
      <c r="I327">
        <f>VLOOKUP(A327,MIN!A:B,2,FALSE)</f>
        <v>15</v>
      </c>
      <c r="J327" t="str">
        <f t="shared" si="13"/>
        <v>NO</v>
      </c>
      <c r="K327">
        <f>VLOOKUP(A327,[1]Pricing!$A:$G,7,FALSE)</f>
        <v>4000</v>
      </c>
      <c r="L327" t="s">
        <v>1960</v>
      </c>
      <c r="M327" t="str">
        <f t="shared" si="14"/>
        <v>648-097891-473</v>
      </c>
    </row>
    <row r="328" spans="1:13" x14ac:dyDescent="0.25">
      <c r="A328" t="s">
        <v>611</v>
      </c>
      <c r="B328" s="14" t="str">
        <f>VLOOKUP(A328,[1]Pricing!$A:$R,18,FALSE)</f>
        <v>CC0603JRNPO8BN101</v>
      </c>
      <c r="C328" t="s">
        <v>2580</v>
      </c>
      <c r="D328" t="str">
        <f>VLOOKUP(A328,[1]AVL!$A:$F,6,FALSE)</f>
        <v>CAP,SMD,CER,100PF,±5% TOL,25V,C0G,0603</v>
      </c>
      <c r="E328" t="str">
        <f>VLOOKUP(A328,[1]Pricing!$A:$F,6,FALSE)</f>
        <v>24 Weeks</v>
      </c>
      <c r="F328">
        <f>VLOOKUP(B328,[2]Sheet2!$B:$E,4,FALSE)</f>
        <v>4000</v>
      </c>
      <c r="G328" s="2">
        <f>VLOOKUP(A328,[1]Pricing!$A:$H,8,FALSE)</f>
        <v>9.8040000000000002E-3</v>
      </c>
      <c r="H328" s="2">
        <f>VLOOKUP(A328,[1]Pricing!$A:$J,10,FALSE)</f>
        <v>1.195609756097561E-2</v>
      </c>
      <c r="I328">
        <f>VLOOKUP(A328,MIN!A:B,2,FALSE)</f>
        <v>15</v>
      </c>
      <c r="J328" t="str">
        <f t="shared" si="13"/>
        <v>NO</v>
      </c>
      <c r="K328">
        <f>VLOOKUP(A328,[1]Pricing!$A:$G,7,FALSE)</f>
        <v>4000</v>
      </c>
      <c r="L328" t="s">
        <v>1960</v>
      </c>
      <c r="M328" t="str">
        <f t="shared" si="14"/>
        <v>648-347511-101</v>
      </c>
    </row>
    <row r="329" spans="1:13" x14ac:dyDescent="0.25">
      <c r="A329" t="s">
        <v>613</v>
      </c>
      <c r="B329" s="14" t="str">
        <f>VLOOKUP(A329,[1]Pricing!$A:$R,18,FALSE)</f>
        <v>CC0603KRX7R9BB222</v>
      </c>
      <c r="C329" t="s">
        <v>2617</v>
      </c>
      <c r="D329" t="str">
        <f>VLOOKUP(A329,[1]AVL!$A:$F,6,FALSE)</f>
        <v>CAP,SMD,0603,2200PF,50V,10%,X7R,ROHS</v>
      </c>
      <c r="E329" t="str">
        <f>VLOOKUP(A329,[1]Pricing!$A:$F,6,FALSE)</f>
        <v>51 Weeks</v>
      </c>
      <c r="F329">
        <f>VLOOKUP(B329,[2]Sheet2!$B:$E,4,FALSE)</f>
        <v>4000</v>
      </c>
      <c r="G329" s="2">
        <f>VLOOKUP(A329,[1]Pricing!$A:$H,8,FALSE)</f>
        <v>3.3089E-2</v>
      </c>
      <c r="H329" s="2">
        <f>VLOOKUP(A329,[1]Pricing!$A:$J,10,FALSE)</f>
        <v>4.0352439024390244E-2</v>
      </c>
      <c r="I329">
        <f>VLOOKUP(A329,MIN!A:B,2,FALSE)</f>
        <v>15</v>
      </c>
      <c r="J329" t="str">
        <f t="shared" si="13"/>
        <v>NO</v>
      </c>
      <c r="K329">
        <f>VLOOKUP(A329,[1]Pricing!$A:$G,7,FALSE)</f>
        <v>4000</v>
      </c>
      <c r="L329" t="s">
        <v>1960</v>
      </c>
      <c r="M329" t="str">
        <f t="shared" si="14"/>
        <v>648-051878-222</v>
      </c>
    </row>
    <row r="330" spans="1:13" x14ac:dyDescent="0.25">
      <c r="A330" t="s">
        <v>807</v>
      </c>
      <c r="B330" s="14" t="str">
        <f>VLOOKUP(A330,[1]Pricing!$A:$R,18,FALSE)</f>
        <v>ERA6AEB102V</v>
      </c>
      <c r="C330" t="s">
        <v>2618</v>
      </c>
      <c r="D330" t="str">
        <f>VLOOKUP(A330,[1]AVL!$A:$F,6,FALSE)</f>
        <v>RES,0805,0.1%,1/8W,25PPM,1K ROHS</v>
      </c>
      <c r="E330" t="str">
        <f>VLOOKUP(A330,[1]Pricing!$A:$F,6,FALSE)</f>
        <v>3 Weeks</v>
      </c>
      <c r="F330">
        <f>VLOOKUP(B330,[2]Sheet2!$B:$E,4,FALSE)</f>
        <v>5000</v>
      </c>
      <c r="G330" s="2">
        <f>VLOOKUP(A330,[1]Pricing!$A:$H,8,FALSE)</f>
        <v>3.4313999999999997E-2</v>
      </c>
      <c r="H330" s="2">
        <f>VLOOKUP(A330,[1]Pricing!$A:$J,10,FALSE)</f>
        <v>4.1846341463414635E-2</v>
      </c>
      <c r="I330">
        <f>VLOOKUP(A330,MIN!A:B,2,FALSE)</f>
        <v>15</v>
      </c>
      <c r="J330" t="str">
        <f t="shared" si="13"/>
        <v>NO</v>
      </c>
      <c r="K330">
        <f>VLOOKUP(A330,[1]Pricing!$A:$G,7,FALSE)</f>
        <v>5000</v>
      </c>
      <c r="L330" t="s">
        <v>1960</v>
      </c>
      <c r="M330" t="str">
        <f t="shared" si="14"/>
        <v>615-052826-102</v>
      </c>
    </row>
    <row r="331" spans="1:13" x14ac:dyDescent="0.25">
      <c r="A331" t="s">
        <v>1369</v>
      </c>
      <c r="B331" s="14" t="str">
        <f>VLOOKUP(A331,[1]Pricing!$A:$R,18,FALSE)</f>
        <v>RC0805FR-072K67L</v>
      </c>
      <c r="C331" t="s">
        <v>2617</v>
      </c>
      <c r="D331" t="str">
        <f>VLOOKUP(A331,[1]AVL!$A:$F,6,FALSE)</f>
        <v>RES,SMD,0805,2.67K,1%,1/10W,ROHS</v>
      </c>
      <c r="E331" t="str">
        <f>VLOOKUP(A331,[1]Pricing!$A:$F,6,FALSE)</f>
        <v>23 Weeks</v>
      </c>
      <c r="F331">
        <f>VLOOKUP(B331,[2]Sheet2!$B:$E,4,FALSE)</f>
        <v>5000</v>
      </c>
      <c r="G331" s="2">
        <f>VLOOKUP(A331,[1]Pricing!$A:$H,8,FALSE)</f>
        <v>8.0000000000000002E-3</v>
      </c>
      <c r="H331" s="2">
        <f>VLOOKUP(A331,[1]Pricing!$A:$J,10,FALSE)</f>
        <v>9.7560975609756097E-3</v>
      </c>
      <c r="I331">
        <f>VLOOKUP(A331,MIN!A:B,2,FALSE)</f>
        <v>15</v>
      </c>
      <c r="J331" t="str">
        <f t="shared" si="13"/>
        <v>NO</v>
      </c>
      <c r="K331">
        <f>VLOOKUP(A331,[1]Pricing!$A:$G,7,FALSE)</f>
        <v>5000</v>
      </c>
      <c r="L331" t="s">
        <v>1960</v>
      </c>
      <c r="M331" t="str">
        <f t="shared" si="14"/>
        <v>615-901301-267</v>
      </c>
    </row>
    <row r="332" spans="1:13" x14ac:dyDescent="0.25">
      <c r="A332" t="s">
        <v>964</v>
      </c>
      <c r="B332" s="14" t="str">
        <f>VLOOKUP(A332,[1]Pricing!$A:$R,18,FALSE)</f>
        <v>ILD207T</v>
      </c>
      <c r="C332" t="s">
        <v>2617</v>
      </c>
      <c r="D332" t="str">
        <f>VLOOKUP(A332,[1]AVL!$A:$F,6,FALSE)</f>
        <v>IC,ILD207 DUAL OPTOCPLR SO8,ROHS</v>
      </c>
      <c r="E332" t="str">
        <f>VLOOKUP(A332,[1]Pricing!$A:$F,6,FALSE)</f>
        <v>9 Weeks</v>
      </c>
      <c r="F332">
        <f>VLOOKUP(B332,[2]Sheet2!$B:$E,4,FALSE)</f>
        <v>1671</v>
      </c>
      <c r="G332" s="2">
        <f>VLOOKUP(A332,[1]Pricing!$A:$H,8,FALSE)</f>
        <v>0.44598399999999999</v>
      </c>
      <c r="H332" s="2">
        <f>VLOOKUP(A332,[1]Pricing!$A:$J,10,FALSE)</f>
        <v>0.54388292682926831</v>
      </c>
      <c r="I332">
        <f>VLOOKUP(A332,MIN!A:B,2,FALSE)</f>
        <v>15</v>
      </c>
      <c r="J332" t="str">
        <f t="shared" si="13"/>
        <v>NO</v>
      </c>
      <c r="K332">
        <f>VLOOKUP(A332,[1]Pricing!$A:$G,7,FALSE)</f>
        <v>2000</v>
      </c>
      <c r="L332" t="s">
        <v>2689</v>
      </c>
      <c r="M332" t="str">
        <f t="shared" si="14"/>
        <v>630-098848-001</v>
      </c>
    </row>
    <row r="333" spans="1:13" x14ac:dyDescent="0.25">
      <c r="A333" t="s">
        <v>932</v>
      </c>
      <c r="B333" s="14" t="str">
        <f>VLOOKUP(A333,[1]Pricing!$A:$R,18,FALSE)</f>
        <v>GRM32ER71A476KE15L</v>
      </c>
      <c r="C333" t="s">
        <v>2625</v>
      </c>
      <c r="D333" t="str">
        <f>VLOOKUP(A333,[1]AVL!$A:$F,6,FALSE)</f>
        <v>CAP,SMD,CER,47UF,10%,10VDC,X7R,1210</v>
      </c>
      <c r="E333" t="str">
        <f>VLOOKUP(A333,[1]Pricing!$A:$F,6,FALSE)</f>
        <v>17 Weeks</v>
      </c>
      <c r="F333">
        <f>VLOOKUP(B333,[2]Sheet2!$B:$E,4,FALSE)</f>
        <v>841</v>
      </c>
      <c r="G333" s="2">
        <f>VLOOKUP(A333,[1]Pricing!$A:$H,8,FALSE)</f>
        <v>0.33823799999999998</v>
      </c>
      <c r="H333" s="2">
        <f>VLOOKUP(A333,[1]Pricing!$A:$J,10,FALSE)</f>
        <v>0.41248536585365853</v>
      </c>
      <c r="I333">
        <f>VLOOKUP(A333,MIN!A:B,2,FALSE)</f>
        <v>25</v>
      </c>
      <c r="J333" t="str">
        <f t="shared" si="13"/>
        <v>NO</v>
      </c>
      <c r="K333">
        <f>VLOOKUP(A333,[1]Pricing!$A:$G,7,FALSE)</f>
        <v>1000</v>
      </c>
      <c r="L333" t="s">
        <v>1960</v>
      </c>
      <c r="M333" t="str">
        <f t="shared" si="14"/>
        <v>648-A72845-002</v>
      </c>
    </row>
    <row r="334" spans="1:13" x14ac:dyDescent="0.25">
      <c r="A334" t="s">
        <v>766</v>
      </c>
      <c r="B334" s="14" t="str">
        <f>VLOOKUP(A334,[1]Pricing!$A:$R,18,FALSE)</f>
        <v>EEEFT1C102AP</v>
      </c>
      <c r="C334" t="s">
        <v>2618</v>
      </c>
      <c r="D334" t="str">
        <f>VLOOKUP(A334,[1]AVL!$A:$F,6,FALSE)</f>
        <v>CAP,SMD,ELCTLT,AL,1000UF,20%,16V,HTM</v>
      </c>
      <c r="E334" t="str">
        <f>VLOOKUP(A334,[1]Pricing!$A:$F,6,FALSE)</f>
        <v>24 Weeks</v>
      </c>
      <c r="F334">
        <f>VLOOKUP(B334,[2]Sheet2!$B:$E,4,FALSE)</f>
        <v>499</v>
      </c>
      <c r="G334" s="2">
        <f>VLOOKUP(A334,[1]Pricing!$A:$H,8,FALSE)</f>
        <v>0.49510199999999999</v>
      </c>
      <c r="H334" s="2">
        <f>VLOOKUP(A334,[1]Pricing!$A:$J,10,FALSE)</f>
        <v>0.60378292682926826</v>
      </c>
      <c r="I334">
        <f>VLOOKUP(A334,MIN!A:B,2,FALSE)</f>
        <v>25</v>
      </c>
      <c r="J334" t="str">
        <f t="shared" si="13"/>
        <v>NO</v>
      </c>
      <c r="K334">
        <f>VLOOKUP(A334,[1]Pricing!$A:$G,7,FALSE)</f>
        <v>500</v>
      </c>
      <c r="L334" t="s">
        <v>1960</v>
      </c>
      <c r="M334" t="str">
        <f t="shared" si="14"/>
        <v>648-A97180-102</v>
      </c>
    </row>
    <row r="335" spans="1:13" x14ac:dyDescent="0.25">
      <c r="A335" t="s">
        <v>1518</v>
      </c>
      <c r="B335" s="14" t="str">
        <f>VLOOKUP(A335,[1]Pricing!$A:$R,18,FALSE)</f>
        <v>RT0402BRD0710KL</v>
      </c>
      <c r="C335" t="s">
        <v>2618</v>
      </c>
      <c r="D335" t="str">
        <f>VLOOKUP(A335,[1]AVL!$A:$F,6,FALSE)</f>
        <v>RES,SMD,10.0KOHM,0.1%,1/16W,0402</v>
      </c>
      <c r="E335" t="str">
        <f>VLOOKUP(A335,[1]Pricing!$A:$F,6,FALSE)</f>
        <v>23 Weeks</v>
      </c>
      <c r="F335">
        <f>VLOOKUP(B335,[2]Sheet2!$B:$E,4,FALSE)</f>
        <v>9824</v>
      </c>
      <c r="G335" s="2">
        <f>VLOOKUP(A335,[1]Pricing!$A:$H,8,FALSE)</f>
        <v>4.2255000000000001E-2</v>
      </c>
      <c r="H335" s="2">
        <f>VLOOKUP(A335,[1]Pricing!$A:$J,10,FALSE)</f>
        <v>5.1530487804878053E-2</v>
      </c>
      <c r="I335">
        <f>VLOOKUP(A335,MIN!A:B,2,FALSE)</f>
        <v>25</v>
      </c>
      <c r="J335" t="str">
        <f t="shared" si="13"/>
        <v>NO</v>
      </c>
      <c r="K335">
        <f>VLOOKUP(A335,[1]Pricing!$A:$G,7,FALSE)</f>
        <v>10000</v>
      </c>
      <c r="L335" t="s">
        <v>1960</v>
      </c>
      <c r="M335" t="str">
        <f t="shared" si="14"/>
        <v>615-A00424-100</v>
      </c>
    </row>
    <row r="336" spans="1:13" x14ac:dyDescent="0.25">
      <c r="A336" t="s">
        <v>1415</v>
      </c>
      <c r="B336" s="14" t="str">
        <f>VLOOKUP(A336,[1]Pricing!$A:$R,18,FALSE)</f>
        <v>RC1206FR-077K87L</v>
      </c>
      <c r="C336" t="s">
        <v>2632</v>
      </c>
      <c r="D336" t="str">
        <f>VLOOKUP(A336,[1]AVL!$A:$F,6,FALSE)</f>
        <v>RES,1206,1% 1/4W,7.87K ROHS</v>
      </c>
      <c r="E336" t="str">
        <f>VLOOKUP(A336,[1]Pricing!$A:$F,6,FALSE)</f>
        <v>15 Weeks</v>
      </c>
      <c r="F336">
        <f>VLOOKUP(B336,[2]Sheet2!$B:$E,4,FALSE)</f>
        <v>5000</v>
      </c>
      <c r="G336" s="2">
        <f>VLOOKUP(A336,[1]Pricing!$A:$H,8,FALSE)</f>
        <v>8.5789999999999998E-3</v>
      </c>
      <c r="H336" s="2">
        <f>VLOOKUP(A336,[1]Pricing!$A:$J,10,FALSE)</f>
        <v>1.046219512195122E-2</v>
      </c>
      <c r="I336">
        <f>VLOOKUP(A336,MIN!A:B,2,FALSE)</f>
        <v>25</v>
      </c>
      <c r="J336" t="str">
        <f t="shared" si="13"/>
        <v>NO</v>
      </c>
      <c r="K336">
        <f>VLOOKUP(A336,[1]Pricing!$A:$G,7,FALSE)</f>
        <v>5000</v>
      </c>
      <c r="L336" t="s">
        <v>1960</v>
      </c>
      <c r="M336" t="str">
        <f t="shared" si="14"/>
        <v>615-116028-787</v>
      </c>
    </row>
    <row r="337" spans="1:13" x14ac:dyDescent="0.25">
      <c r="A337" t="s">
        <v>1407</v>
      </c>
      <c r="B337" s="14" t="str">
        <f>VLOOKUP(A337,[1]Pricing!$A:$R,18,FALSE)</f>
        <v>RC1206FR-0739K2L</v>
      </c>
      <c r="C337" t="s">
        <v>2632</v>
      </c>
      <c r="D337" t="str">
        <f>VLOOKUP(A337,[1]AVL!$A:$F,6,FALSE)</f>
        <v>RES,SMD,1206,1%,1/4W,39.2K ROHS</v>
      </c>
      <c r="E337" t="str">
        <f>VLOOKUP(A337,[1]Pricing!$A:$F,6,FALSE)</f>
        <v>19 Weeks</v>
      </c>
      <c r="F337">
        <f>VLOOKUP(B337,[2]Sheet2!$B:$E,4,FALSE)</f>
        <v>5000</v>
      </c>
      <c r="G337" s="2">
        <f>VLOOKUP(A337,[1]Pricing!$A:$H,8,FALSE)</f>
        <v>1.103E-2</v>
      </c>
      <c r="H337" s="2">
        <f>VLOOKUP(A337,[1]Pricing!$A:$J,10,FALSE)</f>
        <v>1.3451219512195122E-2</v>
      </c>
      <c r="I337">
        <f>VLOOKUP(A337,MIN!A:B,2,FALSE)</f>
        <v>15</v>
      </c>
      <c r="J337" t="str">
        <f t="shared" si="13"/>
        <v>NO</v>
      </c>
      <c r="K337">
        <f>VLOOKUP(A337,[1]Pricing!$A:$G,7,FALSE)</f>
        <v>5000</v>
      </c>
      <c r="L337" t="s">
        <v>1960</v>
      </c>
      <c r="M337" t="str">
        <f t="shared" si="14"/>
        <v>615-116029-392</v>
      </c>
    </row>
    <row r="338" spans="1:13" x14ac:dyDescent="0.25">
      <c r="A338" t="s">
        <v>1389</v>
      </c>
      <c r="B338" s="14" t="str">
        <f>VLOOKUP(A338,[1]Pricing!$A:$R,18,FALSE)</f>
        <v>RC1206FR-0719K1L</v>
      </c>
      <c r="C338" t="s">
        <v>2668</v>
      </c>
      <c r="D338" t="str">
        <f>VLOOKUP(A338,[1]AVL!$A:$F,6,FALSE)</f>
        <v>RES,SMD,1206,1%,1/4W,19.1K ROHS</v>
      </c>
      <c r="E338" t="str">
        <f>VLOOKUP(A338,[1]Pricing!$A:$F,6,FALSE)</f>
        <v>19 Weeks</v>
      </c>
      <c r="F338" s="18">
        <v>5000</v>
      </c>
      <c r="G338" s="2">
        <f>VLOOKUP(A338,[1]Pricing!$A:$H,8,FALSE)</f>
        <v>1.2168999999999999E-2</v>
      </c>
      <c r="H338" s="2">
        <f>VLOOKUP(A338,[1]Pricing!$A:$J,10,FALSE)</f>
        <v>1.4840243902439024E-2</v>
      </c>
      <c r="I338">
        <f>VLOOKUP(A338,MIN!A:B,2,FALSE)</f>
        <v>25</v>
      </c>
      <c r="J338" t="str">
        <f t="shared" si="13"/>
        <v>NO</v>
      </c>
      <c r="K338">
        <f>VLOOKUP(A338,[1]Pricing!$A:$G,7,FALSE)</f>
        <v>5000</v>
      </c>
      <c r="L338" t="s">
        <v>1960</v>
      </c>
      <c r="M338" t="str">
        <f t="shared" si="14"/>
        <v>615-116029-191</v>
      </c>
    </row>
    <row r="339" spans="1:13" x14ac:dyDescent="0.25">
      <c r="A339" t="s">
        <v>296</v>
      </c>
      <c r="B339" s="14">
        <f>VLOOKUP(A339,[1]Pricing!$A:$R,18,FALSE)</f>
        <v>5026</v>
      </c>
      <c r="C339" t="s">
        <v>2644</v>
      </c>
      <c r="D339" t="str">
        <f>VLOOKUP(A339,[1]AVL!$A:$F,6,FALSE)</f>
        <v>CONT,JUMPER,0.200 PITCH</v>
      </c>
      <c r="E339" t="str">
        <f>VLOOKUP(A339,[1]Pricing!$A:$F,6,FALSE)</f>
        <v>3 Weeks</v>
      </c>
      <c r="F339">
        <f>VLOOKUP(B339,[2]Sheet2!$B:$E,4,FALSE)</f>
        <v>100</v>
      </c>
      <c r="G339" s="2">
        <f>VLOOKUP(A339,[1]Pricing!$A:$H,8,FALSE)</f>
        <v>0.203433</v>
      </c>
      <c r="H339" s="2">
        <f>VLOOKUP(A339,[1]Pricing!$A:$J,10,FALSE)</f>
        <v>0.24808902439024391</v>
      </c>
      <c r="I339">
        <f>VLOOKUP(A339,MIN!A:B,2,FALSE)</f>
        <v>25</v>
      </c>
      <c r="J339" t="str">
        <f t="shared" si="13"/>
        <v>NO</v>
      </c>
      <c r="K339">
        <f>VLOOKUP(A339,[1]Pricing!$A:$G,7,FALSE)</f>
        <v>100</v>
      </c>
      <c r="L339" t="s">
        <v>1960</v>
      </c>
      <c r="M339" t="str">
        <f t="shared" si="14"/>
        <v>669-B08291-001</v>
      </c>
    </row>
    <row r="340" spans="1:13" x14ac:dyDescent="0.25">
      <c r="A340" t="s">
        <v>672</v>
      </c>
      <c r="B340" s="14" t="str">
        <f>VLOOKUP(A340,[1]Pricing!$A:$R,18,FALSE)</f>
        <v>CRCW04021R00FKED</v>
      </c>
      <c r="C340" t="s">
        <v>2617</v>
      </c>
      <c r="D340" t="str">
        <f>VLOOKUP(A340,[1]AVL!$A:$F,6,FALSE)</f>
        <v>RES,0402,1% 1/16W,1.00 OHM ROHS</v>
      </c>
      <c r="E340" t="str">
        <f>VLOOKUP(A340,[1]Pricing!$A:$F,6,FALSE)</f>
        <v>17 Weeks</v>
      </c>
      <c r="F340">
        <f>VLOOKUP(B340,[2]Sheet2!$B:$E,4,FALSE)</f>
        <v>10000</v>
      </c>
      <c r="G340" s="2">
        <f>VLOOKUP(A340,[1]Pricing!$A:$H,8,FALSE)</f>
        <v>6.1279999999999998E-3</v>
      </c>
      <c r="H340" s="2">
        <f>VLOOKUP(A340,[1]Pricing!$A:$J,10,FALSE)</f>
        <v>7.4731707317073175E-3</v>
      </c>
      <c r="I340">
        <f>VLOOKUP(A340,MIN!A:B,2,FALSE)</f>
        <v>25</v>
      </c>
      <c r="J340" t="str">
        <f t="shared" si="13"/>
        <v>NO</v>
      </c>
      <c r="K340">
        <f>VLOOKUP(A340,[1]Pricing!$A:$G,7,FALSE)</f>
        <v>10000</v>
      </c>
      <c r="L340" t="s">
        <v>1960</v>
      </c>
      <c r="M340" t="str">
        <f t="shared" si="14"/>
        <v>615-188548-001</v>
      </c>
    </row>
    <row r="341" spans="1:13" x14ac:dyDescent="0.25">
      <c r="A341" t="s">
        <v>684</v>
      </c>
      <c r="B341" s="14" t="str">
        <f>VLOOKUP(A341,[1]Pricing!$A:$R,18,FALSE)</f>
        <v>CRCW080551R0FKEAHP</v>
      </c>
      <c r="C341" t="s">
        <v>2617</v>
      </c>
      <c r="D341" t="str">
        <f>VLOOKUP(A341,[1]AVL!$A:$F,6,FALSE)</f>
        <v>RES,SMD,THK FILM,51OHM,+/-1%,0.5W,0805</v>
      </c>
      <c r="E341" t="str">
        <f>VLOOKUP(A341,[1]Pricing!$A:$F,6,FALSE)</f>
        <v>17 Weeks</v>
      </c>
      <c r="F341">
        <f>VLOOKUP(B341,[2]Sheet2!$B:$E,4,FALSE)</f>
        <v>5000</v>
      </c>
      <c r="G341" s="2">
        <f>VLOOKUP(A341,[1]Pricing!$A:$H,8,FALSE)</f>
        <v>2.6960999999999999E-2</v>
      </c>
      <c r="H341" s="2">
        <f>VLOOKUP(A341,[1]Pricing!$A:$J,10,FALSE)</f>
        <v>3.287926829268293E-2</v>
      </c>
      <c r="I341">
        <f>VLOOKUP(A341,MIN!A:B,2,FALSE)</f>
        <v>15</v>
      </c>
      <c r="J341" t="str">
        <f t="shared" si="13"/>
        <v>NO</v>
      </c>
      <c r="K341">
        <f>VLOOKUP(A341,[1]Pricing!$A:$G,7,FALSE)</f>
        <v>5000</v>
      </c>
      <c r="L341" t="s">
        <v>1960</v>
      </c>
      <c r="M341" t="str">
        <f t="shared" si="14"/>
        <v>615-B14225-001</v>
      </c>
    </row>
    <row r="342" spans="1:13" x14ac:dyDescent="0.25">
      <c r="A342" t="s">
        <v>680</v>
      </c>
      <c r="B342" s="14" t="str">
        <f>VLOOKUP(A342,[1]Pricing!$A:$R,18,FALSE)</f>
        <v>CRCW0603432KFKEA</v>
      </c>
      <c r="C342" t="s">
        <v>2617</v>
      </c>
      <c r="D342" t="str">
        <f>VLOOKUP(A342,[1]AVL!$A:$F,6,FALSE)</f>
        <v>RES,SMD,432KOHM,TOL 1%,0603, 0.1W</v>
      </c>
      <c r="E342" t="str">
        <f>VLOOKUP(A342,[1]Pricing!$A:$F,6,FALSE)</f>
        <v>15 Weeks</v>
      </c>
      <c r="F342">
        <f>VLOOKUP(B342,[2]Sheet2!$B:$E,4,FALSE)</f>
        <v>5000</v>
      </c>
      <c r="G342" s="2">
        <f>VLOOKUP(A342,[1]Pricing!$A:$H,8,FALSE)</f>
        <v>5.9560000000000004E-3</v>
      </c>
      <c r="H342" s="2">
        <f>VLOOKUP(A342,[1]Pricing!$A:$J,10,FALSE)</f>
        <v>7.2634146341463424E-3</v>
      </c>
      <c r="I342">
        <f>VLOOKUP(A342,MIN!A:B,2,FALSE)</f>
        <v>25</v>
      </c>
      <c r="J342" t="str">
        <f t="shared" si="13"/>
        <v>NO</v>
      </c>
      <c r="K342">
        <f>VLOOKUP(A342,[1]Pricing!$A:$G,7,FALSE)</f>
        <v>5000</v>
      </c>
      <c r="L342" t="s">
        <v>1960</v>
      </c>
      <c r="M342" t="str">
        <f t="shared" si="14"/>
        <v>615-221230-010</v>
      </c>
    </row>
    <row r="343" spans="1:13" x14ac:dyDescent="0.25">
      <c r="A343" t="s">
        <v>770</v>
      </c>
      <c r="B343" s="14" t="str">
        <f>VLOOKUP(A343,[1]Pricing!$A:$R,18,FALSE)</f>
        <v>EEV107M035A9HAA</v>
      </c>
      <c r="C343" t="s">
        <v>2581</v>
      </c>
      <c r="D343" t="str">
        <f>VLOOKUP(A343,[1]AVL!$A:$F,6,FALSE)</f>
        <v>CAP,SMD,ELCTLT,20%,35V,100UF,6.3MM DIA</v>
      </c>
      <c r="E343" t="str">
        <f>VLOOKUP(A343,[1]Pricing!$A:$F,6,FALSE)</f>
        <v>36 Weeks</v>
      </c>
      <c r="F343">
        <f>VLOOKUP(B343,[2]Sheet2!$B:$E,4,FALSE)</f>
        <v>1000</v>
      </c>
      <c r="G343" s="2">
        <f>VLOOKUP(A343,[1]Pricing!$A:$H,8,FALSE)</f>
        <v>0.162992</v>
      </c>
      <c r="H343" s="2">
        <f>VLOOKUP(A343,[1]Pricing!$A:$J,10,FALSE)</f>
        <v>0.19877073170731707</v>
      </c>
      <c r="I343">
        <f>VLOOKUP(A343,MIN!A:B,2,FALSE)</f>
        <v>15</v>
      </c>
      <c r="J343" t="str">
        <f t="shared" si="13"/>
        <v>NO</v>
      </c>
      <c r="K343">
        <f>VLOOKUP(A343,[1]Pricing!$A:$G,7,FALSE)</f>
        <v>1000</v>
      </c>
      <c r="L343" t="s">
        <v>1960</v>
      </c>
      <c r="M343" t="str">
        <f t="shared" si="14"/>
        <v>648-A86832-001</v>
      </c>
    </row>
    <row r="344" spans="1:13" x14ac:dyDescent="0.25">
      <c r="A344" t="s">
        <v>48</v>
      </c>
      <c r="B344" s="14" t="str">
        <f>VLOOKUP(A344,[1]Pricing!$A:$R,18,FALSE)</f>
        <v>10236-6212PC</v>
      </c>
      <c r="C344" t="s">
        <v>50</v>
      </c>
      <c r="D344" t="str">
        <f>VLOOKUP(A344,[1]AVL!$A:$F,6,FALSE)</f>
        <v>CONN,MINI-D,STR PCB MT 36 PINS,ROHS</v>
      </c>
      <c r="E344" t="str">
        <f>VLOOKUP(A344,[1]Pricing!$A:$F,6,FALSE)</f>
        <v>21 Weeks</v>
      </c>
      <c r="F344">
        <f>VLOOKUP(B344,[2]Sheet2!$B:$E,4,FALSE)</f>
        <v>200</v>
      </c>
      <c r="G344" s="2">
        <f>VLOOKUP(A344,[1]Pricing!$A:$H,8,FALSE)</f>
        <v>5.3921999999999999</v>
      </c>
      <c r="H344" s="2">
        <f>VLOOKUP(A344,[1]Pricing!$A:$J,10,FALSE)</f>
        <v>6.5758536585365857</v>
      </c>
      <c r="I344">
        <f>VLOOKUP(A344,MIN!A:B,2,FALSE)</f>
        <v>15</v>
      </c>
      <c r="J344" t="str">
        <f t="shared" si="13"/>
        <v>NO</v>
      </c>
      <c r="K344">
        <f>VLOOKUP(A344,[1]Pricing!$A:$G,7,FALSE)</f>
        <v>200</v>
      </c>
      <c r="L344" t="s">
        <v>1960</v>
      </c>
      <c r="M344" t="str">
        <f t="shared" si="14"/>
        <v>668-092917-036</v>
      </c>
    </row>
    <row r="345" spans="1:13" x14ac:dyDescent="0.25">
      <c r="A345" t="s">
        <v>1202</v>
      </c>
      <c r="B345" s="14" t="str">
        <f>VLOOKUP(A345,[1]Pricing!$A:$R,18,FALSE)</f>
        <v>MT47H128M16RT-25E:C</v>
      </c>
      <c r="C345" t="s">
        <v>2669</v>
      </c>
      <c r="D345" t="str">
        <f>VLOOKUP(A345,[1]AVL!$A:$F,6,FALSE)</f>
        <v>IC,SMD,2G BITS,128MX16,DDR2 SRAM,ROHS</v>
      </c>
      <c r="E345" t="str">
        <f>VLOOKUP(A345,[1]Pricing!$A:$F,6,FALSE)</f>
        <v>21 Weeks</v>
      </c>
      <c r="F345">
        <f>VLOOKUP(B345,[2]Sheet2!$B:$E,4,FALSE)</f>
        <v>2000</v>
      </c>
      <c r="G345" s="2">
        <f>VLOOKUP(A345,[1]Pricing!$A:$H,8,FALSE)</f>
        <v>10.124283999999999</v>
      </c>
      <c r="H345" s="2">
        <f>VLOOKUP(A345,[1]Pricing!$A:$J,10,FALSE)</f>
        <v>12.346687804878048</v>
      </c>
      <c r="I345">
        <f>VLOOKUP(A345,MIN!A:B,2,FALSE)</f>
        <v>15</v>
      </c>
      <c r="J345" t="str">
        <f t="shared" si="13"/>
        <v>NO</v>
      </c>
      <c r="K345">
        <f>VLOOKUP(A345,[1]Pricing!$A:$G,7,FALSE)</f>
        <v>2000</v>
      </c>
      <c r="L345" t="s">
        <v>1960</v>
      </c>
      <c r="M345" t="str">
        <f t="shared" si="14"/>
        <v>630-120971-001</v>
      </c>
    </row>
    <row r="346" spans="1:13" x14ac:dyDescent="0.25">
      <c r="A346" t="s">
        <v>71</v>
      </c>
      <c r="B346" s="14" t="str">
        <f>VLOOKUP(A346,[1]Pricing!$A:$R,18,FALSE)</f>
        <v>15A24-N15-I10-1</v>
      </c>
      <c r="C346" t="s">
        <v>2670</v>
      </c>
      <c r="D346" t="str">
        <f>VLOOKUP(A346,[1]AVL!$A:$F,6,FALSE)</f>
        <v>PS,HV,DC-DC CONV,15W,24V,0TO -15KVDC,I10</v>
      </c>
      <c r="E346" t="str">
        <f>VLOOKUP(A346,[1]Pricing!$A:$F,6,FALSE)</f>
        <v>17 Weeks</v>
      </c>
      <c r="F346">
        <f>VLOOKUP(B346,[2]Sheet2!$B:$E,4,FALSE)</f>
        <v>60</v>
      </c>
      <c r="G346" s="2">
        <f>VLOOKUP(A346,[1]Pricing!$A:$H,8,FALSE)</f>
        <v>773.62</v>
      </c>
      <c r="H346" s="2">
        <f>VLOOKUP(A346,[1]Pricing!$A:$J,10,FALSE)</f>
        <v>943.43902439024396</v>
      </c>
      <c r="I346">
        <f>VLOOKUP(A346,MIN!A:B,2,FALSE)</f>
        <v>15</v>
      </c>
      <c r="J346" t="str">
        <f t="shared" si="13"/>
        <v>NO</v>
      </c>
      <c r="K346">
        <f>VLOOKUP(A346,[1]Pricing!$A:$G,7,FALSE)</f>
        <v>60</v>
      </c>
      <c r="L346" t="s">
        <v>1960</v>
      </c>
      <c r="M346" t="str">
        <f t="shared" si="14"/>
        <v>660-B26903-001</v>
      </c>
    </row>
    <row r="347" spans="1:13" x14ac:dyDescent="0.25">
      <c r="A347" t="s">
        <v>73</v>
      </c>
      <c r="B347" s="14" t="str">
        <f>VLOOKUP(A347,[1]Pricing!$A:$R,18,FALSE)</f>
        <v>15A24-P15-I10-1</v>
      </c>
      <c r="C347" t="s">
        <v>2670</v>
      </c>
      <c r="D347" t="str">
        <f>VLOOKUP(A347,[1]AVL!$A:$F,6,FALSE)</f>
        <v>PS,HV,DC-DC CONV,15W,24V,0TO +15KVDC,I10</v>
      </c>
      <c r="E347" t="str">
        <f>VLOOKUP(A347,[1]Pricing!$A:$F,6,FALSE)</f>
        <v>17 Weeks</v>
      </c>
      <c r="F347">
        <f>VLOOKUP(B347,[2]Sheet2!$B:$E,4,FALSE)</f>
        <v>60</v>
      </c>
      <c r="G347" s="2">
        <f>VLOOKUP(A347,[1]Pricing!$A:$H,8,FALSE)</f>
        <v>773.62</v>
      </c>
      <c r="H347" s="2">
        <f>VLOOKUP(A347,[1]Pricing!$A:$J,10,FALSE)</f>
        <v>943.43902439024396</v>
      </c>
      <c r="I347">
        <f>VLOOKUP(A347,MIN!A:B,2,FALSE)</f>
        <v>15</v>
      </c>
      <c r="J347" t="str">
        <f t="shared" si="13"/>
        <v>NO</v>
      </c>
      <c r="K347">
        <f>VLOOKUP(A347,[1]Pricing!$A:$G,7,FALSE)</f>
        <v>60</v>
      </c>
      <c r="L347" t="s">
        <v>1960</v>
      </c>
      <c r="M347" t="str">
        <f t="shared" si="14"/>
        <v>660-B26902-001</v>
      </c>
    </row>
    <row r="348" spans="1:13" x14ac:dyDescent="0.25">
      <c r="A348" t="s">
        <v>1538</v>
      </c>
      <c r="B348" s="14" t="str">
        <f>VLOOKUP(A348,[1]Pricing!$A:$R,18,FALSE)</f>
        <v>RT0402BRD07280RL</v>
      </c>
      <c r="C348" t="s">
        <v>2618</v>
      </c>
      <c r="D348" t="str">
        <f>VLOOKUP(A348,[1]AVL!$A:$F,6,FALSE)</f>
        <v>RES SMD 280 OHM 0.1% 1/16W 0402</v>
      </c>
      <c r="E348" t="str">
        <f>VLOOKUP(A348,[1]Pricing!$A:$F,6,FALSE)</f>
        <v>23 Weeks</v>
      </c>
      <c r="F348">
        <f>VLOOKUP(B348,[2]Sheet2!$B:$E,4,FALSE)</f>
        <v>9890</v>
      </c>
      <c r="G348" s="2">
        <f>VLOOKUP(A348,[1]Pricing!$A:$H,8,FALSE)</f>
        <v>4.1116E-2</v>
      </c>
      <c r="H348" s="2">
        <f>VLOOKUP(A348,[1]Pricing!$A:$J,10,FALSE)</f>
        <v>5.0141463414634151E-2</v>
      </c>
      <c r="I348">
        <f>VLOOKUP(A348,MIN!A:B,2,FALSE)</f>
        <v>50</v>
      </c>
      <c r="J348" t="str">
        <f t="shared" si="13"/>
        <v>NO</v>
      </c>
      <c r="K348">
        <f>VLOOKUP(A348,[1]Pricing!$A:$G,7,FALSE)</f>
        <v>10000</v>
      </c>
      <c r="L348" t="s">
        <v>1960</v>
      </c>
      <c r="M348" t="str">
        <f t="shared" si="14"/>
        <v>615-A00422-280</v>
      </c>
    </row>
    <row r="349" spans="1:13" x14ac:dyDescent="0.25">
      <c r="A349" t="s">
        <v>1022</v>
      </c>
      <c r="B349" s="14" t="str">
        <f>VLOOKUP(A349,[1]Pricing!$A:$R,18,FALSE)</f>
        <v>KLKR015.T</v>
      </c>
      <c r="C349" t="s">
        <v>2620</v>
      </c>
      <c r="D349" t="str">
        <f>VLOOKUP(A349,[1]AVL!$A:$F,6,FALSE)</f>
        <v>FUSE,FAST-ACT,15A,600VAC/300VDC,5AG</v>
      </c>
      <c r="E349" t="str">
        <f>VLOOKUP(A349,[1]Pricing!$A:$F,6,FALSE)</f>
        <v>15 Weeks</v>
      </c>
      <c r="F349">
        <f>VLOOKUP(B349,[2]Sheet2!$B:$E,4,FALSE)</f>
        <v>100</v>
      </c>
      <c r="G349" s="2">
        <f>VLOOKUP(A349,[1]Pricing!$A:$H,8,FALSE)</f>
        <v>15.24522</v>
      </c>
      <c r="H349" s="2">
        <f>VLOOKUP(A349,[1]Pricing!$A:$J,10,FALSE)</f>
        <v>18.591731707317074</v>
      </c>
      <c r="I349">
        <f>VLOOKUP(A349,MIN!A:B,2,FALSE)</f>
        <v>25</v>
      </c>
      <c r="J349" t="str">
        <f t="shared" si="13"/>
        <v>NO</v>
      </c>
      <c r="K349">
        <f>VLOOKUP(A349,[1]Pricing!$A:$G,7,FALSE)</f>
        <v>100</v>
      </c>
      <c r="L349" t="s">
        <v>1960</v>
      </c>
      <c r="M349" t="str">
        <f t="shared" si="14"/>
        <v>670-332664-023</v>
      </c>
    </row>
    <row r="350" spans="1:13" x14ac:dyDescent="0.25">
      <c r="A350" t="s">
        <v>360</v>
      </c>
      <c r="B350" s="14" t="str">
        <f>VLOOKUP(A350,[1]Pricing!$A:$R,18,FALSE)</f>
        <v>598-8610-307F</v>
      </c>
      <c r="C350" t="s">
        <v>2643</v>
      </c>
      <c r="D350" t="str">
        <f>VLOOKUP(A350,[1]AVL!$A:$F,6,FALSE)</f>
        <v>LED,SMD,3 WAY ALINGAP/INGAN R/G/B 1210</v>
      </c>
      <c r="E350" t="str">
        <f>VLOOKUP(A350,[1]Pricing!$A:$F,6,FALSE)</f>
        <v>11 Weeks</v>
      </c>
      <c r="F350">
        <f>VLOOKUP(B350,[2]Sheet2!$B:$E,4,FALSE)</f>
        <v>2805</v>
      </c>
      <c r="G350" s="2">
        <f>VLOOKUP(A350,[1]Pricing!$A:$H,8,FALSE)</f>
        <v>0.85417299999999996</v>
      </c>
      <c r="H350" s="2">
        <f>VLOOKUP(A350,[1]Pricing!$A:$J,10,FALSE)</f>
        <v>1.0416743902439025</v>
      </c>
      <c r="I350">
        <f>VLOOKUP(A350,MIN!A:B,2,FALSE)</f>
        <v>25</v>
      </c>
      <c r="J350" t="str">
        <f t="shared" si="13"/>
        <v>NO</v>
      </c>
      <c r="K350">
        <f>VLOOKUP(A350,[1]Pricing!$A:$G,7,FALSE)</f>
        <v>3000</v>
      </c>
      <c r="L350" t="s">
        <v>2689</v>
      </c>
      <c r="M350" t="str">
        <f t="shared" si="14"/>
        <v>664-122320-001</v>
      </c>
    </row>
    <row r="351" spans="1:13" x14ac:dyDescent="0.25">
      <c r="A351" t="s">
        <v>21</v>
      </c>
      <c r="B351" s="14">
        <f>VLOOKUP(A351,[1]Pricing!$A:$R,18,FALSE)</f>
        <v>9552156612741</v>
      </c>
      <c r="C351" t="s">
        <v>2570</v>
      </c>
      <c r="D351" t="str">
        <f>VLOOKUP(A351,[1]AVL!$A:$F,6,FALSE)</f>
        <v>CONN,RCPT,D-SUB,SIZE 2,15POSN,5A,STR,SMD</v>
      </c>
      <c r="E351" t="str">
        <f>VLOOKUP(A351,[1]Pricing!$A:$F,6,FALSE)</f>
        <v>3 Weeks</v>
      </c>
      <c r="F351">
        <f>VLOOKUP(B351,[2]Sheet2!$B:$E,4,FALSE)</f>
        <v>139</v>
      </c>
      <c r="G351" s="2">
        <f>VLOOKUP(A351,[1]Pricing!$A:$H,8,FALSE)</f>
        <v>4.931057</v>
      </c>
      <c r="H351" s="2">
        <f>VLOOKUP(A351,[1]Pricing!$A:$J,10,FALSE)</f>
        <v>6.0134841463414634</v>
      </c>
      <c r="I351">
        <f>VLOOKUP(A351,MIN!A:B,2,FALSE)</f>
        <v>15</v>
      </c>
      <c r="J351" t="str">
        <f t="shared" si="13"/>
        <v>NO</v>
      </c>
      <c r="K351">
        <f>VLOOKUP(A351,[1]Pricing!$A:$G,7,FALSE)</f>
        <v>140</v>
      </c>
      <c r="L351" t="s">
        <v>2689</v>
      </c>
      <c r="M351" t="str">
        <f t="shared" si="14"/>
        <v>668-A09548-015</v>
      </c>
    </row>
    <row r="352" spans="1:13" x14ac:dyDescent="0.25">
      <c r="A352" t="s">
        <v>1654</v>
      </c>
      <c r="B352" s="14" t="str">
        <f>VLOOKUP(A352,[1]Pricing!$A:$R,18,FALSE)</f>
        <v>SMBJ15A</v>
      </c>
      <c r="C352" t="s">
        <v>2617</v>
      </c>
      <c r="D352" t="str">
        <f>VLOOKUP(A352,[1]AVL!$A:$F,6,FALSE)</f>
        <v>DIO,SMD,PWR,TVS,600W,15V,RoHS</v>
      </c>
      <c r="E352" t="str">
        <f>VLOOKUP(A352,[1]Pricing!$A:$F,6,FALSE)</f>
        <v>11 Weeks</v>
      </c>
      <c r="F352">
        <f>VLOOKUP(B352,[2]Sheet2!$B:$E,4,FALSE)</f>
        <v>42000</v>
      </c>
      <c r="G352" s="2">
        <f>VLOOKUP(A352,[1]Pricing!$A:$H,8,FALSE)</f>
        <v>7.7206999999999998E-2</v>
      </c>
      <c r="H352" s="2">
        <f>VLOOKUP(A352,[1]Pricing!$A:$J,10,FALSE)</f>
        <v>9.4154878048780491E-2</v>
      </c>
      <c r="I352">
        <f>VLOOKUP(A352,MIN!A:B,2,FALSE)</f>
        <v>15</v>
      </c>
      <c r="J352" t="str">
        <f t="shared" si="13"/>
        <v>NO</v>
      </c>
      <c r="K352">
        <f>VLOOKUP(A352,[1]Pricing!$A:$G,7,FALSE)</f>
        <v>42000</v>
      </c>
      <c r="L352" t="s">
        <v>1960</v>
      </c>
      <c r="M352" t="str">
        <f t="shared" si="14"/>
        <v>609-034003-001</v>
      </c>
    </row>
    <row r="353" spans="1:13" x14ac:dyDescent="0.25">
      <c r="A353" t="s">
        <v>1514</v>
      </c>
      <c r="B353" s="14" t="str">
        <f>VLOOKUP(A353,[1]Pricing!$A:$R,18,FALSE)</f>
        <v>RT0402BRD07100KL</v>
      </c>
      <c r="C353" t="s">
        <v>2580</v>
      </c>
      <c r="D353" t="str">
        <f>VLOOKUP(A353,[1]AVL!$A:$F,6,FALSE)</f>
        <v>RES,SMD,0402,100KOHM,±.1%,1/16W</v>
      </c>
      <c r="E353" t="str">
        <f>VLOOKUP(A353,[1]Pricing!$A:$F,6,FALSE)</f>
        <v>27 Weeks</v>
      </c>
      <c r="F353">
        <f>VLOOKUP(B353,[2]Sheet2!$B:$E,4,FALSE)</f>
        <v>9742</v>
      </c>
      <c r="G353" s="2">
        <f>VLOOKUP(A353,[1]Pricing!$A:$H,8,FALSE)</f>
        <v>3.8162000000000001E-2</v>
      </c>
      <c r="H353" s="2">
        <f>VLOOKUP(A353,[1]Pricing!$A:$J,10,FALSE)</f>
        <v>4.6539024390243905E-2</v>
      </c>
      <c r="I353">
        <f>VLOOKUP(A353,MIN!A:B,2,FALSE)</f>
        <v>25</v>
      </c>
      <c r="J353" t="str">
        <f t="shared" si="13"/>
        <v>NO</v>
      </c>
      <c r="K353">
        <f>VLOOKUP(A353,[1]Pricing!$A:$G,7,FALSE)</f>
        <v>10000</v>
      </c>
      <c r="L353" t="s">
        <v>1960</v>
      </c>
      <c r="M353" t="str">
        <f t="shared" si="14"/>
        <v>615-336992-002</v>
      </c>
    </row>
    <row r="354" spans="1:13" x14ac:dyDescent="0.25">
      <c r="A354" t="s">
        <v>1552</v>
      </c>
      <c r="B354" s="14" t="str">
        <f>VLOOKUP(A354,[1]Pricing!$A:$R,18,FALSE)</f>
        <v>RT0402BRD07499RL</v>
      </c>
      <c r="C354" t="s">
        <v>2580</v>
      </c>
      <c r="D354" t="str">
        <f>VLOOKUP(A354,[1]AVL!$A:$F,6,FALSE)</f>
        <v>RES SMD 499 OHM 0.1% 1/16W 0402</v>
      </c>
      <c r="E354" t="str">
        <f>VLOOKUP(A354,[1]Pricing!$A:$F,6,FALSE)</f>
        <v>22 Weeks</v>
      </c>
      <c r="F354">
        <f>VLOOKUP(B354,[2]Sheet2!$B:$E,4,FALSE)</f>
        <v>9910</v>
      </c>
      <c r="G354" s="2">
        <f>VLOOKUP(A354,[1]Pricing!$A:$H,8,FALSE)</f>
        <v>4.2255000000000001E-2</v>
      </c>
      <c r="H354" s="2">
        <f>VLOOKUP(A354,[1]Pricing!$A:$J,10,FALSE)</f>
        <v>5.1530487804878053E-2</v>
      </c>
      <c r="I354">
        <f>VLOOKUP(A354,MIN!A:B,2,FALSE)</f>
        <v>25</v>
      </c>
      <c r="J354" t="str">
        <f t="shared" si="13"/>
        <v>NO</v>
      </c>
      <c r="K354">
        <f>VLOOKUP(A354,[1]Pricing!$A:$G,7,FALSE)</f>
        <v>10000</v>
      </c>
      <c r="L354" t="s">
        <v>1960</v>
      </c>
      <c r="M354" t="str">
        <f t="shared" si="14"/>
        <v>615-A00422-499</v>
      </c>
    </row>
    <row r="355" spans="1:13" x14ac:dyDescent="0.25">
      <c r="A355" t="s">
        <v>1528</v>
      </c>
      <c r="B355" s="14" t="str">
        <f>VLOOKUP(A355,[1]Pricing!$A:$R,18,FALSE)</f>
        <v>RT0402BRD071K15L</v>
      </c>
      <c r="C355" t="s">
        <v>2618</v>
      </c>
      <c r="D355" t="str">
        <f>VLOOKUP(A355,[1]AVL!$A:$F,6,FALSE)</f>
        <v>RES,SMD,1.15K,0.1%,1/16W,0402,ROHS</v>
      </c>
      <c r="E355" t="str">
        <f>VLOOKUP(A355,[1]Pricing!$A:$F,6,FALSE)</f>
        <v>23 Weeks</v>
      </c>
      <c r="F355">
        <f>VLOOKUP(B355,[2]Sheet2!$B:$E,4,FALSE)</f>
        <v>9071</v>
      </c>
      <c r="G355" s="2">
        <f>VLOOKUP(A355,[1]Pricing!$A:$H,8,FALSE)</f>
        <v>4.1116E-2</v>
      </c>
      <c r="H355" s="2">
        <f>VLOOKUP(A355,[1]Pricing!$A:$J,10,FALSE)</f>
        <v>5.0141463414634151E-2</v>
      </c>
      <c r="I355">
        <f>VLOOKUP(A355,MIN!A:B,2,FALSE)</f>
        <v>25</v>
      </c>
      <c r="J355" t="str">
        <f t="shared" si="13"/>
        <v>NO</v>
      </c>
      <c r="K355">
        <f>VLOOKUP(A355,[1]Pricing!$A:$G,7,FALSE)</f>
        <v>10000</v>
      </c>
      <c r="L355" t="s">
        <v>1960</v>
      </c>
      <c r="M355" t="str">
        <f t="shared" si="14"/>
        <v>615-303725-085</v>
      </c>
    </row>
    <row r="356" spans="1:13" x14ac:dyDescent="0.25">
      <c r="A356" t="s">
        <v>811</v>
      </c>
      <c r="B356" s="14" t="str">
        <f>VLOOKUP(A356,[1]Pricing!$A:$R,18,FALSE)</f>
        <v>ERA-6AEB153V</v>
      </c>
      <c r="C356" t="s">
        <v>2618</v>
      </c>
      <c r="D356" t="str">
        <f>VLOOKUP(A356,[1]AVL!$A:$F,6,FALSE)</f>
        <v>RES,0805,TF,1/8W,0.1%,25PPM,15K ROHS</v>
      </c>
      <c r="E356" t="str">
        <f>VLOOKUP(A356,[1]Pricing!$A:$F,6,FALSE)</f>
        <v>21 Weeks</v>
      </c>
      <c r="F356">
        <f>VLOOKUP(B356,[2]Sheet2!$B:$E,4,FALSE)</f>
        <v>4846</v>
      </c>
      <c r="G356" s="2">
        <f>VLOOKUP(A356,[1]Pricing!$A:$H,8,FALSE)</f>
        <v>3.4313999999999997E-2</v>
      </c>
      <c r="H356" s="2">
        <f>VLOOKUP(A356,[1]Pricing!$A:$J,10,FALSE)</f>
        <v>4.1846341463414635E-2</v>
      </c>
      <c r="I356">
        <f>VLOOKUP(A356,MIN!A:B,2,FALSE)</f>
        <v>25</v>
      </c>
      <c r="J356" t="str">
        <f t="shared" si="13"/>
        <v>NO</v>
      </c>
      <c r="K356">
        <f>VLOOKUP(A356,[1]Pricing!$A:$G,7,FALSE)</f>
        <v>5000</v>
      </c>
      <c r="L356" t="s">
        <v>1960</v>
      </c>
      <c r="M356" t="str">
        <f t="shared" si="14"/>
        <v>615-162861-285</v>
      </c>
    </row>
    <row r="357" spans="1:13" x14ac:dyDescent="0.25">
      <c r="A357" t="s">
        <v>706</v>
      </c>
      <c r="B357" s="14" t="str">
        <f>VLOOKUP(A357,[1]Pricing!$A:$R,18,FALSE)</f>
        <v>CRCW25121K00FKEG</v>
      </c>
      <c r="C357" t="s">
        <v>2617</v>
      </c>
      <c r="D357" t="str">
        <f>VLOOKUP(A357,[1]AVL!$A:$F,6,FALSE)</f>
        <v>RES,SMD,2512,THKF,1%,1W,1K OHM ROHS</v>
      </c>
      <c r="E357" t="str">
        <f>VLOOKUP(A357,[1]Pricing!$A:$F,6,FALSE)</f>
        <v>16 Weeks</v>
      </c>
      <c r="F357">
        <f>VLOOKUP(B357,[2]Sheet2!$B:$E,4,FALSE)</f>
        <v>4000</v>
      </c>
      <c r="G357" s="2">
        <f>VLOOKUP(A357,[1]Pricing!$A:$H,8,FALSE)</f>
        <v>4.1667000000000003E-2</v>
      </c>
      <c r="H357" s="2">
        <f>VLOOKUP(A357,[1]Pricing!$A:$J,10,FALSE)</f>
        <v>5.0813414634146348E-2</v>
      </c>
      <c r="I357">
        <f>VLOOKUP(A357,MIN!A:B,2,FALSE)</f>
        <v>25</v>
      </c>
      <c r="J357" t="str">
        <f t="shared" si="13"/>
        <v>NO</v>
      </c>
      <c r="K357">
        <f>VLOOKUP(A357,[1]Pricing!$A:$G,7,FALSE)</f>
        <v>4000</v>
      </c>
      <c r="L357" t="s">
        <v>1960</v>
      </c>
      <c r="M357" t="str">
        <f t="shared" si="14"/>
        <v>615-267478-050</v>
      </c>
    </row>
    <row r="358" spans="1:13" x14ac:dyDescent="0.25">
      <c r="A358" t="s">
        <v>1836</v>
      </c>
      <c r="B358" s="14" t="str">
        <f>VLOOKUP(A358,[1]Pricing!$A:$R,18,FALSE)</f>
        <v>UMH9NTN</v>
      </c>
      <c r="C358" t="s">
        <v>2630</v>
      </c>
      <c r="D358" t="str">
        <f>VLOOKUP(A358,[1]AVL!$A:$F,6,FALSE)</f>
        <v>XSTR,SMD,NPN,W/RES 50V SMINI6</v>
      </c>
      <c r="E358" t="str">
        <f>VLOOKUP(A358,[1]Pricing!$A:$F,6,FALSE)</f>
        <v>3 Weeks</v>
      </c>
      <c r="F358">
        <f>VLOOKUP(B358,[2]Sheet2!$B:$E,4,FALSE)</f>
        <v>3000</v>
      </c>
      <c r="G358" s="2">
        <f>VLOOKUP(A358,[1]Pricing!$A:$H,8,FALSE)</f>
        <v>0.1024</v>
      </c>
      <c r="H358" s="2">
        <f>VLOOKUP(A358,[1]Pricing!$A:$J,10,FALSE)</f>
        <v>0.12487804878048782</v>
      </c>
      <c r="I358">
        <f>VLOOKUP(A358,MIN!A:B,2,FALSE)</f>
        <v>25</v>
      </c>
      <c r="J358" t="str">
        <f t="shared" si="13"/>
        <v>NO</v>
      </c>
      <c r="K358">
        <f>VLOOKUP(A358,[1]Pricing!$A:$G,7,FALSE)</f>
        <v>3000</v>
      </c>
      <c r="L358" t="s">
        <v>1960</v>
      </c>
      <c r="M358" t="str">
        <f t="shared" si="14"/>
        <v>626-122409-001</v>
      </c>
    </row>
    <row r="359" spans="1:13" x14ac:dyDescent="0.25">
      <c r="A359" t="s">
        <v>503</v>
      </c>
      <c r="B359" s="14" t="str">
        <f>VLOOKUP(A359,[1]Pricing!$A:$R,18,FALSE)</f>
        <v>AGC-1-R</v>
      </c>
      <c r="C359" t="s">
        <v>2620</v>
      </c>
      <c r="D359" t="str">
        <f>VLOOKUP(A359,[1]AVL!$A:$F,6,FALSE)</f>
        <v>FUSE .25x1.25 1A 250VAC,ROHS</v>
      </c>
      <c r="E359" t="str">
        <f>VLOOKUP(A359,[1]Pricing!$A:$F,6,FALSE)</f>
        <v>20 Weeks</v>
      </c>
      <c r="F359">
        <f>VLOOKUP(B359,[2]Sheet2!$B:$E,4,FALSE)</f>
        <v>1000</v>
      </c>
      <c r="G359" s="2">
        <f>VLOOKUP(A359,[1]Pricing!$A:$H,8,FALSE)</f>
        <v>1.1801569999999999</v>
      </c>
      <c r="H359" s="2">
        <f>VLOOKUP(A359,[1]Pricing!$A:$J,10,FALSE)</f>
        <v>1.4392158536585367</v>
      </c>
      <c r="I359">
        <f>VLOOKUP(A359,MIN!A:B,2,FALSE)</f>
        <v>25</v>
      </c>
      <c r="J359" t="str">
        <f t="shared" si="13"/>
        <v>NO</v>
      </c>
      <c r="K359">
        <f>VLOOKUP(A359,[1]Pricing!$A:$G,7,FALSE)</f>
        <v>1000</v>
      </c>
      <c r="L359" t="s">
        <v>1960</v>
      </c>
      <c r="M359" t="str">
        <f t="shared" si="14"/>
        <v>670-006780-022</v>
      </c>
    </row>
    <row r="360" spans="1:13" x14ac:dyDescent="0.25">
      <c r="A360" t="s">
        <v>457</v>
      </c>
      <c r="B360" s="14" t="str">
        <f>VLOOKUP(A360,[1]Pricing!$A:$R,18,FALSE)</f>
        <v>ABC-8-R</v>
      </c>
      <c r="C360" t="s">
        <v>2620</v>
      </c>
      <c r="D360" t="str">
        <f>VLOOKUP(A360,[1]AVL!$A:$F,6,FALSE)</f>
        <v>FUSE .25x1.25 8A 250VAC,ROHS</v>
      </c>
      <c r="E360" t="str">
        <f>VLOOKUP(A360,[1]Pricing!$A:$F,6,FALSE)</f>
        <v>20 Weeks</v>
      </c>
      <c r="F360">
        <f>VLOOKUP(B360,[2]Sheet2!$B:$E,4,FALSE)</f>
        <v>1000</v>
      </c>
      <c r="G360" s="2">
        <f>VLOOKUP(A360,[1]Pricing!$A:$H,8,FALSE)</f>
        <v>2.6715900000000001</v>
      </c>
      <c r="H360" s="2">
        <f>VLOOKUP(A360,[1]Pricing!$A:$J,10,FALSE)</f>
        <v>3.2580365853658542</v>
      </c>
      <c r="I360">
        <f>VLOOKUP(A360,MIN!A:B,2,FALSE)</f>
        <v>15</v>
      </c>
      <c r="J360" t="str">
        <f t="shared" si="13"/>
        <v>NO</v>
      </c>
      <c r="K360">
        <f>VLOOKUP(A360,[1]Pricing!$A:$G,7,FALSE)</f>
        <v>1000</v>
      </c>
      <c r="L360" t="s">
        <v>1960</v>
      </c>
      <c r="M360" t="str">
        <f t="shared" si="14"/>
        <v>670-006780-036</v>
      </c>
    </row>
    <row r="361" spans="1:13" x14ac:dyDescent="0.25">
      <c r="A361" t="s">
        <v>459</v>
      </c>
      <c r="B361" s="14" t="str">
        <f>VLOOKUP(A361,[1]Pricing!$A:$R,18,FALSE)</f>
        <v>ABM8G-24.000MHZ-18-D2Y-T</v>
      </c>
      <c r="C361" t="s">
        <v>2671</v>
      </c>
      <c r="D361" t="str">
        <f>VLOOKUP(A361,[1]AVL!$A:$F,6,FALSE)</f>
        <v>OSC,SMD,XTAL,24MHZ,18PF,ROHS</v>
      </c>
      <c r="E361" t="str">
        <f>VLOOKUP(A361,[1]Pricing!$A:$F,6,FALSE)</f>
        <v>11 Weeks</v>
      </c>
      <c r="F361">
        <f>VLOOKUP(B361,[2]Sheet2!$B:$E,4,FALSE)</f>
        <v>978</v>
      </c>
      <c r="G361" s="2">
        <f>VLOOKUP(A361,[1]Pricing!$A:$H,8,FALSE)</f>
        <v>0.23774700000000001</v>
      </c>
      <c r="H361" s="2">
        <f>VLOOKUP(A361,[1]Pricing!$A:$J,10,FALSE)</f>
        <v>0.28993536585365859</v>
      </c>
      <c r="I361">
        <f>VLOOKUP(A361,MIN!A:B,2,FALSE)</f>
        <v>15</v>
      </c>
      <c r="J361" t="str">
        <f t="shared" si="13"/>
        <v>NO</v>
      </c>
      <c r="K361">
        <f>VLOOKUP(A361,[1]Pricing!$A:$G,7,FALSE)</f>
        <v>1000</v>
      </c>
      <c r="L361" t="s">
        <v>1960</v>
      </c>
      <c r="M361" t="str">
        <f t="shared" si="14"/>
        <v>635-169211-001</v>
      </c>
    </row>
    <row r="362" spans="1:13" x14ac:dyDescent="0.25">
      <c r="A362" t="s">
        <v>631</v>
      </c>
      <c r="B362" s="14" t="str">
        <f>VLOOKUP(A362,[1]Pricing!$A:$R,18,FALSE)</f>
        <v>CDSOD323-T12C</v>
      </c>
      <c r="C362" t="s">
        <v>2588</v>
      </c>
      <c r="D362" t="str">
        <f>VLOOKUP(A362,[1]AVL!$A:$F,6,FALSE)</f>
        <v>DIO,SMD,ZENER,TVS,12VWM,28.3VC,SOD323</v>
      </c>
      <c r="E362" t="str">
        <f>VLOOKUP(A362,[1]Pricing!$A:$F,6,FALSE)</f>
        <v>13 Weeks</v>
      </c>
      <c r="F362">
        <f>VLOOKUP(B362,[2]Sheet2!$B:$E,4,FALSE)</f>
        <v>3000</v>
      </c>
      <c r="G362" s="2">
        <f>VLOOKUP(A362,[1]Pricing!$A:$H,8,FALSE)</f>
        <v>0.22686500000000001</v>
      </c>
      <c r="H362" s="2">
        <f>VLOOKUP(A362,[1]Pricing!$A:$J,10,FALSE)</f>
        <v>0.27666463414634151</v>
      </c>
      <c r="I362">
        <f>VLOOKUP(A362,MIN!A:B,2,FALSE)</f>
        <v>25</v>
      </c>
      <c r="J362" t="str">
        <f t="shared" si="13"/>
        <v>NO</v>
      </c>
      <c r="K362">
        <f>VLOOKUP(A362,[1]Pricing!$A:$G,7,FALSE)</f>
        <v>3000</v>
      </c>
      <c r="L362" t="s">
        <v>1960</v>
      </c>
      <c r="M362" t="str">
        <f t="shared" si="14"/>
        <v>609-270344-001</v>
      </c>
    </row>
    <row r="363" spans="1:13" x14ac:dyDescent="0.25">
      <c r="A363" t="s">
        <v>926</v>
      </c>
      <c r="B363" s="14" t="str">
        <f>VLOOKUP(A363,[1]Pricing!$A:$R,18,FALSE)</f>
        <v>GRM21BR61H106KE43K</v>
      </c>
      <c r="C363" t="s">
        <v>2627</v>
      </c>
      <c r="D363" t="str">
        <f>VLOOKUP(A363,[1]AVL!$A:$F,6,FALSE)</f>
        <v>CAP,SMD,CER,10UF,+/-10%,50V,X5R,0805</v>
      </c>
      <c r="E363" t="str">
        <f>VLOOKUP(A363,[1]Pricing!$A:$F,6,FALSE)</f>
        <v>24 Weeks</v>
      </c>
      <c r="F363">
        <f>VLOOKUP(B363,[2]Sheet2!$B:$E,4,FALSE)</f>
        <v>9206</v>
      </c>
      <c r="G363" s="2">
        <f>VLOOKUP(A363,[1]Pricing!$A:$H,8,FALSE)</f>
        <v>6.3726000000000005E-2</v>
      </c>
      <c r="H363" s="2">
        <f>VLOOKUP(A363,[1]Pricing!$A:$J,10,FALSE)</f>
        <v>7.7714634146341471E-2</v>
      </c>
      <c r="I363">
        <f>VLOOKUP(A363,MIN!A:B,2,FALSE)</f>
        <v>15</v>
      </c>
      <c r="J363" t="str">
        <f t="shared" si="13"/>
        <v>NO</v>
      </c>
      <c r="K363">
        <f>VLOOKUP(A363,[1]Pricing!$A:$G,7,FALSE)</f>
        <v>10000</v>
      </c>
      <c r="L363" t="s">
        <v>1960</v>
      </c>
      <c r="M363" t="str">
        <f t="shared" si="14"/>
        <v>648-338947-106</v>
      </c>
    </row>
    <row r="364" spans="1:13" x14ac:dyDescent="0.25">
      <c r="A364" t="s">
        <v>1361</v>
      </c>
      <c r="B364" s="14" t="str">
        <f>VLOOKUP(A364,[1]Pricing!$A:$R,18,FALSE)</f>
        <v>RC0805FR-07105RL</v>
      </c>
      <c r="C364" t="s">
        <v>2632</v>
      </c>
      <c r="D364" t="str">
        <f>VLOOKUP(A364,[1]AVL!$A:$F,6,FALSE)</f>
        <v>RES,SMD,0805,105,1%,1/10W,ROHS</v>
      </c>
      <c r="E364" t="str">
        <f>VLOOKUP(A364,[1]Pricing!$A:$F,6,FALSE)</f>
        <v>16 Weeks</v>
      </c>
      <c r="F364">
        <f>VLOOKUP(B364,[2]Sheet2!$B:$E,4,FALSE)</f>
        <v>5000</v>
      </c>
      <c r="G364" s="2">
        <f>VLOOKUP(A364,[1]Pricing!$A:$H,8,FALSE)</f>
        <v>7.3530000000000002E-3</v>
      </c>
      <c r="H364" s="2">
        <f>VLOOKUP(A364,[1]Pricing!$A:$J,10,FALSE)</f>
        <v>8.9670731707317073E-3</v>
      </c>
      <c r="I364">
        <f>VLOOKUP(A364,MIN!A:B,2,FALSE)</f>
        <v>15</v>
      </c>
      <c r="J364" t="str">
        <f t="shared" si="13"/>
        <v>NO</v>
      </c>
      <c r="K364">
        <f>VLOOKUP(A364,[1]Pricing!$A:$G,7,FALSE)</f>
        <v>5000</v>
      </c>
      <c r="L364" t="s">
        <v>1960</v>
      </c>
      <c r="M364" t="str">
        <f t="shared" si="14"/>
        <v>615-901300-105</v>
      </c>
    </row>
    <row r="365" spans="1:13" x14ac:dyDescent="0.25">
      <c r="A365" t="s">
        <v>135</v>
      </c>
      <c r="B365" s="14" t="str">
        <f>VLOOKUP(A365,[1]Pricing!$A:$R,18,FALSE)</f>
        <v>1812L160PR</v>
      </c>
      <c r="C365" t="s">
        <v>2620</v>
      </c>
      <c r="D365" t="str">
        <f>VLOOKUP(A365,[1]AVL!$A:$F,6,FALSE)</f>
        <v>FUSE,SMD,1812,8V,1.6A,ROHS</v>
      </c>
      <c r="E365" t="str">
        <f>VLOOKUP(A365,[1]Pricing!$A:$F,6,FALSE)</f>
        <v>16 Weeks</v>
      </c>
      <c r="F365">
        <f>VLOOKUP(B365,[2]Sheet2!$B:$E,4,FALSE)</f>
        <v>1999</v>
      </c>
      <c r="G365" s="2">
        <f>VLOOKUP(A365,[1]Pricing!$A:$H,8,FALSE)</f>
        <v>0.20380100000000001</v>
      </c>
      <c r="H365" s="2">
        <f>VLOOKUP(A365,[1]Pricing!$A:$J,10,FALSE)</f>
        <v>0.2485378048780488</v>
      </c>
      <c r="I365">
        <f>VLOOKUP(A365,MIN!A:B,2,FALSE)</f>
        <v>25</v>
      </c>
      <c r="J365" t="str">
        <f t="shared" si="13"/>
        <v>NO</v>
      </c>
      <c r="K365">
        <f>VLOOKUP(A365,[1]Pricing!$A:$G,7,FALSE)</f>
        <v>2000</v>
      </c>
      <c r="L365" t="s">
        <v>1960</v>
      </c>
      <c r="M365" t="str">
        <f t="shared" si="14"/>
        <v>682-020656-011</v>
      </c>
    </row>
    <row r="366" spans="1:13" x14ac:dyDescent="0.25">
      <c r="A366" t="s">
        <v>1419</v>
      </c>
      <c r="B366" s="14" t="str">
        <f>VLOOKUP(A366,[1]Pricing!$A:$R,18,FALSE)</f>
        <v>RC1206FR-0797K6L</v>
      </c>
      <c r="C366" t="s">
        <v>2580</v>
      </c>
      <c r="D366" t="str">
        <f>VLOOKUP(A366,[1]AVL!$A:$F,6,FALSE)</f>
        <v>RES,SMD,1206,1%,1/4W,97.6K ROHS</v>
      </c>
      <c r="E366" t="str">
        <f>VLOOKUP(A366,[1]Pricing!$A:$F,6,FALSE)</f>
        <v>31 Weeks</v>
      </c>
      <c r="F366">
        <f>VLOOKUP(B366,[2]Sheet2!$B:$E,4,FALSE)</f>
        <v>5000</v>
      </c>
      <c r="G366" s="2">
        <f>VLOOKUP(A366,[1]Pricing!$A:$H,8,FALSE)</f>
        <v>8.5789999999999998E-3</v>
      </c>
      <c r="H366" s="2">
        <f>VLOOKUP(A366,[1]Pricing!$A:$J,10,FALSE)</f>
        <v>1.046219512195122E-2</v>
      </c>
      <c r="I366">
        <f>VLOOKUP(A366,MIN!A:B,2,FALSE)</f>
        <v>25</v>
      </c>
      <c r="J366" t="str">
        <f t="shared" si="13"/>
        <v>NO</v>
      </c>
      <c r="K366">
        <f>VLOOKUP(A366,[1]Pricing!$A:$G,7,FALSE)</f>
        <v>5000</v>
      </c>
      <c r="L366" t="s">
        <v>1960</v>
      </c>
      <c r="M366" t="str">
        <f t="shared" si="14"/>
        <v>615-116029-976</v>
      </c>
    </row>
    <row r="367" spans="1:13" x14ac:dyDescent="0.25">
      <c r="A367" t="s">
        <v>1437</v>
      </c>
      <c r="B367" s="14" t="str">
        <f>VLOOKUP(A367,[1]Pricing!$A:$R,18,FALSE)</f>
        <v>RC2012J000CS</v>
      </c>
      <c r="C367" t="s">
        <v>2636</v>
      </c>
      <c r="D367" t="str">
        <f>VLOOKUP(A367,[1]AVL!$A:$F,6,FALSE)</f>
        <v>RES,SMD,ZERO OHM JUMPER</v>
      </c>
      <c r="E367" t="str">
        <f>VLOOKUP(A367,[1]Pricing!$A:$F,6,FALSE)</f>
        <v>50 Weeks</v>
      </c>
      <c r="F367">
        <f>VLOOKUP(B367,[2]Sheet2!$B:$E,4,FALSE)</f>
        <v>5000</v>
      </c>
      <c r="G367" s="2">
        <f>VLOOKUP(A367,[1]Pricing!$A:$H,8,FALSE)</f>
        <v>1.44E-2</v>
      </c>
      <c r="H367" s="2">
        <f>VLOOKUP(A367,[1]Pricing!$A:$J,10,FALSE)</f>
        <v>1.7560975609756099E-2</v>
      </c>
      <c r="I367">
        <f>VLOOKUP(A367,MIN!A:B,2,FALSE)</f>
        <v>25</v>
      </c>
      <c r="J367" t="str">
        <f t="shared" si="13"/>
        <v>NO</v>
      </c>
      <c r="K367">
        <f>VLOOKUP(A367,[1]Pricing!$A:$G,7,FALSE)</f>
        <v>5000</v>
      </c>
      <c r="L367" t="s">
        <v>1960</v>
      </c>
      <c r="M367" t="str">
        <f t="shared" si="14"/>
        <v>615-294140-001</v>
      </c>
    </row>
    <row r="368" spans="1:13" x14ac:dyDescent="0.25">
      <c r="A368" t="s">
        <v>1173</v>
      </c>
      <c r="B368" s="14" t="str">
        <f>VLOOKUP(A368,[1]Pricing!$A:$R,18,FALSE)</f>
        <v>MMBT2222ALT3G</v>
      </c>
      <c r="C368" t="s">
        <v>2623</v>
      </c>
      <c r="D368" t="str">
        <f>VLOOKUP(A368,[1]AVL!$A:$F,6,FALSE)</f>
        <v>XSTR,SMD,NPN,40V,0.6A,300MHZ,SOT-23</v>
      </c>
      <c r="E368" t="str">
        <f>VLOOKUP(A368,[1]Pricing!$A:$F,6,FALSE)</f>
        <v>15 Weeks</v>
      </c>
      <c r="F368">
        <f>VLOOKUP(B368,[2]Sheet2!$B:$E,4,FALSE)</f>
        <v>10000</v>
      </c>
      <c r="G368" s="2">
        <f>VLOOKUP(A368,[1]Pricing!$A:$H,8,FALSE)</f>
        <v>1.8383E-2</v>
      </c>
      <c r="H368" s="2">
        <f>VLOOKUP(A368,[1]Pricing!$A:$J,10,FALSE)</f>
        <v>2.2418292682926829E-2</v>
      </c>
      <c r="I368">
        <f>VLOOKUP(A368,MIN!A:B,2,FALSE)</f>
        <v>15</v>
      </c>
      <c r="J368" t="str">
        <f t="shared" si="13"/>
        <v>NO</v>
      </c>
      <c r="K368">
        <f>VLOOKUP(A368,[1]Pricing!$A:$G,7,FALSE)</f>
        <v>10000</v>
      </c>
      <c r="L368" t="s">
        <v>1960</v>
      </c>
      <c r="M368" t="str">
        <f t="shared" si="14"/>
        <v>626-A97841-001</v>
      </c>
    </row>
    <row r="369" spans="1:13" x14ac:dyDescent="0.25">
      <c r="A369" t="s">
        <v>833</v>
      </c>
      <c r="B369" s="14" t="str">
        <f>VLOOKUP(A369,[1]Pricing!$A:$R,18,FALSE)</f>
        <v>ERA-8AEB101V</v>
      </c>
      <c r="C369" t="s">
        <v>2618</v>
      </c>
      <c r="D369" t="str">
        <f>VLOOKUP(A369,[1]AVL!$A:$F,6,FALSE)</f>
        <v>RES,SMD,100,0.1%,1/4W,1206,ROHS</v>
      </c>
      <c r="E369" t="str">
        <f>VLOOKUP(A369,[1]Pricing!$A:$F,6,FALSE)</f>
        <v>21 Weeks</v>
      </c>
      <c r="F369" s="18">
        <v>5000</v>
      </c>
      <c r="G369" s="2">
        <f>VLOOKUP(A369,[1]Pricing!$A:$H,8,FALSE)</f>
        <v>0.107734</v>
      </c>
      <c r="H369" s="2">
        <f>VLOOKUP(A369,[1]Pricing!$A:$J,10,FALSE)</f>
        <v>0.1313829268292683</v>
      </c>
      <c r="I369">
        <f>VLOOKUP(A369,MIN!A:B,2,FALSE)</f>
        <v>25</v>
      </c>
      <c r="J369" t="str">
        <f t="shared" si="13"/>
        <v>NO</v>
      </c>
      <c r="K369">
        <f>VLOOKUP(A369,[1]Pricing!$A:$G,7,FALSE)</f>
        <v>5000</v>
      </c>
      <c r="L369" t="s">
        <v>1960</v>
      </c>
      <c r="M369" t="str">
        <f t="shared" si="14"/>
        <v>615-252481-033</v>
      </c>
    </row>
    <row r="370" spans="1:13" x14ac:dyDescent="0.25">
      <c r="A370" t="s">
        <v>584</v>
      </c>
      <c r="B370" s="14" t="str">
        <f>VLOOKUP(A370,[1]Pricing!$A:$R,18,FALSE)</f>
        <v>C1005X5R1C225K050BC</v>
      </c>
      <c r="C370" t="s">
        <v>2616</v>
      </c>
      <c r="D370" t="str">
        <f>VLOOKUP(A370,[1]AVL!$A:$F,6,FALSE)</f>
        <v>CAP,SMD,CER,2.2UF,16V,X5R,0402,ROHS</v>
      </c>
      <c r="E370" t="str">
        <f>VLOOKUP(A370,[1]Pricing!$A:$F,6,FALSE)</f>
        <v>27 Weeks</v>
      </c>
      <c r="F370">
        <f>VLOOKUP(B370,[2]Sheet2!$B:$E,4,FALSE)</f>
        <v>8744</v>
      </c>
      <c r="G370" s="2">
        <f>VLOOKUP(A370,[1]Pricing!$A:$H,8,FALSE)</f>
        <v>3.4301999999999999E-2</v>
      </c>
      <c r="H370" s="2">
        <f>VLOOKUP(A370,[1]Pricing!$A:$J,10,FALSE)</f>
        <v>4.1831707317073169E-2</v>
      </c>
      <c r="I370">
        <f>VLOOKUP(A370,MIN!A:B,2,FALSE)</f>
        <v>35</v>
      </c>
      <c r="J370" t="str">
        <f t="shared" si="13"/>
        <v>NO</v>
      </c>
      <c r="K370">
        <f>VLOOKUP(A370,[1]Pricing!$A:$G,7,FALSE)</f>
        <v>10000</v>
      </c>
      <c r="L370" t="s">
        <v>1960</v>
      </c>
      <c r="M370" t="str">
        <f t="shared" si="14"/>
        <v>648-149178-225</v>
      </c>
    </row>
    <row r="371" spans="1:13" x14ac:dyDescent="0.25">
      <c r="A371" t="s">
        <v>376</v>
      </c>
      <c r="B371" s="14" t="str">
        <f>VLOOKUP(A371,[1]Pricing!$A:$R,18,FALSE)</f>
        <v>640497-1</v>
      </c>
      <c r="C371" t="s">
        <v>2599</v>
      </c>
      <c r="D371" t="str">
        <f>VLOOKUP(A371,[1]AVL!$A:$F,6,FALSE)</f>
        <v>CONN,RCPT,2POSN,HDR,MR SER,250V,9A</v>
      </c>
      <c r="E371" t="str">
        <f>VLOOKUP(A371,[1]Pricing!$A:$F,6,FALSE)</f>
        <v>3 Weeks</v>
      </c>
      <c r="F371">
        <f>VLOOKUP(B371,[2]Sheet2!$B:$E,4,FALSE)</f>
        <v>100</v>
      </c>
      <c r="G371" s="2">
        <f>VLOOKUP(A371,[1]Pricing!$A:$H,8,FALSE)</f>
        <v>1.3848149999999999</v>
      </c>
      <c r="H371" s="2">
        <f>VLOOKUP(A371,[1]Pricing!$A:$J,10,FALSE)</f>
        <v>1.6887987804878049</v>
      </c>
      <c r="I371">
        <f>VLOOKUP(A371,MIN!A:B,2,FALSE)</f>
        <v>15</v>
      </c>
      <c r="J371" t="str">
        <f t="shared" si="13"/>
        <v>NO</v>
      </c>
      <c r="K371">
        <f>VLOOKUP(A371,[1]Pricing!$A:$G,7,FALSE)</f>
        <v>100</v>
      </c>
      <c r="L371" t="s">
        <v>1960</v>
      </c>
      <c r="M371" t="str">
        <f t="shared" si="14"/>
        <v>668-161369-001</v>
      </c>
    </row>
    <row r="372" spans="1:13" x14ac:dyDescent="0.25">
      <c r="A372" t="s">
        <v>385</v>
      </c>
      <c r="B372" s="14" t="str">
        <f>VLOOKUP(A372,[1]Pricing!$A:$R,18,FALSE)</f>
        <v>67997-102HLF</v>
      </c>
      <c r="C372" t="s">
        <v>2659</v>
      </c>
      <c r="D372" t="str">
        <f>VLOOKUP(A372,[1]AVL!$A:$F,6,FALSE)</f>
        <v>HEADER, STRAIGHT DBL ROW,2 PIN,ROHS</v>
      </c>
      <c r="E372" t="str">
        <f>VLOOKUP(A372,[1]Pricing!$A:$F,6,FALSE)</f>
        <v>22 Weeks</v>
      </c>
      <c r="F372">
        <f>VLOOKUP(B372,[2]Sheet2!$B:$E,4,FALSE)</f>
        <v>1000</v>
      </c>
      <c r="G372" s="2">
        <f>VLOOKUP(A372,[1]Pricing!$A:$H,8,FALSE)</f>
        <v>0.139707</v>
      </c>
      <c r="H372" s="2">
        <f>VLOOKUP(A372,[1]Pricing!$A:$J,10,FALSE)</f>
        <v>0.17037439024390244</v>
      </c>
      <c r="I372">
        <f>VLOOKUP(A372,MIN!A:B,2,FALSE)</f>
        <v>25</v>
      </c>
      <c r="J372" t="str">
        <f t="shared" si="13"/>
        <v>NO</v>
      </c>
      <c r="K372">
        <f>VLOOKUP(A372,[1]Pricing!$A:$G,7,FALSE)</f>
        <v>1000</v>
      </c>
      <c r="L372" t="s">
        <v>1960</v>
      </c>
      <c r="M372" t="str">
        <f t="shared" si="14"/>
        <v>668-005463-002</v>
      </c>
    </row>
    <row r="373" spans="1:13" x14ac:dyDescent="0.25">
      <c r="A373" t="s">
        <v>1401</v>
      </c>
      <c r="B373" s="14" t="str">
        <f>VLOOKUP(A373,[1]Pricing!$A:$R,18,FALSE)</f>
        <v>RC1206FR-0726K1L</v>
      </c>
      <c r="C373" t="s">
        <v>2580</v>
      </c>
      <c r="D373" t="str">
        <f>VLOOKUP(A373,[1]AVL!$A:$F,6,FALSE)</f>
        <v>RES,SMD,1206,1%,1/4W,26.1K ROHS</v>
      </c>
      <c r="E373" t="str">
        <f>VLOOKUP(A373,[1]Pricing!$A:$F,6,FALSE)</f>
        <v>15 Weeks</v>
      </c>
      <c r="F373">
        <f>VLOOKUP(B373,[2]Sheet2!$B:$E,4,FALSE)</f>
        <v>5000</v>
      </c>
      <c r="G373" s="2">
        <f>VLOOKUP(A373,[1]Pricing!$A:$H,8,FALSE)</f>
        <v>7.3530000000000002E-3</v>
      </c>
      <c r="H373" s="2">
        <f>VLOOKUP(A373,[1]Pricing!$A:$J,10,FALSE)</f>
        <v>8.9670731707317073E-3</v>
      </c>
      <c r="I373">
        <f>VLOOKUP(A373,MIN!A:B,2,FALSE)</f>
        <v>15</v>
      </c>
      <c r="J373" t="str">
        <f t="shared" si="13"/>
        <v>NO</v>
      </c>
      <c r="K373">
        <f>VLOOKUP(A373,[1]Pricing!$A:$G,7,FALSE)</f>
        <v>5000</v>
      </c>
      <c r="L373" t="s">
        <v>1960</v>
      </c>
      <c r="M373" t="str">
        <f t="shared" si="14"/>
        <v>615-116029-261</v>
      </c>
    </row>
    <row r="374" spans="1:13" x14ac:dyDescent="0.25">
      <c r="A374" t="s">
        <v>322</v>
      </c>
      <c r="B374" s="14" t="str">
        <f>VLOOKUP(A374,[1]Pricing!$A:$R,18,FALSE)</f>
        <v>5-146280-3</v>
      </c>
      <c r="C374" t="s">
        <v>2599</v>
      </c>
      <c r="D374" t="str">
        <f>VLOOKUP(A374,[1]AVL!$A:$F,6,FALSE)</f>
        <v>CONN,HDR,BREAKAWAY,SGL ROW,PCB MT,3POSN</v>
      </c>
      <c r="E374" t="str">
        <f>VLOOKUP(A374,[1]Pricing!$A:$F,6,FALSE)</f>
        <v>12 Weeks</v>
      </c>
      <c r="F374" s="18">
        <v>2000</v>
      </c>
      <c r="G374" s="2">
        <f>VLOOKUP(A374,[1]Pricing!$A:$H,8,FALSE)</f>
        <v>0.25858100000000001</v>
      </c>
      <c r="H374" s="2">
        <f>VLOOKUP(A374,[1]Pricing!$A:$J,10,FALSE)</f>
        <v>0.31534268292682932</v>
      </c>
      <c r="I374">
        <f>VLOOKUP(A374,MIN!A:B,2,FALSE)</f>
        <v>25</v>
      </c>
      <c r="J374" t="str">
        <f t="shared" si="13"/>
        <v>NO</v>
      </c>
      <c r="K374">
        <f>VLOOKUP(A374,[1]Pricing!$A:$G,7,FALSE)</f>
        <v>2000</v>
      </c>
      <c r="L374" t="s">
        <v>1960</v>
      </c>
      <c r="M374" t="str">
        <f t="shared" si="14"/>
        <v>668-188529-001</v>
      </c>
    </row>
    <row r="375" spans="1:13" x14ac:dyDescent="0.25">
      <c r="A375" t="s">
        <v>414</v>
      </c>
      <c r="B375" s="14" t="str">
        <f>VLOOKUP(A375,[1]Pricing!$A:$R,18,FALSE)</f>
        <v>74LCX125MTC</v>
      </c>
      <c r="C375" t="s">
        <v>2672</v>
      </c>
      <c r="D375" t="str">
        <f>VLOOKUP(A375,[1]AVL!$A:$F,6,FALSE)</f>
        <v>IC,SMD,QUAD BFR,NON INVERTING,TSSOP-14</v>
      </c>
      <c r="E375" t="str">
        <f>VLOOKUP(A375,[1]Pricing!$A:$F,6,FALSE)</f>
        <v>24 Weeks</v>
      </c>
      <c r="F375">
        <f>VLOOKUP(B375,[2]Sheet2!$B:$E,4,FALSE)</f>
        <v>122</v>
      </c>
      <c r="G375" s="2">
        <f>VLOOKUP(A375,[1]Pricing!$A:$H,8,FALSE)</f>
        <v>0.272061</v>
      </c>
      <c r="H375" s="2">
        <f>VLOOKUP(A375,[1]Pricing!$A:$J,10,FALSE)</f>
        <v>0.33178170731707318</v>
      </c>
      <c r="I375">
        <f>VLOOKUP(A375,MIN!A:B,2,FALSE)</f>
        <v>25</v>
      </c>
      <c r="J375" t="str">
        <f t="shared" si="13"/>
        <v>NO</v>
      </c>
      <c r="K375">
        <f>VLOOKUP(A375,[1]Pricing!$A:$G,7,FALSE)</f>
        <v>200</v>
      </c>
      <c r="L375" t="s">
        <v>1960</v>
      </c>
      <c r="M375" t="str">
        <f t="shared" si="14"/>
        <v>630-A61701-125</v>
      </c>
    </row>
    <row r="376" spans="1:13" x14ac:dyDescent="0.25">
      <c r="A376" t="s">
        <v>259</v>
      </c>
      <c r="B376" s="14" t="str">
        <f>VLOOKUP(A376,[1]Pricing!$A:$R,18,FALSE)</f>
        <v>350792-3</v>
      </c>
      <c r="C376" t="s">
        <v>2599</v>
      </c>
      <c r="D376" t="str">
        <f>VLOOKUP(A376,[1]AVL!$A:$F,6,FALSE)</f>
        <v>CONN,HDR,PCB,M-ST,UNV M-N-LOK,4P,ROHS</v>
      </c>
      <c r="E376" t="str">
        <f>VLOOKUP(A376,[1]Pricing!$A:$F,6,FALSE)</f>
        <v>17 Weeks</v>
      </c>
      <c r="F376">
        <f>VLOOKUP(B376,[2]Sheet2!$B:$E,4,FALSE)</f>
        <v>88</v>
      </c>
      <c r="G376" s="2">
        <f>VLOOKUP(A376,[1]Pricing!$A:$H,8,FALSE)</f>
        <v>2.144625</v>
      </c>
      <c r="H376" s="2">
        <f>VLOOKUP(A376,[1]Pricing!$A:$J,10,FALSE)</f>
        <v>2.6153963414634149</v>
      </c>
      <c r="I376">
        <f>VLOOKUP(A376,MIN!A:B,2,FALSE)</f>
        <v>15</v>
      </c>
      <c r="J376" t="str">
        <f t="shared" si="13"/>
        <v>NO</v>
      </c>
      <c r="K376">
        <f>VLOOKUP(A376,[1]Pricing!$A:$G,7,FALSE)</f>
        <v>100</v>
      </c>
      <c r="L376" t="s">
        <v>1960</v>
      </c>
      <c r="M376" t="str">
        <f t="shared" si="14"/>
        <v>668-007087-004</v>
      </c>
    </row>
    <row r="377" spans="1:13" x14ac:dyDescent="0.25">
      <c r="A377" t="s">
        <v>318</v>
      </c>
      <c r="B377" s="14" t="str">
        <f>VLOOKUP(A377,[1]Pricing!$A:$R,18,FALSE)</f>
        <v>5-104935-2</v>
      </c>
      <c r="C377" t="s">
        <v>2599</v>
      </c>
      <c r="D377" t="str">
        <f>VLOOKUP(A377,[1]AVL!$A:$F,6,FALSE)</f>
        <v>CONN,HDR,SHRD,8POSN,600V,3A,RTANG,THT</v>
      </c>
      <c r="E377" t="str">
        <f>VLOOKUP(A377,[1]Pricing!$A:$F,6,FALSE)</f>
        <v>11 Weeks</v>
      </c>
      <c r="F377">
        <f>VLOOKUP(B377,[2]Sheet2!$B:$E,4,FALSE)</f>
        <v>207</v>
      </c>
      <c r="G377" s="2">
        <f>VLOOKUP(A377,[1]Pricing!$A:$H,8,FALSE)</f>
        <v>1.085793</v>
      </c>
      <c r="H377" s="2">
        <f>VLOOKUP(A377,[1]Pricing!$A:$J,10,FALSE)</f>
        <v>1.3241378048780488</v>
      </c>
      <c r="I377">
        <f>VLOOKUP(A377,MIN!A:B,2,FALSE)</f>
        <v>25</v>
      </c>
      <c r="J377" t="str">
        <f t="shared" si="13"/>
        <v>NO</v>
      </c>
      <c r="K377">
        <f>VLOOKUP(A377,[1]Pricing!$A:$G,7,FALSE)</f>
        <v>207</v>
      </c>
      <c r="L377" t="s">
        <v>1960</v>
      </c>
      <c r="M377" t="str">
        <f t="shared" si="14"/>
        <v>668-B32821-008</v>
      </c>
    </row>
    <row r="378" spans="1:13" x14ac:dyDescent="0.25">
      <c r="A378" t="s">
        <v>169</v>
      </c>
      <c r="B378" s="14" t="str">
        <f>VLOOKUP(A378,[1]Pricing!$A:$R,18,FALSE)</f>
        <v>2-5747706-0</v>
      </c>
      <c r="C378" t="s">
        <v>2599</v>
      </c>
      <c r="D378" t="str">
        <f>VLOOKUP(A378,[1]AVL!$A:$F,6,FALSE)</f>
        <v>CONN,D-SUB,9,F,PCB STRT,BRD LOCK,4-40 IN</v>
      </c>
      <c r="E378" t="str">
        <f>VLOOKUP(A378,[1]Pricing!$A:$F,6,FALSE)</f>
        <v>3 Weeks</v>
      </c>
      <c r="F378">
        <f>VLOOKUP(B378,[2]Sheet2!$B:$E,4,FALSE)</f>
        <v>8</v>
      </c>
      <c r="G378" s="2">
        <f>VLOOKUP(A378,[1]Pricing!$A:$H,8,FALSE)</f>
        <v>5.4044549999999996</v>
      </c>
      <c r="H378" s="2">
        <f>VLOOKUP(A378,[1]Pricing!$A:$J,10,FALSE)</f>
        <v>6.5907987804878045</v>
      </c>
      <c r="I378">
        <f>VLOOKUP(A378,MIN!A:B,2,FALSE)</f>
        <v>25</v>
      </c>
      <c r="J378" t="str">
        <f t="shared" si="13"/>
        <v>REORDER</v>
      </c>
      <c r="K378">
        <f>VLOOKUP(A378,[1]Pricing!$A:$G,7,FALSE)</f>
        <v>51</v>
      </c>
      <c r="L378" t="s">
        <v>1960</v>
      </c>
      <c r="M378" t="str">
        <f t="shared" si="14"/>
        <v>39-164230-09</v>
      </c>
    </row>
    <row r="379" spans="1:13" x14ac:dyDescent="0.25">
      <c r="A379" t="s">
        <v>867</v>
      </c>
      <c r="B379" s="14" t="str">
        <f>VLOOKUP(A379,[1]Pricing!$A:$R,18,FALSE)</f>
        <v>ERJ-8BQFR51V</v>
      </c>
      <c r="C379" t="s">
        <v>2618</v>
      </c>
      <c r="D379" t="str">
        <f>VLOOKUP(A379,[1]AVL!$A:$F,6,FALSE)</f>
        <v>RES,SMD,0.5W,1%,0.510,1206,ROHS</v>
      </c>
      <c r="E379" t="str">
        <f>VLOOKUP(A379,[1]Pricing!$A:$F,6,FALSE)</f>
        <v>23 Weeks</v>
      </c>
      <c r="F379">
        <f>VLOOKUP(B379,[2]Sheet2!$B:$E,4,FALSE)</f>
        <v>4762</v>
      </c>
      <c r="G379" s="2">
        <f>VLOOKUP(A379,[1]Pricing!$A:$H,8,FALSE)</f>
        <v>4.9020000000000001E-2</v>
      </c>
      <c r="H379" s="2">
        <f>VLOOKUP(A379,[1]Pricing!$A:$J,10,FALSE)</f>
        <v>5.9780487804878053E-2</v>
      </c>
      <c r="I379">
        <f>VLOOKUP(A379,MIN!A:B,2,FALSE)</f>
        <v>25</v>
      </c>
      <c r="J379" t="str">
        <f t="shared" si="13"/>
        <v>NO</v>
      </c>
      <c r="K379">
        <f>VLOOKUP(A379,[1]Pricing!$A:$G,7,FALSE)</f>
        <v>5000</v>
      </c>
      <c r="L379" t="s">
        <v>1960</v>
      </c>
      <c r="M379" t="str">
        <f t="shared" si="14"/>
        <v>615-323023-010</v>
      </c>
    </row>
    <row r="380" spans="1:13" x14ac:dyDescent="0.25">
      <c r="A380" t="s">
        <v>91</v>
      </c>
      <c r="B380" s="14">
        <f>VLOOKUP(A380,[1]Pricing!$A:$R,18,FALSE)</f>
        <v>1720420302</v>
      </c>
      <c r="C380" t="s">
        <v>2610</v>
      </c>
      <c r="D380" t="str">
        <f>VLOOKUP(A380,[1]AVL!$A:$F,6,FALSE)</f>
        <v>CONN,HDR,VERTICAL,3POS,</v>
      </c>
      <c r="E380" t="str">
        <f>VLOOKUP(A380,[1]Pricing!$A:$F,6,FALSE)</f>
        <v>3 Weeks</v>
      </c>
      <c r="F380">
        <f>VLOOKUP(B380,[2]Sheet2!$B:$E,4,FALSE)</f>
        <v>60</v>
      </c>
      <c r="G380" s="2">
        <f>VLOOKUP(A380,[1]Pricing!$A:$H,8,FALSE)</f>
        <v>2.7083550000000001</v>
      </c>
      <c r="H380" s="2">
        <f>VLOOKUP(A380,[1]Pricing!$A:$J,10,FALSE)</f>
        <v>3.3028719512195126</v>
      </c>
      <c r="I380">
        <f>VLOOKUP(A380,MIN!A:B,2,FALSE)</f>
        <v>15</v>
      </c>
      <c r="J380" t="str">
        <f t="shared" si="13"/>
        <v>NO</v>
      </c>
      <c r="K380">
        <f>VLOOKUP(A380,[1]Pricing!$A:$G,7,FALSE)</f>
        <v>60</v>
      </c>
      <c r="L380" t="s">
        <v>1960</v>
      </c>
      <c r="M380" t="str">
        <f t="shared" si="14"/>
        <v>668-311384-002</v>
      </c>
    </row>
    <row r="381" spans="1:13" x14ac:dyDescent="0.25">
      <c r="A381" t="s">
        <v>1560</v>
      </c>
      <c r="B381" s="14" t="str">
        <f>VLOOKUP(A381,[1]Pricing!$A:$R,18,FALSE)</f>
        <v>RT0402BRD07806RL</v>
      </c>
      <c r="C381" t="s">
        <v>2580</v>
      </c>
      <c r="D381" t="str">
        <f>VLOOKUP(A381,[1]AVL!$A:$F,6,FALSE)</f>
        <v>RES SMD 806 OHM 0.1% 1/16W 0402</v>
      </c>
      <c r="E381" t="str">
        <f>VLOOKUP(A381,[1]Pricing!$A:$F,6,FALSE)</f>
        <v>22 Weeks</v>
      </c>
      <c r="F381">
        <f>VLOOKUP(B381,[2]Sheet2!$B:$E,4,FALSE)</f>
        <v>10000</v>
      </c>
      <c r="G381" s="2">
        <f>VLOOKUP(A381,[1]Pricing!$A:$H,8,FALSE)</f>
        <v>4.1116E-2</v>
      </c>
      <c r="H381" s="2">
        <f>VLOOKUP(A381,[1]Pricing!$A:$J,10,FALSE)</f>
        <v>5.0141463414634151E-2</v>
      </c>
      <c r="I381">
        <f>VLOOKUP(A381,MIN!A:B,2,FALSE)</f>
        <v>25</v>
      </c>
      <c r="J381" t="str">
        <f t="shared" si="13"/>
        <v>NO</v>
      </c>
      <c r="K381">
        <f>VLOOKUP(A381,[1]Pricing!$A:$G,7,FALSE)</f>
        <v>10000</v>
      </c>
      <c r="L381" t="s">
        <v>1960</v>
      </c>
      <c r="M381" t="str">
        <f t="shared" si="14"/>
        <v>615-A00422-806</v>
      </c>
    </row>
    <row r="382" spans="1:13" x14ac:dyDescent="0.25">
      <c r="A382" t="s">
        <v>1556</v>
      </c>
      <c r="B382" s="14" t="str">
        <f>VLOOKUP(A382,[1]Pricing!$A:$R,18,FALSE)</f>
        <v>RT0402BRD0760K4L</v>
      </c>
      <c r="C382" t="s">
        <v>2580</v>
      </c>
      <c r="D382" t="str">
        <f>VLOOKUP(A382,[1]AVL!$A:$F,6,FALSE)</f>
        <v>RES,SMD,60.4KOHM,0.1%,1/16W,0402</v>
      </c>
      <c r="E382" t="str">
        <f>VLOOKUP(A382,[1]Pricing!$A:$F,6,FALSE)</f>
        <v>22 Weeks</v>
      </c>
      <c r="F382">
        <f>VLOOKUP(B382,[2]Sheet2!$B:$E,4,FALSE)</f>
        <v>9818</v>
      </c>
      <c r="G382" s="2">
        <f>VLOOKUP(A382,[1]Pricing!$A:$H,8,FALSE)</f>
        <v>4.1116E-2</v>
      </c>
      <c r="H382" s="2">
        <f>VLOOKUP(A382,[1]Pricing!$A:$J,10,FALSE)</f>
        <v>5.0141463414634151E-2</v>
      </c>
      <c r="I382">
        <f>VLOOKUP(A382,MIN!A:B,2,FALSE)</f>
        <v>15</v>
      </c>
      <c r="J382" t="str">
        <f t="shared" si="13"/>
        <v>NO</v>
      </c>
      <c r="K382">
        <f>VLOOKUP(A382,[1]Pricing!$A:$G,7,FALSE)</f>
        <v>10000</v>
      </c>
      <c r="L382" t="s">
        <v>1960</v>
      </c>
      <c r="M382" t="str">
        <f t="shared" si="14"/>
        <v>615-A00424-604</v>
      </c>
    </row>
    <row r="383" spans="1:13" x14ac:dyDescent="0.25">
      <c r="A383" t="s">
        <v>1526</v>
      </c>
      <c r="B383" s="14" t="str">
        <f>VLOOKUP(A383,[1]Pricing!$A:$R,18,FALSE)</f>
        <v>RT0402BRD071K07L</v>
      </c>
      <c r="C383" t="s">
        <v>2580</v>
      </c>
      <c r="D383" t="str">
        <f>VLOOKUP(A383,[1]AVL!$A:$F,6,FALSE)</f>
        <v>RES SMD 1.07KOHM 0.1% 1/16W 0402</v>
      </c>
      <c r="E383" t="str">
        <f>VLOOKUP(A383,[1]Pricing!$A:$F,6,FALSE)</f>
        <v>21 Weeks</v>
      </c>
      <c r="F383">
        <f>VLOOKUP(B383,[2]Sheet2!$B:$E,4,FALSE)</f>
        <v>10000</v>
      </c>
      <c r="G383" s="2">
        <f>VLOOKUP(A383,[1]Pricing!$A:$H,8,FALSE)</f>
        <v>4.1116E-2</v>
      </c>
      <c r="H383" s="2">
        <f>VLOOKUP(A383,[1]Pricing!$A:$J,10,FALSE)</f>
        <v>5.0141463414634151E-2</v>
      </c>
      <c r="I383">
        <f>VLOOKUP(A383,MIN!A:B,2,FALSE)</f>
        <v>25</v>
      </c>
      <c r="J383" t="str">
        <f t="shared" si="13"/>
        <v>NO</v>
      </c>
      <c r="K383">
        <f>VLOOKUP(A383,[1]Pricing!$A:$G,7,FALSE)</f>
        <v>10000</v>
      </c>
      <c r="L383" t="s">
        <v>1960</v>
      </c>
      <c r="M383" t="str">
        <f t="shared" si="14"/>
        <v>615-A00423-107</v>
      </c>
    </row>
    <row r="384" spans="1:13" x14ac:dyDescent="0.25">
      <c r="A384" t="s">
        <v>255</v>
      </c>
      <c r="B384" s="14" t="str">
        <f>VLOOKUP(A384,[1]Pricing!$A:$R,18,FALSE)</f>
        <v>350759-4</v>
      </c>
      <c r="C384" t="s">
        <v>2599</v>
      </c>
      <c r="D384" t="str">
        <f>VLOOKUP(A384,[1]AVL!$A:$F,6,FALSE)</f>
        <v>CONN,RCPT,PWR,2CKT,PRE-TIN,INLINE,UL94V2</v>
      </c>
      <c r="E384" t="str">
        <f>VLOOKUP(A384,[1]Pricing!$A:$F,6,FALSE)</f>
        <v>12 Weeks</v>
      </c>
      <c r="F384">
        <f>VLOOKUP(B384,[2]Sheet2!$B:$E,4,FALSE)</f>
        <v>100</v>
      </c>
      <c r="G384" s="2">
        <f>VLOOKUP(A384,[1]Pricing!$A:$H,8,FALSE)</f>
        <v>0.54534800000000005</v>
      </c>
      <c r="H384" s="2">
        <f>VLOOKUP(A384,[1]Pricing!$A:$J,10,FALSE)</f>
        <v>0.66505853658536596</v>
      </c>
      <c r="I384">
        <f>VLOOKUP(A384,MIN!A:B,2,FALSE)</f>
        <v>15</v>
      </c>
      <c r="J384" t="str">
        <f t="shared" si="13"/>
        <v>NO</v>
      </c>
      <c r="K384">
        <f>VLOOKUP(A384,[1]Pricing!$A:$G,7,FALSE)</f>
        <v>100</v>
      </c>
      <c r="L384" t="s">
        <v>1960</v>
      </c>
      <c r="M384" t="str">
        <f t="shared" si="14"/>
        <v>668-133631-002</v>
      </c>
    </row>
    <row r="385" spans="1:13" x14ac:dyDescent="0.25">
      <c r="A385" t="s">
        <v>253</v>
      </c>
      <c r="B385" s="14" t="str">
        <f>VLOOKUP(A385,[1]Pricing!$A:$R,18,FALSE)</f>
        <v>350711-4</v>
      </c>
      <c r="C385" t="s">
        <v>2599</v>
      </c>
      <c r="D385" t="str">
        <f>VLOOKUP(A385,[1]AVL!$A:$F,6,FALSE)</f>
        <v>CONN,HDR,PCB,M-ST,UNV M-N-LOK,6P,ROHS</v>
      </c>
      <c r="E385" t="str">
        <f>VLOOKUP(A385,[1]Pricing!$A:$F,6,FALSE)</f>
        <v>15 Weeks</v>
      </c>
      <c r="F385">
        <f>VLOOKUP(B385,[2]Sheet2!$B:$E,4,FALSE)</f>
        <v>100</v>
      </c>
      <c r="G385" s="2">
        <f>VLOOKUP(A385,[1]Pricing!$A:$H,8,FALSE)</f>
        <v>4.1466019999999997</v>
      </c>
      <c r="H385" s="2">
        <f>VLOOKUP(A385,[1]Pricing!$A:$J,10,FALSE)</f>
        <v>5.0568317073170732</v>
      </c>
      <c r="I385">
        <f>VLOOKUP(A385,MIN!A:B,2,FALSE)</f>
        <v>15</v>
      </c>
      <c r="J385" t="str">
        <f t="shared" si="13"/>
        <v>NO</v>
      </c>
      <c r="K385">
        <f>VLOOKUP(A385,[1]Pricing!$A:$G,7,FALSE)</f>
        <v>100</v>
      </c>
      <c r="L385" t="s">
        <v>1960</v>
      </c>
      <c r="M385" t="str">
        <f t="shared" si="14"/>
        <v>668-007087-006</v>
      </c>
    </row>
    <row r="386" spans="1:13" x14ac:dyDescent="0.25">
      <c r="A386" t="s">
        <v>401</v>
      </c>
      <c r="B386" s="14" t="str">
        <f>VLOOKUP(A386,[1]Pricing!$A:$R,18,FALSE)</f>
        <v>747844-4</v>
      </c>
      <c r="C386" t="s">
        <v>2612</v>
      </c>
      <c r="D386" t="str">
        <f>VLOOKUP(A386,[1]AVL!$A:$F,6,FALSE)</f>
        <v>CONN,RCPT 9P D-SUB RTANG</v>
      </c>
      <c r="E386" t="str">
        <f>VLOOKUP(A386,[1]Pricing!$A:$F,6,FALSE)</f>
        <v>27 Weeks</v>
      </c>
      <c r="F386">
        <f>VLOOKUP(B386,[2]Sheet2!$B:$E,4,FALSE)</f>
        <v>190</v>
      </c>
      <c r="G386" s="2">
        <f>VLOOKUP(A386,[1]Pricing!$A:$H,8,FALSE)</f>
        <v>4.0931699999999998</v>
      </c>
      <c r="H386" s="2">
        <f>VLOOKUP(A386,[1]Pricing!$A:$J,10,FALSE)</f>
        <v>4.991670731707317</v>
      </c>
      <c r="I386">
        <f>VLOOKUP(A386,MIN!A:B,2,FALSE)</f>
        <v>25</v>
      </c>
      <c r="J386" t="str">
        <f t="shared" ref="J386:J449" si="15">IF(F386&lt;=I386,"REORDER","NO")</f>
        <v>NO</v>
      </c>
      <c r="K386">
        <f>VLOOKUP(A386,[1]Pricing!$A:$G,7,FALSE)</f>
        <v>200</v>
      </c>
      <c r="L386" t="s">
        <v>1960</v>
      </c>
      <c r="M386" t="str">
        <f t="shared" si="14"/>
        <v>668-098490-009</v>
      </c>
    </row>
    <row r="387" spans="1:13" x14ac:dyDescent="0.25">
      <c r="A387" t="s">
        <v>330</v>
      </c>
      <c r="B387" s="14" t="str">
        <f>VLOOKUP(A387,[1]Pricing!$A:$R,18,FALSE)</f>
        <v>5256-RC</v>
      </c>
      <c r="C387" t="s">
        <v>2648</v>
      </c>
      <c r="D387" t="str">
        <f>VLOOKUP(A387,[1]AVL!$A:$F,6,FALSE)</f>
        <v>IDCTR,FERRITE,CHOKE,500UH,20PCT,2A,AXL</v>
      </c>
      <c r="E387" t="str">
        <f>VLOOKUP(A387,[1]Pricing!$A:$F,6,FALSE)</f>
        <v>15 Weeks</v>
      </c>
      <c r="F387">
        <f>VLOOKUP(B387,[2]Sheet2!$B:$E,4,FALSE)</f>
        <v>500</v>
      </c>
      <c r="G387" s="2">
        <f>VLOOKUP(A387,[1]Pricing!$A:$H,8,FALSE)</f>
        <v>1.1274599999999999</v>
      </c>
      <c r="H387" s="2">
        <f>VLOOKUP(A387,[1]Pricing!$A:$J,10,FALSE)</f>
        <v>1.3749512195121951</v>
      </c>
      <c r="I387">
        <f>VLOOKUP(A387,MIN!A:B,2,FALSE)</f>
        <v>75</v>
      </c>
      <c r="J387" t="str">
        <f t="shared" si="15"/>
        <v>NO</v>
      </c>
      <c r="K387">
        <f>VLOOKUP(A387,[1]Pricing!$A:$G,7,FALSE)</f>
        <v>500</v>
      </c>
      <c r="L387" t="s">
        <v>1960</v>
      </c>
      <c r="M387" t="str">
        <f t="shared" si="14"/>
        <v>641-A66123-010</v>
      </c>
    </row>
    <row r="388" spans="1:13" x14ac:dyDescent="0.25">
      <c r="A388" t="s">
        <v>566</v>
      </c>
      <c r="B388" s="14" t="str">
        <f>VLOOKUP(A388,[1]Pricing!$A:$R,18,FALSE)</f>
        <v>C0603C180J5GACTU</v>
      </c>
      <c r="C388" t="s">
        <v>2633</v>
      </c>
      <c r="D388" t="str">
        <f>VLOOKUP(A388,[1]AVL!$A:$F,6,FALSE)</f>
        <v>CAP,0603,CER,COG,50V,18PF,ROHS</v>
      </c>
      <c r="E388" t="str">
        <f>VLOOKUP(A388,[1]Pricing!$A:$F,6,FALSE)</f>
        <v>31 Weeks</v>
      </c>
      <c r="F388">
        <f>VLOOKUP(B388,[2]Sheet2!$B:$E,4,FALSE)</f>
        <v>4000</v>
      </c>
      <c r="G388" s="2">
        <f>VLOOKUP(A388,[1]Pricing!$A:$H,8,FALSE)</f>
        <v>6.1279999999999998E-3</v>
      </c>
      <c r="H388" s="2">
        <f>VLOOKUP(A388,[1]Pricing!$A:$J,10,FALSE)</f>
        <v>7.4731707317073175E-3</v>
      </c>
      <c r="I388">
        <f>VLOOKUP(A388,MIN!A:B,2,FALSE)</f>
        <v>15</v>
      </c>
      <c r="J388" t="str">
        <f t="shared" si="15"/>
        <v>NO</v>
      </c>
      <c r="K388">
        <f>VLOOKUP(A388,[1]Pricing!$A:$G,7,FALSE)</f>
        <v>4000</v>
      </c>
      <c r="L388" t="s">
        <v>1960</v>
      </c>
      <c r="M388" t="str">
        <f t="shared" ref="M388:M451" si="16">A388</f>
        <v>648-068442-180</v>
      </c>
    </row>
    <row r="389" spans="1:13" x14ac:dyDescent="0.25">
      <c r="A389" t="s">
        <v>1731</v>
      </c>
      <c r="B389" s="14" t="str">
        <f>VLOOKUP(A389,[1]Pricing!$A:$R,18,FALSE)</f>
        <v>TAJC225K035RNJ</v>
      </c>
      <c r="C389" t="s">
        <v>2673</v>
      </c>
      <c r="D389" t="str">
        <f>VLOOKUP(A389,[1]AVL!$A:$F,6,FALSE)</f>
        <v>CAP,SMD,6032,TANT,10%,35V,2.2UF ROHS</v>
      </c>
      <c r="E389" t="str">
        <f>VLOOKUP(A389,[1]Pricing!$A:$F,6,FALSE)</f>
        <v>15 Weeks</v>
      </c>
      <c r="F389">
        <f>VLOOKUP(B389,[2]Sheet2!$B:$E,4,FALSE)</f>
        <v>383</v>
      </c>
      <c r="G389" s="2">
        <f>VLOOKUP(A389,[1]Pricing!$A:$H,8,FALSE)</f>
        <v>0.25858100000000001</v>
      </c>
      <c r="H389" s="2">
        <f>VLOOKUP(A389,[1]Pricing!$A:$J,10,FALSE)</f>
        <v>0.31534268292682932</v>
      </c>
      <c r="I389">
        <f>VLOOKUP(A389,MIN!A:B,2,FALSE)</f>
        <v>25</v>
      </c>
      <c r="J389" t="str">
        <f t="shared" si="15"/>
        <v>NO</v>
      </c>
      <c r="K389">
        <f>VLOOKUP(A389,[1]Pricing!$A:$G,7,FALSE)</f>
        <v>500</v>
      </c>
      <c r="L389" t="s">
        <v>2689</v>
      </c>
      <c r="M389" t="str">
        <f t="shared" si="16"/>
        <v>648-096579-225</v>
      </c>
    </row>
    <row r="390" spans="1:13" x14ac:dyDescent="0.25">
      <c r="A390" t="s">
        <v>15</v>
      </c>
      <c r="B390" s="14" t="str">
        <f>VLOOKUP(A390,[1]Pricing!$A:$R,18,FALSE)</f>
        <v>08051A151JAT2A</v>
      </c>
      <c r="C390" t="s">
        <v>2581</v>
      </c>
      <c r="D390" t="str">
        <f>VLOOKUP(A390,[1]AVL!$A:$F,6,FALSE)</f>
        <v>CAP,SMD,0805,COG,5%,100V,150PF ROHS</v>
      </c>
      <c r="E390" t="str">
        <f>VLOOKUP(A390,[1]Pricing!$A:$F,6,FALSE)</f>
        <v>31 Weeks</v>
      </c>
      <c r="F390">
        <f>VLOOKUP(B390,[2]Sheet2!$B:$E,4,FALSE)</f>
        <v>4000</v>
      </c>
      <c r="G390" s="2">
        <f>VLOOKUP(A390,[1]Pricing!$A:$H,8,FALSE)</f>
        <v>4.2893000000000001E-2</v>
      </c>
      <c r="H390" s="2">
        <f>VLOOKUP(A390,[1]Pricing!$A:$J,10,FALSE)</f>
        <v>5.2308536585365856E-2</v>
      </c>
      <c r="I390">
        <f>VLOOKUP(A390,MIN!A:B,2,FALSE)</f>
        <v>25</v>
      </c>
      <c r="J390" t="str">
        <f t="shared" si="15"/>
        <v>NO</v>
      </c>
      <c r="K390">
        <f>VLOOKUP(A390,[1]Pricing!$A:$G,7,FALSE)</f>
        <v>4000</v>
      </c>
      <c r="L390" t="s">
        <v>1960</v>
      </c>
      <c r="M390" t="str">
        <f t="shared" si="16"/>
        <v>648-082229-151</v>
      </c>
    </row>
    <row r="391" spans="1:13" x14ac:dyDescent="0.25">
      <c r="A391" t="s">
        <v>1564</v>
      </c>
      <c r="B391" s="14" t="str">
        <f>VLOOKUP(A391,[1]Pricing!$A:$R,18,FALSE)</f>
        <v>RT0402BRD0790K9L</v>
      </c>
      <c r="C391" t="s">
        <v>2618</v>
      </c>
      <c r="D391" t="str">
        <f>VLOOKUP(A391,[1]AVL!$A:$F,6,FALSE)</f>
        <v>RES,SMD,90.9KOHM,0.1%,1/16W,0402</v>
      </c>
      <c r="E391" t="str">
        <f>VLOOKUP(A391,[1]Pricing!$A:$F,6,FALSE)</f>
        <v>15 Weeks</v>
      </c>
      <c r="F391">
        <f>VLOOKUP(B391,[2]Sheet2!$B:$E,4,FALSE)</f>
        <v>9818</v>
      </c>
      <c r="G391" s="2">
        <f>VLOOKUP(A391,[1]Pricing!$A:$H,8,FALSE)</f>
        <v>4.1116E-2</v>
      </c>
      <c r="H391" s="2">
        <f>VLOOKUP(A391,[1]Pricing!$A:$J,10,FALSE)</f>
        <v>5.0141463414634151E-2</v>
      </c>
      <c r="I391">
        <f>VLOOKUP(A391,MIN!A:B,2,FALSE)</f>
        <v>15</v>
      </c>
      <c r="J391" t="str">
        <f t="shared" si="15"/>
        <v>NO</v>
      </c>
      <c r="K391">
        <f>VLOOKUP(A391,[1]Pricing!$A:$G,7,FALSE)</f>
        <v>10000</v>
      </c>
      <c r="L391" t="s">
        <v>1960</v>
      </c>
      <c r="M391" t="str">
        <f t="shared" si="16"/>
        <v>615-A00424-909</v>
      </c>
    </row>
    <row r="392" spans="1:13" x14ac:dyDescent="0.25">
      <c r="A392" t="s">
        <v>352</v>
      </c>
      <c r="B392" s="14" t="str">
        <f>VLOOKUP(A392,[1]Pricing!$A:$R,18,FALSE)</f>
        <v>5747843-4</v>
      </c>
      <c r="C392" t="s">
        <v>2612</v>
      </c>
      <c r="D392" t="str">
        <f>VLOOKUP(A392,[1]AVL!$A:$F,6,FALSE)</f>
        <v>CONN,PLUG,37P,D-SUB,RTANG,PCB</v>
      </c>
      <c r="E392" t="str">
        <f>VLOOKUP(A392,[1]Pricing!$A:$F,6,FALSE)</f>
        <v>23 Weeks</v>
      </c>
      <c r="F392">
        <f>VLOOKUP(B392,[2]Sheet2!$B:$E,4,FALSE)</f>
        <v>60</v>
      </c>
      <c r="G392" s="2">
        <f>VLOOKUP(A392,[1]Pricing!$A:$H,8,FALSE)</f>
        <v>10.614229999999999</v>
      </c>
      <c r="H392" s="2">
        <f>VLOOKUP(A392,[1]Pricing!$A:$J,10,FALSE)</f>
        <v>12.944182926829267</v>
      </c>
      <c r="I392">
        <f>VLOOKUP(A392,MIN!A:B,2,FALSE)</f>
        <v>15</v>
      </c>
      <c r="J392" t="str">
        <f t="shared" si="15"/>
        <v>NO</v>
      </c>
      <c r="K392">
        <f>VLOOKUP(A392,[1]Pricing!$A:$G,7,FALSE)</f>
        <v>60</v>
      </c>
      <c r="L392" t="s">
        <v>1960</v>
      </c>
      <c r="M392" t="str">
        <f t="shared" si="16"/>
        <v>668-098489-037</v>
      </c>
    </row>
    <row r="393" spans="1:13" x14ac:dyDescent="0.25">
      <c r="A393" t="s">
        <v>177</v>
      </c>
      <c r="B393" s="14" t="str">
        <f>VLOOKUP(A393,[1]Pricing!$A:$R,18,FALSE)</f>
        <v>282834-2</v>
      </c>
      <c r="C393" t="s">
        <v>2599</v>
      </c>
      <c r="D393" t="str">
        <f>VLOOKUP(A393,[1]AVL!$A:$F,6,FALSE)</f>
        <v>TERM BLK,2 CKT,16-30AWG,2.54MM,10A,THT</v>
      </c>
      <c r="E393" t="str">
        <f>VLOOKUP(A393,[1]Pricing!$A:$F,6,FALSE)</f>
        <v>30 Weeks</v>
      </c>
      <c r="F393">
        <f>VLOOKUP(B393,[2]Sheet2!$B:$E,4,FALSE)</f>
        <v>492</v>
      </c>
      <c r="G393" s="2">
        <f>VLOOKUP(A393,[1]Pricing!$A:$H,8,FALSE)</f>
        <v>0.872556</v>
      </c>
      <c r="H393" s="2">
        <f>VLOOKUP(A393,[1]Pricing!$A:$J,10,FALSE)</f>
        <v>1.0640926829268293</v>
      </c>
      <c r="I393">
        <f>VLOOKUP(A393,MIN!A:B,2,FALSE)</f>
        <v>25</v>
      </c>
      <c r="J393" t="str">
        <f t="shared" si="15"/>
        <v>NO</v>
      </c>
      <c r="K393">
        <f>VLOOKUP(A393,[1]Pricing!$A:$G,7,FALSE)</f>
        <v>500</v>
      </c>
      <c r="L393" t="s">
        <v>1960</v>
      </c>
      <c r="M393" t="str">
        <f t="shared" si="16"/>
        <v>673-348843-002</v>
      </c>
    </row>
    <row r="394" spans="1:13" x14ac:dyDescent="0.25">
      <c r="A394" t="s">
        <v>793</v>
      </c>
      <c r="B394" s="14" t="str">
        <f>VLOOKUP(A394,[1]Pricing!$A:$R,18,FALSE)</f>
        <v>ERA-2AEB2742X</v>
      </c>
      <c r="C394" t="s">
        <v>2618</v>
      </c>
      <c r="D394" t="str">
        <f>VLOOKUP(A394,[1]AVL!$A:$F,6,FALSE)</f>
        <v>RES,SMD,27.4KOHM,0.1%,1/16W,0402</v>
      </c>
      <c r="E394" t="str">
        <f>VLOOKUP(A394,[1]Pricing!$A:$F,6,FALSE)</f>
        <v>21 Weeks</v>
      </c>
      <c r="F394">
        <f>VLOOKUP(B394,[2]Sheet2!$B:$E,4,FALSE)</f>
        <v>10000</v>
      </c>
      <c r="G394" s="2">
        <f>VLOOKUP(A394,[1]Pricing!$A:$H,8,FALSE)</f>
        <v>4.1116E-2</v>
      </c>
      <c r="H394" s="2">
        <f>VLOOKUP(A394,[1]Pricing!$A:$J,10,FALSE)</f>
        <v>5.0141463414634151E-2</v>
      </c>
      <c r="I394">
        <f>VLOOKUP(A394,MIN!A:B,2,FALSE)</f>
        <v>25</v>
      </c>
      <c r="J394" t="str">
        <f t="shared" si="15"/>
        <v>NO</v>
      </c>
      <c r="K394">
        <f>VLOOKUP(A394,[1]Pricing!$A:$G,7,FALSE)</f>
        <v>10000</v>
      </c>
      <c r="L394" t="s">
        <v>1960</v>
      </c>
      <c r="M394" t="str">
        <f t="shared" si="16"/>
        <v>615-A00424-274</v>
      </c>
    </row>
    <row r="395" spans="1:13" x14ac:dyDescent="0.25">
      <c r="A395" t="s">
        <v>791</v>
      </c>
      <c r="B395" s="14" t="str">
        <f>VLOOKUP(A395,[1]Pricing!$A:$R,18,FALSE)</f>
        <v>ERA-2AEB271X</v>
      </c>
      <c r="C395" t="s">
        <v>2618</v>
      </c>
      <c r="D395" t="str">
        <f>VLOOKUP(A395,[1]AVL!$A:$F,6,FALSE)</f>
        <v>RES,SMD,270,0.1%,1/16W,0402,ROHS</v>
      </c>
      <c r="E395" t="str">
        <f>VLOOKUP(A395,[1]Pricing!$A:$F,6,FALSE)</f>
        <v>21 Weeks</v>
      </c>
      <c r="F395">
        <f>VLOOKUP(B395,[2]Sheet2!$B:$E,4,FALSE)</f>
        <v>10000</v>
      </c>
      <c r="G395" s="2">
        <f>VLOOKUP(A395,[1]Pricing!$A:$H,8,FALSE)</f>
        <v>4.1116E-2</v>
      </c>
      <c r="H395" s="2">
        <f>VLOOKUP(A395,[1]Pricing!$A:$J,10,FALSE)</f>
        <v>5.0141463414634151E-2</v>
      </c>
      <c r="I395">
        <f>VLOOKUP(A395,MIN!A:B,2,FALSE)</f>
        <v>25</v>
      </c>
      <c r="J395" t="str">
        <f t="shared" si="15"/>
        <v>NO</v>
      </c>
      <c r="K395">
        <f>VLOOKUP(A395,[1]Pricing!$A:$G,7,FALSE)</f>
        <v>10000</v>
      </c>
      <c r="L395" t="s">
        <v>1960</v>
      </c>
      <c r="M395" t="str">
        <f t="shared" si="16"/>
        <v>615-303725-020</v>
      </c>
    </row>
    <row r="396" spans="1:13" x14ac:dyDescent="0.25">
      <c r="A396" t="s">
        <v>1502</v>
      </c>
      <c r="B396" s="14" t="str">
        <f>VLOOKUP(A396,[1]Pricing!$A:$R,18,FALSE)</f>
        <v>RNCP0805FTD4K99</v>
      </c>
      <c r="C396" t="s">
        <v>2628</v>
      </c>
      <c r="D396" t="str">
        <f>VLOOKUP(A396,[1]AVL!$A:$F,6,FALSE)</f>
        <v>RES,SMD,4.99K OHM,+/-1%,1/4W,HP,0805</v>
      </c>
      <c r="E396" t="str">
        <f>VLOOKUP(A396,[1]Pricing!$A:$F,6,FALSE)</f>
        <v>18 Weeks</v>
      </c>
      <c r="F396">
        <f>VLOOKUP(B396,[2]Sheet2!$B:$E,4,FALSE)</f>
        <v>4864</v>
      </c>
      <c r="G396" s="2">
        <f>VLOOKUP(A396,[1]Pricing!$A:$H,8,FALSE)</f>
        <v>8.5789999999999998E-3</v>
      </c>
      <c r="H396" s="2">
        <f>VLOOKUP(A396,[1]Pricing!$A:$J,10,FALSE)</f>
        <v>1.046219512195122E-2</v>
      </c>
      <c r="I396">
        <f>VLOOKUP(A396,MIN!A:B,2,FALSE)</f>
        <v>15</v>
      </c>
      <c r="J396" t="str">
        <f t="shared" si="15"/>
        <v>NO</v>
      </c>
      <c r="K396">
        <f>VLOOKUP(A396,[1]Pricing!$A:$G,7,FALSE)</f>
        <v>5000</v>
      </c>
      <c r="L396" t="s">
        <v>1960</v>
      </c>
      <c r="M396" t="str">
        <f t="shared" si="16"/>
        <v>615-220118-004</v>
      </c>
    </row>
    <row r="397" spans="1:13" x14ac:dyDescent="0.25">
      <c r="A397" t="s">
        <v>658</v>
      </c>
      <c r="B397" s="14" t="str">
        <f>VLOOKUP(A397,[1]Pricing!$A:$R,18,FALSE)</f>
        <v>CMP0603AFX-1000ELF</v>
      </c>
      <c r="C397" t="s">
        <v>2648</v>
      </c>
      <c r="D397" t="str">
        <f>VLOOKUP(A397,[1]AVL!$A:$F,6,FALSE)</f>
        <v>RES,SMD,THK FILM,100 OHM,1%,0.25W,0603</v>
      </c>
      <c r="E397" t="str">
        <f>VLOOKUP(A397,[1]Pricing!$A:$F,6,FALSE)</f>
        <v>17 Weeks</v>
      </c>
      <c r="F397">
        <f>VLOOKUP(B397,[2]Sheet2!$B:$E,4,FALSE)</f>
        <v>5000</v>
      </c>
      <c r="G397" s="2">
        <f>VLOOKUP(A397,[1]Pricing!$A:$H,8,FALSE)</f>
        <v>2.4510000000000001E-2</v>
      </c>
      <c r="H397" s="2">
        <f>VLOOKUP(A397,[1]Pricing!$A:$J,10,FALSE)</f>
        <v>2.9890243902439027E-2</v>
      </c>
      <c r="I397">
        <f>VLOOKUP(A397,MIN!A:B,2,FALSE)</f>
        <v>15</v>
      </c>
      <c r="J397" t="str">
        <f t="shared" si="15"/>
        <v>NO</v>
      </c>
      <c r="K397">
        <f>VLOOKUP(A397,[1]Pricing!$A:$G,7,FALSE)</f>
        <v>5000</v>
      </c>
      <c r="L397" t="s">
        <v>1960</v>
      </c>
      <c r="M397" t="str">
        <f t="shared" si="16"/>
        <v>615-B08198-001</v>
      </c>
    </row>
    <row r="398" spans="1:13" x14ac:dyDescent="0.25">
      <c r="A398" t="s">
        <v>869</v>
      </c>
      <c r="B398" s="14" t="str">
        <f>VLOOKUP(A398,[1]Pricing!$A:$R,18,FALSE)</f>
        <v>ERJ-8BSFR16V</v>
      </c>
      <c r="C398" t="s">
        <v>2618</v>
      </c>
      <c r="D398" t="str">
        <f>VLOOKUP(A398,[1]AVL!$A:$F,6,FALSE)</f>
        <v>RES,SMD,0.5W,1%,0.160,1206,ROHS</v>
      </c>
      <c r="E398" t="str">
        <f>VLOOKUP(A398,[1]Pricing!$A:$F,6,FALSE)</f>
        <v>25 Weeks</v>
      </c>
      <c r="F398">
        <f>VLOOKUP(B398,[2]Sheet2!$B:$E,4,FALSE)</f>
        <v>4775</v>
      </c>
      <c r="G398" s="2">
        <f>VLOOKUP(A398,[1]Pricing!$A:$H,8,FALSE)</f>
        <v>0.10294200000000001</v>
      </c>
      <c r="H398" s="2">
        <f>VLOOKUP(A398,[1]Pricing!$A:$J,10,FALSE)</f>
        <v>0.12553902439024392</v>
      </c>
      <c r="I398">
        <f>VLOOKUP(A398,MIN!A:B,2,FALSE)</f>
        <v>15</v>
      </c>
      <c r="J398" t="str">
        <f t="shared" si="15"/>
        <v>NO</v>
      </c>
      <c r="K398">
        <f>VLOOKUP(A398,[1]Pricing!$A:$G,7,FALSE)</f>
        <v>5000</v>
      </c>
      <c r="L398" t="s">
        <v>1960</v>
      </c>
      <c r="M398" t="str">
        <f t="shared" si="16"/>
        <v>615-323023-001</v>
      </c>
    </row>
    <row r="399" spans="1:13" x14ac:dyDescent="0.25">
      <c r="A399" t="s">
        <v>843</v>
      </c>
      <c r="B399" s="14" t="str">
        <f>VLOOKUP(A399,[1]Pricing!$A:$R,18,FALSE)</f>
        <v>ERJ1TRQFR36U</v>
      </c>
      <c r="C399" t="s">
        <v>2618</v>
      </c>
      <c r="D399" t="str">
        <f>VLOOKUP(A399,[1]AVL!$A:$F,6,FALSE)</f>
        <v>RES,SMD,1W,+/-1%TOL,0.36OHM,THK FILM</v>
      </c>
      <c r="E399" t="str">
        <f>VLOOKUP(A399,[1]Pricing!$A:$F,6,FALSE)</f>
        <v>25 Weeks</v>
      </c>
      <c r="F399">
        <f>VLOOKUP(B399,[2]Sheet2!$B:$E,4,FALSE)</f>
        <v>4000</v>
      </c>
      <c r="G399" s="2">
        <f>VLOOKUP(A399,[1]Pricing!$A:$H,8,FALSE)</f>
        <v>0.16911899999999999</v>
      </c>
      <c r="H399" s="2">
        <f>VLOOKUP(A399,[1]Pricing!$A:$J,10,FALSE)</f>
        <v>0.20624268292682926</v>
      </c>
      <c r="I399">
        <f>VLOOKUP(A399,MIN!A:B,2,FALSE)</f>
        <v>25</v>
      </c>
      <c r="J399" t="str">
        <f t="shared" si="15"/>
        <v>NO</v>
      </c>
      <c r="K399">
        <f>VLOOKUP(A399,[1]Pricing!$A:$G,7,FALSE)</f>
        <v>4000</v>
      </c>
      <c r="L399" t="s">
        <v>1960</v>
      </c>
      <c r="M399" t="str">
        <f t="shared" si="16"/>
        <v>615-255080-036</v>
      </c>
    </row>
    <row r="400" spans="1:13" x14ac:dyDescent="0.25">
      <c r="A400" t="s">
        <v>301</v>
      </c>
      <c r="B400" s="14">
        <f>VLOOKUP(A400,[1]Pricing!$A:$R,18,FALSE)</f>
        <v>5051104091</v>
      </c>
      <c r="C400" t="s">
        <v>2610</v>
      </c>
      <c r="D400" t="str">
        <f>VLOOKUP(A400,[1]AVL!$A:$F,6,FALSE)</f>
        <v>CONN,FFC/FPC,BOT CONT,.5MM,40CKT,.5A,50V</v>
      </c>
      <c r="E400" t="str">
        <f>VLOOKUP(A400,[1]Pricing!$A:$F,6,FALSE)</f>
        <v>3 Weeks</v>
      </c>
      <c r="F400">
        <f>VLOOKUP(B400,[2]Sheet2!$B:$E,4,FALSE)</f>
        <v>3000</v>
      </c>
      <c r="G400" s="2">
        <f>VLOOKUP(A400,[1]Pricing!$A:$H,8,FALSE)</f>
        <v>0.81952899999999995</v>
      </c>
      <c r="H400" s="2">
        <f>VLOOKUP(A400,[1]Pricing!$A:$J,10,FALSE)</f>
        <v>0.99942560975609751</v>
      </c>
      <c r="I400">
        <f>VLOOKUP(A400,MIN!A:B,2,FALSE)</f>
        <v>25</v>
      </c>
      <c r="J400" t="str">
        <f t="shared" si="15"/>
        <v>NO</v>
      </c>
      <c r="K400">
        <f>VLOOKUP(A400,[1]Pricing!$A:$G,7,FALSE)</f>
        <v>3000</v>
      </c>
      <c r="L400" t="s">
        <v>1960</v>
      </c>
      <c r="M400" t="str">
        <f t="shared" si="16"/>
        <v>668-A40315-040</v>
      </c>
    </row>
    <row r="401" spans="1:13" x14ac:dyDescent="0.25">
      <c r="A401" t="s">
        <v>157</v>
      </c>
      <c r="B401" s="14" t="str">
        <f>VLOOKUP(A401,[1]Pricing!$A:$R,18,FALSE)</f>
        <v>20TQC100MYF</v>
      </c>
      <c r="C401" t="s">
        <v>2618</v>
      </c>
      <c r="D401" t="str">
        <f>VLOOKUP(A401,[1]AVL!$A:$F,6,FALSE)</f>
        <v>CAP,SMD,TANTALUM,100UF,+/-20%,20V</v>
      </c>
      <c r="E401" t="str">
        <f>VLOOKUP(A401,[1]Pricing!$A:$F,6,FALSE)</f>
        <v>13 Weeks</v>
      </c>
      <c r="F401">
        <f>VLOOKUP(B401,[2]Sheet2!$B:$E,4,FALSE)</f>
        <v>2499</v>
      </c>
      <c r="G401" s="2">
        <f>VLOOKUP(A401,[1]Pricing!$A:$H,8,FALSE)</f>
        <v>1.311285</v>
      </c>
      <c r="H401" s="2">
        <f>VLOOKUP(A401,[1]Pricing!$A:$J,10,FALSE)</f>
        <v>1.599128048780488</v>
      </c>
      <c r="I401">
        <f>VLOOKUP(A401,MIN!A:B,2,FALSE)</f>
        <v>25</v>
      </c>
      <c r="J401" t="str">
        <f t="shared" si="15"/>
        <v>NO</v>
      </c>
      <c r="K401">
        <f>VLOOKUP(A401,[1]Pricing!$A:$G,7,FALSE)</f>
        <v>2500</v>
      </c>
      <c r="L401" t="s">
        <v>1960</v>
      </c>
      <c r="M401" t="str">
        <f t="shared" si="16"/>
        <v>648-237639-001</v>
      </c>
    </row>
    <row r="402" spans="1:13" x14ac:dyDescent="0.25">
      <c r="A402" t="s">
        <v>546</v>
      </c>
      <c r="B402" s="14" t="str">
        <f>VLOOKUP(A402,[1]Pricing!$A:$R,18,FALSE)</f>
        <v>BK1-S505H-8-R</v>
      </c>
      <c r="C402" t="s">
        <v>2620</v>
      </c>
      <c r="D402" t="str">
        <f>VLOOKUP(A402,[1]AVL!$A:$F,6,FALSE)</f>
        <v>FUSE,CRTG,8A,600VAC/400DC,5X20MM</v>
      </c>
      <c r="E402" t="str">
        <f>VLOOKUP(A402,[1]Pricing!$A:$F,6,FALSE)</f>
        <v>3 Weeks</v>
      </c>
      <c r="F402">
        <f>VLOOKUP(B402,[2]Sheet2!$B:$E,4,FALSE)</f>
        <v>1000</v>
      </c>
      <c r="G402" s="2">
        <f>VLOOKUP(A402,[1]Pricing!$A:$H,8,FALSE)</f>
        <v>1.151</v>
      </c>
      <c r="H402" s="2">
        <f>VLOOKUP(A402,[1]Pricing!$A:$J,10,FALSE)</f>
        <v>1.403658536585366</v>
      </c>
      <c r="I402">
        <f>VLOOKUP(A402,MIN!A:B,2,FALSE)</f>
        <v>25</v>
      </c>
      <c r="J402" t="str">
        <f t="shared" si="15"/>
        <v>NO</v>
      </c>
      <c r="K402">
        <f>VLOOKUP(A402,[1]Pricing!$A:$G,7,FALSE)</f>
        <v>1000</v>
      </c>
      <c r="L402" t="s">
        <v>1960</v>
      </c>
      <c r="M402" t="str">
        <f t="shared" si="16"/>
        <v>670-338640-800</v>
      </c>
    </row>
    <row r="403" spans="1:13" x14ac:dyDescent="0.25">
      <c r="A403" t="s">
        <v>36</v>
      </c>
      <c r="B403" s="14" t="str">
        <f>VLOOKUP(A403,[1]Pricing!$A:$R,18,FALSE)</f>
        <v>10090929-S444XLF</v>
      </c>
      <c r="C403" t="s">
        <v>2586</v>
      </c>
      <c r="D403" t="str">
        <f>VLOOKUP(A403,[1]AVL!$A:$F,6,FALSE)</f>
        <v>CONN,RCPT,DSUB HD,44 POSN,2.5A,W/BD LOCK</v>
      </c>
      <c r="E403" t="str">
        <f>VLOOKUP(A403,[1]Pricing!$A:$F,6,FALSE)</f>
        <v>15 Weeks</v>
      </c>
      <c r="F403">
        <f>VLOOKUP(B403,[2]Sheet2!$B:$E,4,FALSE)</f>
        <v>961</v>
      </c>
      <c r="G403" s="2">
        <f>VLOOKUP(A403,[1]Pricing!$A:$H,8,FALSE)</f>
        <v>2.3652150000000001</v>
      </c>
      <c r="H403" s="2">
        <f>VLOOKUP(A403,[1]Pricing!$A:$J,10,FALSE)</f>
        <v>2.884408536585366</v>
      </c>
      <c r="I403">
        <f>VLOOKUP(A403,MIN!A:B,2,FALSE)</f>
        <v>15</v>
      </c>
      <c r="J403" t="str">
        <f t="shared" si="15"/>
        <v>NO</v>
      </c>
      <c r="K403">
        <f>VLOOKUP(A403,[1]Pricing!$A:$G,7,FALSE)</f>
        <v>1100</v>
      </c>
      <c r="L403" t="s">
        <v>1960</v>
      </c>
      <c r="M403" t="str">
        <f t="shared" si="16"/>
        <v>668-335595-003</v>
      </c>
    </row>
    <row r="404" spans="1:13" x14ac:dyDescent="0.25">
      <c r="A404" t="s">
        <v>405</v>
      </c>
      <c r="B404" s="14" t="str">
        <f>VLOOKUP(A404,[1]Pricing!$A:$R,18,FALSE)</f>
        <v>747847-4</v>
      </c>
      <c r="C404" t="s">
        <v>2612</v>
      </c>
      <c r="D404" t="str">
        <f>VLOOKUP(A404,[1]AVL!$A:$F,6,FALSE)</f>
        <v>CONN,RCPT 37P D-SUB RTANG</v>
      </c>
      <c r="E404" t="str">
        <f>VLOOKUP(A404,[1]Pricing!$A:$F,6,FALSE)</f>
        <v>27 Weeks</v>
      </c>
      <c r="F404">
        <f>VLOOKUP(B404,[2]Sheet2!$B:$E,4,FALSE)</f>
        <v>520</v>
      </c>
      <c r="G404" s="2">
        <f>VLOOKUP(A404,[1]Pricing!$A:$H,8,FALSE)</f>
        <v>8.5417349999999992</v>
      </c>
      <c r="H404" s="2">
        <f>VLOOKUP(A404,[1]Pricing!$A:$J,10,FALSE)</f>
        <v>10.41675</v>
      </c>
      <c r="I404">
        <f>VLOOKUP(A404,MIN!A:B,2,FALSE)</f>
        <v>15</v>
      </c>
      <c r="J404" t="str">
        <f t="shared" si="15"/>
        <v>NO</v>
      </c>
      <c r="K404">
        <f>VLOOKUP(A404,[1]Pricing!$A:$G,7,FALSE)</f>
        <v>520</v>
      </c>
      <c r="L404" t="s">
        <v>1960</v>
      </c>
      <c r="M404" t="str">
        <f t="shared" si="16"/>
        <v>668-098490-037</v>
      </c>
    </row>
    <row r="405" spans="1:13" x14ac:dyDescent="0.25">
      <c r="A405" t="s">
        <v>1274</v>
      </c>
      <c r="B405" s="14" t="str">
        <f>VLOOKUP(A405,[1]Pricing!$A:$R,18,FALSE)</f>
        <v>PWR163S-25-15R0FE</v>
      </c>
      <c r="C405" t="s">
        <v>2648</v>
      </c>
      <c r="D405" t="str">
        <f>VLOOKUP(A405,[1]AVL!$A:$F,6,FALSE)</f>
        <v>RES,SMD,PWR,+/-1%,25W,15 OHM</v>
      </c>
      <c r="E405" t="str">
        <f>VLOOKUP(A405,[1]Pricing!$A:$F,6,FALSE)</f>
        <v>11 Weeks</v>
      </c>
      <c r="F405">
        <f>VLOOKUP(B405,[2]Sheet2!$B:$E,4,FALSE)</f>
        <v>484</v>
      </c>
      <c r="G405" s="2">
        <f>VLOOKUP(A405,[1]Pricing!$A:$H,8,FALSE)</f>
        <v>1.997565</v>
      </c>
      <c r="H405" s="2">
        <f>VLOOKUP(A405,[1]Pricing!$A:$J,10,FALSE)</f>
        <v>2.4360548780487807</v>
      </c>
      <c r="I405">
        <f>VLOOKUP(A405,MIN!A:B,2,FALSE)</f>
        <v>25</v>
      </c>
      <c r="J405" t="str">
        <f t="shared" si="15"/>
        <v>NO</v>
      </c>
      <c r="K405">
        <f>VLOOKUP(A405,[1]Pricing!$A:$G,7,FALSE)</f>
        <v>500</v>
      </c>
      <c r="L405" t="s">
        <v>1960</v>
      </c>
      <c r="M405" t="str">
        <f t="shared" si="16"/>
        <v>615-275812-023</v>
      </c>
    </row>
    <row r="406" spans="1:13" x14ac:dyDescent="0.25">
      <c r="A406" t="s">
        <v>433</v>
      </c>
      <c r="B406" s="14" t="str">
        <f>VLOOKUP(A406,[1]Pricing!$A:$R,18,FALSE)</f>
        <v>84WR200KLF</v>
      </c>
      <c r="C406" t="s">
        <v>2617</v>
      </c>
      <c r="D406" t="str">
        <f>VLOOKUP(A406,[1]AVL!$A:$F,6,FALSE)</f>
        <v>RES,SMD,POT,12T,T-ADJ,0.25SQ,200K,ROHS</v>
      </c>
      <c r="E406" t="str">
        <f>VLOOKUP(A406,[1]Pricing!$A:$F,6,FALSE)</f>
        <v>13 Weeks</v>
      </c>
      <c r="F406">
        <f>VLOOKUP(B406,[2]Sheet2!$B:$E,4,FALSE)</f>
        <v>500</v>
      </c>
      <c r="G406" s="2">
        <f>VLOOKUP(A406,[1]Pricing!$A:$H,8,FALSE)</f>
        <v>2.6838449999999998</v>
      </c>
      <c r="H406" s="2">
        <f>VLOOKUP(A406,[1]Pricing!$A:$J,10,FALSE)</f>
        <v>3.2729817073170731</v>
      </c>
      <c r="I406">
        <f>VLOOKUP(A406,MIN!A:B,2,FALSE)</f>
        <v>15</v>
      </c>
      <c r="J406" t="str">
        <f t="shared" si="15"/>
        <v>NO</v>
      </c>
      <c r="K406">
        <f>VLOOKUP(A406,[1]Pricing!$A:$G,7,FALSE)</f>
        <v>500</v>
      </c>
      <c r="L406" t="s">
        <v>1960</v>
      </c>
      <c r="M406" t="str">
        <f t="shared" si="16"/>
        <v>608-096583-204</v>
      </c>
    </row>
    <row r="407" spans="1:13" x14ac:dyDescent="0.25">
      <c r="A407" t="s">
        <v>437</v>
      </c>
      <c r="B407" s="14" t="str">
        <f>VLOOKUP(A407,[1]Pricing!$A:$R,18,FALSE)</f>
        <v>84WR2KLF</v>
      </c>
      <c r="C407" t="s">
        <v>2588</v>
      </c>
      <c r="D407" t="str">
        <f>VLOOKUP(A407,[1]AVL!$A:$F,6,FALSE)</f>
        <v>RES,SMD,POT,12T,T-ADJ,0.25SQ,2K,ROHS</v>
      </c>
      <c r="E407" t="str">
        <f>VLOOKUP(A407,[1]Pricing!$A:$F,6,FALSE)</f>
        <v>18 Weeks</v>
      </c>
      <c r="F407">
        <f>VLOOKUP(B407,[2]Sheet2!$B:$E,4,FALSE)</f>
        <v>500</v>
      </c>
      <c r="G407" s="2">
        <f>VLOOKUP(A407,[1]Pricing!$A:$H,8,FALSE)</f>
        <v>2.6960999999999999</v>
      </c>
      <c r="H407" s="2">
        <f>VLOOKUP(A407,[1]Pricing!$A:$J,10,FALSE)</f>
        <v>3.2879268292682928</v>
      </c>
      <c r="I407">
        <f>VLOOKUP(A407,MIN!A:B,2,FALSE)</f>
        <v>25</v>
      </c>
      <c r="J407" t="str">
        <f t="shared" si="15"/>
        <v>NO</v>
      </c>
      <c r="K407">
        <f>VLOOKUP(A407,[1]Pricing!$A:$G,7,FALSE)</f>
        <v>500</v>
      </c>
      <c r="L407" t="s">
        <v>1960</v>
      </c>
      <c r="M407" t="str">
        <f t="shared" si="16"/>
        <v>608-096583-202</v>
      </c>
    </row>
    <row r="408" spans="1:13" x14ac:dyDescent="0.25">
      <c r="A408" t="s">
        <v>241</v>
      </c>
      <c r="B408" s="14" t="str">
        <f>VLOOKUP(A408,[1]Pricing!$A:$R,18,FALSE)</f>
        <v>3299W-1-101LF</v>
      </c>
      <c r="C408" t="s">
        <v>2617</v>
      </c>
      <c r="D408" t="str">
        <f>VLOOKUP(A408,[1]AVL!$A:$F,6,FALSE)</f>
        <v>POT, TRIM, CERMET, 25 TURN, ROHS</v>
      </c>
      <c r="E408" t="str">
        <f>VLOOKUP(A408,[1]Pricing!$A:$F,6,FALSE)</f>
        <v>10 Weeks</v>
      </c>
      <c r="F408">
        <f>VLOOKUP(B408,[2]Sheet2!$B:$E,4,FALSE)</f>
        <v>500</v>
      </c>
      <c r="G408" s="2">
        <f>VLOOKUP(A408,[1]Pricing!$A:$H,8,FALSE)</f>
        <v>2.0633010000000001</v>
      </c>
      <c r="H408" s="2">
        <f>VLOOKUP(A408,[1]Pricing!$A:$J,10,FALSE)</f>
        <v>2.5162207317073171</v>
      </c>
      <c r="I408">
        <f>VLOOKUP(A408,MIN!A:B,2,FALSE)</f>
        <v>25</v>
      </c>
      <c r="J408" t="str">
        <f t="shared" si="15"/>
        <v>NO</v>
      </c>
      <c r="K408">
        <f>VLOOKUP(A408,[1]Pricing!$A:$G,7,FALSE)</f>
        <v>500</v>
      </c>
      <c r="L408" t="s">
        <v>1960</v>
      </c>
      <c r="M408" t="str">
        <f t="shared" si="16"/>
        <v>621-000682-101</v>
      </c>
    </row>
    <row r="409" spans="1:13" x14ac:dyDescent="0.25">
      <c r="A409" t="s">
        <v>420</v>
      </c>
      <c r="B409" s="14" t="str">
        <f>VLOOKUP(A409,[1]Pricing!$A:$R,18,FALSE)</f>
        <v>76HPSB06GWRT</v>
      </c>
      <c r="C409" t="s">
        <v>2638</v>
      </c>
      <c r="D409" t="str">
        <f>VLOOKUP(A409,[1]AVL!$A:$F,6,FALSE)</f>
        <v>SW,SMD,DIP STRAIGHT 6 POLES,ROHS</v>
      </c>
      <c r="E409" t="str">
        <f>VLOOKUP(A409,[1]Pricing!$A:$F,6,FALSE)</f>
        <v>21 Weeks</v>
      </c>
      <c r="F409">
        <f>VLOOKUP(B409,[2]Sheet2!$B:$E,4,FALSE)</f>
        <v>487</v>
      </c>
      <c r="G409" s="2">
        <f>VLOOKUP(A409,[1]Pricing!$A:$H,8,FALSE)</f>
        <v>2.2916850000000002</v>
      </c>
      <c r="H409" s="2">
        <f>VLOOKUP(A409,[1]Pricing!$A:$J,10,FALSE)</f>
        <v>2.7947378048780491</v>
      </c>
      <c r="I409">
        <f>VLOOKUP(A409,MIN!A:B,2,FALSE)</f>
        <v>15</v>
      </c>
      <c r="J409" t="str">
        <f t="shared" si="15"/>
        <v>NO</v>
      </c>
      <c r="K409">
        <f>VLOOKUP(A409,[1]Pricing!$A:$G,7,FALSE)</f>
        <v>500</v>
      </c>
      <c r="L409" t="s">
        <v>1960</v>
      </c>
      <c r="M409" t="str">
        <f t="shared" si="16"/>
        <v>646-130453-006</v>
      </c>
    </row>
    <row r="410" spans="1:13" x14ac:dyDescent="0.25">
      <c r="A410" t="s">
        <v>374</v>
      </c>
      <c r="B410" s="14" t="str">
        <f>VLOOKUP(A410,[1]Pricing!$A:$R,18,FALSE)</f>
        <v>6-1419128-6</v>
      </c>
      <c r="C410" t="s">
        <v>2599</v>
      </c>
      <c r="D410" t="str">
        <f>VLOOKUP(A410,[1]AVL!$A:$F,6,FALSE)</f>
        <v>RLY,SPST-NO,24VDC,10A,STD TYPE,PCB MNT</v>
      </c>
      <c r="E410" t="str">
        <f>VLOOKUP(A410,[1]Pricing!$A:$F,6,FALSE)</f>
        <v>20 Weeks</v>
      </c>
      <c r="F410">
        <f>VLOOKUP(B410,[2]Sheet2!$B:$E,4,FALSE)</f>
        <v>500</v>
      </c>
      <c r="G410" s="2">
        <f>VLOOKUP(A410,[1]Pricing!$A:$H,8,FALSE)</f>
        <v>1.13849</v>
      </c>
      <c r="H410" s="2">
        <f>VLOOKUP(A410,[1]Pricing!$A:$J,10,FALSE)</f>
        <v>1.3884024390243903</v>
      </c>
      <c r="I410">
        <f>VLOOKUP(A410,MIN!A:B,2,FALSE)</f>
        <v>15</v>
      </c>
      <c r="J410" t="str">
        <f t="shared" si="15"/>
        <v>NO</v>
      </c>
      <c r="K410">
        <f>VLOOKUP(A410,[1]Pricing!$A:$G,7,FALSE)</f>
        <v>500</v>
      </c>
      <c r="L410" t="s">
        <v>1960</v>
      </c>
      <c r="M410" t="str">
        <f t="shared" si="16"/>
        <v>644-A92192-002</v>
      </c>
    </row>
    <row r="411" spans="1:13" x14ac:dyDescent="0.25">
      <c r="A411" t="s">
        <v>717</v>
      </c>
      <c r="B411" s="14" t="str">
        <f>VLOOKUP(A411,[1]Pricing!$A:$R,18,FALSE)</f>
        <v>D3W3P36A6GX08LF</v>
      </c>
      <c r="C411" t="s">
        <v>2659</v>
      </c>
      <c r="D411" t="str">
        <f>VLOOKUP(A411,[1]AVL!$A:$F,6,FALSE)</f>
        <v>CONN,PLUG,DSUB,RT. ANGLE,3 PIN,30A</v>
      </c>
      <c r="E411" t="str">
        <f>VLOOKUP(A411,[1]Pricing!$A:$F,6,FALSE)</f>
        <v>11 Weeks</v>
      </c>
      <c r="F411">
        <f>VLOOKUP(B411,[2]Sheet2!$B:$E,4,FALSE)</f>
        <v>400</v>
      </c>
      <c r="G411" s="2">
        <f>VLOOKUP(A411,[1]Pricing!$A:$H,8,FALSE)</f>
        <v>5.5147500000000003</v>
      </c>
      <c r="H411" s="2">
        <f>VLOOKUP(A411,[1]Pricing!$A:$J,10,FALSE)</f>
        <v>6.7253048780487816</v>
      </c>
      <c r="I411">
        <f>VLOOKUP(A411,MIN!A:B,2,FALSE)</f>
        <v>15</v>
      </c>
      <c r="J411" t="str">
        <f t="shared" si="15"/>
        <v>NO</v>
      </c>
      <c r="K411">
        <f>VLOOKUP(A411,[1]Pricing!$A:$G,7,FALSE)</f>
        <v>400</v>
      </c>
      <c r="L411" t="s">
        <v>1960</v>
      </c>
      <c r="M411" t="str">
        <f t="shared" si="16"/>
        <v>668-325823-001</v>
      </c>
    </row>
    <row r="412" spans="1:13" x14ac:dyDescent="0.25">
      <c r="A412" t="s">
        <v>391</v>
      </c>
      <c r="B412" s="14">
        <f>VLOOKUP(A412,[1]Pricing!$A:$R,18,FALSE)</f>
        <v>731385033</v>
      </c>
      <c r="C412" t="s">
        <v>2674</v>
      </c>
      <c r="D412" t="str">
        <f>VLOOKUP(A412,[1]AVL!$A:$F,6,FALSE)</f>
        <v>CONN,RCPT,BNC,50 OHM,PCB R/A,BH MT,GRND</v>
      </c>
      <c r="E412" t="str">
        <f>VLOOKUP(A412,[1]Pricing!$A:$F,6,FALSE)</f>
        <v>3 Weeks</v>
      </c>
      <c r="F412">
        <f>VLOOKUP(B412,[2]Sheet2!$B:$E,4,FALSE)</f>
        <v>280</v>
      </c>
      <c r="G412" s="2">
        <f>VLOOKUP(A412,[1]Pricing!$A:$H,8,FALSE)</f>
        <v>2.659335</v>
      </c>
      <c r="H412" s="2">
        <f>VLOOKUP(A412,[1]Pricing!$A:$J,10,FALSE)</f>
        <v>3.2430914634146344</v>
      </c>
      <c r="I412">
        <f>VLOOKUP(A412,MIN!A:B,2,FALSE)</f>
        <v>25</v>
      </c>
      <c r="J412" t="str">
        <f t="shared" si="15"/>
        <v>NO</v>
      </c>
      <c r="K412">
        <f>VLOOKUP(A412,[1]Pricing!$A:$G,7,FALSE)</f>
        <v>336</v>
      </c>
      <c r="L412" t="s">
        <v>2689</v>
      </c>
      <c r="M412" t="str">
        <f t="shared" si="16"/>
        <v>668-248128-001</v>
      </c>
    </row>
    <row r="413" spans="1:13" x14ac:dyDescent="0.25">
      <c r="A413" t="s">
        <v>181</v>
      </c>
      <c r="B413" s="14" t="str">
        <f>VLOOKUP(A413,[1]Pricing!$A:$R,18,FALSE)</f>
        <v>282834-5</v>
      </c>
      <c r="C413" t="s">
        <v>2599</v>
      </c>
      <c r="D413" t="str">
        <f>VLOOKUP(A413,[1]AVL!$A:$F,6,FALSE)</f>
        <v>TERM BLK,5 CKT,16-30AWG,2.54MM,10A,THT</v>
      </c>
      <c r="E413" t="str">
        <f>VLOOKUP(A413,[1]Pricing!$A:$F,6,FALSE)</f>
        <v>31 Weeks</v>
      </c>
      <c r="F413">
        <f>VLOOKUP(B413,[2]Sheet2!$B:$E,4,FALSE)</f>
        <v>299</v>
      </c>
      <c r="G413" s="2">
        <f>VLOOKUP(A413,[1]Pricing!$A:$H,8,FALSE)</f>
        <v>2.3039399999999999</v>
      </c>
      <c r="H413" s="2">
        <f>VLOOKUP(A413,[1]Pricing!$A:$J,10,FALSE)</f>
        <v>2.8096829268292685</v>
      </c>
      <c r="I413">
        <f>VLOOKUP(A413,MIN!A:B,2,FALSE)</f>
        <v>15</v>
      </c>
      <c r="J413" t="str">
        <f t="shared" si="15"/>
        <v>NO</v>
      </c>
      <c r="K413">
        <f>VLOOKUP(A413,[1]Pricing!$A:$G,7,FALSE)</f>
        <v>300</v>
      </c>
      <c r="L413" t="s">
        <v>1960</v>
      </c>
      <c r="M413" t="str">
        <f t="shared" si="16"/>
        <v>673-348843-005</v>
      </c>
    </row>
    <row r="414" spans="1:13" x14ac:dyDescent="0.25">
      <c r="A414" t="s">
        <v>972</v>
      </c>
      <c r="B414" s="14" t="str">
        <f>VLOOKUP(A414,[1]Pricing!$A:$R,18,FALSE)</f>
        <v>IPL1-102-02-L-D-K</v>
      </c>
      <c r="C414" t="s">
        <v>2608</v>
      </c>
      <c r="D414" t="str">
        <f>VLOOKUP(A414,[1]AVL!$A:$F,6,FALSE)</f>
        <v>CONN,SMD,PWR,SHROUDED,4POS,ROHS</v>
      </c>
      <c r="E414" t="str">
        <f>VLOOKUP(A414,[1]Pricing!$A:$F,6,FALSE)</f>
        <v>3 Weeks</v>
      </c>
      <c r="F414">
        <f>VLOOKUP(B414,[2]Sheet2!$B:$E,4,FALSE)</f>
        <v>261</v>
      </c>
      <c r="G414" s="2">
        <f>VLOOKUP(A414,[1]Pricing!$A:$H,8,FALSE)</f>
        <v>1.753641</v>
      </c>
      <c r="H414" s="2">
        <f>VLOOKUP(A414,[1]Pricing!$A:$J,10,FALSE)</f>
        <v>2.1385865853658537</v>
      </c>
      <c r="I414">
        <f>VLOOKUP(A414,MIN!A:B,2,FALSE)</f>
        <v>15</v>
      </c>
      <c r="J414" t="str">
        <f t="shared" si="15"/>
        <v>NO</v>
      </c>
      <c r="K414">
        <f>VLOOKUP(A414,[1]Pricing!$A:$G,7,FALSE)</f>
        <v>250</v>
      </c>
      <c r="L414" t="s">
        <v>1960</v>
      </c>
      <c r="M414" t="str">
        <f t="shared" si="16"/>
        <v>667-281523-002</v>
      </c>
    </row>
    <row r="415" spans="1:13" x14ac:dyDescent="0.25">
      <c r="A415" t="s">
        <v>403</v>
      </c>
      <c r="B415" s="14" t="str">
        <f>VLOOKUP(A415,[1]Pricing!$A:$R,18,FALSE)</f>
        <v>747846-4</v>
      </c>
      <c r="C415" t="s">
        <v>2675</v>
      </c>
      <c r="D415" t="str">
        <f>VLOOKUP(A415,[1]AVL!$A:$F,6,FALSE)</f>
        <v>CONN,RCPT 25P D-SUB RTANG</v>
      </c>
      <c r="E415" t="str">
        <f>VLOOKUP(A415,[1]Pricing!$A:$F,6,FALSE)</f>
        <v>27 Weeks</v>
      </c>
      <c r="F415">
        <f>VLOOKUP(B415,[2]Sheet2!$B:$E,4,FALSE)</f>
        <v>249</v>
      </c>
      <c r="G415" s="2">
        <f>VLOOKUP(A415,[1]Pricing!$A:$H,8,FALSE)</f>
        <v>7.9902600000000001</v>
      </c>
      <c r="H415" s="2">
        <f>VLOOKUP(A415,[1]Pricing!$A:$J,10,FALSE)</f>
        <v>9.7442195121951229</v>
      </c>
      <c r="I415">
        <f>VLOOKUP(A415,MIN!A:B,2,FALSE)</f>
        <v>15</v>
      </c>
      <c r="J415" t="str">
        <f t="shared" si="15"/>
        <v>NO</v>
      </c>
      <c r="K415">
        <f>VLOOKUP(A415,[1]Pricing!$A:$G,7,FALSE)</f>
        <v>260</v>
      </c>
      <c r="L415" t="s">
        <v>1960</v>
      </c>
      <c r="M415" t="str">
        <f t="shared" si="16"/>
        <v>668-098490-025</v>
      </c>
    </row>
    <row r="416" spans="1:13" x14ac:dyDescent="0.25">
      <c r="A416" t="s">
        <v>1634</v>
      </c>
      <c r="B416" s="14" t="str">
        <f>VLOOKUP(A416,[1]Pricing!$A:$R,18,FALSE)</f>
        <v>SG-210STF33.3333ML</v>
      </c>
      <c r="C416" t="s">
        <v>2591</v>
      </c>
      <c r="D416" t="str">
        <f>VLOOKUP(A416,[1]AVL!$A:$F,6,FALSE)</f>
        <v>OSC,SMD,XTAL,33.3333MHZ,±50PPM,-40+85DEG</v>
      </c>
      <c r="E416" t="str">
        <f>VLOOKUP(A416,[1]Pricing!$A:$F,6,FALSE)</f>
        <v>19 Weeks</v>
      </c>
      <c r="F416">
        <f>VLOOKUP(B416,[2]Sheet2!$B:$E,4,FALSE)</f>
        <v>142</v>
      </c>
      <c r="G416" s="2">
        <f>VLOOKUP(A416,[1]Pricing!$A:$H,8,FALSE)</f>
        <v>1.35</v>
      </c>
      <c r="H416" s="2">
        <f>VLOOKUP(A416,[1]Pricing!$A:$J,10,FALSE)</f>
        <v>1.6463414634146343</v>
      </c>
      <c r="I416">
        <f>VLOOKUP(A416,MIN!A:B,2,FALSE)</f>
        <v>25</v>
      </c>
      <c r="J416" t="str">
        <f t="shared" si="15"/>
        <v>NO</v>
      </c>
      <c r="K416">
        <f>VLOOKUP(A416,[1]Pricing!$A:$G,7,FALSE)</f>
        <v>250</v>
      </c>
      <c r="L416" t="s">
        <v>1960</v>
      </c>
      <c r="M416" t="str">
        <f t="shared" si="16"/>
        <v>635-A38983-016</v>
      </c>
    </row>
    <row r="417" spans="1:13" x14ac:dyDescent="0.25">
      <c r="A417" t="s">
        <v>149</v>
      </c>
      <c r="B417" s="14" t="str">
        <f>VLOOKUP(A417,[1]Pricing!$A:$R,18,FALSE)</f>
        <v>200-015-263R001</v>
      </c>
      <c r="C417" t="s">
        <v>2585</v>
      </c>
      <c r="D417" t="str">
        <f>VLOOKUP(A417,[1]AVL!$A:$F,6,FALSE)</f>
        <v>CONN,SMD,DSUB,HD,RCPT,15POSN,RTANG,2A</v>
      </c>
      <c r="E417" t="str">
        <f>VLOOKUP(A417,[1]Pricing!$A:$F,6,FALSE)</f>
        <v>17 Weeks</v>
      </c>
      <c r="F417">
        <f>VLOOKUP(B417,[2]Sheet2!$B:$E,4,FALSE)</f>
        <v>210</v>
      </c>
      <c r="G417" s="2">
        <f>VLOOKUP(A417,[1]Pricing!$A:$H,8,FALSE)</f>
        <v>3.84084</v>
      </c>
      <c r="H417" s="2">
        <f>VLOOKUP(A417,[1]Pricing!$A:$J,10,FALSE)</f>
        <v>4.6839512195121955</v>
      </c>
      <c r="I417">
        <f>VLOOKUP(A417,MIN!A:B,2,FALSE)</f>
        <v>25</v>
      </c>
      <c r="J417" t="str">
        <f t="shared" si="15"/>
        <v>NO</v>
      </c>
      <c r="K417">
        <f>VLOOKUP(A417,[1]Pricing!$A:$G,7,FALSE)</f>
        <v>210</v>
      </c>
      <c r="L417" t="s">
        <v>1960</v>
      </c>
      <c r="M417" t="str">
        <f t="shared" si="16"/>
        <v>667-A26335-015</v>
      </c>
    </row>
    <row r="418" spans="1:13" x14ac:dyDescent="0.25">
      <c r="A418" t="s">
        <v>309</v>
      </c>
      <c r="B418" s="14" t="str">
        <f>VLOOKUP(A418,[1]Pricing!$A:$R,18,FALSE)</f>
        <v>5-103635-2</v>
      </c>
      <c r="C418" t="s">
        <v>2599</v>
      </c>
      <c r="D418" t="str">
        <f>VLOOKUP(A418,[1]AVL!$A:$F,6,FALSE)</f>
        <v>CONN,HDR,MALE,3POS,3A,RTANG,SLDR,THT</v>
      </c>
      <c r="E418" t="str">
        <f>VLOOKUP(A418,[1]Pricing!$A:$F,6,FALSE)</f>
        <v>10 Weeks</v>
      </c>
      <c r="F418">
        <f>VLOOKUP(B418,[2]Sheet2!$B:$E,4,FALSE)</f>
        <v>208</v>
      </c>
      <c r="G418" s="2">
        <f>VLOOKUP(A418,[1]Pricing!$A:$H,8,FALSE)</f>
        <v>0.78554599999999997</v>
      </c>
      <c r="H418" s="2">
        <f>VLOOKUP(A418,[1]Pricing!$A:$J,10,FALSE)</f>
        <v>0.95798292682926833</v>
      </c>
      <c r="I418">
        <f>VLOOKUP(A418,MIN!A:B,2,FALSE)</f>
        <v>15</v>
      </c>
      <c r="J418" t="str">
        <f t="shared" si="15"/>
        <v>NO</v>
      </c>
      <c r="K418">
        <f>VLOOKUP(A418,[1]Pricing!$A:$G,7,FALSE)</f>
        <v>208</v>
      </c>
      <c r="L418" t="s">
        <v>1960</v>
      </c>
      <c r="M418" t="str">
        <f t="shared" si="16"/>
        <v>668-346844-002</v>
      </c>
    </row>
    <row r="419" spans="1:13" x14ac:dyDescent="0.25">
      <c r="A419" t="s">
        <v>1644</v>
      </c>
      <c r="B419" s="14" t="str">
        <f>VLOOKUP(A419,[1]Pricing!$A:$R,18,FALSE)</f>
        <v>SLPX472M063E3P3</v>
      </c>
      <c r="C419" t="s">
        <v>2676</v>
      </c>
      <c r="D419" t="str">
        <f>VLOOKUP(A419,[1]AVL!$A:$F,6,FALSE)</f>
        <v>CAP,AL ELCTLT,4700UF,20%,63VDC,SNAP-IN</v>
      </c>
      <c r="E419" t="str">
        <f>VLOOKUP(A419,[1]Pricing!$A:$F,6,FALSE)</f>
        <v>20 Weeks</v>
      </c>
      <c r="F419">
        <f>VLOOKUP(B419,[2]Sheet2!$B:$E,4,FALSE)</f>
        <v>200</v>
      </c>
      <c r="G419" s="2">
        <f>VLOOKUP(A419,[1]Pricing!$A:$H,8,FALSE)</f>
        <v>2.4632550000000002</v>
      </c>
      <c r="H419" s="2">
        <f>VLOOKUP(A419,[1]Pricing!$A:$J,10,FALSE)</f>
        <v>3.0039695121951224</v>
      </c>
      <c r="I419">
        <f>VLOOKUP(A419,MIN!A:B,2,FALSE)</f>
        <v>25</v>
      </c>
      <c r="J419" t="str">
        <f t="shared" si="15"/>
        <v>NO</v>
      </c>
      <c r="K419">
        <f>VLOOKUP(A419,[1]Pricing!$A:$G,7,FALSE)</f>
        <v>200</v>
      </c>
      <c r="L419" t="s">
        <v>1960</v>
      </c>
      <c r="M419" t="str">
        <f t="shared" si="16"/>
        <v>649-B08060-001</v>
      </c>
    </row>
    <row r="420" spans="1:13" x14ac:dyDescent="0.25">
      <c r="A420" t="s">
        <v>100</v>
      </c>
      <c r="B420" s="14" t="str">
        <f>VLOOKUP(A420,[1]Pricing!$A:$R,18,FALSE)</f>
        <v>1-770174-1</v>
      </c>
      <c r="C420" t="s">
        <v>2599</v>
      </c>
      <c r="D420" t="str">
        <f>VLOOKUP(A420,[1]AVL!$A:$F,6,FALSE)</f>
        <v>CONN,HDR,PCB,ST,MINI-U M-N-LOK,4P,ROHS</v>
      </c>
      <c r="E420" t="str">
        <f>VLOOKUP(A420,[1]Pricing!$A:$F,6,FALSE)</f>
        <v>28 Weeks</v>
      </c>
      <c r="F420">
        <f>VLOOKUP(B420,[2]Sheet2!$B:$E,4,FALSE)</f>
        <v>153</v>
      </c>
      <c r="G420" s="2">
        <f>VLOOKUP(A420,[1]Pricing!$A:$H,8,FALSE)</f>
        <v>1.02942</v>
      </c>
      <c r="H420" s="2">
        <f>VLOOKUP(A420,[1]Pricing!$A:$J,10,FALSE)</f>
        <v>1.2553902439024391</v>
      </c>
      <c r="I420">
        <f>VLOOKUP(A420,MIN!A:B,2,FALSE)</f>
        <v>25</v>
      </c>
      <c r="J420" t="str">
        <f t="shared" si="15"/>
        <v>NO</v>
      </c>
      <c r="K420">
        <f>VLOOKUP(A420,[1]Pricing!$A:$G,7,FALSE)</f>
        <v>200</v>
      </c>
      <c r="L420" t="s">
        <v>1960</v>
      </c>
      <c r="M420" t="str">
        <f t="shared" si="16"/>
        <v>668-061260-004</v>
      </c>
    </row>
    <row r="421" spans="1:13" x14ac:dyDescent="0.25">
      <c r="A421" t="s">
        <v>233</v>
      </c>
      <c r="B421" s="14" t="str">
        <f>VLOOKUP(A421,[1]Pricing!$A:$R,18,FALSE)</f>
        <v>3296W-1-254LF</v>
      </c>
      <c r="C421" t="s">
        <v>2648</v>
      </c>
      <c r="D421" t="str">
        <f>VLOOKUP(A421,[1]AVL!$A:$F,6,FALSE)</f>
        <v>POT TRIM,250K,25T,PCMT,ROHS</v>
      </c>
      <c r="E421" t="str">
        <f>VLOOKUP(A421,[1]Pricing!$A:$F,6,FALSE)</f>
        <v>10 Weeks</v>
      </c>
      <c r="F421">
        <f>VLOOKUP(B421,[2]Sheet2!$B:$E,4,FALSE)</f>
        <v>185</v>
      </c>
      <c r="G421" s="2">
        <f>VLOOKUP(A421,[1]Pricing!$A:$H,8,FALSE)</f>
        <v>1.6789350000000001</v>
      </c>
      <c r="H421" s="2">
        <f>VLOOKUP(A421,[1]Pricing!$A:$J,10,FALSE)</f>
        <v>2.0474817073170732</v>
      </c>
      <c r="I421">
        <f>VLOOKUP(A421,MIN!A:B,2,FALSE)</f>
        <v>15</v>
      </c>
      <c r="J421" t="str">
        <f t="shared" si="15"/>
        <v>NO</v>
      </c>
      <c r="K421">
        <f>VLOOKUP(A421,[1]Pricing!$A:$G,7,FALSE)</f>
        <v>200</v>
      </c>
      <c r="L421" t="s">
        <v>1960</v>
      </c>
      <c r="M421" t="str">
        <f t="shared" si="16"/>
        <v>621-095110-254</v>
      </c>
    </row>
    <row r="422" spans="1:13" x14ac:dyDescent="0.25">
      <c r="A422" t="s">
        <v>227</v>
      </c>
      <c r="B422" s="14">
        <f>VLOOKUP(A422,[1]Pricing!$A:$R,18,FALSE)</f>
        <v>314010</v>
      </c>
      <c r="C422" t="s">
        <v>2677</v>
      </c>
      <c r="D422" t="str">
        <f>VLOOKUP(A422,[1]AVL!$A:$F,6,FALSE)</f>
        <v>FUSE .25x1.25 10A 250VAC,ROHS</v>
      </c>
      <c r="E422" t="str">
        <f>VLOOKUP(A422,[1]Pricing!$A:$F,6,FALSE)</f>
        <v>13 Weeks</v>
      </c>
      <c r="F422">
        <f>VLOOKUP(B422,[2]Sheet2!$B:$E,4,FALSE)</f>
        <v>119</v>
      </c>
      <c r="G422" s="2">
        <f>VLOOKUP(A422,[1]Pricing!$A:$H,8,FALSE)</f>
        <v>3.9</v>
      </c>
      <c r="H422" s="2">
        <f>VLOOKUP(A422,[1]Pricing!$A:$J,10,FALSE)</f>
        <v>4.7560975609756095</v>
      </c>
      <c r="I422">
        <f>VLOOKUP(A422,MIN!A:B,2,FALSE)</f>
        <v>15</v>
      </c>
      <c r="J422" t="str">
        <f t="shared" si="15"/>
        <v>NO</v>
      </c>
      <c r="K422">
        <f>VLOOKUP(A422,[1]Pricing!$A:$G,7,FALSE)</f>
        <v>120</v>
      </c>
      <c r="L422" t="s">
        <v>1960</v>
      </c>
      <c r="M422" t="str">
        <f t="shared" si="16"/>
        <v>670-006780-037</v>
      </c>
    </row>
    <row r="423" spans="1:13" x14ac:dyDescent="0.25">
      <c r="A423" t="s">
        <v>1281</v>
      </c>
      <c r="B423" s="14" t="str">
        <f>VLOOKUP(A423,[1]Pricing!$A:$R,18,FALSE)</f>
        <v>R-78C15-1.0</v>
      </c>
      <c r="C423" t="s">
        <v>2641</v>
      </c>
      <c r="D423" t="str">
        <f>VLOOKUP(A423,[1]AVL!$A:$F,6,FALSE)</f>
        <v>PS,CONV,DC/DC,8-42VIN,15VOUT,1A,ROHS</v>
      </c>
      <c r="E423" t="str">
        <f>VLOOKUP(A423,[1]Pricing!$A:$F,6,FALSE)</f>
        <v>12 Weeks</v>
      </c>
      <c r="F423">
        <f>VLOOKUP(B423,[2]Sheet2!$B:$E,4,FALSE)</f>
        <v>89</v>
      </c>
      <c r="G423" s="2">
        <f>VLOOKUP(A423,[1]Pricing!$A:$H,8,FALSE)</f>
        <v>11.269698</v>
      </c>
      <c r="H423" s="2">
        <f>VLOOKUP(A423,[1]Pricing!$A:$J,10,FALSE)</f>
        <v>13.743534146341464</v>
      </c>
      <c r="I423">
        <f>VLOOKUP(A423,MIN!A:B,2,FALSE)</f>
        <v>15</v>
      </c>
      <c r="J423" t="str">
        <f t="shared" si="15"/>
        <v>NO</v>
      </c>
      <c r="K423">
        <f>VLOOKUP(A423,[1]Pricing!$A:$G,7,FALSE)</f>
        <v>100</v>
      </c>
      <c r="L423" t="s">
        <v>2689</v>
      </c>
      <c r="M423" t="str">
        <f t="shared" si="16"/>
        <v>660-150506-015</v>
      </c>
    </row>
    <row r="424" spans="1:13" x14ac:dyDescent="0.25">
      <c r="A424" t="s">
        <v>514</v>
      </c>
      <c r="B424" s="14" t="str">
        <f>VLOOKUP(A424,[1]Pricing!$A:$R,18,FALSE)</f>
        <v>AQY272AX</v>
      </c>
      <c r="C424" t="s">
        <v>2618</v>
      </c>
      <c r="D424" t="str">
        <f>VLOOKUP(A424,[1]AVL!$A:$F,6,FALSE)</f>
        <v>RLY,PHOTO MOS,FLAT PWR,4 PIN,2A,ROHS</v>
      </c>
      <c r="E424" t="str">
        <f>VLOOKUP(A424,[1]Pricing!$A:$F,6,FALSE)</f>
        <v>3 Weeks</v>
      </c>
      <c r="F424">
        <f>VLOOKUP(B424,[2]Sheet2!$B:$E,4,FALSE)</f>
        <v>91</v>
      </c>
      <c r="G424" s="2">
        <f>VLOOKUP(A424,[1]Pricing!$A:$H,8,FALSE)</f>
        <v>7.3612109999999999</v>
      </c>
      <c r="H424" s="2">
        <f>VLOOKUP(A424,[1]Pricing!$A:$J,10,FALSE)</f>
        <v>8.9770865853658535</v>
      </c>
      <c r="I424">
        <f>VLOOKUP(A424,MIN!A:B,2,FALSE)</f>
        <v>25</v>
      </c>
      <c r="J424" t="str">
        <f t="shared" si="15"/>
        <v>NO</v>
      </c>
      <c r="K424">
        <f>VLOOKUP(A424,[1]Pricing!$A:$G,7,FALSE)</f>
        <v>100</v>
      </c>
      <c r="L424" t="s">
        <v>1960</v>
      </c>
      <c r="M424" t="str">
        <f t="shared" si="16"/>
        <v>644-109029-001</v>
      </c>
    </row>
    <row r="425" spans="1:13" x14ac:dyDescent="0.25">
      <c r="A425" t="s">
        <v>536</v>
      </c>
      <c r="B425" s="14" t="str">
        <f>VLOOKUP(A425,[1]Pricing!$A:$R,18,FALSE)</f>
        <v>BK/ABC-4-R</v>
      </c>
      <c r="C425" t="s">
        <v>2662</v>
      </c>
      <c r="D425" t="str">
        <f>VLOOKUP(A425,[1]AVL!$A:$F,6,FALSE)</f>
        <v>FUSE .25x1.25 4A 250VAC,ROHS</v>
      </c>
      <c r="E425" t="str">
        <f>VLOOKUP(A425,[1]Pricing!$A:$F,6,FALSE)</f>
        <v>20 Weeks</v>
      </c>
      <c r="F425">
        <f>VLOOKUP(B425,[2]Sheet2!$B:$E,4,FALSE)</f>
        <v>100</v>
      </c>
      <c r="G425" s="2">
        <f>VLOOKUP(A425,[1]Pricing!$A:$H,8,FALSE)</f>
        <v>2.9044349999999999</v>
      </c>
      <c r="H425" s="2">
        <f>VLOOKUP(A425,[1]Pricing!$A:$J,10,FALSE)</f>
        <v>3.5419939024390246</v>
      </c>
      <c r="I425">
        <f>VLOOKUP(A425,MIN!A:B,2,FALSE)</f>
        <v>15</v>
      </c>
      <c r="J425" t="str">
        <f t="shared" si="15"/>
        <v>NO</v>
      </c>
      <c r="K425">
        <f>VLOOKUP(A425,[1]Pricing!$A:$G,7,FALSE)</f>
        <v>100</v>
      </c>
      <c r="L425" t="s">
        <v>1960</v>
      </c>
      <c r="M425" t="str">
        <f t="shared" si="16"/>
        <v>670-006780-032</v>
      </c>
    </row>
    <row r="426" spans="1:13" x14ac:dyDescent="0.25">
      <c r="A426" t="s">
        <v>372</v>
      </c>
      <c r="B426" s="14" t="str">
        <f>VLOOKUP(A426,[1]Pricing!$A:$R,18,FALSE)</f>
        <v>6-1393144-8</v>
      </c>
      <c r="C426" t="s">
        <v>2678</v>
      </c>
      <c r="D426" t="str">
        <f>VLOOKUP(A426,[1]AVL!$A:$F,6,FALSE)</f>
        <v>RELAY,2 POLE,24V,INDUSTRIAL</v>
      </c>
      <c r="E426" t="str">
        <f>VLOOKUP(A426,[1]Pricing!$A:$F,6,FALSE)</f>
        <v>18 Weeks</v>
      </c>
      <c r="F426">
        <f>VLOOKUP(B426,[2]Sheet2!$B:$E,4,FALSE)</f>
        <v>100</v>
      </c>
      <c r="G426" s="2">
        <f>VLOOKUP(A426,[1]Pricing!$A:$H,8,FALSE)</f>
        <v>13.480499999999999</v>
      </c>
      <c r="H426" s="2">
        <f>VLOOKUP(A426,[1]Pricing!$A:$J,10,FALSE)</f>
        <v>16.439634146341465</v>
      </c>
      <c r="I426">
        <f>VLOOKUP(A426,MIN!A:B,2,FALSE)</f>
        <v>15</v>
      </c>
      <c r="J426" t="str">
        <f t="shared" si="15"/>
        <v>NO</v>
      </c>
      <c r="K426">
        <f>VLOOKUP(A426,[1]Pricing!$A:$G,7,FALSE)</f>
        <v>100</v>
      </c>
      <c r="L426" t="s">
        <v>1960</v>
      </c>
      <c r="M426" t="str">
        <f t="shared" si="16"/>
        <v>34-357070-00</v>
      </c>
    </row>
    <row r="427" spans="1:13" x14ac:dyDescent="0.25">
      <c r="A427" t="s">
        <v>207</v>
      </c>
      <c r="B427" s="14" t="str">
        <f>VLOOKUP(A427,[1]Pricing!$A:$R,18,FALSE)</f>
        <v>3020-20-0300-00</v>
      </c>
      <c r="C427" t="s">
        <v>2679</v>
      </c>
      <c r="D427" t="str">
        <f>VLOOKUP(A427,[1]AVL!$A:$F,6,FALSE)</f>
        <v>CONN,SMD,IDC BOX HDR,2.54MM,20 CONT,500V</v>
      </c>
      <c r="E427" t="str">
        <f>VLOOKUP(A427,[1]Pricing!$A:$F,6,FALSE)</f>
        <v>23 Weeks</v>
      </c>
      <c r="F427">
        <f>VLOOKUP(B427,[2]Sheet2!$B:$E,4,FALSE)</f>
        <v>80</v>
      </c>
      <c r="G427" s="2">
        <f>VLOOKUP(A427,[1]Pricing!$A:$H,8,FALSE)</f>
        <v>0.72243199999999996</v>
      </c>
      <c r="H427" s="2">
        <f>VLOOKUP(A427,[1]Pricing!$A:$J,10,FALSE)</f>
        <v>0.88101463414634151</v>
      </c>
      <c r="I427">
        <f>VLOOKUP(A427,MIN!A:B,2,FALSE)</f>
        <v>15</v>
      </c>
      <c r="J427" t="str">
        <f t="shared" si="15"/>
        <v>NO</v>
      </c>
      <c r="K427">
        <f>VLOOKUP(A427,[1]Pricing!$A:$G,7,FALSE)</f>
        <v>80</v>
      </c>
      <c r="L427" t="s">
        <v>1960</v>
      </c>
      <c r="M427" t="str">
        <f t="shared" si="16"/>
        <v>667-335433-020</v>
      </c>
    </row>
    <row r="428" spans="1:13" x14ac:dyDescent="0.25">
      <c r="A428" t="s">
        <v>92</v>
      </c>
      <c r="B428" s="14">
        <f>VLOOKUP(A428,[1]Pricing!$A:$R,18,FALSE)</f>
        <v>1720420401</v>
      </c>
      <c r="C428" t="s">
        <v>2610</v>
      </c>
      <c r="D428" t="str">
        <f>VLOOKUP(A428,[1]AVL!$A:$F,6,FALSE)</f>
        <v>CONN,HDR,VERTICAL,4POS,NO BRD LCK</v>
      </c>
      <c r="E428" t="str">
        <f>VLOOKUP(A428,[1]Pricing!$A:$F,6,FALSE)</f>
        <v>3 Weeks</v>
      </c>
      <c r="F428">
        <f>VLOOKUP(B428,[2]Sheet2!$B:$E,4,FALSE)</f>
        <v>60</v>
      </c>
      <c r="G428" s="2">
        <f>VLOOKUP(A428,[1]Pricing!$A:$H,8,FALSE)</f>
        <v>1.997565</v>
      </c>
      <c r="H428" s="2">
        <f>VLOOKUP(A428,[1]Pricing!$A:$J,10,FALSE)</f>
        <v>2.4360548780487807</v>
      </c>
      <c r="I428">
        <f>VLOOKUP(A428,MIN!A:B,2,FALSE)</f>
        <v>15</v>
      </c>
      <c r="J428" t="str">
        <f t="shared" si="15"/>
        <v>NO</v>
      </c>
      <c r="K428">
        <f>VLOOKUP(A428,[1]Pricing!$A:$G,7,FALSE)</f>
        <v>60</v>
      </c>
      <c r="L428" t="s">
        <v>1960</v>
      </c>
      <c r="M428" t="str">
        <f t="shared" si="16"/>
        <v>668-311384-009</v>
      </c>
    </row>
    <row r="429" spans="1:13" x14ac:dyDescent="0.25">
      <c r="A429" t="s">
        <v>1546</v>
      </c>
      <c r="B429" s="14" t="str">
        <f>VLOOKUP(A429,[1]Pricing!$A:$R,18,FALSE)</f>
        <v>RT0402BRD073K57L</v>
      </c>
      <c r="C429" t="s">
        <v>2580</v>
      </c>
      <c r="D429" t="str">
        <f>VLOOKUP(A429,[1]AVL!$A:$F,6,FALSE)</f>
        <v>RES,SMD,3.57K,0.1%,1/16W,0402,ROHS</v>
      </c>
      <c r="E429" t="str">
        <f>VLOOKUP(A429,[1]Pricing!$A:$F,6,FALSE)</f>
        <v>21 Weeks</v>
      </c>
      <c r="F429">
        <f>VLOOKUP(B429,[2]Sheet2!$B:$E,4,FALSE)</f>
        <v>9122</v>
      </c>
      <c r="G429" s="2">
        <f>VLOOKUP(A429,[1]Pricing!$A:$H,8,FALSE)</f>
        <v>4.1116E-2</v>
      </c>
      <c r="H429" s="2">
        <f>VLOOKUP(A429,[1]Pricing!$A:$J,10,FALSE)</f>
        <v>5.0141463414634151E-2</v>
      </c>
      <c r="I429">
        <f>VLOOKUP(A429,MIN!A:B,2,FALSE)</f>
        <v>25</v>
      </c>
      <c r="J429" t="str">
        <f t="shared" si="15"/>
        <v>NO</v>
      </c>
      <c r="K429">
        <f>VLOOKUP(A429,[1]Pricing!$A:$G,7,FALSE)</f>
        <v>10000</v>
      </c>
      <c r="L429" t="s">
        <v>1960</v>
      </c>
      <c r="M429" t="str">
        <f t="shared" si="16"/>
        <v>615-303725-084</v>
      </c>
    </row>
    <row r="430" spans="1:13" x14ac:dyDescent="0.25">
      <c r="A430" t="s">
        <v>159</v>
      </c>
      <c r="B430" s="14" t="str">
        <f>VLOOKUP(A430,[1]Pricing!$A:$R,18,FALSE)</f>
        <v>22-28-4110</v>
      </c>
      <c r="C430" t="s">
        <v>2608</v>
      </c>
      <c r="D430" t="str">
        <f>VLOOKUP(A430,[1]AVL!$A:$F,6,FALSE)</f>
        <v>CONN,HDR,11POSN,1ROW,VERT,2.54MM PITCH</v>
      </c>
      <c r="E430" t="str">
        <f>VLOOKUP(A430,[1]Pricing!$A:$F,6,FALSE)</f>
        <v>17 Weeks</v>
      </c>
      <c r="F430">
        <f>VLOOKUP(B430,[2]Sheet2!$B:$E,4,FALSE)</f>
        <v>199</v>
      </c>
      <c r="G430" s="2">
        <f>VLOOKUP(A430,[1]Pricing!$A:$H,8,FALSE)</f>
        <v>0.96789999999999998</v>
      </c>
      <c r="H430" s="2">
        <f>VLOOKUP(A430,[1]Pricing!$A:$J,10,FALSE)</f>
        <v>1.1803658536585366</v>
      </c>
      <c r="I430">
        <f>VLOOKUP(A430,MIN!A:B,2,FALSE)</f>
        <v>15</v>
      </c>
      <c r="J430" t="str">
        <f t="shared" si="15"/>
        <v>NO</v>
      </c>
      <c r="K430">
        <f>VLOOKUP(A430,[1]Pricing!$A:$G,7,FALSE)</f>
        <v>200</v>
      </c>
      <c r="L430" t="s">
        <v>1960</v>
      </c>
      <c r="M430" t="str">
        <f t="shared" si="16"/>
        <v>668-007385-011</v>
      </c>
    </row>
    <row r="431" spans="1:13" x14ac:dyDescent="0.25">
      <c r="A431" t="s">
        <v>32</v>
      </c>
      <c r="B431" s="14" t="str">
        <f>VLOOKUP(A431,[1]Pricing!$A:$R,18,FALSE)</f>
        <v>10090929-S154XLF</v>
      </c>
      <c r="C431" t="s">
        <v>2586</v>
      </c>
      <c r="D431" t="str">
        <f>VLOOKUP(A431,[1]AVL!$A:$F,6,FALSE)</f>
        <v>CONN,RCPT,DSUB HD,15 POSN,2.5A,W/BD LOCK</v>
      </c>
      <c r="E431" t="str">
        <f>VLOOKUP(A431,[1]Pricing!$A:$F,6,FALSE)</f>
        <v>13 Weeks</v>
      </c>
      <c r="F431">
        <f>VLOOKUP(B431,[2]Sheet2!$B:$E,4,FALSE)</f>
        <v>264</v>
      </c>
      <c r="G431" s="2">
        <f>VLOOKUP(A431,[1]Pricing!$A:$H,8,FALSE)</f>
        <v>1.7892300000000001</v>
      </c>
      <c r="H431" s="2">
        <f>VLOOKUP(A431,[1]Pricing!$A:$J,10,FALSE)</f>
        <v>2.181987804878049</v>
      </c>
      <c r="I431">
        <f>VLOOKUP(A431,MIN!A:B,2,FALSE)</f>
        <v>15</v>
      </c>
      <c r="J431" t="str">
        <f t="shared" si="15"/>
        <v>NO</v>
      </c>
      <c r="K431">
        <f>VLOOKUP(A431,[1]Pricing!$A:$G,7,FALSE)</f>
        <v>270</v>
      </c>
      <c r="L431" t="s">
        <v>1960</v>
      </c>
      <c r="M431" t="str">
        <f t="shared" si="16"/>
        <v>668-335595-002</v>
      </c>
    </row>
    <row r="432" spans="1:13" x14ac:dyDescent="0.25">
      <c r="A432" t="s">
        <v>637</v>
      </c>
      <c r="B432" s="14" t="str">
        <f>VLOOKUP(A432,[1]Pricing!$A:$R,18,FALSE)</f>
        <v>CFR-25JB-52-2K7</v>
      </c>
      <c r="C432" t="s">
        <v>2580</v>
      </c>
      <c r="D432" t="str">
        <f>VLOOKUP(A432,[1]AVL!$A:$F,6,FALSE)</f>
        <v>RES,CARBON FILM,2.7K OHM,1/4W,+/-5%,250V</v>
      </c>
      <c r="E432" t="str">
        <f>VLOOKUP(A432,[1]Pricing!$A:$F,6,FALSE)</f>
        <v>19 Weeks</v>
      </c>
      <c r="F432">
        <f>VLOOKUP(B432,[2]Sheet2!$B:$E,4,FALSE)</f>
        <v>500</v>
      </c>
      <c r="G432" s="2">
        <f>VLOOKUP(A432,[1]Pricing!$A:$H,8,FALSE)</f>
        <v>1.7156999999999999E-2</v>
      </c>
      <c r="H432" s="2">
        <f>VLOOKUP(A432,[1]Pricing!$A:$J,10,FALSE)</f>
        <v>2.0923170731707318E-2</v>
      </c>
      <c r="I432">
        <f>VLOOKUP(A432,MIN!A:B,2,FALSE)</f>
        <v>15</v>
      </c>
      <c r="J432" t="str">
        <f t="shared" si="15"/>
        <v>NO</v>
      </c>
      <c r="K432">
        <f>VLOOKUP(A432,[1]Pricing!$A:$G,7,FALSE)</f>
        <v>500</v>
      </c>
      <c r="L432" t="s">
        <v>1960</v>
      </c>
      <c r="M432" t="str">
        <f t="shared" si="16"/>
        <v>28-145613-00</v>
      </c>
    </row>
    <row r="433" spans="1:13" x14ac:dyDescent="0.25">
      <c r="A433" t="s">
        <v>1867</v>
      </c>
      <c r="B433" s="14" t="str">
        <f>VLOOKUP(A433,[1]Pricing!$A:$R,18,FALSE)</f>
        <v>YFF31HC2A104MT000N</v>
      </c>
      <c r="C433" t="s">
        <v>2616</v>
      </c>
      <c r="D433" t="str">
        <f>VLOOKUP(A433,[1]AVL!$A:$F,6,FALSE)</f>
        <v>FLTR,SMD,7MHZ ROHS</v>
      </c>
      <c r="E433" t="str">
        <f>VLOOKUP(A433,[1]Pricing!$A:$F,6,FALSE)</f>
        <v>19 Weeks</v>
      </c>
      <c r="F433">
        <f>VLOOKUP(B433,[2]Sheet2!$B:$E,4,FALSE)</f>
        <v>2000</v>
      </c>
      <c r="G433" s="2">
        <f>VLOOKUP(A433,[1]Pricing!$A:$H,8,FALSE)</f>
        <v>0.194855</v>
      </c>
      <c r="H433" s="2">
        <f>VLOOKUP(A433,[1]Pricing!$A:$J,10,FALSE)</f>
        <v>0.23762804878048782</v>
      </c>
      <c r="I433">
        <f>VLOOKUP(A433,MIN!A:B,2,FALSE)</f>
        <v>30</v>
      </c>
      <c r="J433" t="str">
        <f t="shared" si="15"/>
        <v>NO</v>
      </c>
      <c r="K433">
        <f>VLOOKUP(A433,[1]Pricing!$A:$G,7,FALSE)</f>
        <v>2000</v>
      </c>
      <c r="L433" t="s">
        <v>1960</v>
      </c>
      <c r="M433" t="str">
        <f t="shared" si="16"/>
        <v>690-072511-001</v>
      </c>
    </row>
    <row r="434" spans="1:13" x14ac:dyDescent="0.25">
      <c r="A434" t="s">
        <v>873</v>
      </c>
      <c r="B434" s="14" t="str">
        <f>VLOOKUP(A434,[1]Pricing!$A:$R,18,FALSE)</f>
        <v>ERJ-PB6D2701V</v>
      </c>
      <c r="C434" t="s">
        <v>2618</v>
      </c>
      <c r="D434" t="str">
        <f>VLOOKUP(A434,[1]AVL!$A:$F,6,FALSE)</f>
        <v>RES,SMD,THK FILM,2.7KOHM,0.5%,1/4W,0805</v>
      </c>
      <c r="E434" t="str">
        <f>VLOOKUP(A434,[1]Pricing!$A:$F,6,FALSE)</f>
        <v>22 Weeks</v>
      </c>
      <c r="F434">
        <f>VLOOKUP(B434,[2]Sheet2!$B:$E,4,FALSE)</f>
        <v>4999</v>
      </c>
      <c r="G434" s="2">
        <f>VLOOKUP(A434,[1]Pricing!$A:$H,8,FALSE)</f>
        <v>2.6960999999999999E-2</v>
      </c>
      <c r="H434" s="2">
        <f>VLOOKUP(A434,[1]Pricing!$A:$J,10,FALSE)</f>
        <v>3.287926829268293E-2</v>
      </c>
      <c r="I434">
        <f>VLOOKUP(A434,MIN!A:B,2,FALSE)</f>
        <v>25</v>
      </c>
      <c r="J434" t="str">
        <f t="shared" si="15"/>
        <v>NO</v>
      </c>
      <c r="K434">
        <f>VLOOKUP(A434,[1]Pricing!$A:$G,7,FALSE)</f>
        <v>5000</v>
      </c>
      <c r="L434" t="s">
        <v>1960</v>
      </c>
      <c r="M434" t="str">
        <f t="shared" si="16"/>
        <v>615-A79074-003</v>
      </c>
    </row>
    <row r="435" spans="1:13" x14ac:dyDescent="0.25">
      <c r="A435" t="s">
        <v>88</v>
      </c>
      <c r="B435" s="14" t="str">
        <f>VLOOKUP(A435,[1]Pricing!$A:$R,18,FALSE)</f>
        <v>171-015-213R051</v>
      </c>
      <c r="C435" t="s">
        <v>2585</v>
      </c>
      <c r="D435" t="str">
        <f>VLOOKUP(A435,[1]AVL!$A:$F,6,FALSE)</f>
        <v>CONN,RCPT,D-SUB,15POSN,5A,W/BD LOCK</v>
      </c>
      <c r="E435" t="str">
        <f>VLOOKUP(A435,[1]Pricing!$A:$F,6,FALSE)</f>
        <v>19 Weeks</v>
      </c>
      <c r="F435">
        <f>VLOOKUP(B435,[2]Sheet2!$B:$E,4,FALSE)</f>
        <v>240</v>
      </c>
      <c r="G435" s="2">
        <f>VLOOKUP(A435,[1]Pricing!$A:$H,8,FALSE)</f>
        <v>2.316195</v>
      </c>
      <c r="H435" s="2">
        <f>VLOOKUP(A435,[1]Pricing!$A:$J,10,FALSE)</f>
        <v>2.8246280487804878</v>
      </c>
      <c r="I435">
        <f>VLOOKUP(A435,MIN!A:B,2,FALSE)</f>
        <v>25</v>
      </c>
      <c r="J435" t="str">
        <f t="shared" si="15"/>
        <v>NO</v>
      </c>
      <c r="K435">
        <f>VLOOKUP(A435,[1]Pricing!$A:$G,7,FALSE)</f>
        <v>240</v>
      </c>
      <c r="L435" t="s">
        <v>1960</v>
      </c>
      <c r="M435" t="str">
        <f t="shared" si="16"/>
        <v>668-134704-015</v>
      </c>
    </row>
    <row r="436" spans="1:13" x14ac:dyDescent="0.25">
      <c r="A436" t="s">
        <v>789</v>
      </c>
      <c r="B436" s="14" t="str">
        <f>VLOOKUP(A436,[1]Pricing!$A:$R,18,FALSE)</f>
        <v>ERA-2AEB2370X</v>
      </c>
      <c r="C436" t="s">
        <v>2580</v>
      </c>
      <c r="D436" t="str">
        <f>VLOOKUP(A436,[1]AVL!$A:$F,6,FALSE)</f>
        <v>RES SMD 237 OHM 0.1% 1/16W 0402</v>
      </c>
      <c r="E436" t="str">
        <f>VLOOKUP(A436,[1]Pricing!$A:$F,6,FALSE)</f>
        <v>22 Weeks</v>
      </c>
      <c r="F436">
        <f>VLOOKUP(B436,[2]Sheet2!$B:$E,4,FALSE)</f>
        <v>10000</v>
      </c>
      <c r="G436" s="2">
        <f>VLOOKUP(A436,[1]Pricing!$A:$H,8,FALSE)</f>
        <v>5.1471000000000003E-2</v>
      </c>
      <c r="H436" s="2">
        <f>VLOOKUP(A436,[1]Pricing!$A:$J,10,FALSE)</f>
        <v>6.276951219512196E-2</v>
      </c>
      <c r="I436">
        <f>VLOOKUP(A436,MIN!A:B,2,FALSE)</f>
        <v>15</v>
      </c>
      <c r="J436" t="str">
        <f t="shared" si="15"/>
        <v>NO</v>
      </c>
      <c r="K436">
        <f>VLOOKUP(A436,[1]Pricing!$A:$G,7,FALSE)</f>
        <v>10000</v>
      </c>
      <c r="L436" t="s">
        <v>1960</v>
      </c>
      <c r="M436" t="str">
        <f t="shared" si="16"/>
        <v>615-A00422-237</v>
      </c>
    </row>
    <row r="437" spans="1:13" x14ac:dyDescent="0.25">
      <c r="A437" t="s">
        <v>1118</v>
      </c>
      <c r="B437" s="14" t="str">
        <f>VLOOKUP(A437,[1]Pricing!$A:$R,18,FALSE)</f>
        <v>LVK12R050CER</v>
      </c>
      <c r="C437" t="s">
        <v>2640</v>
      </c>
      <c r="D437" t="str">
        <f>VLOOKUP(A437,[1]AVL!$A:$F,6,FALSE)</f>
        <v>RES,SMD,CUR SNS,.05OHM,0.25%TOL,.5W,1206</v>
      </c>
      <c r="E437" t="str">
        <f>VLOOKUP(A437,[1]Pricing!$A:$F,6,FALSE)</f>
        <v>43 Weeks</v>
      </c>
      <c r="F437">
        <f>VLOOKUP(B437,[2]Sheet2!$B:$E,4,FALSE)</f>
        <v>4880</v>
      </c>
      <c r="G437" s="2">
        <f>VLOOKUP(A437,[1]Pricing!$A:$H,8,FALSE)</f>
        <v>0.31014999999999998</v>
      </c>
      <c r="H437" s="2">
        <f>VLOOKUP(A437,[1]Pricing!$A:$J,10,FALSE)</f>
        <v>0.37823170731707317</v>
      </c>
      <c r="I437">
        <f>VLOOKUP(A437,MIN!A:B,2,FALSE)</f>
        <v>15</v>
      </c>
      <c r="J437" t="str">
        <f t="shared" si="15"/>
        <v>NO</v>
      </c>
      <c r="K437">
        <f>VLOOKUP(A437,[1]Pricing!$A:$G,7,FALSE)</f>
        <v>5000</v>
      </c>
      <c r="L437" t="s">
        <v>1960</v>
      </c>
      <c r="M437" t="str">
        <f t="shared" si="16"/>
        <v>615-A72231-005</v>
      </c>
    </row>
    <row r="438" spans="1:13" x14ac:dyDescent="0.25">
      <c r="A438" t="s">
        <v>1504</v>
      </c>
      <c r="B438" s="14" t="str">
        <f>VLOOKUP(A438,[1]Pricing!$A:$R,18,FALSE)</f>
        <v>RP73PF1E16R5BTD</v>
      </c>
      <c r="C438" t="s">
        <v>2599</v>
      </c>
      <c r="D438" t="str">
        <f>VLOOKUP(A438,[1]AVL!$A:$F,6,FALSE)</f>
        <v>RES,SMD,THIN FILM,16.5OHM,0.1W,.1%,0402</v>
      </c>
      <c r="E438" t="str">
        <f>VLOOKUP(A438,[1]Pricing!$A:$F,6,FALSE)</f>
        <v>25 Weeks</v>
      </c>
      <c r="F438">
        <f>VLOOKUP(B438,[2]Sheet2!$B:$E,4,FALSE)</f>
        <v>4999</v>
      </c>
      <c r="G438" s="2">
        <f>VLOOKUP(A438,[1]Pricing!$A:$H,8,FALSE)</f>
        <v>7.3529999999999998E-2</v>
      </c>
      <c r="H438" s="2">
        <f>VLOOKUP(A438,[1]Pricing!$A:$J,10,FALSE)</f>
        <v>8.967073170731707E-2</v>
      </c>
      <c r="I438">
        <f>VLOOKUP(A438,MIN!A:B,2,FALSE)</f>
        <v>25</v>
      </c>
      <c r="J438" t="str">
        <f t="shared" si="15"/>
        <v>NO</v>
      </c>
      <c r="K438">
        <f>VLOOKUP(A438,[1]Pricing!$A:$G,7,FALSE)</f>
        <v>5000</v>
      </c>
      <c r="L438" t="s">
        <v>1960</v>
      </c>
      <c r="M438" t="str">
        <f t="shared" si="16"/>
        <v>615-B08503-001</v>
      </c>
    </row>
    <row r="439" spans="1:13" x14ac:dyDescent="0.25">
      <c r="A439" t="s">
        <v>508</v>
      </c>
      <c r="B439" s="14" t="str">
        <f>VLOOKUP(A439,[1]Pricing!$A:$R,18,FALSE)</f>
        <v>APC0603T4K99Z</v>
      </c>
      <c r="C439" t="s">
        <v>2680</v>
      </c>
      <c r="D439" t="str">
        <f>VLOOKUP(A439,[1]AVL!$A:$F,6,FALSE)</f>
        <v>RES,SMD,THIN FILM,4.99K,.01%,1/16W,0603</v>
      </c>
      <c r="E439" t="str">
        <f>VLOOKUP(A439,[1]Pricing!$A:$F,6,FALSE)</f>
        <v>31 Weeks</v>
      </c>
      <c r="F439">
        <f>VLOOKUP(B439,[2]Sheet2!$B:$E,4,FALSE)</f>
        <v>5000</v>
      </c>
      <c r="G439" s="2">
        <f>VLOOKUP(A439,[1]Pricing!$A:$H,8,FALSE)</f>
        <v>0.68174999999999997</v>
      </c>
      <c r="H439" s="2">
        <f>VLOOKUP(A439,[1]Pricing!$A:$J,10,FALSE)</f>
        <v>0.83140243902439026</v>
      </c>
      <c r="I439">
        <f>VLOOKUP(A439,MIN!A:B,2,FALSE)</f>
        <v>15</v>
      </c>
      <c r="J439" t="str">
        <f t="shared" si="15"/>
        <v>NO</v>
      </c>
      <c r="K439">
        <f>VLOOKUP(A439,[1]Pricing!$A:$G,7,FALSE)</f>
        <v>5000</v>
      </c>
      <c r="L439" t="s">
        <v>1960</v>
      </c>
      <c r="M439" t="str">
        <f t="shared" si="16"/>
        <v>615-B02863-001</v>
      </c>
    </row>
    <row r="440" spans="1:13" x14ac:dyDescent="0.25">
      <c r="A440" t="s">
        <v>572</v>
      </c>
      <c r="B440" s="14" t="str">
        <f>VLOOKUP(A440,[1]Pricing!$A:$R,18,FALSE)</f>
        <v>C0603H103J3GAC7867</v>
      </c>
      <c r="C440" t="s">
        <v>2581</v>
      </c>
      <c r="D440" t="str">
        <f>VLOOKUP(A440,[1]AVL!$A:$F,6,FALSE)</f>
        <v>CAP,SMD,0603,C0G,5%,25V,.01UF | CE!</v>
      </c>
      <c r="E440" t="str">
        <f>VLOOKUP(A440,[1]Pricing!$A:$F,6,FALSE)</f>
        <v>3 Weeks</v>
      </c>
      <c r="F440">
        <f>VLOOKUP(B440,[2]Sheet2!$B:$E,4,FALSE)</f>
        <v>4000</v>
      </c>
      <c r="G440" s="2">
        <f>VLOOKUP(A440,[1]Pricing!$A:$H,8,FALSE)</f>
        <v>2.6348250000000002</v>
      </c>
      <c r="H440" s="2">
        <f>VLOOKUP(A440,[1]Pricing!$A:$J,10,FALSE)</f>
        <v>3.2132012195121957</v>
      </c>
      <c r="I440">
        <f>VLOOKUP(A440,MIN!A:B,2,FALSE)</f>
        <v>60</v>
      </c>
      <c r="J440" t="str">
        <f t="shared" si="15"/>
        <v>NO</v>
      </c>
      <c r="K440">
        <f>VLOOKUP(A440,[1]Pricing!$A:$G,7,FALSE)</f>
        <v>4000</v>
      </c>
      <c r="L440" t="s">
        <v>1960</v>
      </c>
      <c r="M440" t="str">
        <f t="shared" si="16"/>
        <v>648-224783-049</v>
      </c>
    </row>
    <row r="441" spans="1:13" x14ac:dyDescent="0.25">
      <c r="A441" t="s">
        <v>527</v>
      </c>
      <c r="B441" s="14" t="str">
        <f>VLOOKUP(A441,[1]Pricing!$A:$R,18,FALSE)</f>
        <v>B2B-XH-AM(LF)(SN)</v>
      </c>
      <c r="C441" t="s">
        <v>529</v>
      </c>
      <c r="D441" t="str">
        <f>VLOOKUP(A441,[1]AVL!$A:$F,6,FALSE)</f>
        <v>CONN,HDR,SHRD,TOPENTRY,2P,WHT,BD GDE,TH</v>
      </c>
      <c r="E441" t="str">
        <f>VLOOKUP(A441,[1]Pricing!$A:$F,6,FALSE)</f>
        <v>19 Weeks</v>
      </c>
      <c r="F441">
        <f>VLOOKUP(B441,[2]Sheet2!$B:$E,4,FALSE)</f>
        <v>4000</v>
      </c>
      <c r="G441" s="2">
        <f>VLOOKUP(A441,[1]Pricing!$A:$H,8,FALSE)</f>
        <v>7.1930599999999983E-2</v>
      </c>
      <c r="H441" s="2">
        <f>VLOOKUP(A441,[1]Pricing!$A:$J,10,FALSE)</f>
        <v>8.7720243902439016E-2</v>
      </c>
      <c r="I441">
        <f>VLOOKUP(A441,MIN!A:B,2,FALSE)</f>
        <v>25</v>
      </c>
      <c r="J441" t="str">
        <f t="shared" si="15"/>
        <v>NO</v>
      </c>
      <c r="K441">
        <f>VLOOKUP(A441,[1]Pricing!$A:$G,7,FALSE)</f>
        <v>4000</v>
      </c>
      <c r="L441" t="s">
        <v>1960</v>
      </c>
      <c r="M441" t="str">
        <f t="shared" si="16"/>
        <v>668-A35830-002</v>
      </c>
    </row>
    <row r="442" spans="1:13" x14ac:dyDescent="0.25">
      <c r="A442" t="s">
        <v>1648</v>
      </c>
      <c r="B442" s="14" t="str">
        <f>VLOOKUP(A442,[1]Pricing!$A:$R,18,FALSE)</f>
        <v>SM10B-SURS-TF(LF)(SN)</v>
      </c>
      <c r="C442" t="s">
        <v>529</v>
      </c>
      <c r="D442" t="str">
        <f>VLOOKUP(A442,[1]AVL!$A:$F,6,FALSE)</f>
        <v>CONN,SMD,HDR,10PIN,1ROW,.8MM PITCH,RTANG</v>
      </c>
      <c r="E442" t="str">
        <f>VLOOKUP(A442,[1]Pricing!$A:$F,6,FALSE)</f>
        <v>19 Weeks</v>
      </c>
      <c r="F442">
        <f>VLOOKUP(B442,[2]Sheet2!$B:$E,4,FALSE)</f>
        <v>3500</v>
      </c>
      <c r="G442" s="2">
        <f>VLOOKUP(A442,[1]Pricing!$A:$H,8,FALSE)</f>
        <v>0.64397000000000004</v>
      </c>
      <c r="H442" s="2">
        <f>VLOOKUP(A442,[1]Pricing!$A:$J,10,FALSE)</f>
        <v>0.78532926829268301</v>
      </c>
      <c r="I442">
        <f>VLOOKUP(A442,MIN!A:B,2,FALSE)</f>
        <v>25</v>
      </c>
      <c r="J442" t="str">
        <f t="shared" si="15"/>
        <v>NO</v>
      </c>
      <c r="K442">
        <f>VLOOKUP(A442,[1]Pricing!$A:$G,7,FALSE)</f>
        <v>3500</v>
      </c>
      <c r="L442" t="s">
        <v>1960</v>
      </c>
      <c r="M442" t="str">
        <f t="shared" si="16"/>
        <v>667-A43906-010</v>
      </c>
    </row>
    <row r="443" spans="1:13" x14ac:dyDescent="0.25">
      <c r="A443" t="s">
        <v>1632</v>
      </c>
      <c r="B443" s="14" t="str">
        <f>VLOOKUP(A443,[1]Pricing!$A:$R,18,FALSE)</f>
        <v>SF-2410FP400W-2</v>
      </c>
      <c r="C443" t="s">
        <v>2648</v>
      </c>
      <c r="D443" t="str">
        <f>VLOOKUP(A443,[1]AVL!$A:$F,6,FALSE)</f>
        <v>FUSE,SMD,FAST ACT,4A,125VAC,2410</v>
      </c>
      <c r="E443" t="str">
        <f>VLOOKUP(A443,[1]Pricing!$A:$F,6,FALSE)</f>
        <v>17 Weeks</v>
      </c>
      <c r="F443">
        <f>VLOOKUP(B443,[2]Sheet2!$B:$E,4,FALSE)</f>
        <v>1999</v>
      </c>
      <c r="G443" s="2">
        <f>VLOOKUP(A443,[1]Pricing!$A:$H,8,FALSE)</f>
        <v>0.443631</v>
      </c>
      <c r="H443" s="2">
        <f>VLOOKUP(A443,[1]Pricing!$A:$J,10,FALSE)</f>
        <v>0.54101341463414632</v>
      </c>
      <c r="I443">
        <f>VLOOKUP(A443,MIN!A:B,2,FALSE)</f>
        <v>25</v>
      </c>
      <c r="J443" t="str">
        <f t="shared" si="15"/>
        <v>NO</v>
      </c>
      <c r="K443">
        <f>VLOOKUP(A443,[1]Pricing!$A:$G,7,FALSE)</f>
        <v>2000</v>
      </c>
      <c r="L443" t="s">
        <v>1960</v>
      </c>
      <c r="M443" t="str">
        <f t="shared" si="16"/>
        <v>682-A89056-001</v>
      </c>
    </row>
    <row r="444" spans="1:13" x14ac:dyDescent="0.25">
      <c r="A444" t="s">
        <v>446</v>
      </c>
      <c r="B444" s="14" t="str">
        <f>VLOOKUP(A444,[1]Pricing!$A:$R,18,FALSE)</f>
        <v>91601-316LF</v>
      </c>
      <c r="C444" t="s">
        <v>2586</v>
      </c>
      <c r="D444" t="str">
        <f>VLOOKUP(A444,[1]AVL!$A:$F,6,FALSE)</f>
        <v>CONN,SMD,RCPT,16POSN,1ROW,.1IN PITCH</v>
      </c>
      <c r="E444" t="str">
        <f>VLOOKUP(A444,[1]Pricing!$A:$F,6,FALSE)</f>
        <v>21 Weeks</v>
      </c>
      <c r="F444">
        <f>VLOOKUP(B444,[2]Sheet2!$B:$E,4,FALSE)</f>
        <v>2010</v>
      </c>
      <c r="G444" s="2">
        <f>VLOOKUP(A444,[1]Pricing!$A:$H,8,FALSE)</f>
        <v>1.4044840000000001</v>
      </c>
      <c r="H444" s="2">
        <f>VLOOKUP(A444,[1]Pricing!$A:$J,10,FALSE)</f>
        <v>1.7127853658536587</v>
      </c>
      <c r="I444">
        <f>VLOOKUP(A444,MIN!A:B,2,FALSE)</f>
        <v>15</v>
      </c>
      <c r="J444" t="str">
        <f t="shared" si="15"/>
        <v>NO</v>
      </c>
      <c r="K444">
        <f>VLOOKUP(A444,[1]Pricing!$A:$G,7,FALSE)</f>
        <v>1008</v>
      </c>
      <c r="L444" t="s">
        <v>1960</v>
      </c>
      <c r="M444" t="str">
        <f t="shared" si="16"/>
        <v>667-B29149-016</v>
      </c>
    </row>
    <row r="445" spans="1:13" x14ac:dyDescent="0.25">
      <c r="A445" t="s">
        <v>1234</v>
      </c>
      <c r="B445" s="14" t="str">
        <f>VLOOKUP(A445,[1]Pricing!$A:$R,18,FALSE)</f>
        <v>PATT0603E1502BGT1</v>
      </c>
      <c r="C445" t="s">
        <v>2617</v>
      </c>
      <c r="D445" t="str">
        <f>VLOOKUP(A445,[1]AVL!$A:$F,6,FALSE)</f>
        <v>RES,0603,THIN FILM,0.1%,25 PPM,0.15W,15K</v>
      </c>
      <c r="E445" t="str">
        <f>VLOOKUP(A445,[1]Pricing!$A:$F,6,FALSE)</f>
        <v>3 Weeks</v>
      </c>
      <c r="F445">
        <f>VLOOKUP(B445,[2]Sheet2!$B:$E,4,FALSE)</f>
        <v>945</v>
      </c>
      <c r="G445" s="2">
        <f>VLOOKUP(A445,[1]Pricing!$A:$H,8,FALSE)</f>
        <v>0.52206300000000005</v>
      </c>
      <c r="H445" s="2">
        <f>VLOOKUP(A445,[1]Pricing!$A:$J,10,FALSE)</f>
        <v>0.63666219512195132</v>
      </c>
      <c r="I445">
        <f>VLOOKUP(A445,MIN!A:B,2,FALSE)</f>
        <v>15</v>
      </c>
      <c r="J445" t="str">
        <f t="shared" si="15"/>
        <v>NO</v>
      </c>
      <c r="K445">
        <f>VLOOKUP(A445,[1]Pricing!$A:$G,7,FALSE)</f>
        <v>1000</v>
      </c>
      <c r="L445" t="s">
        <v>1960</v>
      </c>
      <c r="M445" t="str">
        <f t="shared" si="16"/>
        <v>615-224835-013</v>
      </c>
    </row>
    <row r="446" spans="1:13" x14ac:dyDescent="0.25">
      <c r="A446" t="s">
        <v>776</v>
      </c>
      <c r="B446" s="14" t="str">
        <f>VLOOKUP(A446,[1]Pricing!$A:$R,18,FALSE)</f>
        <v>ELM1-6MM</v>
      </c>
      <c r="C446" t="s">
        <v>2681</v>
      </c>
      <c r="D446" t="str">
        <f>VLOOKUP(A446,[1]AVL!$A:$F,6,FALSE)</f>
        <v>SPACER,LED T1-3/4 2P 6MM</v>
      </c>
      <c r="E446" t="str">
        <f>VLOOKUP(A446,[1]Pricing!$A:$F,6,FALSE)</f>
        <v>7 Weeks</v>
      </c>
      <c r="F446">
        <f>VLOOKUP(B446,[2]Sheet2!$B:$E,4,FALSE)</f>
        <v>1000</v>
      </c>
      <c r="G446" s="2">
        <f>VLOOKUP(A446,[1]Pricing!$A:$H,8,FALSE)</f>
        <v>6.3138E-2</v>
      </c>
      <c r="H446" s="2">
        <f>VLOOKUP(A446,[1]Pricing!$A:$J,10,FALSE)</f>
        <v>7.6997560975609766E-2</v>
      </c>
      <c r="I446">
        <f>VLOOKUP(A446,MIN!A:B,2,FALSE)</f>
        <v>15</v>
      </c>
      <c r="J446" t="str">
        <f t="shared" si="15"/>
        <v>NO</v>
      </c>
      <c r="K446">
        <f>VLOOKUP(A446,[1]Pricing!$A:$G,7,FALSE)</f>
        <v>1000</v>
      </c>
      <c r="L446" t="s">
        <v>1960</v>
      </c>
      <c r="M446" t="str">
        <f t="shared" si="16"/>
        <v>723-095904-006</v>
      </c>
    </row>
    <row r="447" spans="1:13" x14ac:dyDescent="0.25">
      <c r="A447" t="s">
        <v>224</v>
      </c>
      <c r="B447" s="14">
        <f>VLOOKUP(A447,[1]Pricing!$A:$R,18,FALSE)</f>
        <v>3116</v>
      </c>
      <c r="C447" t="s">
        <v>2644</v>
      </c>
      <c r="D447" t="str">
        <f>VLOOKUP(A447,[1]AVL!$A:$F,6,FALSE)</f>
        <v>WASHER,INSUL,FIBRE</v>
      </c>
      <c r="E447" t="str">
        <f>VLOOKUP(A447,[1]Pricing!$A:$F,6,FALSE)</f>
        <v>3 Weeks</v>
      </c>
      <c r="F447">
        <f>VLOOKUP(B447,[2]Sheet2!$B:$E,4,FALSE)</f>
        <v>1000</v>
      </c>
      <c r="G447" s="2">
        <f>VLOOKUP(A447,[1]Pricing!$A:$H,8,FALSE)</f>
        <v>2.8836000000000001E-2</v>
      </c>
      <c r="H447" s="2">
        <f>VLOOKUP(A447,[1]Pricing!$A:$J,10,FALSE)</f>
        <v>3.516585365853659E-2</v>
      </c>
      <c r="I447">
        <f>VLOOKUP(A447,MIN!A:B,2,FALSE)</f>
        <v>25</v>
      </c>
      <c r="J447" t="str">
        <f t="shared" si="15"/>
        <v>NO</v>
      </c>
      <c r="K447">
        <f>VLOOKUP(A447,[1]Pricing!$A:$G,7,FALSE)</f>
        <v>1000</v>
      </c>
      <c r="L447" t="s">
        <v>1960</v>
      </c>
      <c r="M447" t="str">
        <f t="shared" si="16"/>
        <v>34-00131-00</v>
      </c>
    </row>
    <row r="448" spans="1:13" x14ac:dyDescent="0.25">
      <c r="A448" t="s">
        <v>340</v>
      </c>
      <c r="B448" s="14" t="str">
        <f>VLOOKUP(A448,[1]Pricing!$A:$R,18,FALSE)</f>
        <v>5535097-5</v>
      </c>
      <c r="C448" t="s">
        <v>2599</v>
      </c>
      <c r="D448" t="str">
        <f>VLOOKUP(A448,[1]AVL!$A:$F,6,FALSE)</f>
        <v>CONN,RCPT,120P,TYPE C,VERT,3 X 40</v>
      </c>
      <c r="E448" t="str">
        <f>VLOOKUP(A448,[1]Pricing!$A:$F,6,FALSE)</f>
        <v>14 Weeks</v>
      </c>
      <c r="F448">
        <f>VLOOKUP(B448,[2]Sheet2!$B:$E,4,FALSE)</f>
        <v>570</v>
      </c>
      <c r="G448" s="2">
        <f>VLOOKUP(A448,[1]Pricing!$A:$H,8,FALSE)</f>
        <v>6.1053430000000004</v>
      </c>
      <c r="H448" s="2">
        <f>VLOOKUP(A448,[1]Pricing!$A:$J,10,FALSE)</f>
        <v>7.4455402439024398</v>
      </c>
      <c r="I448">
        <f>VLOOKUP(A448,MIN!A:B,2,FALSE)</f>
        <v>15</v>
      </c>
      <c r="J448" t="str">
        <f t="shared" si="15"/>
        <v>NO</v>
      </c>
      <c r="K448">
        <f>VLOOKUP(A448,[1]Pricing!$A:$G,7,FALSE)</f>
        <v>600</v>
      </c>
      <c r="L448" t="s">
        <v>1960</v>
      </c>
      <c r="M448" t="str">
        <f t="shared" si="16"/>
        <v>668-129550-001</v>
      </c>
    </row>
    <row r="449" spans="1:13" x14ac:dyDescent="0.25">
      <c r="A449" t="s">
        <v>387</v>
      </c>
      <c r="B449" s="14" t="str">
        <f>VLOOKUP(A449,[1]Pricing!$A:$R,18,FALSE)</f>
        <v>67997-110HLF</v>
      </c>
      <c r="C449" t="s">
        <v>2659</v>
      </c>
      <c r="D449" t="str">
        <f>VLOOKUP(A449,[1]AVL!$A:$F,6,FALSE)</f>
        <v>HEADER,STRAIGHT,DOUBLE ROW,10C,ROHS</v>
      </c>
      <c r="E449" t="str">
        <f>VLOOKUP(A449,[1]Pricing!$A:$F,6,FALSE)</f>
        <v>13 Weeks</v>
      </c>
      <c r="F449">
        <f>VLOOKUP(B449,[2]Sheet2!$B:$E,4,FALSE)</f>
        <v>347</v>
      </c>
      <c r="G449" s="2">
        <f>VLOOKUP(A449,[1]Pricing!$A:$H,8,FALSE)</f>
        <v>1.34805</v>
      </c>
      <c r="H449" s="2">
        <f>VLOOKUP(A449,[1]Pricing!$A:$J,10,FALSE)</f>
        <v>1.6439634146341464</v>
      </c>
      <c r="I449">
        <f>VLOOKUP(A449,MIN!A:B,2,FALSE)</f>
        <v>15</v>
      </c>
      <c r="J449" t="str">
        <f t="shared" si="15"/>
        <v>NO</v>
      </c>
      <c r="K449">
        <f>VLOOKUP(A449,[1]Pricing!$A:$G,7,FALSE)</f>
        <v>400</v>
      </c>
      <c r="L449" t="s">
        <v>1960</v>
      </c>
      <c r="M449" t="str">
        <f t="shared" si="16"/>
        <v>668-005463-010</v>
      </c>
    </row>
    <row r="450" spans="1:13" x14ac:dyDescent="0.25">
      <c r="A450" t="s">
        <v>86</v>
      </c>
      <c r="B450" s="14" t="str">
        <f>VLOOKUP(A450,[1]Pricing!$A:$R,18,FALSE)</f>
        <v>171-009-213R051</v>
      </c>
      <c r="C450" t="s">
        <v>2585</v>
      </c>
      <c r="D450" t="str">
        <f>VLOOKUP(A450,[1]AVL!$A:$F,6,FALSE)</f>
        <v>CONN,RCPT,D-SUB,9POSN,5A,W/BD LOCK</v>
      </c>
      <c r="E450" t="str">
        <f>VLOOKUP(A450,[1]Pricing!$A:$F,6,FALSE)</f>
        <v>27 Weeks</v>
      </c>
      <c r="F450">
        <f>VLOOKUP(B450,[2]Sheet2!$B:$E,4,FALSE)</f>
        <v>240</v>
      </c>
      <c r="G450" s="2">
        <f>VLOOKUP(A450,[1]Pricing!$A:$H,8,FALSE)</f>
        <v>1.796019</v>
      </c>
      <c r="H450" s="2">
        <f>VLOOKUP(A450,[1]Pricing!$A:$J,10,FALSE)</f>
        <v>2.1902670731707317</v>
      </c>
      <c r="I450">
        <f>VLOOKUP(A450,MIN!A:B,2,FALSE)</f>
        <v>25</v>
      </c>
      <c r="J450" t="str">
        <f t="shared" ref="J450:J513" si="17">IF(F450&lt;=I450,"REORDER","NO")</f>
        <v>NO</v>
      </c>
      <c r="K450">
        <f>VLOOKUP(A450,[1]Pricing!$A:$G,7,FALSE)</f>
        <v>240</v>
      </c>
      <c r="L450" t="s">
        <v>1960</v>
      </c>
      <c r="M450" t="str">
        <f t="shared" si="16"/>
        <v>668-134704-009</v>
      </c>
    </row>
    <row r="451" spans="1:13" x14ac:dyDescent="0.25">
      <c r="A451" t="s">
        <v>225</v>
      </c>
      <c r="B451" s="14" t="str">
        <f>VLOOKUP(A451,[1]Pricing!$A:$R,18,FALSE)</f>
        <v>31201.5P</v>
      </c>
      <c r="C451" t="s">
        <v>2662</v>
      </c>
      <c r="D451" t="str">
        <f>VLOOKUP(A451,[1]AVL!$A:$F,6,FALSE)</f>
        <v>FUSE .25x1.25 1-1/2A 250VAC,ROHS</v>
      </c>
      <c r="E451" t="str">
        <f>VLOOKUP(A451,[1]Pricing!$A:$F,6,FALSE)</f>
        <v>20 Weeks</v>
      </c>
      <c r="F451">
        <f>VLOOKUP(B451,[2]Sheet2!$B:$E,4,FALSE)</f>
        <v>200</v>
      </c>
      <c r="G451" s="2">
        <f>VLOOKUP(A451,[1]Pricing!$A:$H,8,FALSE)</f>
        <v>1.4460900000000001</v>
      </c>
      <c r="H451" s="2">
        <f>VLOOKUP(A451,[1]Pricing!$A:$J,10,FALSE)</f>
        <v>1.7635243902439026</v>
      </c>
      <c r="I451">
        <f>VLOOKUP(A451,MIN!A:B,2,FALSE)</f>
        <v>15</v>
      </c>
      <c r="J451" t="str">
        <f t="shared" si="17"/>
        <v>NO</v>
      </c>
      <c r="K451">
        <f>VLOOKUP(A451,[1]Pricing!$A:$G,7,FALSE)</f>
        <v>200</v>
      </c>
      <c r="L451" t="s">
        <v>1960</v>
      </c>
      <c r="M451" t="str">
        <f t="shared" si="16"/>
        <v>670-006780-024</v>
      </c>
    </row>
    <row r="452" spans="1:13" x14ac:dyDescent="0.25">
      <c r="A452" t="s">
        <v>432</v>
      </c>
      <c r="B452" s="14">
        <f>VLOOKUP(A452,[1]Pricing!$A:$R,18,FALSE)</f>
        <v>8321</v>
      </c>
      <c r="C452" t="s">
        <v>2644</v>
      </c>
      <c r="D452" t="str">
        <f>VLOOKUP(A452,[1]AVL!$A:$F,6,FALSE)</f>
        <v>SPCR,NYL,LED,T-1 3/4,BI-LEAD,0.30 IN LG</v>
      </c>
      <c r="E452" t="str">
        <f>VLOOKUP(A452,[1]Pricing!$A:$F,6,FALSE)</f>
        <v>3 Weeks</v>
      </c>
      <c r="F452">
        <f>VLOOKUP(B452,[2]Sheet2!$B:$E,4,FALSE)</f>
        <v>200</v>
      </c>
      <c r="G452" s="2">
        <f>VLOOKUP(A452,[1]Pricing!$A:$H,8,FALSE)</f>
        <v>0.17647199999999999</v>
      </c>
      <c r="H452" s="2">
        <f>VLOOKUP(A452,[1]Pricing!$A:$J,10,FALSE)</f>
        <v>0.21520975609756099</v>
      </c>
      <c r="I452">
        <f>VLOOKUP(A452,MIN!A:B,2,FALSE)</f>
        <v>25</v>
      </c>
      <c r="J452" t="str">
        <f t="shared" si="17"/>
        <v>NO</v>
      </c>
      <c r="K452">
        <f>VLOOKUP(A452,[1]Pricing!$A:$G,7,FALSE)</f>
        <v>200</v>
      </c>
      <c r="L452" t="s">
        <v>1960</v>
      </c>
      <c r="M452" t="str">
        <f t="shared" ref="M452:M515" si="18">A452</f>
        <v>723-082900-011</v>
      </c>
    </row>
    <row r="453" spans="1:13" x14ac:dyDescent="0.25">
      <c r="A453" t="s">
        <v>68</v>
      </c>
      <c r="B453" s="14" t="str">
        <f>VLOOKUP(A453,[1]Pricing!$A:$R,18,FALSE)</f>
        <v>142-0701-501</v>
      </c>
      <c r="C453" t="s">
        <v>2682</v>
      </c>
      <c r="D453" t="str">
        <f>VLOOKUP(A453,[1]AVL!$A:$F,6,FALSE)</f>
        <v>CONN,COAX,SMA,RTANG,18GHZ,PCB MT, GOLD</v>
      </c>
      <c r="E453" t="str">
        <f>VLOOKUP(A453,[1]Pricing!$A:$F,6,FALSE)</f>
        <v>12 Weeks</v>
      </c>
      <c r="F453">
        <f>VLOOKUP(B453,[2]Sheet2!$B:$E,4,FALSE)</f>
        <v>183</v>
      </c>
      <c r="G453" s="2">
        <f>VLOOKUP(A453,[1]Pricing!$A:$H,8,FALSE)</f>
        <v>6.4980909999999996</v>
      </c>
      <c r="H453" s="2">
        <f>VLOOKUP(A453,[1]Pricing!$A:$J,10,FALSE)</f>
        <v>7.9245012195121953</v>
      </c>
      <c r="I453">
        <f>VLOOKUP(A453,MIN!A:B,2,FALSE)</f>
        <v>25</v>
      </c>
      <c r="J453" t="str">
        <f t="shared" si="17"/>
        <v>NO</v>
      </c>
      <c r="K453">
        <f>VLOOKUP(A453,[1]Pricing!$A:$G,7,FALSE)</f>
        <v>200</v>
      </c>
      <c r="L453" t="s">
        <v>2689</v>
      </c>
      <c r="M453" t="str">
        <f t="shared" si="18"/>
        <v>668-339894-001</v>
      </c>
    </row>
    <row r="454" spans="1:13" x14ac:dyDescent="0.25">
      <c r="A454" t="s">
        <v>151</v>
      </c>
      <c r="B454" s="14">
        <f>VLOOKUP(A454,[1]Pricing!$A:$R,18,FALSE)</f>
        <v>2005280040</v>
      </c>
      <c r="C454" t="s">
        <v>2610</v>
      </c>
      <c r="D454" t="str">
        <f>VLOOKUP(A454,[1]AVL!$A:$F,6,FALSE)</f>
        <v>CONN,SMD,FFC/FPC,4CKT,1A,125V,BOT,RTANG</v>
      </c>
      <c r="E454" t="str">
        <f>VLOOKUP(A454,[1]Pricing!$A:$F,6,FALSE)</f>
        <v>3 Weeks</v>
      </c>
      <c r="F454">
        <f>VLOOKUP(B454,[2]Sheet2!$B:$E,4,FALSE)</f>
        <v>86</v>
      </c>
      <c r="G454" s="2">
        <f>VLOOKUP(A454,[1]Pricing!$A:$H,8,FALSE)</f>
        <v>0.37426799999999999</v>
      </c>
      <c r="H454" s="2">
        <f>VLOOKUP(A454,[1]Pricing!$A:$J,10,FALSE)</f>
        <v>0.45642439024390247</v>
      </c>
      <c r="I454">
        <f>VLOOKUP(A454,MIN!A:B,2,FALSE)</f>
        <v>25</v>
      </c>
      <c r="J454" t="str">
        <f t="shared" si="17"/>
        <v>NO</v>
      </c>
      <c r="K454">
        <f>VLOOKUP(A454,[1]Pricing!$A:$G,7,FALSE)</f>
        <v>100</v>
      </c>
      <c r="L454" t="s">
        <v>1960</v>
      </c>
      <c r="M454" t="str">
        <f t="shared" si="18"/>
        <v>667-A56052-001</v>
      </c>
    </row>
    <row r="455" spans="1:13" x14ac:dyDescent="0.25">
      <c r="A455" t="s">
        <v>96</v>
      </c>
      <c r="B455" s="14" t="str">
        <f>VLOOKUP(A455,[1]Pricing!$A:$R,18,FALSE)</f>
        <v>173113-0154</v>
      </c>
      <c r="C455" t="s">
        <v>2610</v>
      </c>
      <c r="D455" t="str">
        <f>VLOOKUP(A455,[1]AVL!$A:$F,6,FALSE)</f>
        <v>CONN,PLUG,D-SUB,PCB,26 PIN,RTANG,5A MAX</v>
      </c>
      <c r="E455" t="str">
        <f>VLOOKUP(A455,[1]Pricing!$A:$F,6,FALSE)</f>
        <v>3 Weeks</v>
      </c>
      <c r="F455">
        <f>VLOOKUP(B455,[2]Sheet2!$B:$E,4,FALSE)</f>
        <v>100</v>
      </c>
      <c r="G455" s="2">
        <f>VLOOKUP(A455,[1]Pricing!$A:$H,8,FALSE)</f>
        <v>18.716694</v>
      </c>
      <c r="H455" s="2">
        <f>VLOOKUP(A455,[1]Pricing!$A:$J,10,FALSE)</f>
        <v>22.825236585365854</v>
      </c>
      <c r="I455">
        <f>VLOOKUP(A455,MIN!A:B,2,FALSE)</f>
        <v>25</v>
      </c>
      <c r="J455" t="str">
        <f t="shared" si="17"/>
        <v>NO</v>
      </c>
      <c r="K455">
        <f>VLOOKUP(A455,[1]Pricing!$A:$G,7,FALSE)</f>
        <v>100</v>
      </c>
      <c r="L455" t="s">
        <v>1960</v>
      </c>
      <c r="M455" t="str">
        <f t="shared" si="18"/>
        <v>668-307551-026</v>
      </c>
    </row>
    <row r="456" spans="1:13" x14ac:dyDescent="0.25">
      <c r="A456" t="s">
        <v>1506</v>
      </c>
      <c r="B456" s="14" t="str">
        <f>VLOOKUP(A456,[1]Pricing!$A:$R,18,FALSE)</f>
        <v>RPI4-MODBP-4GB</v>
      </c>
      <c r="C456" t="s">
        <v>2683</v>
      </c>
      <c r="D456" t="str">
        <f>VLOOKUP(A456,[1]AVL!$A:$F,6,FALSE)</f>
        <v>MDL,ELEC,RASPBERRY PI 4,MDL B,4GB,IOC</v>
      </c>
      <c r="E456" t="str">
        <f>VLOOKUP(A456,[1]Pricing!$A:$F,6,FALSE)</f>
        <v>3 Weeks</v>
      </c>
      <c r="F456">
        <f>VLOOKUP(B456,[2]Sheet2!$B:$E,4,FALSE)</f>
        <v>83</v>
      </c>
      <c r="G456" s="2">
        <f>VLOOKUP(A456,[1]Pricing!$A:$H,8,FALSE)</f>
        <v>55</v>
      </c>
      <c r="H456" s="2">
        <f>VLOOKUP(A456,[1]Pricing!$A:$J,10,FALSE)</f>
        <v>67.073170731707322</v>
      </c>
      <c r="I456">
        <f>VLOOKUP(A456,MIN!A:B,2,FALSE)</f>
        <v>25</v>
      </c>
      <c r="J456" t="str">
        <f t="shared" si="17"/>
        <v>NO</v>
      </c>
      <c r="K456">
        <f>VLOOKUP(A456,[1]Pricing!$A:$G,7,FALSE)</f>
        <v>100</v>
      </c>
      <c r="L456" t="s">
        <v>2689</v>
      </c>
      <c r="M456" t="str">
        <f t="shared" si="18"/>
        <v>685-B14998-001</v>
      </c>
    </row>
    <row r="457" spans="1:13" x14ac:dyDescent="0.25">
      <c r="A457" t="s">
        <v>1740</v>
      </c>
      <c r="B457" s="14" t="str">
        <f>VLOOKUP(A457,[1]Pricing!$A:$R,18,FALSE)</f>
        <v>TGHHV50R0JE</v>
      </c>
      <c r="C457" t="s">
        <v>2640</v>
      </c>
      <c r="D457" t="str">
        <f>VLOOKUP(A457,[1]AVL!$A:$F,6,FALSE)</f>
        <v>RES,THK FILM,50 OHM,5%,120W,SOT227</v>
      </c>
      <c r="E457" t="str">
        <f>VLOOKUP(A457,[1]Pricing!$A:$F,6,FALSE)</f>
        <v>20 Weeks</v>
      </c>
      <c r="F457">
        <f>VLOOKUP(B457,[2]Sheet2!$B:$E,4,FALSE)</f>
        <v>109</v>
      </c>
      <c r="G457" s="2">
        <f>VLOOKUP(A457,[1]Pricing!$A:$H,8,FALSE)</f>
        <v>35.662050000000001</v>
      </c>
      <c r="H457" s="2">
        <f>VLOOKUP(A457,[1]Pricing!$A:$J,10,FALSE)</f>
        <v>43.490304878048782</v>
      </c>
      <c r="I457">
        <f>VLOOKUP(A457,MIN!A:B,2,FALSE)</f>
        <v>45</v>
      </c>
      <c r="J457" t="str">
        <f t="shared" si="17"/>
        <v>NO</v>
      </c>
      <c r="K457">
        <f>VLOOKUP(A457,[1]Pricing!$A:$G,7,FALSE)</f>
        <v>90</v>
      </c>
      <c r="L457" t="s">
        <v>2689</v>
      </c>
      <c r="M457" t="str">
        <f t="shared" si="18"/>
        <v>618-B36870-500</v>
      </c>
    </row>
    <row r="458" spans="1:13" x14ac:dyDescent="0.25">
      <c r="A458" t="s">
        <v>293</v>
      </c>
      <c r="B458" s="14" t="str">
        <f>VLOOKUP(A458,[1]Pricing!$A:$R,18,FALSE)</f>
        <v>501864-8090</v>
      </c>
      <c r="C458" t="s">
        <v>2610</v>
      </c>
      <c r="D458" t="str">
        <f>VLOOKUP(A458,[1]AVL!$A:$F,6,FALSE)</f>
        <v>CONN,RCPT,HSG,FFC,80POSN,0.5A,50V,PCB MT</v>
      </c>
      <c r="E458" t="str">
        <f>VLOOKUP(A458,[1]Pricing!$A:$F,6,FALSE)</f>
        <v>3 Weeks</v>
      </c>
      <c r="F458">
        <f>VLOOKUP(B458,[2]Sheet2!$B:$E,4,FALSE)</f>
        <v>60</v>
      </c>
      <c r="G458" s="2">
        <f>VLOOKUP(A458,[1]Pricing!$A:$H,8,FALSE)</f>
        <v>4.6948910000000001</v>
      </c>
      <c r="H458" s="2">
        <f>VLOOKUP(A458,[1]Pricing!$A:$J,10,FALSE)</f>
        <v>5.7254768292682936</v>
      </c>
      <c r="I458">
        <f>VLOOKUP(A458,MIN!A:B,2,FALSE)</f>
        <v>15</v>
      </c>
      <c r="J458" t="str">
        <f t="shared" si="17"/>
        <v>NO</v>
      </c>
      <c r="K458">
        <f>VLOOKUP(A458,[1]Pricing!$A:$G,7,FALSE)</f>
        <v>60</v>
      </c>
      <c r="L458" t="s">
        <v>1960</v>
      </c>
      <c r="M458" t="str">
        <f t="shared" si="18"/>
        <v>668-342267-080</v>
      </c>
    </row>
    <row r="459" spans="1:13" x14ac:dyDescent="0.25">
      <c r="A459" t="s">
        <v>1741</v>
      </c>
      <c r="B459" s="14" t="str">
        <f>VLOOKUP(A459,[1]Pricing!$A:$R,18,FALSE)</f>
        <v>TGHHV5R00JE</v>
      </c>
      <c r="C459" t="s">
        <v>2640</v>
      </c>
      <c r="D459" t="str">
        <f>VLOOKUP(A459,[1]AVL!$A:$F,6,FALSE)</f>
        <v>RES,THK FILM,5 OHM,5%,120W,SOT227</v>
      </c>
      <c r="E459" t="str">
        <f>VLOOKUP(A459,[1]Pricing!$A:$F,6,FALSE)</f>
        <v>22 Weeks</v>
      </c>
      <c r="F459">
        <f>VLOOKUP(B459,[2]Sheet2!$B:$E,4,FALSE)</f>
        <v>60</v>
      </c>
      <c r="G459" s="2">
        <f>VLOOKUP(A459,[1]Pricing!$A:$H,8,FALSE)</f>
        <v>28.304393000000001</v>
      </c>
      <c r="H459" s="2">
        <f>VLOOKUP(A459,[1]Pricing!$A:$J,10,FALSE)</f>
        <v>34.517552439024392</v>
      </c>
      <c r="I459">
        <f>VLOOKUP(A459,MIN!A:B,2,FALSE)</f>
        <v>30</v>
      </c>
      <c r="J459" t="str">
        <f t="shared" si="17"/>
        <v>NO</v>
      </c>
      <c r="K459">
        <f>VLOOKUP(A459,[1]Pricing!$A:$G,7,FALSE)</f>
        <v>60</v>
      </c>
      <c r="L459" t="s">
        <v>1960</v>
      </c>
      <c r="M459" t="str">
        <f t="shared" si="18"/>
        <v>618-B36870-050</v>
      </c>
    </row>
    <row r="460" spans="1:13" x14ac:dyDescent="0.25">
      <c r="A460" t="s">
        <v>366</v>
      </c>
      <c r="B460" s="14" t="str">
        <f>VLOOKUP(A460,[1]Pricing!$A:$R,18,FALSE)</f>
        <v>61082-101400LF</v>
      </c>
      <c r="C460" t="s">
        <v>2659</v>
      </c>
      <c r="D460" t="str">
        <f>VLOOKUP(A460,[1]AVL!$A:$F,6,FALSE)</f>
        <v>CONT,SKT,100POS,0.8MM,DUAL,SMD</v>
      </c>
      <c r="E460" t="str">
        <f>VLOOKUP(A460,[1]Pricing!$A:$F,6,FALSE)</f>
        <v>3 Weeks</v>
      </c>
      <c r="F460">
        <f>VLOOKUP(B460,[2]Sheet2!$B:$E,4,FALSE)</f>
        <v>50</v>
      </c>
      <c r="G460" s="2">
        <f>VLOOKUP(A460,[1]Pricing!$A:$H,8,FALSE)</f>
        <v>4.0738070000000004</v>
      </c>
      <c r="H460" s="2">
        <f>VLOOKUP(A460,[1]Pricing!$A:$J,10,FALSE)</f>
        <v>4.9680573170731712</v>
      </c>
      <c r="I460">
        <f>VLOOKUP(A460,MIN!A:B,2,FALSE)</f>
        <v>25</v>
      </c>
      <c r="J460" t="str">
        <f t="shared" si="17"/>
        <v>NO</v>
      </c>
      <c r="K460">
        <f>VLOOKUP(A460,[1]Pricing!$A:$G,7,FALSE)</f>
        <v>50</v>
      </c>
      <c r="L460" t="s">
        <v>1960</v>
      </c>
      <c r="M460" t="str">
        <f t="shared" si="18"/>
        <v>669-188510-001</v>
      </c>
    </row>
    <row r="461" spans="1:13" x14ac:dyDescent="0.25">
      <c r="A461" t="s">
        <v>602</v>
      </c>
      <c r="B461" s="14" t="str">
        <f>VLOOKUP(A461,[1]Pricing!$A:$R,18,FALSE)</f>
        <v>CBD7W2M37S600X/AA</v>
      </c>
      <c r="C461" t="s">
        <v>2684</v>
      </c>
      <c r="D461" t="str">
        <f>VLOOKUP(A461,[1]AVL!$A:$F,6,FALSE)</f>
        <v>CONN, PLUG HSG, DSUB 7W2, 30 A, ROHS</v>
      </c>
      <c r="E461" t="str">
        <f>VLOOKUP(A461,[1]Pricing!$A:$F,6,FALSE)</f>
        <v>17 Weeks</v>
      </c>
      <c r="F461">
        <v>0</v>
      </c>
      <c r="G461" s="2">
        <f>VLOOKUP(A461,[1]Pricing!$A:$H,8,FALSE)</f>
        <v>22.716602999999999</v>
      </c>
      <c r="H461" s="2">
        <f>VLOOKUP(A461,[1]Pricing!$A:$J,10,FALSE)</f>
        <v>27.703174390243902</v>
      </c>
      <c r="I461">
        <f>VLOOKUP(A461,MIN!A:B,2,FALSE)</f>
        <v>15</v>
      </c>
      <c r="J461" t="str">
        <f t="shared" si="17"/>
        <v>REORDER</v>
      </c>
      <c r="K461">
        <f>VLOOKUP(A461,[1]Pricing!$A:$G,7,FALSE)</f>
        <v>50</v>
      </c>
      <c r="M461" t="str">
        <f t="shared" si="18"/>
        <v>668-133361-001</v>
      </c>
    </row>
    <row r="462" spans="1:13" x14ac:dyDescent="0.25">
      <c r="A462" t="s">
        <v>598</v>
      </c>
      <c r="B462" s="14" t="str">
        <f>VLOOKUP(A462,[1]Pricing!$A:$R,18,FALSE)</f>
        <v>CBD7W2F37S00X/AA</v>
      </c>
      <c r="C462" t="s">
        <v>2579</v>
      </c>
      <c r="D462" t="str">
        <f>VLOOKUP(A462,[1]AVL!$A:$F,6,FALSE)</f>
        <v>CONN,RCPT,COMBO-D,7W2,SN PLD SHL,TH</v>
      </c>
      <c r="E462" t="str">
        <f>VLOOKUP(A462,[1]Pricing!$A:$F,6,FALSE)</f>
        <v>8 Weeks</v>
      </c>
      <c r="F462">
        <f>VLOOKUP(B462,[2]Sheet2!$B:$E,4,FALSE)</f>
        <v>88</v>
      </c>
      <c r="G462" s="2">
        <f>VLOOKUP(A462,[1]Pricing!$A:$H,8,FALSE)</f>
        <v>30.000240000000002</v>
      </c>
      <c r="H462" s="2">
        <f>VLOOKUP(A462,[1]Pricing!$A:$J,10,FALSE)</f>
        <v>36.58565853658537</v>
      </c>
      <c r="I462">
        <f>VLOOKUP(A462,MIN!A:B,2,FALSE)</f>
        <v>15</v>
      </c>
      <c r="J462" t="str">
        <f t="shared" si="17"/>
        <v>NO</v>
      </c>
      <c r="K462">
        <f>VLOOKUP(A462,[1]Pricing!$A:$G,7,FALSE)</f>
        <v>30</v>
      </c>
      <c r="L462" t="s">
        <v>2689</v>
      </c>
      <c r="M462" t="str">
        <f t="shared" si="18"/>
        <v>668-A29545-001</v>
      </c>
    </row>
    <row r="463" spans="1:13" x14ac:dyDescent="0.25">
      <c r="A463" t="s">
        <v>723</v>
      </c>
      <c r="B463" s="14" t="str">
        <f>VLOOKUP(A463,[1]Pricing!$A:$R,18,FALSE)</f>
        <v>DAMC3H3PJK87</v>
      </c>
      <c r="C463" t="s">
        <v>2601</v>
      </c>
      <c r="D463" t="str">
        <f>VLOOKUP(A463,[1]AVL!$A:$F,6,FALSE)</f>
        <v>CONN,COMBO-D,PLUG,3PIN,R/A,THROUGH HOLE</v>
      </c>
      <c r="E463" t="str">
        <f>VLOOKUP(A463,[1]Pricing!$A:$F,6,FALSE)</f>
        <v>20 Weeks</v>
      </c>
      <c r="F463">
        <f>VLOOKUP(B463,[2]Sheet2!$B:$E,4,FALSE)</f>
        <v>70</v>
      </c>
      <c r="G463" s="2">
        <f>VLOOKUP(A463,[1]Pricing!$A:$H,8,FALSE)</f>
        <v>41.44641</v>
      </c>
      <c r="H463" s="2">
        <f>VLOOKUP(A463,[1]Pricing!$A:$J,10,FALSE)</f>
        <v>50.544402439024395</v>
      </c>
      <c r="I463">
        <f>VLOOKUP(A463,MIN!A:B,2,FALSE)</f>
        <v>25</v>
      </c>
      <c r="J463" t="str">
        <f t="shared" si="17"/>
        <v>NO</v>
      </c>
      <c r="K463">
        <f>VLOOKUP(A463,[1]Pricing!$A:$G,7,FALSE)</f>
        <v>70</v>
      </c>
      <c r="L463" t="s">
        <v>1960</v>
      </c>
      <c r="M463" t="str">
        <f t="shared" si="18"/>
        <v>39-193848-00</v>
      </c>
    </row>
    <row r="464" spans="1:13" x14ac:dyDescent="0.25">
      <c r="A464" t="s">
        <v>732</v>
      </c>
      <c r="B464" s="14" t="str">
        <f>VLOOKUP(A464,[1]Pricing!$A:$R,18,FALSE)</f>
        <v>DAMZ7H2SNA197</v>
      </c>
      <c r="C464" t="s">
        <v>2601</v>
      </c>
      <c r="D464" t="str">
        <f>VLOOKUP(A464,[1]AVL!$A:$F,6,FALSE)</f>
        <v>CONN,COMBO-D,7W2,FEM,PCB,STRT,NO JACKS</v>
      </c>
      <c r="E464" t="str">
        <f>VLOOKUP(A464,[1]Pricing!$A:$F,6,FALSE)</f>
        <v>3 Weeks</v>
      </c>
      <c r="F464">
        <f>VLOOKUP(B464,[2]Sheet2!$B:$E,4,FALSE)</f>
        <v>94</v>
      </c>
      <c r="G464" s="2">
        <f>VLOOKUP(A464,[1]Pricing!$A:$H,8,FALSE)</f>
        <v>21.83841</v>
      </c>
      <c r="H464" s="2">
        <f>VLOOKUP(A464,[1]Pricing!$A:$J,10,FALSE)</f>
        <v>26.632207317073171</v>
      </c>
      <c r="I464">
        <f>VLOOKUP(A464,MIN!A:B,2,FALSE)</f>
        <v>25</v>
      </c>
      <c r="J464" t="str">
        <f t="shared" si="17"/>
        <v>NO</v>
      </c>
      <c r="K464">
        <f>VLOOKUP(A464,[1]Pricing!$A:$G,7,FALSE)</f>
        <v>100</v>
      </c>
      <c r="L464" t="s">
        <v>1960</v>
      </c>
      <c r="M464" t="str">
        <f t="shared" si="18"/>
        <v>39-267683-00</v>
      </c>
    </row>
    <row r="465" spans="1:13" x14ac:dyDescent="0.25">
      <c r="A465" t="s">
        <v>725</v>
      </c>
      <c r="B465" s="14" t="str">
        <f>VLOOKUP(A465,[1]Pricing!$A:$R,18,FALSE)</f>
        <v>DAMN3H3PNK87</v>
      </c>
      <c r="C465" t="s">
        <v>2685</v>
      </c>
      <c r="D465" t="str">
        <f>VLOOKUP(A465,[1]AVL!$A:$F,6,FALSE)</f>
        <v>CONN,D-SUB,3M,PCB STRT,W/STOFF</v>
      </c>
      <c r="E465" t="str">
        <f>VLOOKUP(A465,[1]Pricing!$A:$F,6,FALSE)</f>
        <v>20 Weeks</v>
      </c>
      <c r="F465">
        <f>VLOOKUP(B465,[2]Sheet2!$B:$E,4,FALSE)</f>
        <v>60</v>
      </c>
      <c r="G465" s="2">
        <f>VLOOKUP(A465,[1]Pricing!$A:$H,8,FALSE)</f>
        <v>34.939005000000002</v>
      </c>
      <c r="H465" s="2">
        <f>VLOOKUP(A465,[1]Pricing!$A:$J,10,FALSE)</f>
        <v>42.608542682926831</v>
      </c>
      <c r="I465">
        <f>VLOOKUP(A465,MIN!A:B,2,FALSE)</f>
        <v>15</v>
      </c>
      <c r="J465" t="str">
        <f t="shared" si="17"/>
        <v>NO</v>
      </c>
      <c r="K465">
        <f>VLOOKUP(A465,[1]Pricing!$A:$G,7,FALSE)</f>
        <v>60</v>
      </c>
      <c r="L465" t="s">
        <v>1960</v>
      </c>
      <c r="M465" t="str">
        <f t="shared" si="18"/>
        <v>39-158111-00</v>
      </c>
    </row>
    <row r="466" spans="1:13" x14ac:dyDescent="0.25">
      <c r="A466" t="s">
        <v>727</v>
      </c>
      <c r="B466" s="14" t="str">
        <f>VLOOKUP(A466,[1]Pricing!$A:$R,18,FALSE)</f>
        <v>DAMZ15PNK87</v>
      </c>
      <c r="C466" t="s">
        <v>2686</v>
      </c>
      <c r="D466" t="str">
        <f>VLOOKUP(A466,[1]AVL!$A:$F,6,FALSE)</f>
        <v>CONN,DSUB,15M,PCB STRT,0.25"</v>
      </c>
      <c r="E466" t="str">
        <f>VLOOKUP(A466,[1]Pricing!$A:$F,6,FALSE)</f>
        <v>3 Weeks</v>
      </c>
      <c r="F466">
        <f>VLOOKUP(B466,[2]Sheet2!$B:$E,4,FALSE)</f>
        <v>30</v>
      </c>
      <c r="G466" s="2">
        <f>VLOOKUP(A466,[1]Pricing!$A:$H,8,FALSE)</f>
        <v>14.998894999999999</v>
      </c>
      <c r="H466" s="2">
        <f>VLOOKUP(A466,[1]Pricing!$A:$J,10,FALSE)</f>
        <v>18.291335365853659</v>
      </c>
      <c r="I466">
        <f>VLOOKUP(A466,MIN!A:B,2,FALSE)</f>
        <v>15</v>
      </c>
      <c r="J466" t="str">
        <f t="shared" si="17"/>
        <v>NO</v>
      </c>
      <c r="K466">
        <f>VLOOKUP(A466,[1]Pricing!$A:$G,7,FALSE)</f>
        <v>30</v>
      </c>
      <c r="L466" t="s">
        <v>1960</v>
      </c>
      <c r="M466" t="str">
        <f t="shared" si="18"/>
        <v>39-130654-15</v>
      </c>
    </row>
    <row r="467" spans="1:13" x14ac:dyDescent="0.25">
      <c r="A467" t="s">
        <v>7</v>
      </c>
      <c r="B467" s="14" t="str">
        <f>VLOOKUP(A467,[1]Pricing!$A:$R,18,FALSE)</f>
        <v>06035C104JAT2A</v>
      </c>
      <c r="C467" t="s">
        <v>2673</v>
      </c>
      <c r="D467" t="str">
        <f>VLOOKUP(A467,[1]AVL!$A:$F,6,FALSE)</f>
        <v>CAP,CERAMIC,100NF,50V,5%,SMT,0603,X7R</v>
      </c>
      <c r="E467" t="str">
        <f>VLOOKUP(A467,[1]Pricing!$A:$F,6,FALSE)</f>
        <v>19 Weeks</v>
      </c>
      <c r="F467">
        <f>VLOOKUP(B467,[2]Sheet2!$B:$E,4,FALSE)</f>
        <v>3933</v>
      </c>
      <c r="G467" s="2">
        <f>VLOOKUP(A467,[1]Pricing!$A:$H,8,FALSE)</f>
        <v>2.5999999999999999E-2</v>
      </c>
      <c r="H467" s="2">
        <f>VLOOKUP(A467,[1]Pricing!$A:$J,10,FALSE)</f>
        <v>3.1707317073170732E-2</v>
      </c>
      <c r="I467">
        <f>VLOOKUP(A467,MIN!A:B,2,FALSE)</f>
        <v>15</v>
      </c>
      <c r="J467" t="str">
        <f t="shared" si="17"/>
        <v>NO</v>
      </c>
      <c r="K467">
        <f>VLOOKUP(A467,[1]Pricing!$A:$G,7,FALSE)</f>
        <v>4000</v>
      </c>
      <c r="L467" t="s">
        <v>1960</v>
      </c>
      <c r="M467" t="str">
        <f t="shared" si="18"/>
        <v>29-409701-00</v>
      </c>
    </row>
    <row r="468" spans="1:13" x14ac:dyDescent="0.25">
      <c r="A468" t="s">
        <v>107</v>
      </c>
      <c r="B468" s="14" t="str">
        <f>VLOOKUP(A468,[1]Pricing!$A:$R,18,FALSE)</f>
        <v>1-770966-0</v>
      </c>
      <c r="C468" t="s">
        <v>2599</v>
      </c>
      <c r="D468" t="str">
        <f>VLOOKUP(A468,[1]AVL!$A:$F,6,FALSE)</f>
        <v>CONN,HDR 2P R/A MINI M-N-L</v>
      </c>
      <c r="E468" t="str">
        <f>VLOOKUP(A468,[1]Pricing!$A:$F,6,FALSE)</f>
        <v>23 Weeks</v>
      </c>
      <c r="F468">
        <f>VLOOKUP(B468,[2]Sheet2!$B:$E,4,FALSE)</f>
        <v>500</v>
      </c>
      <c r="G468" s="2">
        <f>VLOOKUP(A468,[1]Pricing!$A:$H,8,FALSE)</f>
        <v>0.98040000000000005</v>
      </c>
      <c r="H468" s="2">
        <f>VLOOKUP(A468,[1]Pricing!$A:$J,10,FALSE)</f>
        <v>1.1956097560975611</v>
      </c>
      <c r="I468">
        <f>VLOOKUP(A468,MIN!A:B,2,FALSE)</f>
        <v>15</v>
      </c>
      <c r="J468" t="str">
        <f t="shared" si="17"/>
        <v>NO</v>
      </c>
      <c r="K468">
        <f>VLOOKUP(A468,[1]Pricing!$A:$G,7,FALSE)</f>
        <v>500</v>
      </c>
      <c r="L468" t="s">
        <v>1960</v>
      </c>
      <c r="M468" t="str">
        <f t="shared" si="18"/>
        <v>668-097964-002</v>
      </c>
    </row>
    <row r="469" spans="1:13" x14ac:dyDescent="0.25">
      <c r="A469" t="s">
        <v>1550</v>
      </c>
      <c r="B469" s="14" t="str">
        <f>VLOOKUP(A469,[1]Pricing!$A:$R,18,FALSE)</f>
        <v>RT0402BRD0746K4L</v>
      </c>
      <c r="C469" t="s">
        <v>2580</v>
      </c>
      <c r="D469" t="str">
        <f>VLOOKUP(A469,[1]AVL!$A:$F,6,FALSE)</f>
        <v>RES,SMD,46.4KOHM,0.1%,1/16W,0402</v>
      </c>
      <c r="E469" t="str">
        <f>VLOOKUP(A469,[1]Pricing!$A:$F,6,FALSE)</f>
        <v>22 Weeks</v>
      </c>
      <c r="F469">
        <f>VLOOKUP(B469,[2]Sheet2!$B:$E,4,FALSE)</f>
        <v>10000</v>
      </c>
      <c r="G469" s="2">
        <f>VLOOKUP(A469,[1]Pricing!$A:$H,8,FALSE)</f>
        <v>4.1116E-2</v>
      </c>
      <c r="H469" s="2">
        <f>VLOOKUP(A469,[1]Pricing!$A:$J,10,FALSE)</f>
        <v>5.0139999999999997E-2</v>
      </c>
      <c r="I469">
        <f>VLOOKUP(A469,MIN!A:B,2,FALSE)</f>
        <v>15</v>
      </c>
      <c r="J469" t="str">
        <f t="shared" si="17"/>
        <v>NO</v>
      </c>
      <c r="K469">
        <f>VLOOKUP(A469,[1]Pricing!$A:$G,7,FALSE)</f>
        <v>10000</v>
      </c>
      <c r="L469" t="s">
        <v>1960</v>
      </c>
      <c r="M469" t="str">
        <f t="shared" si="18"/>
        <v>615-A00424-464</v>
      </c>
    </row>
    <row r="470" spans="1:13" x14ac:dyDescent="0.25">
      <c r="A470" t="s">
        <v>38</v>
      </c>
      <c r="B470" s="14" t="str">
        <f>VLOOKUP(A470,[1]Pricing!$A:$R,18,FALSE)</f>
        <v>101247-001</v>
      </c>
      <c r="C470" t="s">
        <v>2687</v>
      </c>
      <c r="D470" t="str">
        <f>VLOOKUP(A470,[1]AVL!$A:$F,6,FALSE)</f>
        <v>CONT,SPR PROBE,20A,17.93MM OA LG</v>
      </c>
      <c r="E470" t="str">
        <f>VLOOKUP(A470,[1]Pricing!$A:$F,6,FALSE)</f>
        <v>25 Weeks</v>
      </c>
      <c r="F470">
        <f>VLOOKUP(B470,[2]Sheet2!$B:$E,4,FALSE)</f>
        <v>48</v>
      </c>
      <c r="G470" s="2">
        <f>VLOOKUP(A470,[1]Pricing!$A:$H,8,FALSE)</f>
        <v>4.5588600000000001</v>
      </c>
      <c r="H470" s="2">
        <f>VLOOKUP(A470,[1]Pricing!$A:$J,10,FALSE)</f>
        <v>5.5595853658536587</v>
      </c>
      <c r="I470">
        <f>VLOOKUP(A470,MIN!A:B,2,FALSE)</f>
        <v>25</v>
      </c>
      <c r="J470" t="str">
        <f t="shared" si="17"/>
        <v>NO</v>
      </c>
      <c r="K470">
        <f>VLOOKUP(A470,[1]Pricing!$A:$G,7,FALSE)</f>
        <v>200</v>
      </c>
      <c r="L470" t="s">
        <v>2689</v>
      </c>
      <c r="M470" t="str">
        <f t="shared" si="18"/>
        <v>669-238096-001</v>
      </c>
    </row>
    <row r="471" spans="1:13" x14ac:dyDescent="0.25">
      <c r="A471" t="s">
        <v>1666</v>
      </c>
      <c r="B471" s="14" t="str">
        <f>VLOOKUP(A471,[1]Pricing!$A:$R,18,FALSE)</f>
        <v>SN74AC14DR</v>
      </c>
      <c r="C471" t="s">
        <v>2595</v>
      </c>
      <c r="D471" t="str">
        <f>VLOOKUP(A471,[1]AVL!$A:$F,6,FALSE)</f>
        <v>IC,SMD,74AC14,HEX INV,SOIC14</v>
      </c>
      <c r="E471" t="str">
        <f>VLOOKUP(A471,[1]Pricing!$A:$F,6,FALSE)</f>
        <v>17 Weeks</v>
      </c>
      <c r="F471">
        <f>VLOOKUP(B471,[2]Sheet2!$B:$E,4,FALSE)</f>
        <v>225</v>
      </c>
      <c r="G471" s="2">
        <f>VLOOKUP(A471,[1]Pricing!$A:$H,8,FALSE)</f>
        <v>0.209561</v>
      </c>
      <c r="H471" s="2">
        <f>VLOOKUP(A471,[1]Pricing!$A:$J,10,FALSE)</f>
        <v>0.25556219512195122</v>
      </c>
      <c r="I471">
        <f>VLOOKUP(A471,MIN!A:B,2,FALSE)</f>
        <v>25</v>
      </c>
      <c r="J471" t="str">
        <f t="shared" si="17"/>
        <v>NO</v>
      </c>
      <c r="K471">
        <f>VLOOKUP(A471,[1]Pricing!$A:$G,7,FALSE)</f>
        <v>2500</v>
      </c>
      <c r="L471" t="s">
        <v>2689</v>
      </c>
      <c r="M471" t="str">
        <f t="shared" si="18"/>
        <v>630-025511-001</v>
      </c>
    </row>
    <row r="472" spans="1:13" x14ac:dyDescent="0.25">
      <c r="A472" t="s">
        <v>779</v>
      </c>
      <c r="B472" s="14" t="str">
        <f>VLOOKUP(A472,[1]Pricing!$A:$R,18,FALSE)</f>
        <v>ERA-2AEB101X</v>
      </c>
      <c r="C472" t="s">
        <v>2618</v>
      </c>
      <c r="D472" t="str">
        <f>VLOOKUP(A472,[1]AVL!$A:$F,6,FALSE)</f>
        <v>RES SMD 100 OHM 0.1% 1/16W 0402</v>
      </c>
      <c r="E472" t="str">
        <f>VLOOKUP(A472,[1]Pricing!$A:$F,6,FALSE)</f>
        <v>21 Weeks</v>
      </c>
      <c r="F472">
        <f>VLOOKUP(B472,[2]Sheet2!$B:$E,4,FALSE)</f>
        <v>9947</v>
      </c>
      <c r="G472" s="2">
        <f>VLOOKUP(A472,[1]Pricing!$A:$H,8,FALSE)</f>
        <v>4.2255000000000001E-2</v>
      </c>
      <c r="H472" s="2">
        <f>VLOOKUP(A472,[1]Pricing!$A:$J,10,FALSE)</f>
        <v>5.1530487804878053E-2</v>
      </c>
      <c r="I472">
        <f>VLOOKUP(A472,MIN!A:B,2,FALSE)</f>
        <v>25</v>
      </c>
      <c r="J472" t="str">
        <f t="shared" si="17"/>
        <v>NO</v>
      </c>
      <c r="K472">
        <f>VLOOKUP(A472,[1]Pricing!$A:$G,7,FALSE)</f>
        <v>10000</v>
      </c>
      <c r="L472" t="s">
        <v>1960</v>
      </c>
      <c r="M472" t="str">
        <f t="shared" si="18"/>
        <v>615-A00422-100</v>
      </c>
    </row>
    <row r="473" spans="1:13" x14ac:dyDescent="0.25">
      <c r="A473" t="s">
        <v>1532</v>
      </c>
      <c r="B473" s="14" t="str">
        <f>VLOOKUP(A473,[1]Pricing!$A:$R,18,FALSE)</f>
        <v>RT0402BRD071KL</v>
      </c>
      <c r="C473" t="s">
        <v>2618</v>
      </c>
      <c r="D473" t="str">
        <f>VLOOKUP(A473,[1]AVL!$A:$F,6,FALSE)</f>
        <v>RES SMD 1.00KOHM 0.1% 1/16W 0402</v>
      </c>
      <c r="E473" t="str">
        <f>VLOOKUP(A473,[1]Pricing!$A:$F,6,FALSE)</f>
        <v>23 Weeks</v>
      </c>
      <c r="F473">
        <f>VLOOKUP(B473,[2]Sheet2!$B:$E,4,FALSE)</f>
        <v>9558</v>
      </c>
      <c r="G473" s="2">
        <f>VLOOKUP(A473,[1]Pricing!$A:$H,8,FALSE)</f>
        <v>4.2255000000000001E-2</v>
      </c>
      <c r="H473" s="2">
        <f>VLOOKUP(A473,[1]Pricing!$A:$J,10,FALSE)</f>
        <v>5.1530487804878053E-2</v>
      </c>
      <c r="I473">
        <f>VLOOKUP(A473,MIN!A:B,2,FALSE)</f>
        <v>25</v>
      </c>
      <c r="J473" t="str">
        <f t="shared" si="17"/>
        <v>NO</v>
      </c>
      <c r="K473">
        <f>VLOOKUP(A473,[1]Pricing!$A:$G,7,FALSE)</f>
        <v>10000</v>
      </c>
      <c r="L473" t="s">
        <v>1960</v>
      </c>
      <c r="M473" t="str">
        <f t="shared" si="18"/>
        <v>615-A00423-100</v>
      </c>
    </row>
    <row r="474" spans="1:13" x14ac:dyDescent="0.25">
      <c r="A474" t="s">
        <v>781</v>
      </c>
      <c r="B474" s="14" t="str">
        <f>VLOOKUP(A474,[1]Pricing!$A:$R,18,FALSE)</f>
        <v>ERA-2AEB1182X</v>
      </c>
      <c r="C474" t="s">
        <v>2618</v>
      </c>
      <c r="D474" t="str">
        <f>VLOOKUP(A474,[1]AVL!$A:$F,6,FALSE)</f>
        <v>RES,SMD,11.8KOHM,0.1%,1/16W,0402</v>
      </c>
      <c r="E474" t="str">
        <f>VLOOKUP(A474,[1]Pricing!$A:$F,6,FALSE)</f>
        <v>23 Weeks</v>
      </c>
      <c r="F474">
        <f>VLOOKUP(B474,[2]Sheet2!$B:$E,4,FALSE)</f>
        <v>9817</v>
      </c>
      <c r="G474" s="2">
        <f>VLOOKUP(A474,[1]Pricing!$A:$H,8,FALSE)</f>
        <v>4.1116E-2</v>
      </c>
      <c r="H474" s="2">
        <f>VLOOKUP(A474,[1]Pricing!$A:$J,10,FALSE)</f>
        <v>5.0141463414634151E-2</v>
      </c>
      <c r="I474">
        <f>VLOOKUP(A474,MIN!A:B,2,FALSE)</f>
        <v>15</v>
      </c>
      <c r="J474" t="str">
        <f t="shared" si="17"/>
        <v>NO</v>
      </c>
      <c r="K474">
        <f>VLOOKUP(A474,[1]Pricing!$A:$G,7,FALSE)</f>
        <v>10000</v>
      </c>
      <c r="L474" t="s">
        <v>1960</v>
      </c>
      <c r="M474" t="str">
        <f t="shared" si="18"/>
        <v>615-A00424-118</v>
      </c>
    </row>
    <row r="475" spans="1:13" x14ac:dyDescent="0.25">
      <c r="A475" t="s">
        <v>787</v>
      </c>
      <c r="B475" s="14" t="str">
        <f>VLOOKUP(A475,[1]Pricing!$A:$R,18,FALSE)</f>
        <v>ERA-2AEB2261X</v>
      </c>
      <c r="C475" t="s">
        <v>2580</v>
      </c>
      <c r="D475" t="str">
        <f>VLOOKUP(A475,[1]AVL!$A:$F,6,FALSE)</f>
        <v>RES SMD 2.26KOHM 0.1% 1/16W 0402</v>
      </c>
      <c r="E475" t="str">
        <f>VLOOKUP(A475,[1]Pricing!$A:$F,6,FALSE)</f>
        <v>22 Weeks</v>
      </c>
      <c r="F475">
        <f>VLOOKUP(B475,[2]Sheet2!$B:$E,4,FALSE)</f>
        <v>9999</v>
      </c>
      <c r="G475" s="2">
        <f>VLOOKUP(A475,[1]Pricing!$A:$H,8,FALSE)</f>
        <v>4.1116E-2</v>
      </c>
      <c r="H475" s="2">
        <f>VLOOKUP(A475,[1]Pricing!$A:$J,10,FALSE)</f>
        <v>5.0141463414634151E-2</v>
      </c>
      <c r="I475">
        <f>VLOOKUP(A475,MIN!A:B,2,FALSE)</f>
        <v>15</v>
      </c>
      <c r="J475" t="str">
        <f t="shared" si="17"/>
        <v>NO</v>
      </c>
      <c r="K475">
        <f>VLOOKUP(A475,[1]Pricing!$A:$G,7,FALSE)</f>
        <v>10000</v>
      </c>
      <c r="L475" t="s">
        <v>1960</v>
      </c>
      <c r="M475" t="str">
        <f t="shared" si="18"/>
        <v>615-A00423-226</v>
      </c>
    </row>
    <row r="476" spans="1:13" x14ac:dyDescent="0.25">
      <c r="A476" t="s">
        <v>785</v>
      </c>
      <c r="B476" s="14" t="str">
        <f>VLOOKUP(A476,[1]Pricing!$A:$R,18,FALSE)</f>
        <v>ERA-2AEB161X</v>
      </c>
      <c r="C476" t="s">
        <v>2580</v>
      </c>
      <c r="D476" t="str">
        <f>VLOOKUP(A476,[1]AVL!$A:$F,6,FALSE)</f>
        <v>RES SMD 160 OHM 0.1% 1/16W 0402</v>
      </c>
      <c r="E476" t="str">
        <f>VLOOKUP(A476,[1]Pricing!$A:$F,6,FALSE)</f>
        <v>22 Weeks</v>
      </c>
      <c r="F476">
        <f>VLOOKUP(B476,[2]Sheet2!$B:$E,4,FALSE)</f>
        <v>10000</v>
      </c>
      <c r="G476" s="2">
        <f>VLOOKUP(A476,[1]Pricing!$A:$H,8,FALSE)</f>
        <v>4.1116E-2</v>
      </c>
      <c r="H476" s="2">
        <f>VLOOKUP(A476,[1]Pricing!$A:$J,10,FALSE)</f>
        <v>5.0141463414634151E-2</v>
      </c>
      <c r="I476">
        <f>VLOOKUP(A476,MIN!A:B,2,FALSE)</f>
        <v>25</v>
      </c>
      <c r="J476" t="str">
        <f t="shared" si="17"/>
        <v>NO</v>
      </c>
      <c r="K476">
        <f>VLOOKUP(A476,[1]Pricing!$A:$G,7,FALSE)</f>
        <v>10000</v>
      </c>
      <c r="L476" t="s">
        <v>1960</v>
      </c>
      <c r="M476" t="str">
        <f t="shared" si="18"/>
        <v>615-A00422-160</v>
      </c>
    </row>
    <row r="477" spans="1:13" x14ac:dyDescent="0.25">
      <c r="A477" t="s">
        <v>783</v>
      </c>
      <c r="B477" s="14" t="str">
        <f>VLOOKUP(A477,[1]Pricing!$A:$R,18,FALSE)</f>
        <v>ERA-2AEB1370X</v>
      </c>
      <c r="C477" t="s">
        <v>2618</v>
      </c>
      <c r="D477" t="str">
        <f>VLOOKUP(A477,[1]AVL!$A:$F,6,FALSE)</f>
        <v>RES,SMD,0402,137 OHM,0.1%,1/16W,ROHS</v>
      </c>
      <c r="E477" t="str">
        <f>VLOOKUP(A477,[1]Pricing!$A:$F,6,FALSE)</f>
        <v>21 Weeks</v>
      </c>
      <c r="F477">
        <f>VLOOKUP(B477,[2]Sheet2!$B:$E,4,FALSE)</f>
        <v>10000</v>
      </c>
      <c r="G477" s="2">
        <f>VLOOKUP(A477,[1]Pricing!$A:$H,8,FALSE)</f>
        <v>4.1116E-2</v>
      </c>
      <c r="H477" s="2">
        <f>VLOOKUP(A477,[1]Pricing!$A:$J,10,FALSE)</f>
        <v>5.0141463414634151E-2</v>
      </c>
      <c r="I477">
        <f>VLOOKUP(A477,MIN!A:B,2,FALSE)</f>
        <v>25</v>
      </c>
      <c r="J477" t="str">
        <f t="shared" si="17"/>
        <v>NO</v>
      </c>
      <c r="K477">
        <f>VLOOKUP(A477,[1]Pricing!$A:$G,7,FALSE)</f>
        <v>10000</v>
      </c>
      <c r="L477" t="s">
        <v>1960</v>
      </c>
      <c r="M477" t="str">
        <f t="shared" si="18"/>
        <v>615-A00422-137</v>
      </c>
    </row>
    <row r="478" spans="1:13" x14ac:dyDescent="0.25">
      <c r="A478" t="s">
        <v>1522</v>
      </c>
      <c r="B478" s="14" t="str">
        <f>VLOOKUP(A478,[1]Pricing!$A:$R,18,FALSE)</f>
        <v>RT0402BRD0718K2L</v>
      </c>
      <c r="C478" t="s">
        <v>2618</v>
      </c>
      <c r="D478" t="str">
        <f>VLOOKUP(A478,[1]AVL!$A:$F,6,FALSE)</f>
        <v>RES,SMD,18.2KOHM,0.1%,1/16W,0402</v>
      </c>
      <c r="E478" t="str">
        <f>VLOOKUP(A478,[1]Pricing!$A:$F,6,FALSE)</f>
        <v>22 Weeks</v>
      </c>
      <c r="F478">
        <f>VLOOKUP(B478,[2]Sheet2!$B:$E,4,FALSE)</f>
        <v>9630</v>
      </c>
      <c r="G478" s="2">
        <f>VLOOKUP(A478,[1]Pricing!$A:$H,8,FALSE)</f>
        <v>4.1116E-2</v>
      </c>
      <c r="H478" s="2">
        <f>VLOOKUP(A478,[1]Pricing!$A:$J,10,FALSE)</f>
        <v>5.0141463414634151E-2</v>
      </c>
      <c r="I478">
        <f>VLOOKUP(A478,MIN!A:B,2,FALSE)</f>
        <v>75</v>
      </c>
      <c r="J478" t="str">
        <f t="shared" si="17"/>
        <v>NO</v>
      </c>
      <c r="K478">
        <f>VLOOKUP(A478,[1]Pricing!$A:$G,7,FALSE)</f>
        <v>10000</v>
      </c>
      <c r="L478" t="s">
        <v>1960</v>
      </c>
      <c r="M478" t="str">
        <f t="shared" si="18"/>
        <v>615-A00424-182</v>
      </c>
    </row>
    <row r="479" spans="1:13" x14ac:dyDescent="0.25">
      <c r="A479" t="s">
        <v>1530</v>
      </c>
      <c r="B479" s="14" t="str">
        <f>VLOOKUP(A479,[1]Pricing!$A:$R,18,FALSE)</f>
        <v>RT0402BRD071K33L</v>
      </c>
      <c r="C479" t="s">
        <v>2580</v>
      </c>
      <c r="D479" t="str">
        <f>VLOOKUP(A479,[1]AVL!$A:$F,6,FALSE)</f>
        <v>RES SMD 1.33KOHM 0.1% 1/16W 0402</v>
      </c>
      <c r="E479" t="str">
        <f>VLOOKUP(A479,[1]Pricing!$A:$F,6,FALSE)</f>
        <v>22 Weeks</v>
      </c>
      <c r="F479">
        <f>VLOOKUP(B479,[2]Sheet2!$B:$E,4,FALSE)</f>
        <v>10000</v>
      </c>
      <c r="G479" s="2">
        <f>VLOOKUP(A479,[1]Pricing!$A:$H,8,FALSE)</f>
        <v>4.1116E-2</v>
      </c>
      <c r="H479" s="2">
        <f>VLOOKUP(A479,[1]Pricing!$A:$J,10,FALSE)</f>
        <v>5.0141463414634151E-2</v>
      </c>
      <c r="I479">
        <f>VLOOKUP(A479,MIN!A:B,2,FALSE)</f>
        <v>15</v>
      </c>
      <c r="J479" t="str">
        <f t="shared" si="17"/>
        <v>NO</v>
      </c>
      <c r="K479">
        <f>VLOOKUP(A479,[1]Pricing!$A:$G,7,FALSE)</f>
        <v>10000</v>
      </c>
      <c r="L479" t="s">
        <v>1960</v>
      </c>
      <c r="M479" t="str">
        <f t="shared" si="18"/>
        <v>615-A00423-133</v>
      </c>
    </row>
    <row r="480" spans="1:13" x14ac:dyDescent="0.25">
      <c r="A480" t="s">
        <v>909</v>
      </c>
      <c r="B480" s="14" t="str">
        <f>VLOOKUP(A480,[1]Pricing!$A:$R,18,FALSE)</f>
        <v>GCM1555C1H681FA16D</v>
      </c>
      <c r="C480" t="s">
        <v>2627</v>
      </c>
      <c r="D480" t="str">
        <f>VLOOKUP(A480,[1]AVL!$A:$F,6,FALSE)</f>
        <v>CAP,SMD,CER,680PF,+/-1%,50V,C0G,0402</v>
      </c>
      <c r="E480" t="str">
        <f>VLOOKUP(A480,[1]Pricing!$A:$F,6,FALSE)</f>
        <v>19 Weeks</v>
      </c>
      <c r="F480">
        <f>VLOOKUP(B480,[2]Sheet2!$B:$E,4,FALSE)</f>
        <v>10000</v>
      </c>
      <c r="G480" s="2">
        <f>VLOOKUP(A480,[1]Pricing!$A:$H,8,FALSE)</f>
        <v>9.8040000000000002E-3</v>
      </c>
      <c r="H480" s="2">
        <f>VLOOKUP(A480,[1]Pricing!$A:$J,10,FALSE)</f>
        <v>1.195609756097561E-2</v>
      </c>
      <c r="I480">
        <f>VLOOKUP(A480,MIN!A:B,2,FALSE)</f>
        <v>15</v>
      </c>
      <c r="J480" t="str">
        <f t="shared" si="17"/>
        <v>NO</v>
      </c>
      <c r="K480">
        <f>VLOOKUP(A480,[1]Pricing!$A:$G,7,FALSE)</f>
        <v>10000</v>
      </c>
      <c r="L480" t="s">
        <v>1960</v>
      </c>
      <c r="M480" t="str">
        <f t="shared" si="18"/>
        <v>648-B08032-001</v>
      </c>
    </row>
    <row r="481" spans="1:13" x14ac:dyDescent="0.25">
      <c r="A481" t="s">
        <v>639</v>
      </c>
      <c r="B481" s="14" t="str">
        <f>VLOOKUP(A481,[1]Pricing!$A:$R,18,FALSE)</f>
        <v>CFR-25JB-52-4K7</v>
      </c>
      <c r="C481" t="s">
        <v>2580</v>
      </c>
      <c r="D481" t="str">
        <f>VLOOKUP(A481,[1]AVL!$A:$F,6,FALSE)</f>
        <v>RES,CARBON FILM,4.7K OHM,1/4W,+/-5%,250V</v>
      </c>
      <c r="E481" t="str">
        <f>VLOOKUP(A481,[1]Pricing!$A:$F,6,FALSE)</f>
        <v>28 Weeks</v>
      </c>
      <c r="F481">
        <f>VLOOKUP(B481,[2]Sheet2!$B:$E,4,FALSE)</f>
        <v>10000</v>
      </c>
      <c r="G481" s="2">
        <f>VLOOKUP(A481,[1]Pricing!$A:$H,8,FALSE)</f>
        <v>7.3530000000000002E-3</v>
      </c>
      <c r="H481" s="2">
        <f>VLOOKUP(A481,[1]Pricing!$A:$J,10,FALSE)</f>
        <v>8.9670731707317073E-3</v>
      </c>
      <c r="I481">
        <f>VLOOKUP(A481,MIN!A:B,2,FALSE)</f>
        <v>15</v>
      </c>
      <c r="J481" t="str">
        <f t="shared" si="17"/>
        <v>NO</v>
      </c>
      <c r="K481">
        <f>VLOOKUP(A481,[1]Pricing!$A:$G,7,FALSE)</f>
        <v>10000</v>
      </c>
      <c r="L481" t="s">
        <v>1960</v>
      </c>
      <c r="M481" t="str">
        <f t="shared" si="18"/>
        <v>28-449032-00</v>
      </c>
    </row>
    <row r="482" spans="1:13" x14ac:dyDescent="0.25">
      <c r="A482" t="s">
        <v>849</v>
      </c>
      <c r="B482" s="14" t="str">
        <f>VLOOKUP(A482,[1]Pricing!$A:$R,18,FALSE)</f>
        <v>ERJ-2RKF1201X</v>
      </c>
      <c r="C482" t="s">
        <v>2655</v>
      </c>
      <c r="D482" t="str">
        <f>VLOOKUP(A482,[1]AVL!$A:$F,6,FALSE)</f>
        <v>RES,SMD,1.2K,1/10W,1%,0402</v>
      </c>
      <c r="E482" t="str">
        <f>VLOOKUP(A482,[1]Pricing!$A:$F,6,FALSE)</f>
        <v>3 Weeks</v>
      </c>
      <c r="F482">
        <f>VLOOKUP(B482,[2]Sheet2!$B:$E,4,FALSE)</f>
        <v>10000</v>
      </c>
      <c r="G482" s="2">
        <f>VLOOKUP(A482,[1]Pricing!$A:$H,8,FALSE)</f>
        <v>3.6770000000000001E-3</v>
      </c>
      <c r="H482" s="2">
        <f>VLOOKUP(A482,[1]Pricing!$A:$J,10,FALSE)</f>
        <v>4.4841463414634153E-3</v>
      </c>
      <c r="I482">
        <f>VLOOKUP(A482,MIN!A:B,2,FALSE)</f>
        <v>25</v>
      </c>
      <c r="J482" t="str">
        <f t="shared" si="17"/>
        <v>NO</v>
      </c>
      <c r="K482">
        <f>VLOOKUP(A482,[1]Pricing!$A:$G,7,FALSE)</f>
        <v>10000</v>
      </c>
      <c r="L482" t="s">
        <v>1960</v>
      </c>
      <c r="M482" t="str">
        <f t="shared" si="18"/>
        <v>615-121726-042</v>
      </c>
    </row>
    <row r="483" spans="1:13" x14ac:dyDescent="0.25">
      <c r="A483" t="s">
        <v>853</v>
      </c>
      <c r="B483" s="14" t="str">
        <f>VLOOKUP(A483,[1]Pricing!$A:$R,18,FALSE)</f>
        <v>ERJ-2RKF33R0X</v>
      </c>
      <c r="C483" t="s">
        <v>2655</v>
      </c>
      <c r="D483" t="str">
        <f>VLOOKUP(A483,[1]AVL!$A:$F,6,FALSE)</f>
        <v>RES,SMD,33 OHM,1/10W,1%,0402</v>
      </c>
      <c r="E483" t="str">
        <f>VLOOKUP(A483,[1]Pricing!$A:$F,6,FALSE)</f>
        <v>9 Weeks</v>
      </c>
      <c r="F483">
        <f>VLOOKUP(B483,[2]Sheet2!$B:$E,4,FALSE)</f>
        <v>10000</v>
      </c>
      <c r="G483" s="2">
        <f>VLOOKUP(A483,[1]Pricing!$A:$H,8,FALSE)</f>
        <v>3.6770000000000001E-3</v>
      </c>
      <c r="H483" s="2">
        <f>VLOOKUP(A483,[1]Pricing!$A:$J,10,FALSE)</f>
        <v>4.4841463414634153E-3</v>
      </c>
      <c r="I483">
        <f>VLOOKUP(A483,MIN!A:B,2,FALSE)</f>
        <v>40</v>
      </c>
      <c r="J483" t="str">
        <f t="shared" si="17"/>
        <v>NO</v>
      </c>
      <c r="K483">
        <f>VLOOKUP(A483,[1]Pricing!$A:$G,7,FALSE)</f>
        <v>10000</v>
      </c>
      <c r="L483" t="s">
        <v>1960</v>
      </c>
      <c r="M483" t="str">
        <f t="shared" si="18"/>
        <v>615-121726-033</v>
      </c>
    </row>
    <row r="484" spans="1:13" x14ac:dyDescent="0.25">
      <c r="A484" t="s">
        <v>851</v>
      </c>
      <c r="B484" s="14" t="str">
        <f>VLOOKUP(A484,[1]Pricing!$A:$R,18,FALSE)</f>
        <v>ERJ-2RKF20R0X</v>
      </c>
      <c r="C484" t="s">
        <v>2667</v>
      </c>
      <c r="D484" t="str">
        <f>VLOOKUP(A484,[1]AVL!$A:$F,6,FALSE)</f>
        <v>RES,SMD,20 OHM,1/10W,1%,0402</v>
      </c>
      <c r="E484" t="str">
        <f>VLOOKUP(A484,[1]Pricing!$A:$F,6,FALSE)</f>
        <v>23 Weeks</v>
      </c>
      <c r="F484">
        <f>VLOOKUP(B484,[2]Sheet2!$B:$E,4,FALSE)</f>
        <v>9880</v>
      </c>
      <c r="G484" s="2">
        <f>VLOOKUP(A484,[1]Pricing!$A:$H,8,FALSE)</f>
        <v>3.6770000000000001E-3</v>
      </c>
      <c r="H484" s="2">
        <f>VLOOKUP(A484,[1]Pricing!$A:$J,10,FALSE)</f>
        <v>4.4841463414634153E-3</v>
      </c>
      <c r="I484">
        <f>VLOOKUP(A484,MIN!A:B,2,FALSE)</f>
        <v>25</v>
      </c>
      <c r="J484" t="str">
        <f t="shared" si="17"/>
        <v>NO</v>
      </c>
      <c r="K484">
        <f>VLOOKUP(A484,[1]Pricing!$A:$G,7,FALSE)</f>
        <v>10000</v>
      </c>
      <c r="L484" t="s">
        <v>1960</v>
      </c>
      <c r="M484" t="str">
        <f t="shared" si="18"/>
        <v>615-121726-008</v>
      </c>
    </row>
    <row r="485" spans="1:13" x14ac:dyDescent="0.25">
      <c r="A485" t="s">
        <v>924</v>
      </c>
      <c r="B485" s="14" t="str">
        <f>VLOOKUP(A485,[1]Pricing!$A:$R,18,FALSE)</f>
        <v>GRM155R71A474KE01D</v>
      </c>
      <c r="C485" t="s">
        <v>2627</v>
      </c>
      <c r="D485" t="str">
        <f>VLOOKUP(A485,[1]AVL!$A:$F,6,FALSE)</f>
        <v>CAP,SMD,CER,0.47UF,±10%,10VDC,X7R,0402</v>
      </c>
      <c r="E485" t="str">
        <f>VLOOKUP(A485,[1]Pricing!$A:$F,6,FALSE)</f>
        <v>3 Weeks</v>
      </c>
      <c r="F485">
        <f>VLOOKUP(B485,[2]Sheet2!$B:$E,4,FALSE)</f>
        <v>8734</v>
      </c>
      <c r="G485" s="2">
        <f>VLOOKUP(A485,[1]Pricing!$A:$H,8,FALSE)</f>
        <v>0.15143999999999999</v>
      </c>
      <c r="H485" s="2">
        <f>VLOOKUP(A485,[1]Pricing!$A:$J,10,FALSE)</f>
        <v>0.18468292682926829</v>
      </c>
      <c r="I485">
        <f>VLOOKUP(A485,MIN!A:B,2,FALSE)</f>
        <v>40</v>
      </c>
      <c r="J485" t="str">
        <f t="shared" si="17"/>
        <v>NO</v>
      </c>
      <c r="K485">
        <f>VLOOKUP(A485,[1]Pricing!$A:$G,7,FALSE)</f>
        <v>10000</v>
      </c>
      <c r="L485" t="s">
        <v>1960</v>
      </c>
      <c r="M485" t="str">
        <f t="shared" si="18"/>
        <v>648-A42571-001</v>
      </c>
    </row>
    <row r="486" spans="1:13" x14ac:dyDescent="0.25">
      <c r="A486" t="s">
        <v>857</v>
      </c>
      <c r="B486" s="14" t="str">
        <f>VLOOKUP(A486,[1]Pricing!$A:$R,18,FALSE)</f>
        <v>ERJ-2RKF6042X</v>
      </c>
      <c r="C486" t="s">
        <v>2667</v>
      </c>
      <c r="D486" t="str">
        <f>VLOOKUP(A486,[1]AVL!$A:$F,6,FALSE)</f>
        <v>RES,SMD,60.4K OHM,1/10W,1%,0402</v>
      </c>
      <c r="E486" t="str">
        <f>VLOOKUP(A486,[1]Pricing!$A:$F,6,FALSE)</f>
        <v>23 Weeks</v>
      </c>
      <c r="F486">
        <f>VLOOKUP(B486,[2]Sheet2!$B:$E,4,FALSE)</f>
        <v>10000</v>
      </c>
      <c r="G486" s="2">
        <f>VLOOKUP(A486,[1]Pricing!$A:$H,8,FALSE)</f>
        <v>3.6770000000000001E-3</v>
      </c>
      <c r="H486" s="2">
        <f>VLOOKUP(A486,[1]Pricing!$A:$J,10,FALSE)</f>
        <v>4.4841463414634153E-3</v>
      </c>
      <c r="I486">
        <f>VLOOKUP(A486,MIN!A:B,2,FALSE)</f>
        <v>25</v>
      </c>
      <c r="J486" t="str">
        <f t="shared" si="17"/>
        <v>NO</v>
      </c>
      <c r="K486">
        <f>VLOOKUP(A486,[1]Pricing!$A:$G,7,FALSE)</f>
        <v>10000</v>
      </c>
      <c r="L486" t="s">
        <v>1960</v>
      </c>
      <c r="M486" t="str">
        <f t="shared" si="18"/>
        <v>615-121726-216</v>
      </c>
    </row>
    <row r="487" spans="1:13" x14ac:dyDescent="0.25">
      <c r="A487" t="s">
        <v>1562</v>
      </c>
      <c r="B487" s="14" t="str">
        <f>VLOOKUP(A487,[1]Pricing!$A:$R,18,FALSE)</f>
        <v>RT0402BRD07820RL</v>
      </c>
      <c r="C487" t="s">
        <v>2618</v>
      </c>
      <c r="D487" t="str">
        <f>VLOOKUP(A487,[1]AVL!$A:$F,6,FALSE)</f>
        <v>RES SMD 820 OHM 0.1% 1/16W 0402</v>
      </c>
      <c r="E487" t="str">
        <f>VLOOKUP(A487,[1]Pricing!$A:$F,6,FALSE)</f>
        <v>27 Weeks</v>
      </c>
      <c r="F487">
        <f>VLOOKUP(B487,[2]Sheet2!$B:$E,4,FALSE)</f>
        <v>10000</v>
      </c>
      <c r="G487" s="2">
        <f>VLOOKUP(A487,[1]Pricing!$A:$H,8,FALSE)</f>
        <v>4.1116E-2</v>
      </c>
      <c r="H487" s="2">
        <f>VLOOKUP(A487,[1]Pricing!$A:$J,10,FALSE)</f>
        <v>5.0141463414634151E-2</v>
      </c>
      <c r="I487">
        <f>VLOOKUP(A487,MIN!A:B,2,FALSE)</f>
        <v>25</v>
      </c>
      <c r="J487" t="str">
        <f t="shared" si="17"/>
        <v>NO</v>
      </c>
      <c r="K487">
        <f>VLOOKUP(A487,[1]Pricing!$A:$G,7,FALSE)</f>
        <v>10000</v>
      </c>
      <c r="L487" t="s">
        <v>1960</v>
      </c>
      <c r="M487" t="str">
        <f t="shared" si="18"/>
        <v>615-A00422-820</v>
      </c>
    </row>
    <row r="488" spans="1:13" x14ac:dyDescent="0.25">
      <c r="A488" t="s">
        <v>823</v>
      </c>
      <c r="B488" s="14" t="str">
        <f>VLOOKUP(A488,[1]Pricing!$A:$R,18,FALSE)</f>
        <v>ERA-6AEB4990V</v>
      </c>
      <c r="C488" t="s">
        <v>2652</v>
      </c>
      <c r="D488" t="str">
        <f>VLOOKUP(A488,[1]AVL!$A:$F,6,FALSE)</f>
        <v>RES,0805,TF,1/8W,0.1%,25PPM,499 ROHS</v>
      </c>
      <c r="E488" t="str">
        <f>VLOOKUP(A488,[1]Pricing!$A:$F,6,FALSE)</f>
        <v>21 Weeks</v>
      </c>
      <c r="F488">
        <f>VLOOKUP(B488,[2]Sheet2!$B:$E,4,FALSE)</f>
        <v>5000</v>
      </c>
      <c r="G488" s="2">
        <f>VLOOKUP(A488,[1]Pricing!$A:$H,8,FALSE)</f>
        <v>5.0245999999999999E-2</v>
      </c>
      <c r="H488" s="2">
        <f>VLOOKUP(A488,[1]Pricing!$A:$J,10,FALSE)</f>
        <v>6.1275609756097561E-2</v>
      </c>
      <c r="I488">
        <f>VLOOKUP(A488,MIN!A:B,2,FALSE)</f>
        <v>15</v>
      </c>
      <c r="J488" t="str">
        <f t="shared" si="17"/>
        <v>NO</v>
      </c>
      <c r="K488">
        <f>VLOOKUP(A488,[1]Pricing!$A:$G,7,FALSE)</f>
        <v>5000</v>
      </c>
      <c r="L488" t="s">
        <v>1960</v>
      </c>
      <c r="M488" t="str">
        <f t="shared" si="18"/>
        <v>615-162861-118</v>
      </c>
    </row>
    <row r="489" spans="1:13" x14ac:dyDescent="0.25">
      <c r="A489" t="s">
        <v>1377</v>
      </c>
      <c r="B489" s="14" t="str">
        <f>VLOOKUP(A489,[1]Pricing!$A:$R,18,FALSE)</f>
        <v>RC0805FR-074K87L</v>
      </c>
      <c r="C489" t="s">
        <v>2617</v>
      </c>
      <c r="D489" t="str">
        <f>VLOOKUP(A489,[1]AVL!$A:$F,6,FALSE)</f>
        <v>RES,SMD,0805,4.87K,1%,1/10W,ROHS</v>
      </c>
      <c r="E489" t="str">
        <f>VLOOKUP(A489,[1]Pricing!$A:$F,6,FALSE)</f>
        <v>23 Weeks</v>
      </c>
      <c r="F489">
        <f>VLOOKUP(B489,[2]Sheet2!$B:$E,4,FALSE)</f>
        <v>5000</v>
      </c>
      <c r="G489" s="2">
        <f>VLOOKUP(A489,[1]Pricing!$A:$H,8,FALSE)</f>
        <v>7.3530000000000002E-3</v>
      </c>
      <c r="H489" s="2">
        <f>VLOOKUP(A489,[1]Pricing!$A:$J,10,FALSE)</f>
        <v>8.9670731707317073E-3</v>
      </c>
      <c r="I489">
        <f>VLOOKUP(A489,MIN!A:B,2,FALSE)</f>
        <v>25</v>
      </c>
      <c r="J489" t="str">
        <f t="shared" si="17"/>
        <v>NO</v>
      </c>
      <c r="K489">
        <f>VLOOKUP(A489,[1]Pricing!$A:$G,7,FALSE)</f>
        <v>5000</v>
      </c>
      <c r="L489" t="s">
        <v>1960</v>
      </c>
      <c r="M489" t="str">
        <f t="shared" si="18"/>
        <v>615-901301-487</v>
      </c>
    </row>
    <row r="490" spans="1:13" x14ac:dyDescent="0.25">
      <c r="A490" t="s">
        <v>1387</v>
      </c>
      <c r="B490" s="14" t="str">
        <f>VLOOKUP(A490,[1]Pricing!$A:$R,18,FALSE)</f>
        <v>RC1206FR-07100KL</v>
      </c>
      <c r="C490" t="s">
        <v>2580</v>
      </c>
      <c r="D490" t="str">
        <f>VLOOKUP(A490,[1]AVL!$A:$F,6,FALSE)</f>
        <v>RES,SMD,THK FILM,100K OHM,1%,1/4W,1206</v>
      </c>
      <c r="E490" t="str">
        <f>VLOOKUP(A490,[1]Pricing!$A:$F,6,FALSE)</f>
        <v>15 Weeks</v>
      </c>
      <c r="F490">
        <f>VLOOKUP(B490,[2]Sheet2!$B:$E,4,FALSE)</f>
        <v>4600</v>
      </c>
      <c r="G490" s="2">
        <f>VLOOKUP(A490,[1]Pricing!$A:$H,8,FALSE)</f>
        <v>8.5789999999999998E-3</v>
      </c>
      <c r="H490" s="2">
        <f>VLOOKUP(A490,[1]Pricing!$A:$J,10,FALSE)</f>
        <v>1.046219512195122E-2</v>
      </c>
      <c r="I490">
        <f>VLOOKUP(A490,MIN!A:B,2,FALSE)</f>
        <v>25</v>
      </c>
      <c r="J490" t="str">
        <f t="shared" si="17"/>
        <v>NO</v>
      </c>
      <c r="K490">
        <f>VLOOKUP(A490,[1]Pricing!$A:$G,7,FALSE)</f>
        <v>5000</v>
      </c>
      <c r="L490" t="s">
        <v>1960</v>
      </c>
      <c r="M490" t="str">
        <f t="shared" si="18"/>
        <v>615-179931-004</v>
      </c>
    </row>
    <row r="491" spans="1:13" x14ac:dyDescent="0.25">
      <c r="A491" t="s">
        <v>1771</v>
      </c>
      <c r="B491" s="14" t="str">
        <f>VLOOKUP(A491,[1]Pricing!$A:$R,18,FALSE)</f>
        <v>TNPW080524K9BEEA</v>
      </c>
      <c r="C491" t="s">
        <v>2652</v>
      </c>
      <c r="D491" t="str">
        <f>VLOOKUP(A491,[1]AVL!$A:$F,6,FALSE)</f>
        <v>RES,SMD,0805,24.9K OHMS,0.1%,ROHS</v>
      </c>
      <c r="E491" t="str">
        <f>VLOOKUP(A491,[1]Pricing!$A:$F,6,FALSE)</f>
        <v>17 Weeks</v>
      </c>
      <c r="F491">
        <f>VLOOKUP(B491,[2]Sheet2!$B:$E,4,FALSE)</f>
        <v>5000</v>
      </c>
      <c r="G491" s="2">
        <f>VLOOKUP(A491,[1]Pricing!$A:$H,8,FALSE)</f>
        <v>0.164217</v>
      </c>
      <c r="H491" s="2">
        <f>VLOOKUP(A491,[1]Pricing!$A:$J,10,FALSE)</f>
        <v>0.20026463414634149</v>
      </c>
      <c r="I491">
        <f>VLOOKUP(A491,MIN!A:B,2,FALSE)</f>
        <v>25</v>
      </c>
      <c r="J491" t="str">
        <f t="shared" si="17"/>
        <v>NO</v>
      </c>
      <c r="K491">
        <f>VLOOKUP(A491,[1]Pricing!$A:$G,7,FALSE)</f>
        <v>5000</v>
      </c>
      <c r="L491" t="s">
        <v>1960</v>
      </c>
      <c r="M491" t="str">
        <f t="shared" si="18"/>
        <v>615-049171-249</v>
      </c>
    </row>
    <row r="492" spans="1:13" x14ac:dyDescent="0.25">
      <c r="A492" t="s">
        <v>809</v>
      </c>
      <c r="B492" s="14" t="str">
        <f>VLOOKUP(A492,[1]Pricing!$A:$R,18,FALSE)</f>
        <v>ERA-6AEB123V</v>
      </c>
      <c r="C492" t="s">
        <v>2618</v>
      </c>
      <c r="D492" t="str">
        <f>VLOOKUP(A492,[1]AVL!$A:$F,6,FALSE)</f>
        <v>RES,0805,TF,1/8W,0.1%,25PPM,12K ROHS</v>
      </c>
      <c r="E492" t="str">
        <f>VLOOKUP(A492,[1]Pricing!$A:$F,6,FALSE)</f>
        <v>17 Weeks</v>
      </c>
      <c r="F492">
        <f>VLOOKUP(B492,[2]Sheet2!$B:$E,4,FALSE)</f>
        <v>5000</v>
      </c>
      <c r="G492" s="2">
        <f>VLOOKUP(A492,[1]Pricing!$A:$H,8,FALSE)</f>
        <v>5.0245999999999999E-2</v>
      </c>
      <c r="H492" s="2">
        <f>VLOOKUP(A492,[1]Pricing!$A:$J,10,FALSE)</f>
        <v>6.1275609756097561E-2</v>
      </c>
      <c r="I492">
        <f>VLOOKUP(A492,MIN!A:B,2,FALSE)</f>
        <v>25</v>
      </c>
      <c r="J492" t="str">
        <f t="shared" si="17"/>
        <v>NO</v>
      </c>
      <c r="K492">
        <f>VLOOKUP(A492,[1]Pricing!$A:$G,7,FALSE)</f>
        <v>5000</v>
      </c>
      <c r="L492" t="s">
        <v>1960</v>
      </c>
      <c r="M492" t="str">
        <f t="shared" si="18"/>
        <v>615-162861-275</v>
      </c>
    </row>
    <row r="493" spans="1:13" x14ac:dyDescent="0.25">
      <c r="A493" t="s">
        <v>831</v>
      </c>
      <c r="B493" s="14" t="str">
        <f>VLOOKUP(A493,[1]Pricing!$A:$R,18,FALSE)</f>
        <v>ERA-6AEB752V</v>
      </c>
      <c r="C493" t="s">
        <v>2618</v>
      </c>
      <c r="D493" t="str">
        <f>VLOOKUP(A493,[1]AVL!$A:$F,6,FALSE)</f>
        <v>RES,0805,0.1%,1/8W,25PPM,7.5K ROHS</v>
      </c>
      <c r="E493" t="str">
        <f>VLOOKUP(A493,[1]Pricing!$A:$F,6,FALSE)</f>
        <v>28 Weeks</v>
      </c>
      <c r="F493">
        <f>VLOOKUP(B493,[2]Sheet2!$B:$E,4,FALSE)</f>
        <v>5000</v>
      </c>
      <c r="G493" s="2">
        <f>VLOOKUP(A493,[1]Pricing!$A:$H,8,FALSE)</f>
        <v>3.4313999999999997E-2</v>
      </c>
      <c r="H493" s="2">
        <f>VLOOKUP(A493,[1]Pricing!$A:$J,10,FALSE)</f>
        <v>4.1846341463414635E-2</v>
      </c>
      <c r="I493">
        <f>VLOOKUP(A493,MIN!A:B,2,FALSE)</f>
        <v>15</v>
      </c>
      <c r="J493" t="str">
        <f t="shared" si="17"/>
        <v>NO</v>
      </c>
      <c r="K493">
        <f>VLOOKUP(A493,[1]Pricing!$A:$G,7,FALSE)</f>
        <v>5000</v>
      </c>
      <c r="L493" t="s">
        <v>1960</v>
      </c>
      <c r="M493" t="str">
        <f t="shared" si="18"/>
        <v>615-052826-752</v>
      </c>
    </row>
    <row r="494" spans="1:13" x14ac:dyDescent="0.25">
      <c r="A494" t="s">
        <v>689</v>
      </c>
      <c r="B494" s="14" t="str">
        <f>VLOOKUP(A494,[1]Pricing!$A:$R,18,FALSE)</f>
        <v>CRCW12061M00FKEAC</v>
      </c>
      <c r="C494" t="s">
        <v>2617</v>
      </c>
      <c r="D494" t="str">
        <f>VLOOKUP(A494,[1]AVL!$A:$F,6,FALSE)</f>
        <v>RES,SMD,1M OHM,1%,100PPM,0.25W,1206</v>
      </c>
      <c r="E494" t="str">
        <f>VLOOKUP(A494,[1]Pricing!$A:$F,6,FALSE)</f>
        <v>19 Weeks</v>
      </c>
      <c r="F494">
        <f>VLOOKUP(B494,[2]Sheet2!$B:$E,4,FALSE)</f>
        <v>5000</v>
      </c>
      <c r="G494" s="2">
        <f>VLOOKUP(A494,[1]Pricing!$A:$H,8,FALSE)</f>
        <v>7.3530000000000002E-3</v>
      </c>
      <c r="H494" s="2">
        <f>VLOOKUP(A494,[1]Pricing!$A:$J,10,FALSE)</f>
        <v>8.9670731707317073E-3</v>
      </c>
      <c r="I494">
        <f>VLOOKUP(A494,MIN!A:B,2,FALSE)</f>
        <v>25</v>
      </c>
      <c r="J494" t="str">
        <f t="shared" si="17"/>
        <v>NO</v>
      </c>
      <c r="K494">
        <f>VLOOKUP(A494,[1]Pricing!$A:$G,7,FALSE)</f>
        <v>5000</v>
      </c>
      <c r="L494" t="s">
        <v>1960</v>
      </c>
      <c r="M494" t="str">
        <f t="shared" si="18"/>
        <v>615-A80550-001</v>
      </c>
    </row>
    <row r="495" spans="1:13" x14ac:dyDescent="0.25">
      <c r="A495" t="s">
        <v>865</v>
      </c>
      <c r="B495" s="14" t="str">
        <f>VLOOKUP(A495,[1]Pricing!$A:$R,18,FALSE)</f>
        <v>ERJ-6ENF4701V</v>
      </c>
      <c r="C495" t="s">
        <v>2630</v>
      </c>
      <c r="D495" t="str">
        <f>VLOOKUP(A495,[1]AVL!$A:$F,6,FALSE)</f>
        <v>RES,SMD,TF,0805,4.70K OHM 1%,1/8W,ROHS</v>
      </c>
      <c r="E495" t="str">
        <f>VLOOKUP(A495,[1]Pricing!$A:$F,6,FALSE)</f>
        <v>23 Weeks</v>
      </c>
      <c r="F495">
        <f>VLOOKUP(B495,[2]Sheet2!$B:$E,4,FALSE)</f>
        <v>5000</v>
      </c>
      <c r="G495" s="2">
        <f>VLOOKUP(A495,[1]Pricing!$A:$H,8,FALSE)</f>
        <v>9.8040000000000002E-3</v>
      </c>
      <c r="H495" s="2">
        <f>VLOOKUP(A495,[1]Pricing!$A:$J,10,FALSE)</f>
        <v>1.195609756097561E-2</v>
      </c>
      <c r="I495">
        <f>VLOOKUP(A495,MIN!A:B,2,FALSE)</f>
        <v>25</v>
      </c>
      <c r="J495" t="str">
        <f t="shared" si="17"/>
        <v>NO</v>
      </c>
      <c r="K495">
        <f>VLOOKUP(A495,[1]Pricing!$A:$G,7,FALSE)</f>
        <v>5000</v>
      </c>
      <c r="L495" t="s">
        <v>1960</v>
      </c>
      <c r="M495" t="str">
        <f t="shared" si="18"/>
        <v>615-055213-470</v>
      </c>
    </row>
    <row r="496" spans="1:13" x14ac:dyDescent="0.25">
      <c r="A496" t="s">
        <v>1417</v>
      </c>
      <c r="B496" s="14" t="str">
        <f>VLOOKUP(A496,[1]Pricing!$A:$R,18,FALSE)</f>
        <v>RC1206FR-0784K5L</v>
      </c>
      <c r="C496" t="s">
        <v>2632</v>
      </c>
      <c r="D496" t="str">
        <f>VLOOKUP(A496,[1]AVL!$A:$F,6,FALSE)</f>
        <v>RES,SMD,1206,1%,1/4W,84.5K ROHS</v>
      </c>
      <c r="E496" t="str">
        <f>VLOOKUP(A496,[1]Pricing!$A:$F,6,FALSE)</f>
        <v>19 Weeks</v>
      </c>
      <c r="F496">
        <f>VLOOKUP(B496,[2]Sheet2!$B:$E,4,FALSE)</f>
        <v>5000</v>
      </c>
      <c r="G496" s="2">
        <f>VLOOKUP(A496,[1]Pricing!$A:$H,8,FALSE)</f>
        <v>8.5789999999999998E-3</v>
      </c>
      <c r="H496" s="2">
        <f>VLOOKUP(A496,[1]Pricing!$A:$J,10,FALSE)</f>
        <v>1.046219512195122E-2</v>
      </c>
      <c r="I496">
        <f>VLOOKUP(A496,MIN!A:B,2,FALSE)</f>
        <v>15</v>
      </c>
      <c r="J496" t="str">
        <f t="shared" si="17"/>
        <v>NO</v>
      </c>
      <c r="K496">
        <f>VLOOKUP(A496,[1]Pricing!$A:$G,7,FALSE)</f>
        <v>5000</v>
      </c>
      <c r="L496" t="s">
        <v>1960</v>
      </c>
      <c r="M496" t="str">
        <f t="shared" si="18"/>
        <v>615-116029-845</v>
      </c>
    </row>
    <row r="497" spans="1:13" x14ac:dyDescent="0.25">
      <c r="A497" t="s">
        <v>1379</v>
      </c>
      <c r="B497" s="14" t="str">
        <f>VLOOKUP(A497,[1]Pricing!$A:$R,18,FALSE)</f>
        <v>RC0805FR-07887RL</v>
      </c>
      <c r="C497" t="s">
        <v>2617</v>
      </c>
      <c r="D497" t="str">
        <f>VLOOKUP(A497,[1]AVL!$A:$F,6,FALSE)</f>
        <v>RES,SMD,0805,887,1%,1/10W,ROHS</v>
      </c>
      <c r="E497" t="str">
        <f>VLOOKUP(A497,[1]Pricing!$A:$F,6,FALSE)</f>
        <v>15 Weeks</v>
      </c>
      <c r="F497">
        <f>VLOOKUP(B497,[2]Sheet2!$B:$E,4,FALSE)</f>
        <v>5000</v>
      </c>
      <c r="G497" s="2">
        <f>VLOOKUP(A497,[1]Pricing!$A:$H,8,FALSE)</f>
        <v>3.0000000000000001E-3</v>
      </c>
      <c r="H497" s="2">
        <f>VLOOKUP(A497,[1]Pricing!$A:$J,10,FALSE)</f>
        <v>3.6585365853658539E-3</v>
      </c>
      <c r="I497">
        <f>VLOOKUP(A497,MIN!A:B,2,FALSE)</f>
        <v>15</v>
      </c>
      <c r="J497" t="str">
        <f t="shared" si="17"/>
        <v>NO</v>
      </c>
      <c r="K497">
        <f>VLOOKUP(A497,[1]Pricing!$A:$G,7,FALSE)</f>
        <v>5000</v>
      </c>
      <c r="L497" t="s">
        <v>1960</v>
      </c>
      <c r="M497" t="str">
        <f t="shared" si="18"/>
        <v>615-901300-887</v>
      </c>
    </row>
    <row r="498" spans="1:13" x14ac:dyDescent="0.25">
      <c r="A498" t="s">
        <v>1429</v>
      </c>
      <c r="B498" s="14" t="str">
        <f>VLOOKUP(A498,[1]Pricing!$A:$R,18,FALSE)</f>
        <v>RC1206JR-073K3L</v>
      </c>
      <c r="C498" t="s">
        <v>2617</v>
      </c>
      <c r="D498" t="str">
        <f>VLOOKUP(A498,[1]AVL!$A:$F,6,FALSE)</f>
        <v>RES,SMD,THKF,1206,3.3K OHM,5%,1/4W,ROHS</v>
      </c>
      <c r="E498" t="str">
        <f>VLOOKUP(A498,[1]Pricing!$A:$F,6,FALSE)</f>
        <v>19 Weeks</v>
      </c>
      <c r="F498">
        <f>VLOOKUP(B498,[2]Sheet2!$B:$E,4,FALSE)</f>
        <v>5000</v>
      </c>
      <c r="G498" s="2">
        <f>VLOOKUP(A498,[1]Pricing!$A:$H,8,FALSE)</f>
        <v>1.0392E-2</v>
      </c>
      <c r="H498" s="2">
        <f>VLOOKUP(A498,[1]Pricing!$A:$J,10,FALSE)</f>
        <v>1.2673170731707317E-2</v>
      </c>
      <c r="I498">
        <f>VLOOKUP(A498,MIN!A:B,2,FALSE)</f>
        <v>25</v>
      </c>
      <c r="J498" t="str">
        <f t="shared" si="17"/>
        <v>NO</v>
      </c>
      <c r="K498">
        <f>VLOOKUP(A498,[1]Pricing!$A:$G,7,FALSE)</f>
        <v>5000</v>
      </c>
      <c r="L498" t="s">
        <v>1960</v>
      </c>
      <c r="M498" t="str">
        <f t="shared" si="18"/>
        <v>615-032231-017</v>
      </c>
    </row>
    <row r="499" spans="1:13" x14ac:dyDescent="0.25">
      <c r="A499" t="s">
        <v>815</v>
      </c>
      <c r="B499" s="14" t="str">
        <f>VLOOKUP(A499,[1]Pricing!$A:$R,18,FALSE)</f>
        <v>ERA-6AEB221V</v>
      </c>
      <c r="C499" t="s">
        <v>2618</v>
      </c>
      <c r="D499" t="str">
        <f>VLOOKUP(A499,[1]AVL!$A:$F,6,FALSE)</f>
        <v>RES,SMD,0805,MF,1/10W,0.1%,220,ROHS</v>
      </c>
      <c r="E499" t="str">
        <f>VLOOKUP(A499,[1]Pricing!$A:$F,6,FALSE)</f>
        <v>3 Weeks</v>
      </c>
      <c r="F499">
        <f>VLOOKUP(B499,[2]Sheet2!$B:$E,4,FALSE)</f>
        <v>4945</v>
      </c>
      <c r="G499" s="2">
        <f>VLOOKUP(A499,[1]Pricing!$A:$H,8,FALSE)</f>
        <v>5.2999999999999999E-2</v>
      </c>
      <c r="H499" s="2">
        <f>VLOOKUP(A499,[1]Pricing!$A:$J,10,FALSE)</f>
        <v>6.4634146341463417E-2</v>
      </c>
      <c r="I499">
        <f>VLOOKUP(A499,MIN!A:B,2,FALSE)</f>
        <v>25</v>
      </c>
      <c r="J499" t="str">
        <f t="shared" si="17"/>
        <v>NO</v>
      </c>
      <c r="K499">
        <f>VLOOKUP(A499,[1]Pricing!$A:$G,7,FALSE)</f>
        <v>5000</v>
      </c>
      <c r="L499" t="s">
        <v>1960</v>
      </c>
      <c r="M499" t="str">
        <f t="shared" si="18"/>
        <v>615-052825-220</v>
      </c>
    </row>
    <row r="500" spans="1:13" x14ac:dyDescent="0.25">
      <c r="A500" t="s">
        <v>1433</v>
      </c>
      <c r="B500" s="14" t="str">
        <f>VLOOKUP(A500,[1]Pricing!$A:$R,18,FALSE)</f>
        <v>RC1206JR-078K2L</v>
      </c>
      <c r="C500" t="s">
        <v>2617</v>
      </c>
      <c r="D500" t="str">
        <f>VLOOKUP(A500,[1]AVL!$A:$F,6,FALSE)</f>
        <v>RES,1206 8.2K 5% 1/8W,ROHS</v>
      </c>
      <c r="E500" t="str">
        <f>VLOOKUP(A500,[1]Pricing!$A:$F,6,FALSE)</f>
        <v>19 Weeks</v>
      </c>
      <c r="F500">
        <f>VLOOKUP(B500,[2]Sheet2!$B:$E,4,FALSE)</f>
        <v>5000</v>
      </c>
      <c r="G500" s="2">
        <f>VLOOKUP(A500,[1]Pricing!$A:$H,8,FALSE)</f>
        <v>7.3530000000000002E-3</v>
      </c>
      <c r="H500" s="2">
        <f>VLOOKUP(A500,[1]Pricing!$A:$J,10,FALSE)</f>
        <v>8.9670731707317073E-3</v>
      </c>
      <c r="I500">
        <f>VLOOKUP(A500,MIN!A:B,2,FALSE)</f>
        <v>25</v>
      </c>
      <c r="J500" t="str">
        <f t="shared" si="17"/>
        <v>NO</v>
      </c>
      <c r="K500">
        <f>VLOOKUP(A500,[1]Pricing!$A:$G,7,FALSE)</f>
        <v>5000</v>
      </c>
      <c r="L500" t="s">
        <v>1960</v>
      </c>
      <c r="M500" t="str">
        <f t="shared" si="18"/>
        <v>615-097890-822</v>
      </c>
    </row>
    <row r="501" spans="1:13" x14ac:dyDescent="0.25">
      <c r="A501" t="s">
        <v>1435</v>
      </c>
      <c r="B501" s="14" t="str">
        <f>VLOOKUP(A501,[1]Pricing!$A:$R,18,FALSE)</f>
        <v>RC1206JR-07910RL</v>
      </c>
      <c r="C501" t="s">
        <v>2580</v>
      </c>
      <c r="D501" t="str">
        <f>VLOOKUP(A501,[1]AVL!$A:$F,6,FALSE)</f>
        <v>RES,SMD,THKF,1206,910 OHM,5%,1/4W,ROHS</v>
      </c>
      <c r="E501" t="str">
        <f>VLOOKUP(A501,[1]Pricing!$A:$F,6,FALSE)</f>
        <v>29 Weeks</v>
      </c>
      <c r="F501">
        <f>VLOOKUP(B501,[2]Sheet2!$B:$E,4,FALSE)</f>
        <v>5000</v>
      </c>
      <c r="G501" s="2">
        <f>VLOOKUP(A501,[1]Pricing!$A:$H,8,FALSE)</f>
        <v>7.3530000000000002E-3</v>
      </c>
      <c r="H501" s="2">
        <f>VLOOKUP(A501,[1]Pricing!$A:$J,10,FALSE)</f>
        <v>8.9670731707317073E-3</v>
      </c>
      <c r="I501">
        <f>VLOOKUP(A501,MIN!A:B,2,FALSE)</f>
        <v>15</v>
      </c>
      <c r="J501" t="str">
        <f t="shared" si="17"/>
        <v>NO</v>
      </c>
      <c r="K501">
        <f>VLOOKUP(A501,[1]Pricing!$A:$G,7,FALSE)</f>
        <v>5000</v>
      </c>
      <c r="L501" t="s">
        <v>1960</v>
      </c>
      <c r="M501" t="str">
        <f t="shared" si="18"/>
        <v>615-032231-012</v>
      </c>
    </row>
    <row r="502" spans="1:13" x14ac:dyDescent="0.25">
      <c r="A502" t="s">
        <v>1375</v>
      </c>
      <c r="B502" s="14" t="str">
        <f>VLOOKUP(A502,[1]Pricing!$A:$R,18,FALSE)</f>
        <v>RC0805FR-074K64L</v>
      </c>
      <c r="C502" t="s">
        <v>2580</v>
      </c>
      <c r="D502" t="str">
        <f>VLOOKUP(A502,[1]AVL!$A:$F,6,FALSE)</f>
        <v>RES,SMD,0805,4.64K,1%,1/10W,ROHS</v>
      </c>
      <c r="E502" t="str">
        <f>VLOOKUP(A502,[1]Pricing!$A:$F,6,FALSE)</f>
        <v>23 Weeks</v>
      </c>
      <c r="F502">
        <f>VLOOKUP(B502,[2]Sheet2!$B:$E,4,FALSE)</f>
        <v>5000</v>
      </c>
      <c r="G502" s="2">
        <f>VLOOKUP(A502,[1]Pricing!$A:$H,8,FALSE)</f>
        <v>9.3380000000000008E-3</v>
      </c>
      <c r="H502" s="2">
        <f>VLOOKUP(A502,[1]Pricing!$A:$J,10,FALSE)</f>
        <v>1.1387804878048783E-2</v>
      </c>
      <c r="I502">
        <f>VLOOKUP(A502,MIN!A:B,2,FALSE)</f>
        <v>15</v>
      </c>
      <c r="J502" t="str">
        <f t="shared" si="17"/>
        <v>NO</v>
      </c>
      <c r="K502">
        <f>VLOOKUP(A502,[1]Pricing!$A:$G,7,FALSE)</f>
        <v>5000</v>
      </c>
      <c r="L502" t="s">
        <v>1960</v>
      </c>
      <c r="M502" t="str">
        <f t="shared" si="18"/>
        <v>615-901301-464</v>
      </c>
    </row>
    <row r="503" spans="1:13" x14ac:dyDescent="0.25">
      <c r="A503" t="s">
        <v>562</v>
      </c>
      <c r="B503" s="14" t="str">
        <f>VLOOKUP(A503,[1]Pricing!$A:$R,18,FALSE)</f>
        <v>C0603C123J3GACTU</v>
      </c>
      <c r="C503" t="s">
        <v>2581</v>
      </c>
      <c r="D503" t="str">
        <f>VLOOKUP(A503,[1]AVL!$A:$F,6,FALSE)</f>
        <v>CAP,SMD,CER,0.012UF,5%,25V,C0G,0603</v>
      </c>
      <c r="E503" t="str">
        <f>VLOOKUP(A503,[1]Pricing!$A:$F,6,FALSE)</f>
        <v>31 Weeks</v>
      </c>
      <c r="F503">
        <f>VLOOKUP(B503,[2]Sheet2!$B:$E,4,FALSE)</f>
        <v>3766</v>
      </c>
      <c r="G503" s="2">
        <f>VLOOKUP(A503,[1]Pricing!$A:$H,8,FALSE)</f>
        <v>9.4364000000000003E-2</v>
      </c>
      <c r="H503" s="2">
        <f>VLOOKUP(A503,[1]Pricing!$A:$J,10,FALSE)</f>
        <v>0.11507804878048782</v>
      </c>
      <c r="I503">
        <f>VLOOKUP(A503,MIN!A:B,2,FALSE)</f>
        <v>15</v>
      </c>
      <c r="J503" t="str">
        <f t="shared" si="17"/>
        <v>NO</v>
      </c>
      <c r="K503">
        <f>VLOOKUP(A503,[1]Pricing!$A:$G,7,FALSE)</f>
        <v>4000</v>
      </c>
      <c r="L503" t="s">
        <v>1960</v>
      </c>
      <c r="M503" t="str">
        <f t="shared" si="18"/>
        <v>648-A74701-123</v>
      </c>
    </row>
    <row r="504" spans="1:13" x14ac:dyDescent="0.25">
      <c r="A504" t="s">
        <v>564</v>
      </c>
      <c r="B504" s="14" t="str">
        <f>VLOOKUP(A504,[1]Pricing!$A:$R,18,FALSE)</f>
        <v>C0603C153J3GACTU</v>
      </c>
      <c r="C504" t="s">
        <v>2581</v>
      </c>
      <c r="D504" t="str">
        <f>VLOOKUP(A504,[1]AVL!$A:$F,6,FALSE)</f>
        <v>CAP,SMD,CER,0.015UF,5%,25V,C0G,0603</v>
      </c>
      <c r="E504" t="str">
        <f>VLOOKUP(A504,[1]Pricing!$A:$F,6,FALSE)</f>
        <v>31 Weeks</v>
      </c>
      <c r="F504">
        <f>VLOOKUP(B504,[2]Sheet2!$B:$E,4,FALSE)</f>
        <v>3808</v>
      </c>
      <c r="G504" s="2">
        <f>VLOOKUP(A504,[1]Pricing!$A:$H,8,FALSE)</f>
        <v>7.7206999999999998E-2</v>
      </c>
      <c r="H504" s="2">
        <f>VLOOKUP(A504,[1]Pricing!$A:$J,10,FALSE)</f>
        <v>9.4154878048780491E-2</v>
      </c>
      <c r="I504">
        <f>VLOOKUP(A504,MIN!A:B,2,FALSE)</f>
        <v>15</v>
      </c>
      <c r="J504" t="str">
        <f t="shared" si="17"/>
        <v>NO</v>
      </c>
      <c r="K504">
        <f>VLOOKUP(A504,[1]Pricing!$A:$G,7,FALSE)</f>
        <v>4000</v>
      </c>
      <c r="L504" t="s">
        <v>1960</v>
      </c>
      <c r="M504" t="str">
        <f t="shared" si="18"/>
        <v>648-A74701-153</v>
      </c>
    </row>
    <row r="505" spans="1:13" x14ac:dyDescent="0.25">
      <c r="A505" t="s">
        <v>1169</v>
      </c>
      <c r="B505" s="14" t="str">
        <f>VLOOKUP(A505,[1]Pricing!$A:$R,18,FALSE)</f>
        <v>MF-LSMF260X-2</v>
      </c>
      <c r="C505" t="s">
        <v>2648</v>
      </c>
      <c r="D505" t="str">
        <f>VLOOKUP(A505,[1]AVL!$A:$F,6,FALSE)</f>
        <v>FUSE,SMD,RESETTABLE PTC,2.6A,24V,2920</v>
      </c>
      <c r="E505" t="str">
        <f>VLOOKUP(A505,[1]Pricing!$A:$F,6,FALSE)</f>
        <v>25 Weeks</v>
      </c>
      <c r="F505">
        <f>VLOOKUP(B505,[2]Sheet2!$B:$E,4,FALSE)</f>
        <v>4000</v>
      </c>
      <c r="G505" s="2">
        <f>VLOOKUP(A505,[1]Pricing!$A:$H,8,FALSE)</f>
        <v>0.40299299999999999</v>
      </c>
      <c r="H505" s="2">
        <f>VLOOKUP(A505,[1]Pricing!$A:$J,10,FALSE)</f>
        <v>0.49145487804878052</v>
      </c>
      <c r="I505">
        <f>VLOOKUP(A505,MIN!A:B,2,FALSE)</f>
        <v>25</v>
      </c>
      <c r="J505" t="str">
        <f t="shared" si="17"/>
        <v>NO</v>
      </c>
      <c r="K505">
        <f>VLOOKUP(A505,[1]Pricing!$A:$G,7,FALSE)</f>
        <v>4000</v>
      </c>
      <c r="L505" t="s">
        <v>1960</v>
      </c>
      <c r="M505" t="str">
        <f t="shared" si="18"/>
        <v>682-341005-002</v>
      </c>
    </row>
    <row r="506" spans="1:13" x14ac:dyDescent="0.25">
      <c r="A506" t="s">
        <v>1250</v>
      </c>
      <c r="B506" s="14" t="str">
        <f>VLOOKUP(A506,[1]Pricing!$A:$R,18,FALSE)</f>
        <v>PE2512FKE070R008L</v>
      </c>
      <c r="C506" t="s">
        <v>2580</v>
      </c>
      <c r="D506" t="str">
        <f>VLOOKUP(A506,[1]AVL!$A:$F,6,FALSE)</f>
        <v>RES,METAL FILM,0.008 OHM,1W,±1%,2512</v>
      </c>
      <c r="E506" t="str">
        <f>VLOOKUP(A506,[1]Pricing!$A:$F,6,FALSE)</f>
        <v>25 Weeks</v>
      </c>
      <c r="F506">
        <f>VLOOKUP(B506,[2]Sheet2!$B:$E,4,FALSE)</f>
        <v>4000</v>
      </c>
      <c r="G506" s="2">
        <f>VLOOKUP(A506,[1]Pricing!$A:$H,8,FALSE)</f>
        <v>0.132048</v>
      </c>
      <c r="H506" s="2">
        <f>VLOOKUP(A506,[1]Pricing!$A:$J,10,FALSE)</f>
        <v>0.16103414634146343</v>
      </c>
      <c r="I506">
        <f>VLOOKUP(A506,MIN!A:B,2,FALSE)</f>
        <v>15</v>
      </c>
      <c r="J506" t="str">
        <f t="shared" si="17"/>
        <v>NO</v>
      </c>
      <c r="K506">
        <f>VLOOKUP(A506,[1]Pricing!$A:$G,7,FALSE)</f>
        <v>4000</v>
      </c>
      <c r="L506" t="s">
        <v>1960</v>
      </c>
      <c r="M506" t="str">
        <f t="shared" si="18"/>
        <v>618-A04362-008</v>
      </c>
    </row>
    <row r="507" spans="1:13" x14ac:dyDescent="0.25">
      <c r="A507" t="s">
        <v>17</v>
      </c>
      <c r="B507" s="14" t="str">
        <f>VLOOKUP(A507,[1]Pricing!$A:$R,18,FALSE)</f>
        <v>08051A220FAT2A</v>
      </c>
      <c r="C507" t="s">
        <v>2673</v>
      </c>
      <c r="D507" t="str">
        <f>VLOOKUP(A507,[1]AVL!$A:$F,6,FALSE)</f>
        <v>CAP,0805,CER,C0G,1%,100V,22PF ROHS</v>
      </c>
      <c r="E507" t="str">
        <f>VLOOKUP(A507,[1]Pricing!$A:$F,6,FALSE)</f>
        <v>17 Weeks</v>
      </c>
      <c r="F507">
        <f>VLOOKUP(B507,[2]Sheet2!$B:$E,4,FALSE)</f>
        <v>3820</v>
      </c>
      <c r="G507" s="2">
        <f>VLOOKUP(A507,[1]Pricing!$A:$H,8,FALSE)</f>
        <v>9.4364000000000003E-2</v>
      </c>
      <c r="H507" s="2">
        <f>VLOOKUP(A507,[1]Pricing!$A:$J,10,FALSE)</f>
        <v>0.11507804878048782</v>
      </c>
      <c r="I507">
        <f>VLOOKUP(A507,MIN!A:B,2,FALSE)</f>
        <v>25</v>
      </c>
      <c r="J507" t="str">
        <f t="shared" si="17"/>
        <v>NO</v>
      </c>
      <c r="K507">
        <f>VLOOKUP(A507,[1]Pricing!$A:$G,7,FALSE)</f>
        <v>4000</v>
      </c>
      <c r="L507" t="s">
        <v>1960</v>
      </c>
      <c r="M507" t="str">
        <f t="shared" si="18"/>
        <v>648-157397-220</v>
      </c>
    </row>
    <row r="508" spans="1:13" x14ac:dyDescent="0.25">
      <c r="A508" t="s">
        <v>698</v>
      </c>
      <c r="B508" s="14" t="str">
        <f>VLOOKUP(A508,[1]Pricing!$A:$R,18,FALSE)</f>
        <v>CRCW20102K20JNEF</v>
      </c>
      <c r="C508" t="s">
        <v>2667</v>
      </c>
      <c r="D508" t="str">
        <f>VLOOKUP(A508,[1]AVL!$A:$F,6,FALSE)</f>
        <v>RESISTOR,SMD,2010,2.2K OHM,5% 1/2W,ROHS</v>
      </c>
      <c r="E508" t="str">
        <f>VLOOKUP(A508,[1]Pricing!$A:$F,6,FALSE)</f>
        <v>17 Weeks</v>
      </c>
      <c r="F508">
        <f>VLOOKUP(B508,[2]Sheet2!$B:$E,4,FALSE)</f>
        <v>4000</v>
      </c>
      <c r="G508" s="2">
        <f>VLOOKUP(A508,[1]Pricing!$A:$H,8,FALSE)</f>
        <v>4.1667000000000003E-2</v>
      </c>
      <c r="H508" s="2">
        <f>VLOOKUP(A508,[1]Pricing!$A:$J,10,FALSE)</f>
        <v>5.0813414634146348E-2</v>
      </c>
      <c r="I508">
        <f>VLOOKUP(A508,MIN!A:B,2,FALSE)</f>
        <v>25</v>
      </c>
      <c r="J508" t="str">
        <f t="shared" si="17"/>
        <v>NO</v>
      </c>
      <c r="K508">
        <f>VLOOKUP(A508,[1]Pricing!$A:$G,7,FALSE)</f>
        <v>4000</v>
      </c>
      <c r="L508" t="s">
        <v>1960</v>
      </c>
      <c r="M508" t="str">
        <f t="shared" si="18"/>
        <v>615-098743-222</v>
      </c>
    </row>
    <row r="509" spans="1:13" x14ac:dyDescent="0.25">
      <c r="A509" t="s">
        <v>1683</v>
      </c>
      <c r="B509" s="14" t="str">
        <f>VLOOKUP(A509,[1]Pricing!$A:$R,18,FALSE)</f>
        <v>SN74LVC1G00DBVR</v>
      </c>
      <c r="C509" t="s">
        <v>2595</v>
      </c>
      <c r="D509" t="str">
        <f>VLOOKUP(A509,[1]AVL!$A:$F,6,FALSE)</f>
        <v>IC,SMD,NAND,2-INPUT,1.65-5.5V,SOT-23-5</v>
      </c>
      <c r="E509" t="str">
        <f>VLOOKUP(A509,[1]Pricing!$A:$F,6,FALSE)</f>
        <v>3 Weeks</v>
      </c>
      <c r="F509">
        <f>VLOOKUP(B509,[2]Sheet2!$B:$E,4,FALSE)</f>
        <v>2970</v>
      </c>
      <c r="G509" s="2">
        <f>VLOOKUP(A509,[1]Pricing!$A:$H,8,FALSE)</f>
        <v>5.2697000000000001E-2</v>
      </c>
      <c r="H509" s="2">
        <f>VLOOKUP(A509,[1]Pricing!$A:$J,10,FALSE)</f>
        <v>6.4264634146341468E-2</v>
      </c>
      <c r="I509">
        <f>VLOOKUP(A509,MIN!A:B,2,FALSE)</f>
        <v>25</v>
      </c>
      <c r="J509" t="str">
        <f t="shared" si="17"/>
        <v>NO</v>
      </c>
      <c r="K509">
        <f>VLOOKUP(A509,[1]Pricing!$A:$G,7,FALSE)</f>
        <v>3000</v>
      </c>
      <c r="L509" t="s">
        <v>1960</v>
      </c>
      <c r="M509" t="str">
        <f t="shared" si="18"/>
        <v>630-135486-002</v>
      </c>
    </row>
    <row r="510" spans="1:13" x14ac:dyDescent="0.25">
      <c r="A510" t="s">
        <v>24</v>
      </c>
      <c r="B510" s="14" t="str">
        <f>VLOOKUP(A510,[1]Pricing!$A:$R,18,FALSE)</f>
        <v>1.5SMC30A</v>
      </c>
      <c r="C510" t="s">
        <v>2620</v>
      </c>
      <c r="D510" t="e">
        <f>VLOOKUP(A510,[1]AVL!$A:$F,6,FALSE)</f>
        <v>#N/A</v>
      </c>
      <c r="E510" t="str">
        <f>VLOOKUP(A510,[1]Pricing!$A:$F,6,FALSE)</f>
        <v>35 Weeks</v>
      </c>
      <c r="F510">
        <f>VLOOKUP(B510,[2]Sheet2!$B:$E,4,FALSE)</f>
        <v>2254</v>
      </c>
      <c r="G510" s="2">
        <f>VLOOKUP(A510,[1]Pricing!$A:$H,8,FALSE)</f>
        <v>0.192269</v>
      </c>
      <c r="H510" s="2">
        <f>VLOOKUP(A510,[1]Pricing!$A:$J,10,FALSE)</f>
        <v>0.23447439024390246</v>
      </c>
      <c r="I510">
        <f>VLOOKUP(A510,MIN!A:B,2,FALSE)</f>
        <v>15</v>
      </c>
      <c r="J510" t="str">
        <f t="shared" si="17"/>
        <v>NO</v>
      </c>
      <c r="K510">
        <f>VLOOKUP(A510,[1]Pricing!$A:$G,7,FALSE)</f>
        <v>3000</v>
      </c>
      <c r="L510" t="s">
        <v>2689</v>
      </c>
      <c r="M510" t="str">
        <f t="shared" si="18"/>
        <v>609-099412-300</v>
      </c>
    </row>
    <row r="511" spans="1:13" x14ac:dyDescent="0.25">
      <c r="A511" t="s">
        <v>1607</v>
      </c>
      <c r="B511" s="14" t="str">
        <f>VLOOKUP(A511,[1]Pricing!$A:$R,18,FALSE)</f>
        <v>S2761-46R</v>
      </c>
      <c r="C511" t="s">
        <v>2657</v>
      </c>
      <c r="D511" t="str">
        <f>VLOOKUP(A511,[1]AVL!$A:$F,6,FALSE)</f>
        <v>TEST PT,SMD,VERT,3.5A,BRS,1.6X0.8X1.15IN</v>
      </c>
      <c r="E511" t="str">
        <f>VLOOKUP(A511,[1]Pricing!$A:$F,6,FALSE)</f>
        <v>25 Weeks</v>
      </c>
      <c r="F511">
        <f>VLOOKUP(B511,[2]Sheet2!$B:$E,4,FALSE)</f>
        <v>3000</v>
      </c>
      <c r="G511" s="2">
        <f>VLOOKUP(A511,[1]Pricing!$A:$H,8,FALSE)</f>
        <v>0.13214600000000001</v>
      </c>
      <c r="H511" s="2">
        <f>VLOOKUP(A511,[1]Pricing!$A:$J,10,FALSE)</f>
        <v>0.16115365853658539</v>
      </c>
      <c r="I511">
        <f>VLOOKUP(A511,MIN!A:B,2,FALSE)</f>
        <v>30</v>
      </c>
      <c r="J511" t="str">
        <f t="shared" si="17"/>
        <v>NO</v>
      </c>
      <c r="K511">
        <f>VLOOKUP(A511,[1]Pricing!$A:$G,7,FALSE)</f>
        <v>3000</v>
      </c>
      <c r="L511" t="s">
        <v>1960</v>
      </c>
      <c r="M511" t="str">
        <f t="shared" si="18"/>
        <v>687-A95661-001</v>
      </c>
    </row>
    <row r="512" spans="1:13" x14ac:dyDescent="0.25">
      <c r="A512" t="s">
        <v>26</v>
      </c>
      <c r="B512" s="14" t="str">
        <f>VLOOKUP(A512,[1]Pricing!$A:$R,18,FALSE)</f>
        <v>‎1.5SMC36A‎</v>
      </c>
      <c r="C512" t="s">
        <v>2620</v>
      </c>
      <c r="D512" t="str">
        <f>VLOOKUP(A512,[1]AVL!$A:$F,6,FALSE)</f>
        <v>DIODE,TVS,36V ,1.5KW,SMC,ROHS</v>
      </c>
      <c r="E512" t="str">
        <f>VLOOKUP(A512,[1]Pricing!$A:$F,6,FALSE)</f>
        <v>40 Weeks</v>
      </c>
      <c r="F512">
        <f>VLOOKUP(B512,[2]Sheet2!$B:$E,4,FALSE)</f>
        <v>3000</v>
      </c>
      <c r="G512" s="2">
        <f>VLOOKUP(A512,[1]Pricing!$A:$H,8,FALSE)</f>
        <v>0.17524700000000001</v>
      </c>
      <c r="H512" s="2">
        <f>VLOOKUP(A512,[1]Pricing!$A:$J,10,FALSE)</f>
        <v>0.21371585365853663</v>
      </c>
      <c r="I512">
        <f>VLOOKUP(A512,MIN!A:B,2,FALSE)</f>
        <v>15</v>
      </c>
      <c r="J512" t="str">
        <f t="shared" si="17"/>
        <v>NO</v>
      </c>
      <c r="K512">
        <f>VLOOKUP(A512,[1]Pricing!$A:$G,7,FALSE)</f>
        <v>3000</v>
      </c>
      <c r="L512" t="s">
        <v>1960</v>
      </c>
      <c r="M512" t="str">
        <f t="shared" si="18"/>
        <v>609-099412-360</v>
      </c>
    </row>
    <row r="513" spans="1:13" x14ac:dyDescent="0.25">
      <c r="A513" t="s">
        <v>532</v>
      </c>
      <c r="B513" s="14" t="str">
        <f>VLOOKUP(A513,[1]Pricing!$A:$R,18,FALSE)</f>
        <v>BAT54ALT1G</v>
      </c>
      <c r="C513" t="s">
        <v>2623</v>
      </c>
      <c r="D513" t="str">
        <f>VLOOKUP(A513,[1]AVL!$A:$F,6,FALSE)</f>
        <v>DIO,SMD,SCHOTTKY BARR,0.52V,100MA,SOT-23</v>
      </c>
      <c r="E513" t="str">
        <f>VLOOKUP(A513,[1]Pricing!$A:$F,6,FALSE)</f>
        <v>32 Weeks</v>
      </c>
      <c r="F513">
        <f>VLOOKUP(B513,[2]Sheet2!$B:$E,4,FALSE)</f>
        <v>2900</v>
      </c>
      <c r="G513" s="2">
        <f>VLOOKUP(A513,[1]Pricing!$A:$H,8,FALSE)</f>
        <v>2.0833999999999998E-2</v>
      </c>
      <c r="H513" s="2">
        <f>VLOOKUP(A513,[1]Pricing!$A:$J,10,FALSE)</f>
        <v>2.5407317073170732E-2</v>
      </c>
      <c r="I513">
        <f>VLOOKUP(A513,MIN!A:B,2,FALSE)</f>
        <v>25</v>
      </c>
      <c r="J513" t="str">
        <f t="shared" si="17"/>
        <v>NO</v>
      </c>
      <c r="K513">
        <f>VLOOKUP(A513,[1]Pricing!$A:$G,7,FALSE)</f>
        <v>3000</v>
      </c>
      <c r="L513" t="s">
        <v>1960</v>
      </c>
      <c r="M513" t="str">
        <f t="shared" si="18"/>
        <v>609-235641-001</v>
      </c>
    </row>
    <row r="514" spans="1:13" x14ac:dyDescent="0.25">
      <c r="A514" t="s">
        <v>143</v>
      </c>
      <c r="B514" s="14" t="str">
        <f>VLOOKUP(A514,[1]Pricing!$A:$R,18,FALSE)</f>
        <v>1N4148W-TP</v>
      </c>
      <c r="C514" t="s">
        <v>2688</v>
      </c>
      <c r="D514" t="str">
        <f>VLOOKUP(A514,[1]AVL!$A:$F,6,FALSE)</f>
        <v>DIO,SMD,1N4148W,FASTSW,200MW,SOD123,ROHS</v>
      </c>
      <c r="E514" t="str">
        <f>VLOOKUP(A514,[1]Pricing!$A:$F,6,FALSE)</f>
        <v>13 Weeks</v>
      </c>
      <c r="F514">
        <f>VLOOKUP(B514,[2]Sheet2!$B:$E,4,FALSE)</f>
        <v>2170</v>
      </c>
      <c r="G514" s="2">
        <f>VLOOKUP(A514,[1]Pricing!$A:$H,8,FALSE)</f>
        <v>1.8383E-2</v>
      </c>
      <c r="H514" s="2">
        <f>VLOOKUP(A514,[1]Pricing!$A:$J,10,FALSE)</f>
        <v>2.2418292682926829E-2</v>
      </c>
      <c r="I514">
        <f>VLOOKUP(A514,MIN!A:B,2,FALSE)</f>
        <v>25</v>
      </c>
      <c r="J514" t="str">
        <f t="shared" ref="J514:J545" si="19">IF(F514&lt;=I514,"REORDER","NO")</f>
        <v>NO</v>
      </c>
      <c r="K514">
        <f>VLOOKUP(A514,[1]Pricing!$A:$G,7,FALSE)</f>
        <v>3000</v>
      </c>
      <c r="L514" t="s">
        <v>2689</v>
      </c>
      <c r="M514" t="str">
        <f t="shared" si="18"/>
        <v>609-049039-001</v>
      </c>
    </row>
    <row r="515" spans="1:13" x14ac:dyDescent="0.25">
      <c r="A515" t="s">
        <v>740</v>
      </c>
      <c r="B515" s="14" t="str">
        <f>VLOOKUP(A515,[1]Pricing!$A:$R,18,FALSE)</f>
        <v>DFLS130L-7</v>
      </c>
      <c r="C515" t="s">
        <v>2634</v>
      </c>
      <c r="D515" t="str">
        <f>VLOOKUP(A515,[1]AVL!$A:$F,6,FALSE)</f>
        <v>DIO,SMD,SCHOTTKY,30V,1A,POWERDI123</v>
      </c>
      <c r="E515" t="str">
        <f>VLOOKUP(A515,[1]Pricing!$A:$F,6,FALSE)</f>
        <v>20 Weeks</v>
      </c>
      <c r="F515">
        <f>VLOOKUP(B515,[2]Sheet2!$B:$E,4,FALSE)</f>
        <v>3000</v>
      </c>
      <c r="G515" s="2">
        <f>VLOOKUP(A515,[1]Pricing!$A:$H,8,FALSE)</f>
        <v>0.14676600000000001</v>
      </c>
      <c r="H515" s="2">
        <f>VLOOKUP(A515,[1]Pricing!$A:$J,10,FALSE)</f>
        <v>0.17898292682926831</v>
      </c>
      <c r="I515">
        <f>VLOOKUP(A515,MIN!A:B,2,FALSE)</f>
        <v>25</v>
      </c>
      <c r="J515" t="str">
        <f t="shared" si="19"/>
        <v>NO</v>
      </c>
      <c r="K515">
        <f>VLOOKUP(A515,[1]Pricing!$A:$G,7,FALSE)</f>
        <v>3000</v>
      </c>
      <c r="L515" t="s">
        <v>1960</v>
      </c>
      <c r="M515" t="str">
        <f t="shared" si="18"/>
        <v>609-A58376-001</v>
      </c>
    </row>
    <row r="516" spans="1:13" x14ac:dyDescent="0.25">
      <c r="A516" t="s">
        <v>534</v>
      </c>
      <c r="B516" s="14" t="str">
        <f>VLOOKUP(A516,[1]Pricing!$A:$R,18,FALSE)</f>
        <v>BAT54SWT1G</v>
      </c>
      <c r="C516" t="s">
        <v>2623</v>
      </c>
      <c r="D516" t="str">
        <f>VLOOKUP(A516,[1]AVL!$A:$F,6,FALSE)</f>
        <v>DIODE,SCHOTTKY,DUAL SERIES,SOT-323</v>
      </c>
      <c r="E516" t="str">
        <f>VLOOKUP(A516,[1]Pricing!$A:$F,6,FALSE)</f>
        <v>12 Weeks</v>
      </c>
      <c r="F516">
        <f>VLOOKUP(B516,[2]Sheet2!$B:$E,4,FALSE)</f>
        <v>3000</v>
      </c>
      <c r="G516" s="2">
        <f>VLOOKUP(A516,[1]Pricing!$A:$H,8,FALSE)</f>
        <v>3.5639999999999998E-2</v>
      </c>
      <c r="H516" s="2">
        <f>VLOOKUP(A516,[1]Pricing!$A:$J,10,FALSE)</f>
        <v>4.3463414634146338E-2</v>
      </c>
      <c r="I516">
        <f>VLOOKUP(A516,MIN!A:B,2,FALSE)</f>
        <v>15</v>
      </c>
      <c r="J516" t="str">
        <f t="shared" si="19"/>
        <v>NO</v>
      </c>
      <c r="K516">
        <f>VLOOKUP(A516,[1]Pricing!$A:$G,7,FALSE)</f>
        <v>3000</v>
      </c>
      <c r="L516" t="s">
        <v>1960</v>
      </c>
      <c r="M516" t="str">
        <f t="shared" ref="M516:M579" si="20">A516</f>
        <v>609-901596-001</v>
      </c>
    </row>
    <row r="517" spans="1:13" x14ac:dyDescent="0.25">
      <c r="A517" t="s">
        <v>1678</v>
      </c>
      <c r="B517" s="14" t="str">
        <f>VLOOKUP(A517,[1]Pricing!$A:$R,18,FALSE)</f>
        <v>SN74HC11DR</v>
      </c>
      <c r="C517" t="s">
        <v>2595</v>
      </c>
      <c r="D517" t="str">
        <f>VLOOKUP(A517,[1]AVL!$A:$F,6,FALSE)</f>
        <v>IC,SMD,74HC11 3-IN AND SO14</v>
      </c>
      <c r="E517" t="str">
        <f>VLOOKUP(A517,[1]Pricing!$A:$F,6,FALSE)</f>
        <v>3 Weeks</v>
      </c>
      <c r="F517">
        <f>VLOOKUP(B517,[2]Sheet2!$B:$E,4,FALSE)</f>
        <v>2497</v>
      </c>
      <c r="G517" s="2">
        <f>VLOOKUP(A517,[1]Pricing!$A:$H,8,FALSE)</f>
        <v>0.14460899999999999</v>
      </c>
      <c r="H517" s="2">
        <f>VLOOKUP(A517,[1]Pricing!$A:$J,10,FALSE)</f>
        <v>0.17635243902439024</v>
      </c>
      <c r="I517">
        <f>VLOOKUP(A517,MIN!A:B,2,FALSE)</f>
        <v>25</v>
      </c>
      <c r="J517" t="str">
        <f t="shared" si="19"/>
        <v>NO</v>
      </c>
      <c r="K517">
        <f>VLOOKUP(A517,[1]Pricing!$A:$G,7,FALSE)</f>
        <v>2500</v>
      </c>
      <c r="L517" t="s">
        <v>1960</v>
      </c>
      <c r="M517" t="str">
        <f t="shared" si="20"/>
        <v>630-099034-011</v>
      </c>
    </row>
    <row r="518" spans="1:13" x14ac:dyDescent="0.25">
      <c r="A518" t="s">
        <v>1040</v>
      </c>
      <c r="B518" s="14" t="str">
        <f>VLOOKUP(A518,[1]Pricing!$A:$R,18,FALSE)</f>
        <v>LM311MX/NOPB</v>
      </c>
      <c r="C518" t="s">
        <v>2595</v>
      </c>
      <c r="D518" t="str">
        <f>VLOOKUP(A518,[1]AVL!$A:$F,6,FALSE)</f>
        <v>IC,SMD,LM311,VOLT COMPARATOR,8SOIC</v>
      </c>
      <c r="E518" t="str">
        <f>VLOOKUP(A518,[1]Pricing!$A:$F,6,FALSE)</f>
        <v>3 Weeks</v>
      </c>
      <c r="F518">
        <f>VLOOKUP(B518,[2]Sheet2!$B:$E,4,FALSE)</f>
        <v>2500</v>
      </c>
      <c r="G518" s="2">
        <f>VLOOKUP(A518,[1]Pricing!$A:$H,8,FALSE)</f>
        <v>0.350493</v>
      </c>
      <c r="H518" s="2">
        <f>VLOOKUP(A518,[1]Pricing!$A:$J,10,FALSE)</f>
        <v>0.42743048780487808</v>
      </c>
      <c r="I518">
        <f>VLOOKUP(A518,MIN!A:B,2,FALSE)</f>
        <v>15</v>
      </c>
      <c r="J518" t="str">
        <f t="shared" si="19"/>
        <v>NO</v>
      </c>
      <c r="K518">
        <f>VLOOKUP(A518,[1]Pricing!$A:$G,7,FALSE)</f>
        <v>2500</v>
      </c>
      <c r="L518" t="s">
        <v>1960</v>
      </c>
      <c r="M518" t="str">
        <f t="shared" si="20"/>
        <v>630-048331-001</v>
      </c>
    </row>
    <row r="519" spans="1:13" x14ac:dyDescent="0.25">
      <c r="A519" t="s">
        <v>1052</v>
      </c>
      <c r="B519" s="14" t="str">
        <f>VLOOKUP(A519,[1]Pricing!$A:$R,18,FALSE)</f>
        <v>LM7332MAX/NOPB</v>
      </c>
      <c r="C519" t="s">
        <v>2595</v>
      </c>
      <c r="D519" t="str">
        <f>VLOOKUP(A519,[1]AVL!$A:$F,6,FALSE)</f>
        <v>IC,SMD,DUAL OPAMP,RTR IN/OUT</v>
      </c>
      <c r="E519" t="str">
        <f>VLOOKUP(A519,[1]Pricing!$A:$F,6,FALSE)</f>
        <v>12 Weeks</v>
      </c>
      <c r="F519">
        <f>VLOOKUP(B519,[2]Sheet2!$B:$E,4,FALSE)</f>
        <v>2500</v>
      </c>
      <c r="G519" s="2">
        <f>VLOOKUP(A519,[1]Pricing!$A:$H,8,FALSE)</f>
        <v>1.5808949999999999</v>
      </c>
      <c r="H519" s="2">
        <f>VLOOKUP(A519,[1]Pricing!$A:$J,10,FALSE)</f>
        <v>1.927920731707317</v>
      </c>
      <c r="I519">
        <f>VLOOKUP(A519,MIN!A:B,2,FALSE)</f>
        <v>25</v>
      </c>
      <c r="J519" t="str">
        <f t="shared" si="19"/>
        <v>NO</v>
      </c>
      <c r="K519">
        <f>VLOOKUP(A519,[1]Pricing!$A:$G,7,FALSE)</f>
        <v>2500</v>
      </c>
      <c r="L519" t="s">
        <v>1960</v>
      </c>
      <c r="M519" t="str">
        <f t="shared" si="20"/>
        <v>630-129637-001</v>
      </c>
    </row>
    <row r="520" spans="1:13" x14ac:dyDescent="0.25">
      <c r="A520" t="s">
        <v>133</v>
      </c>
      <c r="B520" s="14" t="str">
        <f>VLOOKUP(A520,[1]Pricing!$A:$R,18,FALSE)</f>
        <v>1812L110PR</v>
      </c>
      <c r="C520" t="s">
        <v>2620</v>
      </c>
      <c r="D520" t="str">
        <f>VLOOKUP(A520,[1]AVL!$A:$F,6,FALSE)</f>
        <v>FUSE,SMD,1812,6V-30V,XXX,ROHS</v>
      </c>
      <c r="E520" t="str">
        <f>VLOOKUP(A520,[1]Pricing!$A:$F,6,FALSE)</f>
        <v>18 Weeks</v>
      </c>
      <c r="F520">
        <f>VLOOKUP(B520,[2]Sheet2!$B:$E,4,FALSE)</f>
        <v>1987</v>
      </c>
      <c r="G520" s="2">
        <f>VLOOKUP(A520,[1]Pricing!$A:$H,8,FALSE)</f>
        <v>0.16176599999999999</v>
      </c>
      <c r="H520" s="2">
        <f>VLOOKUP(A520,[1]Pricing!$A:$J,10,FALSE)</f>
        <v>0.19727560975609756</v>
      </c>
      <c r="I520">
        <f>VLOOKUP(A520,MIN!A:B,2,FALSE)</f>
        <v>25</v>
      </c>
      <c r="J520" t="str">
        <f t="shared" si="19"/>
        <v>NO</v>
      </c>
      <c r="K520">
        <f>VLOOKUP(A520,[1]Pricing!$A:$G,7,FALSE)</f>
        <v>2000</v>
      </c>
      <c r="L520" t="s">
        <v>1960</v>
      </c>
      <c r="M520" t="str">
        <f t="shared" si="20"/>
        <v>682-020656-007</v>
      </c>
    </row>
    <row r="521" spans="1:13" x14ac:dyDescent="0.25">
      <c r="A521" t="s">
        <v>1614</v>
      </c>
      <c r="B521" s="14" t="str">
        <f>VLOOKUP(A521,[1]Pricing!$A:$R,18,FALSE)</f>
        <v>S8121-46R</v>
      </c>
      <c r="C521" t="s">
        <v>2657</v>
      </c>
      <c r="D521" t="str">
        <f>VLOOKUP(A521,[1]AVL!$A:$F,6,FALSE)</f>
        <v>SMT CABLE CLIP,1.5-2MM DIA</v>
      </c>
      <c r="E521" t="str">
        <f>VLOOKUP(A521,[1]Pricing!$A:$F,6,FALSE)</f>
        <v>24 Weeks</v>
      </c>
      <c r="F521">
        <f>VLOOKUP(B521,[2]Sheet2!$B:$E,4,FALSE)</f>
        <v>1289</v>
      </c>
      <c r="G521" s="2">
        <f>VLOOKUP(A521,[1]Pricing!$A:$H,8,FALSE)</f>
        <v>0.15323700000000001</v>
      </c>
      <c r="H521" s="2">
        <f>VLOOKUP(A521,[1]Pricing!$A:$J,10,FALSE)</f>
        <v>0.18687439024390246</v>
      </c>
      <c r="I521">
        <f>VLOOKUP(A521,MIN!A:B,2,FALSE)</f>
        <v>25</v>
      </c>
      <c r="J521" t="str">
        <f t="shared" si="19"/>
        <v>NO</v>
      </c>
      <c r="K521">
        <f>VLOOKUP(A521,[1]Pricing!$A:$G,7,FALSE)</f>
        <v>1300</v>
      </c>
      <c r="L521" t="s">
        <v>1960</v>
      </c>
      <c r="M521" t="str">
        <f t="shared" si="20"/>
        <v>686-227297-002</v>
      </c>
    </row>
    <row r="522" spans="1:13" x14ac:dyDescent="0.25">
      <c r="A522" t="s">
        <v>1494</v>
      </c>
      <c r="B522" s="14" t="str">
        <f>VLOOKUP(A522,[1]Pricing!$A:$R,18,FALSE)</f>
        <v>RKEF500</v>
      </c>
      <c r="C522" t="s">
        <v>2620</v>
      </c>
      <c r="D522" t="str">
        <f>VLOOKUP(A522,[1]AVL!$A:$F,6,FALSE)</f>
        <v>FUSE,PPTC,5A HOLD CUR,60V,THT</v>
      </c>
      <c r="E522" t="str">
        <f>VLOOKUP(A522,[1]Pricing!$A:$F,6,FALSE)</f>
        <v>18 Weeks</v>
      </c>
      <c r="F522">
        <f>VLOOKUP(B522,[2]Sheet2!$B:$E,4,FALSE)</f>
        <v>940</v>
      </c>
      <c r="G522" s="2">
        <f>VLOOKUP(A522,[1]Pricing!$A:$H,8,FALSE)</f>
        <v>0.59559300000000004</v>
      </c>
      <c r="H522" s="2">
        <f>VLOOKUP(A522,[1]Pricing!$A:$J,10,FALSE)</f>
        <v>0.72633292682926842</v>
      </c>
      <c r="I522">
        <f>VLOOKUP(A522,MIN!A:B,2,FALSE)</f>
        <v>15</v>
      </c>
      <c r="J522" t="str">
        <f t="shared" si="19"/>
        <v>NO</v>
      </c>
      <c r="K522">
        <f>VLOOKUP(A522,[1]Pricing!$A:$G,7,FALSE)</f>
        <v>1000</v>
      </c>
      <c r="L522" t="s">
        <v>1960</v>
      </c>
      <c r="M522" t="str">
        <f t="shared" si="20"/>
        <v>670-A11993-500</v>
      </c>
    </row>
    <row r="523" spans="1:13" x14ac:dyDescent="0.25">
      <c r="A523" t="s">
        <v>1646</v>
      </c>
      <c r="B523" s="14" t="str">
        <f>VLOOKUP(A523,[1]Pricing!$A:$R,18,FALSE)</f>
        <v>SM04B-PASS-TBT(LF)(SN)</v>
      </c>
      <c r="C523" t="s">
        <v>529</v>
      </c>
      <c r="D523" t="str">
        <f>VLOOKUP(A523,[1]AVL!$A:$F,6,FALSE)</f>
        <v>CONN,SMD,HDR,4POSN,1ROW,2MM PITCH,RTANG</v>
      </c>
      <c r="E523" t="str">
        <f>VLOOKUP(A523,[1]Pricing!$A:$F,6,FALSE)</f>
        <v>19 Weeks</v>
      </c>
      <c r="F523">
        <f>VLOOKUP(B523,[2]Sheet2!$B:$E,4,FALSE)</f>
        <v>1000</v>
      </c>
      <c r="G523" s="2">
        <f>VLOOKUP(A523,[1]Pricing!$A:$H,8,FALSE)</f>
        <v>0.63085999999999998</v>
      </c>
      <c r="H523" s="2">
        <f>VLOOKUP(A523,[1]Pricing!$A:$J,10,FALSE)</f>
        <v>0.76934146341463416</v>
      </c>
      <c r="I523">
        <f>VLOOKUP(A523,MIN!A:B,2,FALSE)</f>
        <v>25</v>
      </c>
      <c r="J523" t="str">
        <f t="shared" si="19"/>
        <v>NO</v>
      </c>
      <c r="K523">
        <f>VLOOKUP(A523,[1]Pricing!$A:$G,7,FALSE)</f>
        <v>1000</v>
      </c>
      <c r="L523" t="s">
        <v>1960</v>
      </c>
      <c r="M523" t="str">
        <f t="shared" si="20"/>
        <v>667-A66914-004</v>
      </c>
    </row>
    <row r="524" spans="1:13" x14ac:dyDescent="0.25">
      <c r="A524" t="s">
        <v>139</v>
      </c>
      <c r="B524" s="14" t="str">
        <f>VLOOKUP(A524,[1]Pricing!$A:$R,18,FALSE)</f>
        <v>1825910-6</v>
      </c>
      <c r="C524" t="s">
        <v>2599</v>
      </c>
      <c r="D524" t="str">
        <f>VLOOKUP(A524,[1]AVL!$A:$F,6,FALSE)</f>
        <v>SWITCH,PUSH BUT,SPST,50MA,24V,1.40MM HT</v>
      </c>
      <c r="E524" t="str">
        <f>VLOOKUP(A524,[1]Pricing!$A:$F,6,FALSE)</f>
        <v>23 Weeks</v>
      </c>
      <c r="F524">
        <f>VLOOKUP(B524,[2]Sheet2!$B:$E,4,FALSE)</f>
        <v>1490</v>
      </c>
      <c r="G524" s="2">
        <f>VLOOKUP(A524,[1]Pricing!$A:$H,8,FALSE)</f>
        <v>7.5981000000000007E-2</v>
      </c>
      <c r="H524" s="2">
        <f>VLOOKUP(A524,[1]Pricing!$A:$J,10,FALSE)</f>
        <v>9.2659756097560983E-2</v>
      </c>
      <c r="I524">
        <f>VLOOKUP(A524,MIN!A:B,2,FALSE)</f>
        <v>15</v>
      </c>
      <c r="J524" t="str">
        <f t="shared" si="19"/>
        <v>NO</v>
      </c>
      <c r="K524">
        <f>VLOOKUP(A524,[1]Pricing!$A:$G,7,FALSE)</f>
        <v>750</v>
      </c>
      <c r="L524" t="s">
        <v>1960</v>
      </c>
      <c r="M524" t="str">
        <f t="shared" si="20"/>
        <v>645-182367-006</v>
      </c>
    </row>
    <row r="525" spans="1:13" x14ac:dyDescent="0.25">
      <c r="A525" t="s">
        <v>1103</v>
      </c>
      <c r="B525" s="14" t="str">
        <f>VLOOKUP(A525,[1]Pricing!$A:$R,18,FALSE)</f>
        <v>LTL-4233</v>
      </c>
      <c r="C525" t="s">
        <v>2629</v>
      </c>
      <c r="D525" t="str">
        <f>VLOOKUP(A525,[1]AVL!$A:$F,6,FALSE)</f>
        <v>LED,T-1 3/4,GREEN,LOW CURRENT</v>
      </c>
      <c r="E525" t="str">
        <f>VLOOKUP(A525,[1]Pricing!$A:$F,6,FALSE)</f>
        <v>15 Weeks</v>
      </c>
      <c r="F525">
        <f>VLOOKUP(B525,[2]Sheet2!$B:$E,4,FALSE)</f>
        <v>477</v>
      </c>
      <c r="G525" s="2">
        <f>VLOOKUP(A525,[1]Pricing!$A:$H,8,FALSE)</f>
        <v>8.0882999999999997E-2</v>
      </c>
      <c r="H525" s="2">
        <f>VLOOKUP(A525,[1]Pricing!$A:$J,10,FALSE)</f>
        <v>9.8637804878048782E-2</v>
      </c>
      <c r="I525">
        <f>VLOOKUP(A525,MIN!A:B,2,FALSE)</f>
        <v>25</v>
      </c>
      <c r="J525" t="str">
        <f t="shared" si="19"/>
        <v>NO</v>
      </c>
      <c r="K525">
        <f>VLOOKUP(A525,[1]Pricing!$A:$G,7,FALSE)</f>
        <v>500</v>
      </c>
      <c r="L525" t="s">
        <v>1960</v>
      </c>
      <c r="M525" t="str">
        <f t="shared" si="20"/>
        <v>32-08483-00</v>
      </c>
    </row>
    <row r="526" spans="1:13" x14ac:dyDescent="0.25">
      <c r="A526" t="s">
        <v>342</v>
      </c>
      <c r="B526" s="14" t="str">
        <f>VLOOKUP(A526,[1]Pricing!$A:$R,18,FALSE)</f>
        <v>555-2301F</v>
      </c>
      <c r="C526" t="s">
        <v>2643</v>
      </c>
      <c r="D526" t="str">
        <f>VLOOKUP(A526,[1]AVL!$A:$F,6,FALSE)</f>
        <v>L.E.D., RT ANGLE, GRN, 2.4V,RoHS</v>
      </c>
      <c r="E526" t="str">
        <f>VLOOKUP(A526,[1]Pricing!$A:$F,6,FALSE)</f>
        <v>25 Weeks</v>
      </c>
      <c r="F526">
        <f>VLOOKUP(B526,[2]Sheet2!$B:$E,4,FALSE)</f>
        <v>500</v>
      </c>
      <c r="G526" s="2">
        <f>VLOOKUP(A526,[1]Pricing!$A:$H,8,FALSE)</f>
        <v>0.833928</v>
      </c>
      <c r="H526" s="2">
        <f>VLOOKUP(A526,[1]Pricing!$A:$J,10,FALSE)</f>
        <v>1.0169853658536585</v>
      </c>
      <c r="I526">
        <f>VLOOKUP(A526,MIN!A:B,2,FALSE)</f>
        <v>25</v>
      </c>
      <c r="J526" t="str">
        <f t="shared" si="19"/>
        <v>NO</v>
      </c>
      <c r="K526">
        <f>VLOOKUP(A526,[1]Pricing!$A:$G,7,FALSE)</f>
        <v>500</v>
      </c>
      <c r="L526" t="s">
        <v>1960</v>
      </c>
      <c r="M526" t="str">
        <f t="shared" si="20"/>
        <v>662-060106-010</v>
      </c>
    </row>
    <row r="527" spans="1:13" x14ac:dyDescent="0.25">
      <c r="A527" t="s">
        <v>1581</v>
      </c>
      <c r="B527" s="14" t="str">
        <f>VLOOKUP(A527,[1]Pricing!$A:$R,18,FALSE)</f>
        <v>RUEF400</v>
      </c>
      <c r="C527" t="s">
        <v>2689</v>
      </c>
      <c r="D527" t="str">
        <f>VLOOKUP(A527,[1]AVL!$A:$F,6,FALSE)</f>
        <v>PTC,RUE SERIES 4.00A,ROHS</v>
      </c>
      <c r="E527" t="str">
        <f>VLOOKUP(A527,[1]Pricing!$A:$F,6,FALSE)</f>
        <v>17 Weeks</v>
      </c>
      <c r="F527">
        <f>VLOOKUP(B527,[2]Sheet2!$B:$E,4,FALSE)</f>
        <v>412</v>
      </c>
      <c r="G527" s="2">
        <f>VLOOKUP(A527,[1]Pricing!$A:$H,8,FALSE)</f>
        <v>0.32108100000000001</v>
      </c>
      <c r="H527" s="2">
        <f>VLOOKUP(A527,[1]Pricing!$A:$J,10,FALSE)</f>
        <v>0.39156219512195123</v>
      </c>
      <c r="I527">
        <f>VLOOKUP(A527,MIN!A:B,2,FALSE)</f>
        <v>15</v>
      </c>
      <c r="J527" t="str">
        <f t="shared" si="19"/>
        <v>NO</v>
      </c>
      <c r="K527">
        <f>VLOOKUP(A527,[1]Pricing!$A:$G,7,FALSE)</f>
        <v>500</v>
      </c>
      <c r="L527" t="s">
        <v>2689</v>
      </c>
      <c r="M527" t="str">
        <f t="shared" si="20"/>
        <v>670-095989-400</v>
      </c>
    </row>
    <row r="528" spans="1:13" x14ac:dyDescent="0.25">
      <c r="A528" t="s">
        <v>1804</v>
      </c>
      <c r="B528" s="14" t="str">
        <f>VLOOKUP(A528,[1]Pricing!$A:$R,18,FALSE)</f>
        <v>TPSD107K010R0100</v>
      </c>
      <c r="C528" t="s">
        <v>2617</v>
      </c>
      <c r="D528" t="str">
        <f>VLOOKUP(A528,[1]AVL!$A:$F,6,FALSE)</f>
        <v>CAP,7343H,100UF,10V,10% L-ESR,ROHS</v>
      </c>
      <c r="E528" t="str">
        <f>VLOOKUP(A528,[1]Pricing!$A:$F,6,FALSE)</f>
        <v>13 Weeks</v>
      </c>
      <c r="F528">
        <f>VLOOKUP(B528,[2]Sheet2!$B:$E,4,FALSE)</f>
        <v>500</v>
      </c>
      <c r="G528" s="2">
        <f>VLOOKUP(A528,[1]Pricing!$A:$H,8,FALSE)</f>
        <v>0.93753200000000003</v>
      </c>
      <c r="H528" s="2">
        <f>VLOOKUP(A528,[1]Pricing!$A:$J,10,FALSE)</f>
        <v>1.1433317073170732</v>
      </c>
      <c r="I528">
        <f>VLOOKUP(A528,MIN!A:B,2,FALSE)</f>
        <v>25</v>
      </c>
      <c r="J528" t="str">
        <f t="shared" si="19"/>
        <v>NO</v>
      </c>
      <c r="K528">
        <f>VLOOKUP(A528,[1]Pricing!$A:$G,7,FALSE)</f>
        <v>500</v>
      </c>
      <c r="L528" t="s">
        <v>1960</v>
      </c>
      <c r="M528" t="str">
        <f t="shared" si="20"/>
        <v>648-097892-107</v>
      </c>
    </row>
    <row r="529" spans="1:13" x14ac:dyDescent="0.25">
      <c r="A529" t="s">
        <v>261</v>
      </c>
      <c r="B529" s="14" t="str">
        <f>VLOOKUP(A529,[1]Pricing!$A:$R,18,FALSE)</f>
        <v>350824-1</v>
      </c>
      <c r="C529" t="s">
        <v>2599</v>
      </c>
      <c r="D529" t="str">
        <f>VLOOKUP(A529,[1]AVL!$A:$F,6,FALSE)</f>
        <v>CONN,RCPT,2POSN,UNIV MATE-LOCK,600V,19A</v>
      </c>
      <c r="E529" t="str">
        <f>VLOOKUP(A529,[1]Pricing!$A:$F,6,FALSE)</f>
        <v>18 Weeks</v>
      </c>
      <c r="F529">
        <f>VLOOKUP(B529,[2]Sheet2!$B:$E,4,FALSE)</f>
        <v>500</v>
      </c>
      <c r="G529" s="2">
        <f>VLOOKUP(A529,[1]Pricing!$A:$H,8,FALSE)</f>
        <v>0.83720000000000006</v>
      </c>
      <c r="H529" s="2">
        <f>VLOOKUP(A529,[1]Pricing!$A:$J,10,FALSE)</f>
        <v>1.0209756097560976</v>
      </c>
      <c r="I529">
        <f>VLOOKUP(A529,MIN!A:B,2,FALSE)</f>
        <v>15</v>
      </c>
      <c r="J529" t="str">
        <f t="shared" si="19"/>
        <v>NO</v>
      </c>
      <c r="K529">
        <f>VLOOKUP(A529,[1]Pricing!$A:$G,7,FALSE)</f>
        <v>500</v>
      </c>
      <c r="L529" t="s">
        <v>1960</v>
      </c>
      <c r="M529" t="str">
        <f t="shared" si="20"/>
        <v>668-161365-001</v>
      </c>
    </row>
    <row r="530" spans="1:13" x14ac:dyDescent="0.25">
      <c r="A530" t="s">
        <v>362</v>
      </c>
      <c r="B530" s="14" t="str">
        <f>VLOOKUP(A530,[1]Pricing!$A:$R,18,FALSE)</f>
        <v>600F220FT250XT</v>
      </c>
      <c r="C530" t="s">
        <v>2673</v>
      </c>
      <c r="D530" t="str">
        <f>VLOOKUP(A530,[1]AVL!$A:$F,6,FALSE)</f>
        <v>CAP,SMD,NPO,22PF,1%,250V,0805</v>
      </c>
      <c r="E530" t="str">
        <f>VLOOKUP(A530,[1]Pricing!$A:$F,6,FALSE)</f>
        <v>3 Weeks</v>
      </c>
      <c r="F530">
        <f>VLOOKUP(B530,[2]Sheet2!$B:$E,4,FALSE)</f>
        <v>500</v>
      </c>
      <c r="G530" s="2">
        <f>VLOOKUP(A530,[1]Pricing!$A:$H,8,FALSE)</f>
        <v>0.96569400000000005</v>
      </c>
      <c r="H530" s="2">
        <f>VLOOKUP(A530,[1]Pricing!$A:$J,10,FALSE)</f>
        <v>1.1776756097560976</v>
      </c>
      <c r="I530">
        <f>VLOOKUP(A530,MIN!A:B,2,FALSE)</f>
        <v>25</v>
      </c>
      <c r="J530" t="str">
        <f t="shared" si="19"/>
        <v>NO</v>
      </c>
      <c r="K530">
        <f>VLOOKUP(A530,[1]Pricing!$A:$G,7,FALSE)</f>
        <v>500</v>
      </c>
      <c r="L530" t="s">
        <v>1960</v>
      </c>
      <c r="M530" t="str">
        <f t="shared" si="20"/>
        <v>648-225118-007</v>
      </c>
    </row>
    <row r="531" spans="1:13" x14ac:dyDescent="0.25">
      <c r="A531" t="s">
        <v>1729</v>
      </c>
      <c r="B531" s="14" t="str">
        <f>VLOOKUP(A531,[1]Pricing!$A:$R,18,FALSE)</f>
        <v>T530D337M006ATE010</v>
      </c>
      <c r="C531" t="s">
        <v>2580</v>
      </c>
      <c r="D531" t="str">
        <f>VLOOKUP(A531,[1]AVL!$A:$F,6,FALSE)</f>
        <v>CAP,TANT,ELCTLT,6.3VDC,330UF,20%,7343</v>
      </c>
      <c r="E531" t="str">
        <f>VLOOKUP(A531,[1]Pricing!$A:$F,6,FALSE)</f>
        <v>17 Weeks</v>
      </c>
      <c r="F531">
        <f>VLOOKUP(B531,[2]Sheet2!$B:$E,4,FALSE)</f>
        <v>500</v>
      </c>
      <c r="G531" s="2">
        <f>VLOOKUP(A531,[1]Pricing!$A:$H,8,FALSE)</f>
        <v>2.8186499999999999</v>
      </c>
      <c r="H531" s="2">
        <f>VLOOKUP(A531,[1]Pricing!$A:$J,10,FALSE)</f>
        <v>3.4373780487804879</v>
      </c>
      <c r="I531">
        <f>VLOOKUP(A531,MIN!A:B,2,FALSE)</f>
        <v>25</v>
      </c>
      <c r="J531" t="str">
        <f t="shared" si="19"/>
        <v>NO</v>
      </c>
      <c r="K531">
        <f>VLOOKUP(A531,[1]Pricing!$A:$G,7,FALSE)</f>
        <v>500</v>
      </c>
      <c r="L531" t="s">
        <v>1960</v>
      </c>
      <c r="M531" t="str">
        <f t="shared" si="20"/>
        <v>648-B12344-001</v>
      </c>
    </row>
    <row r="532" spans="1:13" x14ac:dyDescent="0.25">
      <c r="A532" t="s">
        <v>435</v>
      </c>
      <c r="B532" s="14" t="str">
        <f>VLOOKUP(A532,[1]Pricing!$A:$R,18,FALSE)</f>
        <v>84WR20KLF</v>
      </c>
      <c r="C532" t="s">
        <v>2588</v>
      </c>
      <c r="D532" t="str">
        <f>VLOOKUP(A532,[1]AVL!$A:$F,6,FALSE)</f>
        <v>RES,SMD,POT,12T,T-ADJ,0.25SQ,20K,ROHS</v>
      </c>
      <c r="E532" t="str">
        <f>VLOOKUP(A532,[1]Pricing!$A:$F,6,FALSE)</f>
        <v>20 Weeks</v>
      </c>
      <c r="F532">
        <f>VLOOKUP(B532,[2]Sheet2!$B:$E,4,FALSE)</f>
        <v>500</v>
      </c>
      <c r="G532" s="2">
        <f>VLOOKUP(A532,[1]Pricing!$A:$H,8,FALSE)</f>
        <v>2.5980599999999998</v>
      </c>
      <c r="H532" s="2">
        <f>VLOOKUP(A532,[1]Pricing!$A:$J,10,FALSE)</f>
        <v>3.1683658536585364</v>
      </c>
      <c r="I532">
        <f>VLOOKUP(A532,MIN!A:B,2,FALSE)</f>
        <v>25</v>
      </c>
      <c r="J532" t="str">
        <f t="shared" si="19"/>
        <v>NO</v>
      </c>
      <c r="K532">
        <f>VLOOKUP(A532,[1]Pricing!$A:$G,7,FALSE)</f>
        <v>500</v>
      </c>
      <c r="L532" t="s">
        <v>1960</v>
      </c>
      <c r="M532" t="str">
        <f t="shared" si="20"/>
        <v>608-096583-203</v>
      </c>
    </row>
    <row r="533" spans="1:13" x14ac:dyDescent="0.25">
      <c r="A533" t="s">
        <v>641</v>
      </c>
      <c r="B533" s="14" t="str">
        <f>VLOOKUP(A533,[1]Pricing!$A:$R,18,FALSE)</f>
        <v>CGA9N1X7R1V476M230KC</v>
      </c>
      <c r="C533" t="s">
        <v>2616</v>
      </c>
      <c r="D533" t="str">
        <f>VLOOKUP(A533,[1]AVL!$A:$F,6,FALSE)</f>
        <v>CAP,SMD,MLCC,47UF,20%,35VDC,X7R,2220</v>
      </c>
      <c r="E533" t="str">
        <f>VLOOKUP(A533,[1]Pricing!$A:$F,6,FALSE)</f>
        <v>33 Weeks</v>
      </c>
      <c r="F533">
        <f>VLOOKUP(B533,[2]Sheet2!$B:$E,4,FALSE)</f>
        <v>90</v>
      </c>
      <c r="G533" s="2">
        <f>VLOOKUP(A533,[1]Pricing!$A:$H,8,FALSE)</f>
        <v>2.5980599999999998</v>
      </c>
      <c r="H533" s="2">
        <f>VLOOKUP(A533,[1]Pricing!$A:$J,10,FALSE)</f>
        <v>3.1683658536585364</v>
      </c>
      <c r="I533">
        <f>VLOOKUP(A533,MIN!A:B,2,FALSE)</f>
        <v>25</v>
      </c>
      <c r="J533" t="str">
        <f t="shared" si="19"/>
        <v>NO</v>
      </c>
      <c r="K533">
        <f>VLOOKUP(A533,[1]Pricing!$A:$G,7,FALSE)</f>
        <v>500</v>
      </c>
      <c r="L533" t="s">
        <v>2689</v>
      </c>
      <c r="M533" t="str">
        <f t="shared" si="20"/>
        <v>648-B36944-476</v>
      </c>
    </row>
    <row r="534" spans="1:13" x14ac:dyDescent="0.25">
      <c r="A534" t="s">
        <v>764</v>
      </c>
      <c r="B534" s="14" t="str">
        <f>VLOOKUP(A534,[1]Pricing!$A:$R,18,FALSE)</f>
        <v>EEE-FK1V221P</v>
      </c>
      <c r="C534" t="s">
        <v>2618</v>
      </c>
      <c r="D534" t="str">
        <f>VLOOKUP(A534,[1]AVL!$A:$F,6,FALSE)</f>
        <v>CAP,SMD,AL,ELCTLT,FK,LESR,20%,35V,220UF</v>
      </c>
      <c r="E534" t="str">
        <f>VLOOKUP(A534,[1]Pricing!$A:$F,6,FALSE)</f>
        <v>25 Weeks</v>
      </c>
      <c r="F534">
        <f>VLOOKUP(B534,[2]Sheet2!$B:$E,4,FALSE)</f>
        <v>500</v>
      </c>
      <c r="G534" s="2">
        <f>VLOOKUP(A534,[1]Pricing!$A:$H,8,FALSE)</f>
        <v>0.264708</v>
      </c>
      <c r="H534" s="2">
        <f>VLOOKUP(A534,[1]Pricing!$A:$J,10,FALSE)</f>
        <v>0.32281463414634148</v>
      </c>
      <c r="I534">
        <f>VLOOKUP(A534,MIN!A:B,2,FALSE)</f>
        <v>25</v>
      </c>
      <c r="J534" t="str">
        <f t="shared" si="19"/>
        <v>NO</v>
      </c>
      <c r="K534">
        <f>VLOOKUP(A534,[1]Pricing!$A:$G,7,FALSE)</f>
        <v>500</v>
      </c>
      <c r="L534" t="s">
        <v>1960</v>
      </c>
      <c r="M534" t="str">
        <f t="shared" si="20"/>
        <v>648-036367-221</v>
      </c>
    </row>
    <row r="535" spans="1:13" x14ac:dyDescent="0.25">
      <c r="A535" t="s">
        <v>358</v>
      </c>
      <c r="B535" s="14" t="str">
        <f>VLOOKUP(A535,[1]Pricing!$A:$R,18,FALSE)</f>
        <v>593D106X9035D2TE3</v>
      </c>
      <c r="C535" t="s">
        <v>2617</v>
      </c>
      <c r="D535" t="str">
        <f>VLOOKUP(A535,[1]AVL!$A:$F,6,FALSE)</f>
        <v>CAP,SMD,TANT L-ESR,35V,10%,10UF,ROHS</v>
      </c>
      <c r="E535" t="str">
        <f>VLOOKUP(A535,[1]Pricing!$A:$F,6,FALSE)</f>
        <v>16 Weeks</v>
      </c>
      <c r="F535">
        <f>VLOOKUP(B535,[2]Sheet2!$B:$E,4,FALSE)</f>
        <v>500</v>
      </c>
      <c r="G535" s="2">
        <f>VLOOKUP(A535,[1]Pricing!$A:$H,8,FALSE)</f>
        <v>0.65686800000000001</v>
      </c>
      <c r="H535" s="2">
        <f>VLOOKUP(A535,[1]Pricing!$A:$J,10,FALSE)</f>
        <v>0.80105853658536597</v>
      </c>
      <c r="I535">
        <f>VLOOKUP(A535,MIN!A:B,2,FALSE)</f>
        <v>25</v>
      </c>
      <c r="J535" t="str">
        <f t="shared" si="19"/>
        <v>NO</v>
      </c>
      <c r="K535">
        <f>VLOOKUP(A535,[1]Pricing!$A:$G,7,FALSE)</f>
        <v>500</v>
      </c>
      <c r="L535" t="s">
        <v>1960</v>
      </c>
      <c r="M535" t="str">
        <f t="shared" si="20"/>
        <v>648-097893-106</v>
      </c>
    </row>
    <row r="536" spans="1:13" x14ac:dyDescent="0.25">
      <c r="A536" t="s">
        <v>1594</v>
      </c>
      <c r="B536" s="14" t="str">
        <f>VLOOKUP(A536,[1]Pricing!$A:$R,18,FALSE)</f>
        <v>RXEF300</v>
      </c>
      <c r="C536" t="s">
        <v>2620</v>
      </c>
      <c r="D536" t="str">
        <f>VLOOKUP(A536,[1]AVL!$A:$F,6,FALSE)</f>
        <v>FUSE,3.00A,GEN PUR,RSTBL,ROHS</v>
      </c>
      <c r="E536" t="str">
        <f>VLOOKUP(A536,[1]Pricing!$A:$F,6,FALSE)</f>
        <v>25 Weeks</v>
      </c>
      <c r="F536">
        <f>VLOOKUP(B536,[2]Sheet2!$B:$E,4,FALSE)</f>
        <v>243</v>
      </c>
      <c r="G536" s="2">
        <f>VLOOKUP(A536,[1]Pricing!$A:$H,8,FALSE)</f>
        <v>0.44853300000000002</v>
      </c>
      <c r="H536" s="2">
        <f>VLOOKUP(A536,[1]Pricing!$A:$J,10,FALSE)</f>
        <v>0.54699146341463423</v>
      </c>
      <c r="I536">
        <f>VLOOKUP(A536,MIN!A:B,2,FALSE)</f>
        <v>25</v>
      </c>
      <c r="J536" t="str">
        <f t="shared" si="19"/>
        <v>NO</v>
      </c>
      <c r="K536">
        <f>VLOOKUP(A536,[1]Pricing!$A:$G,7,FALSE)</f>
        <v>250</v>
      </c>
      <c r="L536" t="s">
        <v>1960</v>
      </c>
      <c r="M536" t="str">
        <f t="shared" si="20"/>
        <v>670-097907-300</v>
      </c>
    </row>
    <row r="537" spans="1:13" x14ac:dyDescent="0.25">
      <c r="A537" t="s">
        <v>1583</v>
      </c>
      <c r="B537" s="14" t="str">
        <f>VLOOKUP(A537,[1]Pricing!$A:$R,18,FALSE)</f>
        <v>RUEF500</v>
      </c>
      <c r="C537" t="s">
        <v>2689</v>
      </c>
      <c r="D537" t="str">
        <f>VLOOKUP(A537,[1]AVL!$A:$F,6,FALSE)</f>
        <v>PTC,RUE SERIES 5.00A,ROHS</v>
      </c>
      <c r="E537" t="str">
        <f>VLOOKUP(A537,[1]Pricing!$A:$F,6,FALSE)</f>
        <v>17 Weeks</v>
      </c>
      <c r="F537">
        <f>VLOOKUP(B537,[2]Sheet2!$B:$E,4,FALSE)</f>
        <v>18</v>
      </c>
      <c r="G537" s="2">
        <f>VLOOKUP(A537,[1]Pricing!$A:$H,8,FALSE)</f>
        <v>0.45833699999999999</v>
      </c>
      <c r="H537" s="2">
        <f>VLOOKUP(A537,[1]Pricing!$A:$J,10,FALSE)</f>
        <v>0.55894756097560983</v>
      </c>
      <c r="I537">
        <f>VLOOKUP(A537,MIN!A:B,2,FALSE)</f>
        <v>25</v>
      </c>
      <c r="J537" t="str">
        <f t="shared" si="19"/>
        <v>REORDER</v>
      </c>
      <c r="K537">
        <f>VLOOKUP(A537,[1]Pricing!$A:$G,7,FALSE)</f>
        <v>250</v>
      </c>
      <c r="L537" t="s">
        <v>2689</v>
      </c>
      <c r="M537" t="str">
        <f t="shared" si="20"/>
        <v>670-095989-500</v>
      </c>
    </row>
    <row r="538" spans="1:13" x14ac:dyDescent="0.25">
      <c r="A538" t="s">
        <v>1586</v>
      </c>
      <c r="B538" s="14" t="str">
        <f>VLOOKUP(A538,[1]Pricing!$A:$R,18,FALSE)</f>
        <v>RUEF800</v>
      </c>
      <c r="C538" t="s">
        <v>2620</v>
      </c>
      <c r="D538" t="str">
        <f>VLOOKUP(A538,[1]AVL!$A:$F,6,FALSE)</f>
        <v>FUSE,PTC,RUEF, 8.0A ROHS</v>
      </c>
      <c r="E538" t="str">
        <f>VLOOKUP(A538,[1]Pricing!$A:$F,6,FALSE)</f>
        <v>18 Weeks</v>
      </c>
      <c r="F538">
        <f>VLOOKUP(B538,[2]Sheet2!$B:$E,4,FALSE)</f>
        <v>237</v>
      </c>
      <c r="G538" s="2">
        <f>VLOOKUP(A538,[1]Pricing!$A:$H,8,FALSE)</f>
        <v>0.58199999999999996</v>
      </c>
      <c r="H538" s="2">
        <f>VLOOKUP(A538,[1]Pricing!$A:$J,10,FALSE)</f>
        <v>0.70975609756097557</v>
      </c>
      <c r="I538">
        <f>VLOOKUP(A538,MIN!A:B,2,FALSE)</f>
        <v>25</v>
      </c>
      <c r="J538" t="str">
        <f t="shared" si="19"/>
        <v>NO</v>
      </c>
      <c r="K538">
        <f>VLOOKUP(A538,[1]Pricing!$A:$G,7,FALSE)</f>
        <v>250</v>
      </c>
      <c r="L538" t="s">
        <v>1960</v>
      </c>
      <c r="M538" t="str">
        <f t="shared" si="20"/>
        <v>670-097092-800</v>
      </c>
    </row>
    <row r="539" spans="1:13" x14ac:dyDescent="0.25">
      <c r="A539" t="s">
        <v>305</v>
      </c>
      <c r="B539" s="14" t="str">
        <f>VLOOKUP(A539,[1]Pricing!$A:$R,18,FALSE)</f>
        <v>5-103634-2</v>
      </c>
      <c r="C539" t="s">
        <v>2599</v>
      </c>
      <c r="D539" t="str">
        <f>VLOOKUP(A539,[1]AVL!$A:$F,6,FALSE)</f>
        <v>CONN,HDR,SHRD,3POSN,3A,600V,1ROW,TH</v>
      </c>
      <c r="E539" t="str">
        <f>VLOOKUP(A539,[1]Pricing!$A:$F,6,FALSE)</f>
        <v>13 Weeks</v>
      </c>
      <c r="F539">
        <f>VLOOKUP(B539,[2]Sheet2!$B:$E,4,FALSE)</f>
        <v>208</v>
      </c>
      <c r="G539" s="2">
        <f>VLOOKUP(A539,[1]Pricing!$A:$H,8,FALSE)</f>
        <v>0.83333999999999997</v>
      </c>
      <c r="H539" s="2">
        <f>VLOOKUP(A539,[1]Pricing!$A:$J,10,FALSE)</f>
        <v>1.016268292682927</v>
      </c>
      <c r="I539">
        <f>VLOOKUP(A539,MIN!A:B,2,FALSE)</f>
        <v>15</v>
      </c>
      <c r="J539" t="str">
        <f t="shared" si="19"/>
        <v>NO</v>
      </c>
      <c r="K539">
        <f>VLOOKUP(A539,[1]Pricing!$A:$G,7,FALSE)</f>
        <v>208</v>
      </c>
      <c r="L539" t="s">
        <v>1960</v>
      </c>
      <c r="M539" t="str">
        <f t="shared" si="20"/>
        <v>668-B30762-003</v>
      </c>
    </row>
    <row r="540" spans="1:13" x14ac:dyDescent="0.25">
      <c r="A540" t="s">
        <v>109</v>
      </c>
      <c r="B540" s="14" t="str">
        <f>VLOOKUP(A540,[1]Pricing!$A:$R,18,FALSE)</f>
        <v>1-770968-0</v>
      </c>
      <c r="C540" t="s">
        <v>2599</v>
      </c>
      <c r="D540" t="str">
        <f>VLOOKUP(A540,[1]AVL!$A:$F,6,FALSE)</f>
        <v>CONN,HDR 4P R/A MINI M-N-L</v>
      </c>
      <c r="E540" t="str">
        <f>VLOOKUP(A540,[1]Pricing!$A:$F,6,FALSE)</f>
        <v>23 Weeks</v>
      </c>
      <c r="F540">
        <f>VLOOKUP(B540,[2]Sheet2!$B:$E,4,FALSE)</f>
        <v>200</v>
      </c>
      <c r="G540" s="2">
        <f>VLOOKUP(A540,[1]Pricing!$A:$H,8,FALSE)</f>
        <v>1.20099</v>
      </c>
      <c r="H540" s="2">
        <f>VLOOKUP(A540,[1]Pricing!$A:$J,10,FALSE)</f>
        <v>1.4646219512195122</v>
      </c>
      <c r="I540">
        <f>VLOOKUP(A540,MIN!A:B,2,FALSE)</f>
        <v>25</v>
      </c>
      <c r="J540" t="str">
        <f t="shared" si="19"/>
        <v>NO</v>
      </c>
      <c r="K540">
        <f>VLOOKUP(A540,[1]Pricing!$A:$G,7,FALSE)</f>
        <v>200</v>
      </c>
      <c r="L540" t="s">
        <v>1960</v>
      </c>
      <c r="M540" t="str">
        <f t="shared" si="20"/>
        <v>668-097964-004</v>
      </c>
    </row>
    <row r="541" spans="1:13" x14ac:dyDescent="0.25">
      <c r="A541" t="s">
        <v>119</v>
      </c>
      <c r="B541" s="14" t="str">
        <f>VLOOKUP(A541,[1]Pricing!$A:$R,18,FALSE)</f>
        <v>1-794065-1</v>
      </c>
      <c r="C541" t="s">
        <v>2599</v>
      </c>
      <c r="D541" t="str">
        <f>VLOOKUP(A541,[1]AVL!$A:$F,6,FALSE)</f>
        <v>CONN,HDR,PCB,ST,MINI-U M-N-LOK,8P,ROHS</v>
      </c>
      <c r="E541" t="str">
        <f>VLOOKUP(A541,[1]Pricing!$A:$F,6,FALSE)</f>
        <v>28 Weeks</v>
      </c>
      <c r="F541">
        <f>VLOOKUP(B541,[2]Sheet2!$B:$E,4,FALSE)</f>
        <v>183</v>
      </c>
      <c r="G541" s="2">
        <f>VLOOKUP(A541,[1]Pricing!$A:$H,8,FALSE)</f>
        <v>2.376061</v>
      </c>
      <c r="H541" s="2">
        <f>VLOOKUP(A541,[1]Pricing!$A:$J,10,FALSE)</f>
        <v>2.8976353658536587</v>
      </c>
      <c r="I541">
        <f>VLOOKUP(A541,MIN!A:B,2,FALSE)</f>
        <v>15</v>
      </c>
      <c r="J541" t="str">
        <f t="shared" si="19"/>
        <v>NO</v>
      </c>
      <c r="K541">
        <f>VLOOKUP(A541,[1]Pricing!$A:$G,7,FALSE)</f>
        <v>200</v>
      </c>
      <c r="L541" t="s">
        <v>1960</v>
      </c>
      <c r="M541" t="str">
        <f t="shared" si="20"/>
        <v>668-061260-008</v>
      </c>
    </row>
    <row r="542" spans="1:13" x14ac:dyDescent="0.25">
      <c r="A542" t="s">
        <v>121</v>
      </c>
      <c r="B542" s="14" t="str">
        <f>VLOOKUP(A542,[1]Pricing!$A:$R,18,FALSE)</f>
        <v>1-794066-1</v>
      </c>
      <c r="C542" t="s">
        <v>2599</v>
      </c>
      <c r="D542" t="str">
        <f>VLOOKUP(A542,[1]AVL!$A:$F,6,FALSE)</f>
        <v>CONN,HDR,PCB,ST,MINI-U M-N-LOK,12P,ROHS</v>
      </c>
      <c r="E542" t="str">
        <f>VLOOKUP(A542,[1]Pricing!$A:$F,6,FALSE)</f>
        <v>28 Weeks</v>
      </c>
      <c r="F542">
        <f>VLOOKUP(B542,[2]Sheet2!$B:$E,4,FALSE)</f>
        <v>200</v>
      </c>
      <c r="G542" s="2">
        <f>VLOOKUP(A542,[1]Pricing!$A:$H,8,FALSE)</f>
        <v>4.6508950000000002</v>
      </c>
      <c r="H542" s="2">
        <f>VLOOKUP(A542,[1]Pricing!$A:$J,10,FALSE)</f>
        <v>5.6718231707317077</v>
      </c>
      <c r="I542">
        <f>VLOOKUP(A542,MIN!A:B,2,FALSE)</f>
        <v>25</v>
      </c>
      <c r="J542" t="str">
        <f t="shared" si="19"/>
        <v>NO</v>
      </c>
      <c r="K542">
        <f>VLOOKUP(A542,[1]Pricing!$A:$G,7,FALSE)</f>
        <v>200</v>
      </c>
      <c r="L542" t="s">
        <v>1960</v>
      </c>
      <c r="M542" t="str">
        <f t="shared" si="20"/>
        <v>668-061260-112</v>
      </c>
    </row>
    <row r="543" spans="1:13" x14ac:dyDescent="0.25">
      <c r="A543" t="s">
        <v>338</v>
      </c>
      <c r="B543" s="14" t="str">
        <f>VLOOKUP(A543,[1]Pricing!$A:$R,18,FALSE)</f>
        <v>5520258-3</v>
      </c>
      <c r="C543" t="s">
        <v>2599</v>
      </c>
      <c r="D543" t="str">
        <f>VLOOKUP(A543,[1]AVL!$A:$F,6,FALSE)</f>
        <v>CONN,MDLR JK,6P6,RJ11,VERT</v>
      </c>
      <c r="E543" t="str">
        <f>VLOOKUP(A543,[1]Pricing!$A:$F,6,FALSE)</f>
        <v>25 Weeks</v>
      </c>
      <c r="F543">
        <f>VLOOKUP(B543,[2]Sheet2!$B:$E,4,FALSE)</f>
        <v>200</v>
      </c>
      <c r="G543" s="2">
        <f>VLOOKUP(A543,[1]Pricing!$A:$H,8,FALSE)</f>
        <v>1.13849</v>
      </c>
      <c r="H543" s="2">
        <f>VLOOKUP(A543,[1]Pricing!$A:$J,10,FALSE)</f>
        <v>1.3884024390243903</v>
      </c>
      <c r="I543">
        <f>VLOOKUP(A543,MIN!A:B,2,FALSE)</f>
        <v>15</v>
      </c>
      <c r="J543" t="str">
        <f t="shared" si="19"/>
        <v>NO</v>
      </c>
      <c r="K543">
        <f>VLOOKUP(A543,[1]Pricing!$A:$G,7,FALSE)</f>
        <v>200</v>
      </c>
      <c r="L543" t="s">
        <v>1960</v>
      </c>
      <c r="M543" t="str">
        <f t="shared" si="20"/>
        <v>668-099502-006</v>
      </c>
    </row>
    <row r="544" spans="1:13" x14ac:dyDescent="0.25">
      <c r="A544" t="s">
        <v>1758</v>
      </c>
      <c r="B544" s="14" t="str">
        <f>VLOOKUP(A544,[1]Pricing!$A:$R,18,FALSE)</f>
        <v>TLP627M(E</v>
      </c>
      <c r="C544" t="s">
        <v>2690</v>
      </c>
      <c r="D544" t="str">
        <f>VLOOKUP(A544,[1]AVL!$A:$F,6,FALSE)</f>
        <v>IC,OPTOCOUPLER,1-CH DARLINGTON,4-PIN DIP</v>
      </c>
      <c r="E544" t="str">
        <f>VLOOKUP(A544,[1]Pricing!$A:$F,6,FALSE)</f>
        <v>27 Weeks</v>
      </c>
      <c r="F544">
        <f>VLOOKUP(B544,[2]Sheet2!$B:$E,4,FALSE)</f>
        <v>79</v>
      </c>
      <c r="G544" s="2">
        <f>VLOOKUP(A544,[1]Pricing!$A:$H,8,FALSE)</f>
        <v>0.37806699999999999</v>
      </c>
      <c r="H544" s="2">
        <f>VLOOKUP(A544,[1]Pricing!$A:$J,10,FALSE)</f>
        <v>0.46105731707317077</v>
      </c>
      <c r="I544">
        <f>VLOOKUP(A544,MIN!A:B,2,FALSE)</f>
        <v>15</v>
      </c>
      <c r="J544" t="str">
        <f t="shared" si="19"/>
        <v>NO</v>
      </c>
      <c r="K544">
        <f>VLOOKUP(A544,[1]Pricing!$A:$G,7,FALSE)</f>
        <v>200</v>
      </c>
      <c r="L544" t="s">
        <v>1960</v>
      </c>
      <c r="M544" t="str">
        <f t="shared" si="20"/>
        <v>631-A53030-001</v>
      </c>
    </row>
    <row r="545" spans="1:13" x14ac:dyDescent="0.25">
      <c r="A545" t="s">
        <v>111</v>
      </c>
      <c r="B545" s="14" t="str">
        <f>VLOOKUP(A545,[1]Pricing!$A:$R,18,FALSE)</f>
        <v>1-770969-0</v>
      </c>
      <c r="C545" t="s">
        <v>2599</v>
      </c>
      <c r="D545" t="str">
        <f>VLOOKUP(A545,[1]AVL!$A:$F,6,FALSE)</f>
        <v>CONN,HDR 6P R/A MINI M-N-L</v>
      </c>
      <c r="E545" t="str">
        <f>VLOOKUP(A545,[1]Pricing!$A:$F,6,FALSE)</f>
        <v>23 Weeks</v>
      </c>
      <c r="F545">
        <f>VLOOKUP(B545,[2]Sheet2!$B:$E,4,FALSE)</f>
        <v>100</v>
      </c>
      <c r="G545" s="2">
        <f>VLOOKUP(A545,[1]Pricing!$A:$H,8,FALSE)</f>
        <v>1.39707</v>
      </c>
      <c r="H545" s="2">
        <f>VLOOKUP(A545,[1]Pricing!$A:$J,10,FALSE)</f>
        <v>1.7037439024390246</v>
      </c>
      <c r="I545">
        <f>VLOOKUP(A545,MIN!A:B,2,FALSE)</f>
        <v>25</v>
      </c>
      <c r="J545" t="str">
        <f t="shared" si="19"/>
        <v>NO</v>
      </c>
      <c r="K545">
        <f>VLOOKUP(A545,[1]Pricing!$A:$G,7,FALSE)</f>
        <v>100</v>
      </c>
      <c r="L545" t="s">
        <v>1960</v>
      </c>
      <c r="M545" t="str">
        <f t="shared" si="20"/>
        <v>668-097964-006</v>
      </c>
    </row>
    <row r="546" spans="1:13" x14ac:dyDescent="0.25">
      <c r="A546" t="s">
        <v>257</v>
      </c>
      <c r="B546" s="14" t="str">
        <f>VLOOKUP(A546,[1]Pricing!$A:$R,18,FALSE)</f>
        <v>350786-1</v>
      </c>
      <c r="C546" t="s">
        <v>2691</v>
      </c>
      <c r="D546" t="str">
        <f>VLOOKUP(A546,[1]AVL!$A:$F,6,FALSE)</f>
        <v>CONN,PLUG,2POSN,UNIV MATE-LOCK,600V,19A</v>
      </c>
      <c r="E546" t="str">
        <f>VLOOKUP(A546,[1]Pricing!$A:$F,6,FALSE)</f>
        <v>16 Weeks</v>
      </c>
      <c r="F546">
        <f>VLOOKUP(B546,[2]Sheet2!$B:$E,4,FALSE)</f>
        <v>100</v>
      </c>
      <c r="G546" s="2">
        <f>VLOOKUP(A546,[1]Pricing!$A:$H,8,FALSE)</f>
        <v>0.45833699999999999</v>
      </c>
      <c r="H546" s="2">
        <f>VLOOKUP(A546,[1]Pricing!$A:$J,10,FALSE)</f>
        <v>0.55894756097560983</v>
      </c>
      <c r="I546">
        <f>VLOOKUP(A546,MIN!A:B,2,FALSE)</f>
        <v>15</v>
      </c>
      <c r="J546" t="str">
        <f t="shared" ref="J546:J577" si="21">IF(F546&lt;=I546,"REORDER","NO")</f>
        <v>NO</v>
      </c>
      <c r="K546">
        <f>VLOOKUP(A546,[1]Pricing!$A:$G,7,FALSE)</f>
        <v>100</v>
      </c>
      <c r="L546" t="s">
        <v>1960</v>
      </c>
      <c r="M546" t="str">
        <f t="shared" si="20"/>
        <v>668-161363-001</v>
      </c>
    </row>
    <row r="547" spans="1:13" x14ac:dyDescent="0.25">
      <c r="A547" t="s">
        <v>1590</v>
      </c>
      <c r="B547" s="14" t="str">
        <f>VLOOKUP(A547,[1]Pricing!$A:$R,18,FALSE)</f>
        <v>RXEF040</v>
      </c>
      <c r="C547" t="s">
        <v>2620</v>
      </c>
      <c r="D547" t="str">
        <f>VLOOKUP(A547,[1]AVL!$A:$F,6,FALSE)</f>
        <v>FUSE,0.4A, RSTBL, 72V</v>
      </c>
      <c r="E547" t="str">
        <f>VLOOKUP(A547,[1]Pricing!$A:$F,6,FALSE)</f>
        <v>17 Weeks</v>
      </c>
      <c r="F547">
        <f>VLOOKUP(B547,[2]Sheet2!$B:$E,4,FALSE)</f>
        <v>100</v>
      </c>
      <c r="G547" s="2">
        <f>VLOOKUP(A547,[1]Pricing!$A:$H,8,FALSE)</f>
        <v>0.25858100000000001</v>
      </c>
      <c r="H547" s="2">
        <f>VLOOKUP(A547,[1]Pricing!$A:$J,10,FALSE)</f>
        <v>0.31534268292682932</v>
      </c>
      <c r="I547">
        <f>VLOOKUP(A547,MIN!A:B,2,FALSE)</f>
        <v>15</v>
      </c>
      <c r="J547" t="str">
        <f t="shared" si="21"/>
        <v>NO</v>
      </c>
      <c r="K547">
        <f>VLOOKUP(A547,[1]Pricing!$A:$G,7,FALSE)</f>
        <v>100</v>
      </c>
      <c r="L547" t="s">
        <v>1960</v>
      </c>
      <c r="M547" t="str">
        <f t="shared" si="20"/>
        <v>670-048042-001</v>
      </c>
    </row>
    <row r="548" spans="1:13" x14ac:dyDescent="0.25">
      <c r="A548" t="s">
        <v>98</v>
      </c>
      <c r="B548" s="14" t="str">
        <f>VLOOKUP(A548,[1]Pricing!$A:$R,18,FALSE)</f>
        <v>173113-0157</v>
      </c>
      <c r="C548" t="s">
        <v>2610</v>
      </c>
      <c r="D548" t="str">
        <f>VLOOKUP(A548,[1]AVL!$A:$F,6,FALSE)</f>
        <v>CONN,RCPT,D-SUB,PCB,26 PIN,RTANG,5A MAX</v>
      </c>
      <c r="E548" t="str">
        <f>VLOOKUP(A548,[1]Pricing!$A:$F,6,FALSE)</f>
        <v>42 Weeks</v>
      </c>
      <c r="F548">
        <f>VLOOKUP(B548,[2]Sheet2!$B:$E,4,FALSE)</f>
        <v>100</v>
      </c>
      <c r="G548" s="2">
        <f>VLOOKUP(A548,[1]Pricing!$A:$H,8,FALSE)</f>
        <v>27.640172</v>
      </c>
      <c r="H548" s="2">
        <f>VLOOKUP(A548,[1]Pricing!$A:$J,10,FALSE)</f>
        <v>33.707526829268296</v>
      </c>
      <c r="I548">
        <f>VLOOKUP(A548,MIN!A:B,2,FALSE)</f>
        <v>25</v>
      </c>
      <c r="J548" t="str">
        <f t="shared" si="21"/>
        <v>NO</v>
      </c>
      <c r="K548">
        <f>VLOOKUP(A548,[1]Pricing!$A:$G,7,FALSE)</f>
        <v>100</v>
      </c>
      <c r="L548" t="s">
        <v>1960</v>
      </c>
      <c r="M548" t="str">
        <f t="shared" si="20"/>
        <v>668-307568-026</v>
      </c>
    </row>
    <row r="549" spans="1:13" x14ac:dyDescent="0.25">
      <c r="A549" t="s">
        <v>298</v>
      </c>
      <c r="B549" s="14" t="str">
        <f>VLOOKUP(A549,[1]Pricing!$A:$R,18,FALSE)</f>
        <v>503398-1892</v>
      </c>
      <c r="C549" t="s">
        <v>2610</v>
      </c>
      <c r="D549" t="str">
        <f>VLOOKUP(A549,[1]AVL!$A:$F,6,FALSE)</f>
        <v>CONN,SMD,MICRO SD,8PIN,PUSH-PUSH,.5A,10V</v>
      </c>
      <c r="E549" t="str">
        <f>VLOOKUP(A549,[1]Pricing!$A:$F,6,FALSE)</f>
        <v>3 Weeks</v>
      </c>
      <c r="F549">
        <f>VLOOKUP(B549,[2]Sheet2!$B:$E,4,FALSE)</f>
        <v>24</v>
      </c>
      <c r="G549" s="2">
        <f>VLOOKUP(A549,[1]Pricing!$A:$H,8,FALSE)</f>
        <v>1.885799</v>
      </c>
      <c r="H549" s="2">
        <f>VLOOKUP(A549,[1]Pricing!$A:$J,10,FALSE)</f>
        <v>2.2997548780487804</v>
      </c>
      <c r="I549">
        <f>VLOOKUP(A549,MIN!A:B,2,FALSE)</f>
        <v>25</v>
      </c>
      <c r="J549" t="str">
        <f t="shared" si="21"/>
        <v>REORDER</v>
      </c>
      <c r="K549">
        <f>VLOOKUP(A549,[1]Pricing!$A:$G,7,FALSE)</f>
        <v>100</v>
      </c>
      <c r="L549" t="s">
        <v>1960</v>
      </c>
      <c r="M549" t="str">
        <f t="shared" si="20"/>
        <v>667-A00288-001</v>
      </c>
    </row>
    <row r="550" spans="1:13" x14ac:dyDescent="0.25">
      <c r="A550" t="s">
        <v>1018</v>
      </c>
      <c r="B550" s="14" t="str">
        <f>VLOOKUP(A550,[1]Pricing!$A:$R,18,FALSE)</f>
        <v>KLKR005.T</v>
      </c>
      <c r="C550" t="s">
        <v>2620</v>
      </c>
      <c r="D550" t="str">
        <f>VLOOKUP(A550,[1]AVL!$A:$F,6,FALSE)</f>
        <v>FUSE,FAST-ACT,5A,600VAC/300VDC,5AG</v>
      </c>
      <c r="E550" t="str">
        <f>VLOOKUP(A550,[1]Pricing!$A:$F,6,FALSE)</f>
        <v>15 Weeks</v>
      </c>
      <c r="F550">
        <f>VLOOKUP(B550,[2]Sheet2!$B:$E,4,FALSE)</f>
        <v>100</v>
      </c>
      <c r="G550" s="2">
        <f>VLOOKUP(A550,[1]Pricing!$A:$H,8,FALSE)</f>
        <v>14.82855</v>
      </c>
      <c r="H550" s="2">
        <f>VLOOKUP(A550,[1]Pricing!$A:$J,10,FALSE)</f>
        <v>18.083597560975612</v>
      </c>
      <c r="I550">
        <f>VLOOKUP(A550,MIN!A:B,2,FALSE)</f>
        <v>25</v>
      </c>
      <c r="J550" t="str">
        <f t="shared" si="21"/>
        <v>NO</v>
      </c>
      <c r="K550">
        <f>VLOOKUP(A550,[1]Pricing!$A:$G,7,FALSE)</f>
        <v>100</v>
      </c>
      <c r="L550" t="s">
        <v>1960</v>
      </c>
      <c r="M550" t="str">
        <f t="shared" si="20"/>
        <v>670-332664-016</v>
      </c>
    </row>
    <row r="551" spans="1:13" x14ac:dyDescent="0.25">
      <c r="A551" t="s">
        <v>736</v>
      </c>
      <c r="B551" s="14" t="str">
        <f>VLOOKUP(A551,[1]Pricing!$A:$R,18,FALSE)</f>
        <v>DAO7W2S300G40LF</v>
      </c>
      <c r="C551" t="s">
        <v>2586</v>
      </c>
      <c r="D551" t="str">
        <f>VLOOKUP(A551,[1]AVL!$A:$F,6,FALSE)</f>
        <v>CONN,RCPT,COMBO-D,7W2,40A PWR,UNC 4-40</v>
      </c>
      <c r="E551" t="str">
        <f>VLOOKUP(A551,[1]Pricing!$A:$F,6,FALSE)</f>
        <v>13 Weeks</v>
      </c>
      <c r="F551">
        <f>VLOOKUP(B551,[2]Sheet2!$B:$E,4,FALSE)</f>
        <v>94</v>
      </c>
      <c r="G551" s="2">
        <f>VLOOKUP(A551,[1]Pricing!$A:$H,8,FALSE)</f>
        <v>9.8652750000000005</v>
      </c>
      <c r="H551" s="2">
        <f>VLOOKUP(A551,[1]Pricing!$A:$J,10,FALSE)</f>
        <v>12.030823170731709</v>
      </c>
      <c r="I551">
        <f>VLOOKUP(A551,MIN!A:B,2,FALSE)</f>
        <v>25</v>
      </c>
      <c r="J551" t="str">
        <f t="shared" si="21"/>
        <v>NO</v>
      </c>
      <c r="K551">
        <f>VLOOKUP(A551,[1]Pricing!$A:$G,7,FALSE)</f>
        <v>100</v>
      </c>
      <c r="L551" t="s">
        <v>1960</v>
      </c>
      <c r="M551" t="str">
        <f t="shared" si="20"/>
        <v>668-A75508-002</v>
      </c>
    </row>
    <row r="552" spans="1:13" x14ac:dyDescent="0.25">
      <c r="A552" t="s">
        <v>313</v>
      </c>
      <c r="B552" s="14" t="str">
        <f>VLOOKUP(A552,[1]Pricing!$A:$R,18,FALSE)</f>
        <v>5-103673-3</v>
      </c>
      <c r="C552" t="s">
        <v>2599</v>
      </c>
      <c r="D552" t="str">
        <f>VLOOKUP(A552,[1]AVL!$A:$F,6,FALSE)</f>
        <v>CONN,HDR,4P,RTANG,MTE</v>
      </c>
      <c r="E552" t="str">
        <f>VLOOKUP(A552,[1]Pricing!$A:$F,6,FALSE)</f>
        <v>19 Weeks</v>
      </c>
      <c r="F552">
        <f>VLOOKUP(B552,[2]Sheet2!$B:$E,4,FALSE)</f>
        <v>81</v>
      </c>
      <c r="G552" s="2">
        <f>VLOOKUP(A552,[1]Pricing!$A:$H,8,FALSE)</f>
        <v>0.76716300000000004</v>
      </c>
      <c r="H552" s="2">
        <f>VLOOKUP(A552,[1]Pricing!$A:$J,10,FALSE)</f>
        <v>0.93556463414634161</v>
      </c>
      <c r="I552">
        <f>VLOOKUP(A552,MIN!A:B,2,FALSE)</f>
        <v>25</v>
      </c>
      <c r="J552" t="str">
        <f t="shared" si="21"/>
        <v>NO</v>
      </c>
      <c r="K552">
        <f>VLOOKUP(A552,[1]Pricing!$A:$G,7,FALSE)</f>
        <v>84</v>
      </c>
      <c r="L552" t="s">
        <v>1960</v>
      </c>
      <c r="M552" t="str">
        <f t="shared" si="20"/>
        <v>668-098499-104</v>
      </c>
    </row>
    <row r="553" spans="1:13" x14ac:dyDescent="0.25">
      <c r="A553" t="s">
        <v>738</v>
      </c>
      <c r="B553" s="14" t="str">
        <f>VLOOKUP(A553,[1]Pricing!$A:$R,18,FALSE)</f>
        <v>DAT72415-HR</v>
      </c>
      <c r="C553" t="s">
        <v>2689</v>
      </c>
      <c r="D553" t="str">
        <f>VLOOKUP(A553,[1]AVL!$A:$F,6,FALSE)</f>
        <v>RLY,REED SW,SPNO,2A,1000VAC/DC,5VDC,TH</v>
      </c>
      <c r="E553" t="str">
        <f>VLOOKUP(A553,[1]Pricing!$A:$F,6,FALSE)</f>
        <v>29 Weeks</v>
      </c>
      <c r="F553">
        <f>VLOOKUP(B553,[2]Sheet2!$B:$E,4,FALSE)</f>
        <v>50</v>
      </c>
      <c r="G553" s="2">
        <f>VLOOKUP(A553,[1]Pricing!$A:$H,8,FALSE)</f>
        <v>76.642769999999999</v>
      </c>
      <c r="H553" s="2">
        <f>VLOOKUP(A553,[1]Pricing!$A:$J,10,FALSE)</f>
        <v>93.466792682926837</v>
      </c>
      <c r="I553">
        <f>VLOOKUP(A553,MIN!A:B,2,FALSE)</f>
        <v>25</v>
      </c>
      <c r="J553" t="str">
        <f t="shared" si="21"/>
        <v>NO</v>
      </c>
      <c r="K553">
        <f>VLOOKUP(A553,[1]Pricing!$A:$G,7,FALSE)</f>
        <v>50</v>
      </c>
      <c r="L553" t="s">
        <v>1960</v>
      </c>
      <c r="M553" t="str">
        <f t="shared" si="20"/>
        <v>644-B18976-001</v>
      </c>
    </row>
    <row r="554" spans="1:13" x14ac:dyDescent="0.25">
      <c r="A554" t="s">
        <v>11</v>
      </c>
      <c r="B554" s="14" t="str">
        <f>VLOOKUP(A554,[1]Pricing!$A:$R,18,FALSE)</f>
        <v>0686F2000-01</v>
      </c>
      <c r="C554" t="s">
        <v>2682</v>
      </c>
      <c r="D554" t="str">
        <f>VLOOKUP(A554,[1]AVL!$A:$F,6,FALSE)</f>
        <v>FUSE,SMD,2A,32VAC/63VDC,FAST ACT,0603</v>
      </c>
      <c r="E554" t="str">
        <f>VLOOKUP(A554,[1]Pricing!$A:$F,6,FALSE)</f>
        <v>15 Weeks</v>
      </c>
      <c r="F554">
        <f>VLOOKUP(B554,[2]Sheet2!$B:$E,4,FALSE)</f>
        <v>4930</v>
      </c>
      <c r="G554" s="2">
        <f>VLOOKUP(A554,[1]Pricing!$A:$H,8,FALSE)</f>
        <v>0.112746</v>
      </c>
      <c r="H554" s="2">
        <f>VLOOKUP(A554,[1]Pricing!$A:$J,10,FALSE)</f>
        <v>0.13749512195121952</v>
      </c>
      <c r="I554">
        <f>VLOOKUP(A554,MIN!A:B,2,FALSE)</f>
        <v>15</v>
      </c>
      <c r="J554" t="str">
        <f t="shared" si="21"/>
        <v>NO</v>
      </c>
      <c r="K554">
        <f>VLOOKUP(A554,[1]Pricing!$A:$G,7,FALSE)</f>
        <v>5000</v>
      </c>
      <c r="L554" t="s">
        <v>1960</v>
      </c>
      <c r="M554" t="str">
        <f t="shared" si="20"/>
        <v>682-343485-200</v>
      </c>
    </row>
    <row r="555" spans="1:13" x14ac:dyDescent="0.25">
      <c r="A555" t="s">
        <v>712</v>
      </c>
      <c r="B555" s="14" t="str">
        <f>VLOOKUP(A555,[1]Pricing!$A:$R,18,FALSE)</f>
        <v>CRGP0603F1M0</v>
      </c>
      <c r="C555" t="s">
        <v>2599</v>
      </c>
      <c r="D555" t="str">
        <f>VLOOKUP(A555,[1]AVL!$A:$F,6,FALSE)</f>
        <v>RES,SMD,1MOHM,+/-1%,200PPM,1/4W,0603</v>
      </c>
      <c r="E555" t="str">
        <f>VLOOKUP(A555,[1]Pricing!$A:$F,6,FALSE)</f>
        <v>15 Weeks</v>
      </c>
      <c r="F555">
        <f>VLOOKUP(B555,[2]Sheet2!$B:$E,4,FALSE)</f>
        <v>5000</v>
      </c>
      <c r="G555" s="2">
        <f>VLOOKUP(A555,[1]Pricing!$A:$H,8,FALSE)</f>
        <v>1.8383E-2</v>
      </c>
      <c r="H555" s="2">
        <f>VLOOKUP(A555,[1]Pricing!$A:$J,10,FALSE)</f>
        <v>2.2418292682926829E-2</v>
      </c>
      <c r="I555">
        <f>VLOOKUP(A555,MIN!A:B,2,FALSE)</f>
        <v>15</v>
      </c>
      <c r="J555" t="str">
        <f t="shared" si="21"/>
        <v>NO</v>
      </c>
      <c r="K555">
        <f>VLOOKUP(A555,[1]Pricing!$A:$G,7,FALSE)</f>
        <v>5000</v>
      </c>
      <c r="L555" t="s">
        <v>1960</v>
      </c>
      <c r="M555" t="str">
        <f t="shared" si="20"/>
        <v>615-A35815-001</v>
      </c>
    </row>
    <row r="556" spans="1:13" x14ac:dyDescent="0.25">
      <c r="A556" t="s">
        <v>1012</v>
      </c>
      <c r="B556" s="14" t="str">
        <f>VLOOKUP(A556,[1]Pricing!$A:$R,18,FALSE)</f>
        <v>KFB3-M3-8ET</v>
      </c>
      <c r="C556" t="s">
        <v>2651</v>
      </c>
      <c r="D556" t="str">
        <f>VLOOKUP(A556,[1]AVL!$A:$F,6,FALSE)</f>
        <v>STDF,RND,FLARE MT,M3X0.5 THD,8MM LG,BRS</v>
      </c>
      <c r="E556" t="str">
        <f>VLOOKUP(A556,[1]Pricing!$A:$F,6,FALSE)</f>
        <v>13 Weeks</v>
      </c>
      <c r="F556">
        <f>VLOOKUP(B556,[2]Sheet2!$B:$E,4,FALSE)</f>
        <v>4000</v>
      </c>
      <c r="G556" s="2">
        <f>VLOOKUP(A556,[1]Pricing!$A:$H,8,FALSE)</f>
        <v>0.30147299999999999</v>
      </c>
      <c r="H556" s="2">
        <f>VLOOKUP(A556,[1]Pricing!$A:$J,10,FALSE)</f>
        <v>0.36765000000000003</v>
      </c>
      <c r="I556">
        <f>VLOOKUP(A556,MIN!A:B,2,FALSE)</f>
        <v>50</v>
      </c>
      <c r="J556" t="str">
        <f t="shared" si="21"/>
        <v>NO</v>
      </c>
      <c r="K556">
        <f>VLOOKUP(A556,[1]Pricing!$A:$G,7,FALSE)</f>
        <v>5000</v>
      </c>
      <c r="L556" t="s">
        <v>1960</v>
      </c>
      <c r="M556" t="str">
        <f t="shared" si="20"/>
        <v>723-B34232-008</v>
      </c>
    </row>
    <row r="557" spans="1:13" x14ac:dyDescent="0.25">
      <c r="A557" t="s">
        <v>1736</v>
      </c>
      <c r="B557" s="14" t="str">
        <f>VLOOKUP(A557,[1]Pricing!$A:$R,18,FALSE)</f>
        <v>TCA9548ARGER</v>
      </c>
      <c r="C557" t="s">
        <v>2595</v>
      </c>
      <c r="D557" t="str">
        <f>VLOOKUP(A557,[1]AVL!$A:$F,6,FALSE)</f>
        <v>IC,SMD,LV I2C SW W/RESET,8-CHAN,VQFN-24</v>
      </c>
      <c r="E557" t="str">
        <f>VLOOKUP(A557,[1]Pricing!$A:$F,6,FALSE)</f>
        <v>3 Weeks</v>
      </c>
      <c r="F557">
        <f>VLOOKUP(B557,[2]Sheet2!$B:$E,4,FALSE)</f>
        <v>2954</v>
      </c>
      <c r="G557" s="2">
        <f>VLOOKUP(A557,[1]Pricing!$A:$H,8,FALSE)</f>
        <v>0.94118400000000002</v>
      </c>
      <c r="H557" s="2">
        <f>VLOOKUP(A557,[1]Pricing!$A:$J,10,FALSE)</f>
        <v>1.1477853658536585</v>
      </c>
      <c r="I557">
        <f>VLOOKUP(A557,MIN!A:B,2,FALSE)</f>
        <v>15</v>
      </c>
      <c r="J557" t="str">
        <f t="shared" si="21"/>
        <v>NO</v>
      </c>
      <c r="K557">
        <f>VLOOKUP(A557,[1]Pricing!$A:$G,7,FALSE)</f>
        <v>3000</v>
      </c>
      <c r="L557" t="s">
        <v>1960</v>
      </c>
      <c r="M557" t="str">
        <f t="shared" si="20"/>
        <v>630-333296-002</v>
      </c>
    </row>
    <row r="558" spans="1:13" x14ac:dyDescent="0.25">
      <c r="A558" t="s">
        <v>1790</v>
      </c>
      <c r="B558" s="14" t="str">
        <f>VLOOKUP(A558,[1]Pricing!$A:$R,18,FALSE)</f>
        <v>TPS27S100BRRKT</v>
      </c>
      <c r="C558" t="s">
        <v>2595</v>
      </c>
      <c r="D558" t="str">
        <f>VLOOKUP(A558,[1]AVL!$A:$F,6,FALSE)</f>
        <v>IC,SMD,PWR SW,40V,80MOHM,QFN-16</v>
      </c>
      <c r="E558" t="str">
        <f>VLOOKUP(A558,[1]Pricing!$A:$F,6,FALSE)</f>
        <v>3 Weeks</v>
      </c>
      <c r="F558">
        <f>VLOOKUP(B558,[2]Sheet2!$B:$E,4,FALSE)</f>
        <v>3000</v>
      </c>
      <c r="G558" s="2">
        <f>VLOOKUP(A558,[1]Pricing!$A:$H,8,FALSE)</f>
        <v>1.0955969999999999</v>
      </c>
      <c r="H558" s="2">
        <f>VLOOKUP(A558,[1]Pricing!$A:$J,10,FALSE)</f>
        <v>1.3360939024390244</v>
      </c>
      <c r="I558">
        <f>VLOOKUP(A558,MIN!A:B,2,FALSE)</f>
        <v>25</v>
      </c>
      <c r="J558" t="str">
        <f t="shared" si="21"/>
        <v>NO</v>
      </c>
      <c r="K558">
        <f>VLOOKUP(A558,[1]Pricing!$A:$G,7,FALSE)</f>
        <v>3000</v>
      </c>
      <c r="L558" t="s">
        <v>1960</v>
      </c>
      <c r="M558" t="str">
        <f t="shared" si="20"/>
        <v>630-B14805-001</v>
      </c>
    </row>
    <row r="559" spans="1:13" x14ac:dyDescent="0.25">
      <c r="A559" t="s">
        <v>1732</v>
      </c>
      <c r="B559" s="14" t="str">
        <f>VLOOKUP(A559,[1]Pricing!$A:$R,18,FALSE)</f>
        <v>TCA9539RTWR</v>
      </c>
      <c r="C559" t="s">
        <v>2595</v>
      </c>
      <c r="D559" t="str">
        <f>VLOOKUP(A559,[1]AVL!$A:$F,6,FALSE)</f>
        <v>IC,SMD,I/O,EXPANDER,I2C,16B</v>
      </c>
      <c r="E559" t="str">
        <f>VLOOKUP(A559,[1]Pricing!$A:$F,6,FALSE)</f>
        <v>3 Weeks</v>
      </c>
      <c r="F559">
        <f>VLOOKUP(B559,[2]Sheet2!$B:$E,4,FALSE)</f>
        <v>2960</v>
      </c>
      <c r="G559" s="2">
        <f>VLOOKUP(A559,[1]Pricing!$A:$H,8,FALSE)</f>
        <v>0.79167299999999996</v>
      </c>
      <c r="H559" s="2">
        <f>VLOOKUP(A559,[1]Pricing!$A:$J,10,FALSE)</f>
        <v>0.9654548780487805</v>
      </c>
      <c r="I559">
        <f>VLOOKUP(A559,MIN!A:B,2,FALSE)</f>
        <v>25</v>
      </c>
      <c r="J559" t="str">
        <f t="shared" si="21"/>
        <v>NO</v>
      </c>
      <c r="K559">
        <f>VLOOKUP(A559,[1]Pricing!$A:$G,7,FALSE)</f>
        <v>3000</v>
      </c>
      <c r="L559" t="s">
        <v>1960</v>
      </c>
      <c r="M559" t="str">
        <f t="shared" si="20"/>
        <v>630-232594-001</v>
      </c>
    </row>
    <row r="560" spans="1:13" x14ac:dyDescent="0.25">
      <c r="A560" t="s">
        <v>1703</v>
      </c>
      <c r="B560" s="14" t="str">
        <f>VLOOKUP(A560,[1]Pricing!$A:$R,18,FALSE)</f>
        <v>SN74LVC2G34MDCKREP</v>
      </c>
      <c r="C560" t="s">
        <v>2595</v>
      </c>
      <c r="D560" t="str">
        <f>VLOOKUP(A560,[1]AVL!$A:$F,6,FALSE)</f>
        <v>IC,SMD,DUAL BUFFER GATE</v>
      </c>
      <c r="E560" t="str">
        <f>VLOOKUP(A560,[1]Pricing!$A:$F,6,FALSE)</f>
        <v>9 Weeks</v>
      </c>
      <c r="F560">
        <f>VLOOKUP(B560,[2]Sheet2!$B:$E,4,FALSE)</f>
        <v>3000</v>
      </c>
      <c r="G560" s="2">
        <f>VLOOKUP(A560,[1]Pricing!$A:$H,8,FALSE)</f>
        <v>1.0490280000000001</v>
      </c>
      <c r="H560" s="2">
        <f>VLOOKUP(A560,[1]Pricing!$A:$J,10,FALSE)</f>
        <v>1.2793024390243903</v>
      </c>
      <c r="I560">
        <f>VLOOKUP(A560,MIN!A:B,2,FALSE)</f>
        <v>15</v>
      </c>
      <c r="J560" t="str">
        <f t="shared" si="21"/>
        <v>NO</v>
      </c>
      <c r="K560">
        <f>VLOOKUP(A560,[1]Pricing!$A:$G,7,FALSE)</f>
        <v>3000</v>
      </c>
      <c r="L560" t="s">
        <v>1960</v>
      </c>
      <c r="M560" t="str">
        <f t="shared" si="20"/>
        <v>630-119587-001</v>
      </c>
    </row>
    <row r="561" spans="1:13" x14ac:dyDescent="0.25">
      <c r="A561" t="s">
        <v>1796</v>
      </c>
      <c r="B561" s="14" t="str">
        <f>VLOOKUP(A561,[1]Pricing!$A:$R,18,FALSE)</f>
        <v>TPS71718DCKR</v>
      </c>
      <c r="C561" t="s">
        <v>2595</v>
      </c>
      <c r="D561" t="str">
        <f>VLOOKUP(A561,[1]AVL!$A:$F,6,FALSE)</f>
        <v>IC,SMD,LDO,REG,150MA,1.8V,SC70-5</v>
      </c>
      <c r="E561" t="str">
        <f>VLOOKUP(A561,[1]Pricing!$A:$F,6,FALSE)</f>
        <v>9 Weeks</v>
      </c>
      <c r="F561">
        <f>VLOOKUP(B561,[2]Sheet2!$B:$E,4,FALSE)</f>
        <v>3000</v>
      </c>
      <c r="G561" s="2">
        <f>VLOOKUP(A561,[1]Pricing!$A:$H,8,FALSE)</f>
        <v>0.46666999999999997</v>
      </c>
      <c r="H561" s="2">
        <f>VLOOKUP(A561,[1]Pricing!$A:$J,10,FALSE)</f>
        <v>0.56910975609756098</v>
      </c>
      <c r="I561">
        <f>VLOOKUP(A561,MIN!A:B,2,FALSE)</f>
        <v>15</v>
      </c>
      <c r="J561" t="str">
        <f t="shared" si="21"/>
        <v>NO</v>
      </c>
      <c r="K561">
        <f>VLOOKUP(A561,[1]Pricing!$A:$G,7,FALSE)</f>
        <v>3000</v>
      </c>
      <c r="L561" t="s">
        <v>1960</v>
      </c>
      <c r="M561" t="str">
        <f t="shared" si="20"/>
        <v>630-121755-001</v>
      </c>
    </row>
    <row r="562" spans="1:13" x14ac:dyDescent="0.25">
      <c r="A562" t="s">
        <v>1685</v>
      </c>
      <c r="B562" s="14" t="str">
        <f>VLOOKUP(A562,[1]Pricing!$A:$R,18,FALSE)</f>
        <v>SN74LVC1G00DCKR</v>
      </c>
      <c r="C562" t="s">
        <v>2595</v>
      </c>
      <c r="D562" t="str">
        <f>VLOOKUP(A562,[1]AVL!$A:$F,6,FALSE)</f>
        <v>IC,SMD,SINGLE 2 IN NAND</v>
      </c>
      <c r="E562" t="str">
        <f>VLOOKUP(A562,[1]Pricing!$A:$F,6,FALSE)</f>
        <v>9 Weeks</v>
      </c>
      <c r="F562">
        <f>VLOOKUP(B562,[2]Sheet2!$B:$E,4,FALSE)</f>
        <v>2975</v>
      </c>
      <c r="G562" s="2">
        <f>VLOOKUP(A562,[1]Pricing!$A:$H,8,FALSE)</f>
        <v>4.5344000000000002E-2</v>
      </c>
      <c r="H562" s="2">
        <f>VLOOKUP(A562,[1]Pricing!$A:$J,10,FALSE)</f>
        <v>5.5297560975609762E-2</v>
      </c>
      <c r="I562">
        <f>VLOOKUP(A562,MIN!A:B,2,FALSE)</f>
        <v>25</v>
      </c>
      <c r="J562" t="str">
        <f t="shared" si="21"/>
        <v>NO</v>
      </c>
      <c r="K562">
        <f>VLOOKUP(A562,[1]Pricing!$A:$G,7,FALSE)</f>
        <v>3000</v>
      </c>
      <c r="L562" t="s">
        <v>1960</v>
      </c>
      <c r="M562" t="str">
        <f t="shared" si="20"/>
        <v>630-135486-001</v>
      </c>
    </row>
    <row r="563" spans="1:13" x14ac:dyDescent="0.25">
      <c r="A563" t="s">
        <v>1058</v>
      </c>
      <c r="B563" s="14" t="str">
        <f>VLOOKUP(A563,[1]Pricing!$A:$R,18,FALSE)</f>
        <v>LM78M05CDTX/NOPB</v>
      </c>
      <c r="C563" t="s">
        <v>2595</v>
      </c>
      <c r="D563" t="str">
        <f>VLOOKUP(A563,[1]AVL!$A:$F,6,FALSE)</f>
        <v>IC,SMD,VOLTAGE REGULATOR,78M05,ROHS</v>
      </c>
      <c r="E563" t="str">
        <f>VLOOKUP(A563,[1]Pricing!$A:$F,6,FALSE)</f>
        <v>3 Weeks</v>
      </c>
      <c r="F563">
        <f>VLOOKUP(B563,[2]Sheet2!$B:$E,4,FALSE)</f>
        <v>4990</v>
      </c>
      <c r="G563" s="2">
        <f>VLOOKUP(A563,[1]Pricing!$A:$H,8,FALSE)</f>
        <v>0.79167299999999996</v>
      </c>
      <c r="H563" s="2">
        <f>VLOOKUP(A563,[1]Pricing!$A:$J,10,FALSE)</f>
        <v>0.9654548780487805</v>
      </c>
      <c r="I563">
        <f>VLOOKUP(A563,MIN!A:B,2,FALSE)</f>
        <v>25</v>
      </c>
      <c r="J563" t="str">
        <f t="shared" si="21"/>
        <v>NO</v>
      </c>
      <c r="K563">
        <f>VLOOKUP(A563,[1]Pricing!$A:$G,7,FALSE)</f>
        <v>2500</v>
      </c>
      <c r="L563" t="s">
        <v>1960</v>
      </c>
      <c r="M563" t="str">
        <f t="shared" si="20"/>
        <v>630-023134-001</v>
      </c>
    </row>
    <row r="564" spans="1:13" x14ac:dyDescent="0.25">
      <c r="A564" t="s">
        <v>1810</v>
      </c>
      <c r="B564" s="14" t="str">
        <f>VLOOKUP(A564,[1]Pricing!$A:$R,18,FALSE)</f>
        <v>TS5A623157DGSR</v>
      </c>
      <c r="C564" t="s">
        <v>2595</v>
      </c>
      <c r="D564" t="str">
        <f>VLOOKUP(A564,[1]AVL!$A:$F,6,FALSE)</f>
        <v>IC,SMD,SW,DUAL,SPDT,MSOP10</v>
      </c>
      <c r="E564" t="str">
        <f>VLOOKUP(A564,[1]Pricing!$A:$F,6,FALSE)</f>
        <v>3 Weeks</v>
      </c>
      <c r="F564">
        <f>VLOOKUP(B564,[2]Sheet2!$B:$E,4,FALSE)</f>
        <v>2500</v>
      </c>
      <c r="G564" s="2">
        <f>VLOOKUP(A564,[1]Pricing!$A:$H,8,FALSE)</f>
        <v>0.25858100000000001</v>
      </c>
      <c r="H564" s="2">
        <f>VLOOKUP(A564,[1]Pricing!$A:$J,10,FALSE)</f>
        <v>0.31534268292682932</v>
      </c>
      <c r="I564">
        <f>VLOOKUP(A564,MIN!A:B,2,FALSE)</f>
        <v>25</v>
      </c>
      <c r="J564" t="str">
        <f t="shared" si="21"/>
        <v>NO</v>
      </c>
      <c r="K564">
        <f>VLOOKUP(A564,[1]Pricing!$A:$G,7,FALSE)</f>
        <v>2500</v>
      </c>
      <c r="L564" t="s">
        <v>1960</v>
      </c>
      <c r="M564" t="str">
        <f t="shared" si="20"/>
        <v>630-B14817-001</v>
      </c>
    </row>
    <row r="565" spans="1:13" x14ac:dyDescent="0.25">
      <c r="A565" t="s">
        <v>1828</v>
      </c>
      <c r="B565" s="14" t="str">
        <f>VLOOKUP(A565,[1]Pricing!$A:$R,18,FALSE)</f>
        <v>UCC27714DR</v>
      </c>
      <c r="C565" t="s">
        <v>2595</v>
      </c>
      <c r="D565" t="str">
        <f>VLOOKUP(A565,[1]AVL!$A:$F,6,FALSE)</f>
        <v>IC,SMD,GATE DR,HALF BRDG,4A,600V,SOIC-14</v>
      </c>
      <c r="E565" t="str">
        <f>VLOOKUP(A565,[1]Pricing!$A:$F,6,FALSE)</f>
        <v>3 Weeks</v>
      </c>
      <c r="F565">
        <f>VLOOKUP(B565,[2]Sheet2!$B:$E,4,FALSE)</f>
        <v>2500</v>
      </c>
      <c r="G565" s="2">
        <f>VLOOKUP(A565,[1]Pricing!$A:$H,8,FALSE)</f>
        <v>1.64151</v>
      </c>
      <c r="H565" s="2">
        <f>VLOOKUP(A565,[1]Pricing!$A:$J,10,FALSE)</f>
        <v>2.0018414634146344</v>
      </c>
      <c r="I565">
        <f>VLOOKUP(A565,MIN!A:B,2,FALSE)</f>
        <v>15</v>
      </c>
      <c r="J565" t="str">
        <f t="shared" si="21"/>
        <v>NO</v>
      </c>
      <c r="K565">
        <f>VLOOKUP(A565,[1]Pricing!$A:$G,7,FALSE)</f>
        <v>2500</v>
      </c>
      <c r="L565" t="s">
        <v>1960</v>
      </c>
      <c r="M565" t="str">
        <f t="shared" si="20"/>
        <v>630-B20591-001</v>
      </c>
    </row>
    <row r="566" spans="1:13" x14ac:dyDescent="0.25">
      <c r="A566" t="s">
        <v>1676</v>
      </c>
      <c r="B566" s="14" t="str">
        <f>VLOOKUP(A566,[1]Pricing!$A:$R,18,FALSE)</f>
        <v>SN74CB3Q3306APWR</v>
      </c>
      <c r="C566" t="s">
        <v>2595</v>
      </c>
      <c r="D566" t="str">
        <f>VLOOKUP(A566,[1]AVL!$A:$F,6,FALSE)</f>
        <v>IC,SMD,DUAL FET BUS SWITCH 8-TSSOP</v>
      </c>
      <c r="E566" t="str">
        <f>VLOOKUP(A566,[1]Pricing!$A:$F,6,FALSE)</f>
        <v>3 Weeks</v>
      </c>
      <c r="F566">
        <f>VLOOKUP(B566,[2]Sheet2!$B:$E,4,FALSE)</f>
        <v>2000</v>
      </c>
      <c r="G566" s="2">
        <f>VLOOKUP(A566,[1]Pricing!$A:$H,8,FALSE)</f>
        <v>0.31127700000000003</v>
      </c>
      <c r="H566" s="2">
        <f>VLOOKUP(A566,[1]Pricing!$A:$J,10,FALSE)</f>
        <v>0.37960609756097569</v>
      </c>
      <c r="I566">
        <f>VLOOKUP(A566,MIN!A:B,2,FALSE)</f>
        <v>15</v>
      </c>
      <c r="J566" t="str">
        <f t="shared" si="21"/>
        <v>NO</v>
      </c>
      <c r="K566">
        <f>VLOOKUP(A566,[1]Pricing!$A:$G,7,FALSE)</f>
        <v>2000</v>
      </c>
      <c r="L566" t="s">
        <v>1960</v>
      </c>
      <c r="M566" t="str">
        <f t="shared" si="20"/>
        <v>630-122441-001</v>
      </c>
    </row>
    <row r="567" spans="1:13" x14ac:dyDescent="0.25">
      <c r="A567" t="s">
        <v>1734</v>
      </c>
      <c r="B567" s="14" t="str">
        <f>VLOOKUP(A567,[1]Pricing!$A:$R,18,FALSE)</f>
        <v>TCA9548APWR</v>
      </c>
      <c r="C567" t="s">
        <v>2595</v>
      </c>
      <c r="D567" t="str">
        <f>VLOOKUP(A567,[1]AVL!$A:$F,6,FALSE)</f>
        <v>IC,SMD,I2C SW,8-CHAN,24PIN,5.5V,TSSOP</v>
      </c>
      <c r="E567" t="str">
        <f>VLOOKUP(A567,[1]Pricing!$A:$F,6,FALSE)</f>
        <v>3 Weeks</v>
      </c>
      <c r="F567">
        <f>VLOOKUP(B567,[2]Sheet2!$B:$E,4,FALSE)</f>
        <v>2000</v>
      </c>
      <c r="G567" s="2">
        <f>VLOOKUP(A567,[1]Pricing!$A:$H,8,FALSE)</f>
        <v>0.68750599999999995</v>
      </c>
      <c r="H567" s="2">
        <f>VLOOKUP(A567,[1]Pricing!$A:$J,10,FALSE)</f>
        <v>0.83842195121951213</v>
      </c>
      <c r="I567">
        <f>VLOOKUP(A567,MIN!A:B,2,FALSE)</f>
        <v>15</v>
      </c>
      <c r="J567" t="str">
        <f t="shared" si="21"/>
        <v>NO</v>
      </c>
      <c r="K567">
        <f>VLOOKUP(A567,[1]Pricing!$A:$G,7,FALSE)</f>
        <v>2000</v>
      </c>
      <c r="L567" t="s">
        <v>1960</v>
      </c>
      <c r="M567" t="str">
        <f t="shared" si="20"/>
        <v>630-333296-001</v>
      </c>
    </row>
    <row r="568" spans="1:13" x14ac:dyDescent="0.25">
      <c r="A568" t="s">
        <v>497</v>
      </c>
      <c r="B568" s="14" t="str">
        <f>VLOOKUP(A568,[1]Pricing!$A:$R,18,FALSE)</f>
        <v>ADS7953SDBTR</v>
      </c>
      <c r="C568" t="s">
        <v>2595</v>
      </c>
      <c r="D568" t="str">
        <f>VLOOKUP(A568,[1]AVL!$A:$F,6,FALSE)</f>
        <v>IC,SMD,ADC,12BIT,1-MSPS,16CHAN,TSSOP-38</v>
      </c>
      <c r="E568" t="str">
        <f>VLOOKUP(A568,[1]Pricing!$A:$F,6,FALSE)</f>
        <v>3 Weeks</v>
      </c>
      <c r="F568">
        <f>VLOOKUP(B568,[2]Sheet2!$B:$E,4,FALSE)</f>
        <v>500</v>
      </c>
      <c r="G568" s="2">
        <f>VLOOKUP(A568,[1]Pricing!$A:$H,8,FALSE)</f>
        <v>5.6127900000000004</v>
      </c>
      <c r="H568" s="2">
        <f>VLOOKUP(A568,[1]Pricing!$A:$J,10,FALSE)</f>
        <v>6.8448658536585372</v>
      </c>
      <c r="I568">
        <f>VLOOKUP(A568,MIN!A:B,2,FALSE)</f>
        <v>15</v>
      </c>
      <c r="J568" t="str">
        <f t="shared" si="21"/>
        <v>NO</v>
      </c>
      <c r="K568">
        <f>VLOOKUP(A568,[1]Pricing!$A:$G,7,FALSE)</f>
        <v>500</v>
      </c>
      <c r="L568" t="s">
        <v>1960</v>
      </c>
      <c r="M568" t="str">
        <f t="shared" si="20"/>
        <v>630-A89300-001</v>
      </c>
    </row>
    <row r="569" spans="1:13" x14ac:dyDescent="0.25">
      <c r="A569" t="s">
        <v>968</v>
      </c>
      <c r="B569" s="14" t="str">
        <f>VLOOKUP(A569,[1]Pricing!$A:$R,18,FALSE)</f>
        <v>INA188IDR</v>
      </c>
      <c r="C569" t="s">
        <v>2595</v>
      </c>
      <c r="D569" t="str">
        <f>VLOOKUP(A569,[1]AVL!$A:$F,6,FALSE)</f>
        <v>IC,SMD,PRCN,OPAMP,ZERO-DRIFT,SOIC-8</v>
      </c>
      <c r="E569" t="str">
        <f>VLOOKUP(A569,[1]Pricing!$A:$F,6,FALSE)</f>
        <v>9 Weeks</v>
      </c>
      <c r="F569">
        <f>VLOOKUP(B569,[2]Sheet2!$B:$E,4,FALSE)</f>
        <v>253</v>
      </c>
      <c r="G569" s="2">
        <f>VLOOKUP(A569,[1]Pricing!$A:$H,8,FALSE)</f>
        <v>3.5539499999999999</v>
      </c>
      <c r="H569" s="2">
        <f>VLOOKUP(A569,[1]Pricing!$A:$J,10,FALSE)</f>
        <v>4.3340853658536584</v>
      </c>
      <c r="I569">
        <f>VLOOKUP(A569,MIN!A:B,2,FALSE)</f>
        <v>15</v>
      </c>
      <c r="J569" t="str">
        <f t="shared" si="21"/>
        <v>NO</v>
      </c>
      <c r="K569">
        <f>VLOOKUP(A569,[1]Pricing!$A:$G,7,FALSE)</f>
        <v>300</v>
      </c>
      <c r="L569" t="s">
        <v>1960</v>
      </c>
      <c r="M569" t="str">
        <f t="shared" si="20"/>
        <v>630-A60335-001</v>
      </c>
    </row>
    <row r="570" spans="1:13" x14ac:dyDescent="0.25">
      <c r="A570" t="s">
        <v>1070</v>
      </c>
      <c r="B570" s="14" t="str">
        <f>VLOOKUP(A570,[1]Pricing!$A:$R,18,FALSE)</f>
        <v>LMZ14202TZ-ADJ/NOPB</v>
      </c>
      <c r="C570" t="s">
        <v>2595</v>
      </c>
      <c r="D570" t="str">
        <f>VLOOKUP(A570,[1]AVL!$A:$F,6,FALSE)</f>
        <v>IC,SMD,DC-DC CONV,6V-42V,2A</v>
      </c>
      <c r="E570" t="str">
        <f>VLOOKUP(A570,[1]Pricing!$A:$F,6,FALSE)</f>
        <v>9 Weeks</v>
      </c>
      <c r="F570">
        <f>VLOOKUP(B570,[2]Sheet2!$B:$E,4,FALSE)</f>
        <v>9</v>
      </c>
      <c r="G570" s="2">
        <f>VLOOKUP(A570,[1]Pricing!$A:$H,8,FALSE)</f>
        <v>10.02459</v>
      </c>
      <c r="H570" s="2">
        <f>VLOOKUP(A570,[1]Pricing!$A:$J,10,FALSE)</f>
        <v>12.225109756097561</v>
      </c>
      <c r="I570">
        <f>VLOOKUP(A570,MIN!A:B,2,FALSE)</f>
        <v>15</v>
      </c>
      <c r="J570" t="str">
        <f t="shared" si="21"/>
        <v>REORDER</v>
      </c>
      <c r="K570">
        <f>VLOOKUP(A570,[1]Pricing!$A:$G,7,FALSE)</f>
        <v>250</v>
      </c>
      <c r="L570" t="s">
        <v>2689</v>
      </c>
      <c r="M570" t="str">
        <f t="shared" si="20"/>
        <v>630-144359-001</v>
      </c>
    </row>
    <row r="571" spans="1:13" x14ac:dyDescent="0.25">
      <c r="A571" t="s">
        <v>1752</v>
      </c>
      <c r="B571" s="14" t="str">
        <f>VLOOKUP(A571,[1]Pricing!$A:$R,18,FALSE)</f>
        <v>THS4520RGTR</v>
      </c>
      <c r="C571" t="s">
        <v>2595</v>
      </c>
      <c r="D571" t="str">
        <f>VLOOKUP(A571,[1]AVL!$A:$F,6,FALSE)</f>
        <v>IC,SMD,DIFF AMPL,16P,3.3 TO 5V,VQFN</v>
      </c>
      <c r="E571" t="str">
        <f>VLOOKUP(A571,[1]Pricing!$A:$F,6,FALSE)</f>
        <v>3 Weeks</v>
      </c>
      <c r="F571">
        <f>VLOOKUP(B571,[2]Sheet2!$B:$E,4,FALSE)</f>
        <v>250</v>
      </c>
      <c r="G571" s="2">
        <f>VLOOKUP(A571,[1]Pricing!$A:$H,8,FALSE)</f>
        <v>3.6519900000000001</v>
      </c>
      <c r="H571" s="2">
        <f>VLOOKUP(A571,[1]Pricing!$A:$J,10,FALSE)</f>
        <v>4.4536463414634149</v>
      </c>
      <c r="I571">
        <f>VLOOKUP(A571,MIN!A:B,2,FALSE)</f>
        <v>15</v>
      </c>
      <c r="J571" t="str">
        <f t="shared" si="21"/>
        <v>NO</v>
      </c>
      <c r="K571">
        <f>VLOOKUP(A571,[1]Pricing!$A:$G,7,FALSE)</f>
        <v>250</v>
      </c>
      <c r="L571" t="s">
        <v>1960</v>
      </c>
      <c r="M571" t="str">
        <f t="shared" si="20"/>
        <v>630-B31546-001</v>
      </c>
    </row>
    <row r="572" spans="1:13" x14ac:dyDescent="0.25">
      <c r="A572" t="s">
        <v>1798</v>
      </c>
      <c r="B572" s="14" t="str">
        <f>VLOOKUP(A572,[1]Pricing!$A:$R,18,FALSE)</f>
        <v>TPS7A3301RGWR</v>
      </c>
      <c r="C572" t="s">
        <v>2595</v>
      </c>
      <c r="D572" t="str">
        <f>VLOOKUP(A572,[1]AVL!$A:$F,6,FALSE)</f>
        <v>IC,SMD,V REG,LDO,NEG ADJ,1A</v>
      </c>
      <c r="E572" t="str">
        <f>VLOOKUP(A572,[1]Pricing!$A:$F,6,FALSE)</f>
        <v>3 Weeks</v>
      </c>
      <c r="F572">
        <f>VLOOKUP(B572,[2]Sheet2!$B:$E,4,FALSE)</f>
        <v>250</v>
      </c>
      <c r="G572" s="2">
        <f>VLOOKUP(A572,[1]Pricing!$A:$H,8,FALSE)</f>
        <v>4.3995449999999998</v>
      </c>
      <c r="H572" s="2">
        <f>VLOOKUP(A572,[1]Pricing!$A:$J,10,FALSE)</f>
        <v>5.3652987804878052</v>
      </c>
      <c r="I572">
        <f>VLOOKUP(A572,MIN!A:B,2,FALSE)</f>
        <v>25</v>
      </c>
      <c r="J572" t="str">
        <f t="shared" si="21"/>
        <v>NO</v>
      </c>
      <c r="K572">
        <f>VLOOKUP(A572,[1]Pricing!$A:$G,7,FALSE)</f>
        <v>250</v>
      </c>
      <c r="L572" t="s">
        <v>1960</v>
      </c>
      <c r="M572" t="str">
        <f t="shared" si="20"/>
        <v>630-129718-001</v>
      </c>
    </row>
    <row r="573" spans="1:13" x14ac:dyDescent="0.25">
      <c r="A573" t="s">
        <v>1802</v>
      </c>
      <c r="B573" s="14" t="str">
        <f>VLOOKUP(A573,[1]Pricing!$A:$R,18,FALSE)</f>
        <v>TPS7A8801RTJR</v>
      </c>
      <c r="C573" t="s">
        <v>2595</v>
      </c>
      <c r="D573" t="str">
        <f>VLOOKUP(A573,[1]AVL!$A:$F,6,FALSE)</f>
        <v>IC,SMD,V RGLTR,LDO,0.8-5VOUT,1A,20-WQFN</v>
      </c>
      <c r="E573" t="str">
        <f>VLOOKUP(A573,[1]Pricing!$A:$F,6,FALSE)</f>
        <v>3 Weeks</v>
      </c>
      <c r="F573">
        <f>VLOOKUP(B573,[2]Sheet2!$B:$E,4,FALSE)</f>
        <v>239</v>
      </c>
      <c r="G573" s="2">
        <f>VLOOKUP(A573,[1]Pricing!$A:$H,8,FALSE)</f>
        <v>3.0925739999999999</v>
      </c>
      <c r="H573" s="2">
        <f>VLOOKUP(A573,[1]Pricing!$A:$J,10,FALSE)</f>
        <v>3.7714317073170731</v>
      </c>
      <c r="I573">
        <f>VLOOKUP(A573,MIN!A:B,2,FALSE)</f>
        <v>40</v>
      </c>
      <c r="J573" t="str">
        <f t="shared" si="21"/>
        <v>NO</v>
      </c>
      <c r="K573">
        <f>VLOOKUP(A573,[1]Pricing!$A:$G,7,FALSE)</f>
        <v>250</v>
      </c>
      <c r="L573" t="s">
        <v>2689</v>
      </c>
      <c r="M573" t="str">
        <f t="shared" si="20"/>
        <v>630-345767-001</v>
      </c>
    </row>
    <row r="574" spans="1:13" x14ac:dyDescent="0.25">
      <c r="A574" t="s">
        <v>495</v>
      </c>
      <c r="B574" s="14" t="str">
        <f>VLOOKUP(A574,[1]Pricing!$A:$R,18,FALSE)</f>
        <v>ADS1015IDGSR</v>
      </c>
      <c r="C574" t="s">
        <v>2595</v>
      </c>
      <c r="D574" t="str">
        <f>VLOOKUP(A574,[1]AVL!$A:$F,6,FALSE)</f>
        <v>IC,SMD,ADC,12BIT,I2C,W/REF,10-MSOP</v>
      </c>
      <c r="E574" t="str">
        <f>VLOOKUP(A574,[1]Pricing!$A:$F,6,FALSE)</f>
        <v>3 Weeks</v>
      </c>
      <c r="F574">
        <f>VLOOKUP(B574,[2]Sheet2!$B:$E,4,FALSE)</f>
        <v>250</v>
      </c>
      <c r="G574" s="2">
        <f>VLOOKUP(A574,[1]Pricing!$A:$H,8,FALSE)</f>
        <v>1.8505050000000001</v>
      </c>
      <c r="H574" s="2">
        <f>VLOOKUP(A574,[1]Pricing!$A:$J,10,FALSE)</f>
        <v>2.2567134146341465</v>
      </c>
      <c r="I574">
        <f>VLOOKUP(A574,MIN!A:B,2,FALSE)</f>
        <v>15</v>
      </c>
      <c r="J574" t="str">
        <f t="shared" si="21"/>
        <v>NO</v>
      </c>
      <c r="K574">
        <f>VLOOKUP(A574,[1]Pricing!$A:$G,7,FALSE)</f>
        <v>250</v>
      </c>
      <c r="L574" t="s">
        <v>1960</v>
      </c>
      <c r="M574" t="str">
        <f t="shared" si="20"/>
        <v>630-270805-001</v>
      </c>
    </row>
    <row r="575" spans="1:13" x14ac:dyDescent="0.25">
      <c r="A575" t="s">
        <v>1226</v>
      </c>
      <c r="B575" s="14" t="str">
        <f>VLOOKUP(A575,[1]Pricing!$A:$R,18,FALSE)</f>
        <v>OPA2340UA/2K5</v>
      </c>
      <c r="C575" t="s">
        <v>2595</v>
      </c>
      <c r="D575" t="str">
        <f>VLOOKUP(A575,[1]AVL!$A:$F,6,FALSE)</f>
        <v>IC,SMD,OPAMP GP R-R 5.5MHZ ROHS</v>
      </c>
      <c r="E575" t="str">
        <f>VLOOKUP(A575,[1]Pricing!$A:$F,6,FALSE)</f>
        <v>8 Weeks</v>
      </c>
      <c r="F575">
        <f>VLOOKUP(B575,[2]Sheet2!$B:$E,4,FALSE)</f>
        <v>250</v>
      </c>
      <c r="G575" s="2">
        <f>VLOOKUP(A575,[1]Pricing!$A:$H,8,FALSE)</f>
        <v>3.3823799999999999</v>
      </c>
      <c r="H575" s="2">
        <f>VLOOKUP(A575,[1]Pricing!$A:$J,10,FALSE)</f>
        <v>4.1248536585365851</v>
      </c>
      <c r="I575">
        <f>VLOOKUP(A575,MIN!A:B,2,FALSE)</f>
        <v>15</v>
      </c>
      <c r="J575" t="str">
        <f t="shared" si="21"/>
        <v>NO</v>
      </c>
      <c r="K575">
        <f>VLOOKUP(A575,[1]Pricing!$A:$G,7,FALSE)</f>
        <v>225</v>
      </c>
      <c r="L575" t="s">
        <v>1960</v>
      </c>
      <c r="M575" t="str">
        <f t="shared" si="20"/>
        <v>630-105350-001</v>
      </c>
    </row>
    <row r="576" spans="1:13" x14ac:dyDescent="0.25">
      <c r="A576" t="s">
        <v>1228</v>
      </c>
      <c r="B576" s="14" t="str">
        <f>VLOOKUP(A576,[1]Pricing!$A:$R,18,FALSE)</f>
        <v>OPA2991IDDFR</v>
      </c>
      <c r="C576" t="s">
        <v>2595</v>
      </c>
      <c r="D576" t="str">
        <f>VLOOKUP(A576,[1]AVL!$A:$F,6,FALSE)</f>
        <v>IC,SMD,OP-AMP,2CKT,75MA,2.7-40V,SOT-23-8</v>
      </c>
      <c r="E576" t="str">
        <f>VLOOKUP(A576,[1]Pricing!$A:$F,6,FALSE)</f>
        <v>3 Weeks</v>
      </c>
      <c r="F576">
        <f>VLOOKUP(B576,[2]Sheet2!$B:$E,4,FALSE)</f>
        <v>200</v>
      </c>
      <c r="G576" s="2">
        <f>VLOOKUP(A576,[1]Pricing!$A:$H,8,FALSE)</f>
        <v>1.3603050000000001</v>
      </c>
      <c r="H576" s="2">
        <f>VLOOKUP(A576,[1]Pricing!$A:$J,10,FALSE)</f>
        <v>1.658908536585366</v>
      </c>
      <c r="I576">
        <f>VLOOKUP(A576,MIN!A:B,2,FALSE)</f>
        <v>15</v>
      </c>
      <c r="J576" t="str">
        <f t="shared" si="21"/>
        <v>NO</v>
      </c>
      <c r="K576">
        <f>VLOOKUP(A576,[1]Pricing!$A:$G,7,FALSE)</f>
        <v>200</v>
      </c>
      <c r="L576" t="s">
        <v>2689</v>
      </c>
      <c r="M576" t="str">
        <f t="shared" si="20"/>
        <v>630-A73078-001</v>
      </c>
    </row>
    <row r="577" spans="1:13" x14ac:dyDescent="0.25">
      <c r="A577" t="s">
        <v>1056</v>
      </c>
      <c r="B577" s="14" t="str">
        <f>VLOOKUP(A577,[1]Pricing!$A:$R,18,FALSE)</f>
        <v>LM7812SX/NOPB</v>
      </c>
      <c r="C577" t="s">
        <v>2692</v>
      </c>
      <c r="D577" t="str">
        <f>VLOOKUP(A577,[1]AVL!$A:$F,6,FALSE)</f>
        <v>IC,SMD,V RGLTR,FXD OUT,35V,TO-263-3</v>
      </c>
      <c r="E577" t="str">
        <f>VLOOKUP(A577,[1]Pricing!$A:$F,6,FALSE)</f>
        <v>9 Weeks</v>
      </c>
      <c r="F577">
        <f>VLOOKUP(B577,[2]Sheet2!$B:$E,4,FALSE)</f>
        <v>195</v>
      </c>
      <c r="G577" s="2">
        <f>VLOOKUP(A577,[1]Pricing!$A:$H,8,FALSE)</f>
        <v>1.538689</v>
      </c>
      <c r="H577" s="2">
        <f>VLOOKUP(A577,[1]Pricing!$A:$J,10,FALSE)</f>
        <v>1.8764500000000002</v>
      </c>
      <c r="I577">
        <f>VLOOKUP(A577,MIN!A:B,2,FALSE)</f>
        <v>15</v>
      </c>
      <c r="J577" t="str">
        <f t="shared" si="21"/>
        <v>NO</v>
      </c>
      <c r="K577">
        <f>VLOOKUP(A577,[1]Pricing!$A:$G,7,FALSE)</f>
        <v>200</v>
      </c>
      <c r="L577" t="s">
        <v>2689</v>
      </c>
      <c r="M577" t="str">
        <f t="shared" si="20"/>
        <v>630-B10796-001</v>
      </c>
    </row>
    <row r="578" spans="1:13" x14ac:dyDescent="0.25">
      <c r="A578" t="s">
        <v>1664</v>
      </c>
      <c r="B578" s="14" t="str">
        <f>VLOOKUP(A578,[1]Pricing!$A:$R,18,FALSE)</f>
        <v>SN65LVDS4RSER</v>
      </c>
      <c r="C578" t="s">
        <v>2595</v>
      </c>
      <c r="D578" t="str">
        <f>VLOOKUP(A578,[1]AVL!$A:$F,6,FALSE)</f>
        <v>IC,SMD,DIFF LINE,1RCVR,1.8V,65LVDS SER</v>
      </c>
      <c r="E578" t="str">
        <f>VLOOKUP(A578,[1]Pricing!$A:$F,6,FALSE)</f>
        <v>3 Weeks</v>
      </c>
      <c r="F578">
        <f>VLOOKUP(B578,[2]Sheet2!$B:$E,4,FALSE)</f>
        <v>250</v>
      </c>
      <c r="G578" s="2">
        <f>VLOOKUP(A578,[1]Pricing!$A:$H,8,FALSE)</f>
        <v>1.0747640000000001</v>
      </c>
      <c r="H578" s="2">
        <f>VLOOKUP(A578,[1]Pricing!$A:$J,10,FALSE)</f>
        <v>1.3106878048780488</v>
      </c>
      <c r="I578">
        <f>VLOOKUP(A578,MIN!A:B,2,FALSE)</f>
        <v>25</v>
      </c>
      <c r="J578" t="str">
        <f t="shared" ref="J578:J641" si="22">IF(F578&lt;=I578,"REORDER","NO")</f>
        <v>NO</v>
      </c>
      <c r="K578">
        <f>VLOOKUP(A578,[1]Pricing!$A:$G,7,FALSE)</f>
        <v>200</v>
      </c>
      <c r="L578" t="s">
        <v>1960</v>
      </c>
      <c r="M578" t="str">
        <f t="shared" si="20"/>
        <v>630-242662-001</v>
      </c>
    </row>
    <row r="579" spans="1:13" x14ac:dyDescent="0.25">
      <c r="A579" t="s">
        <v>1668</v>
      </c>
      <c r="B579" s="14" t="str">
        <f>VLOOKUP(A579,[1]Pricing!$A:$R,18,FALSE)</f>
        <v>SN74ACT04DR</v>
      </c>
      <c r="C579" t="s">
        <v>2595</v>
      </c>
      <c r="D579" t="str">
        <f>VLOOKUP(A579,[1]AVL!$A:$F,6,FALSE)</f>
        <v>IC,SMD,INV,6-CHAN,4.5-5.5V,SOIC-14</v>
      </c>
      <c r="E579" t="str">
        <f>VLOOKUP(A579,[1]Pricing!$A:$F,6,FALSE)</f>
        <v>3 Weeks</v>
      </c>
      <c r="F579">
        <f>VLOOKUP(B579,[2]Sheet2!$B:$E,4,FALSE)</f>
        <v>250</v>
      </c>
      <c r="G579" s="2">
        <f>VLOOKUP(A579,[1]Pricing!$A:$H,8,FALSE)</f>
        <v>0.33823799999999998</v>
      </c>
      <c r="H579" s="2">
        <f>VLOOKUP(A579,[1]Pricing!$A:$J,10,FALSE)</f>
        <v>0.41248536585365853</v>
      </c>
      <c r="I579">
        <f>VLOOKUP(A579,MIN!A:B,2,FALSE)</f>
        <v>25</v>
      </c>
      <c r="J579" t="str">
        <f t="shared" si="22"/>
        <v>NO</v>
      </c>
      <c r="K579">
        <f>VLOOKUP(A579,[1]Pricing!$A:$G,7,FALSE)</f>
        <v>200</v>
      </c>
      <c r="L579" t="s">
        <v>1960</v>
      </c>
      <c r="M579" t="str">
        <f t="shared" si="20"/>
        <v>630-A93022-001</v>
      </c>
    </row>
    <row r="580" spans="1:13" x14ac:dyDescent="0.25">
      <c r="A580" t="s">
        <v>1680</v>
      </c>
      <c r="B580" s="14" t="str">
        <f>VLOOKUP(A580,[1]Pricing!$A:$R,18,FALSE)</f>
        <v>SN74LVC125ARGYR</v>
      </c>
      <c r="C580" t="s">
        <v>2595</v>
      </c>
      <c r="D580" t="str">
        <f>VLOOKUP(A580,[1]AVL!$A:$F,6,FALSE)</f>
        <v>IC,SMD,NON INV,BFR,1.65-3.6V,VQFN-14</v>
      </c>
      <c r="E580" t="str">
        <f>VLOOKUP(A580,[1]Pricing!$A:$F,6,FALSE)</f>
        <v>3 Weeks</v>
      </c>
      <c r="F580">
        <v>0</v>
      </c>
      <c r="G580" s="2">
        <f>VLOOKUP(A580,[1]Pricing!$A:$H,8,FALSE)</f>
        <v>0.19975699999999999</v>
      </c>
      <c r="H580" s="2">
        <f>VLOOKUP(A580,[1]Pricing!$A:$J,10,FALSE)</f>
        <v>0.24360609756097562</v>
      </c>
      <c r="I580">
        <f>VLOOKUP(A580,MIN!A:B,2,FALSE)</f>
        <v>25</v>
      </c>
      <c r="J580" t="str">
        <f t="shared" si="22"/>
        <v>REORDER</v>
      </c>
      <c r="K580">
        <f>VLOOKUP(A580,[1]Pricing!$A:$G,7,FALSE)</f>
        <v>200</v>
      </c>
      <c r="M580" t="str">
        <f t="shared" ref="M580:M643" si="23">A580</f>
        <v>630-A52002-001</v>
      </c>
    </row>
    <row r="581" spans="1:13" x14ac:dyDescent="0.25">
      <c r="A581" t="s">
        <v>1222</v>
      </c>
      <c r="B581" s="14" t="str">
        <f>VLOOKUP(A581,[1]Pricing!$A:$R,18,FALSE)</f>
        <v>OPA2132U/2K5</v>
      </c>
      <c r="C581" t="s">
        <v>2595</v>
      </c>
      <c r="D581" t="str">
        <f>VLOOKUP(A581,[1]AVL!$A:$F,6,FALSE)</f>
        <v>IC,SMD,OPA2132U,OPAMP,FET,ROHS</v>
      </c>
      <c r="E581" t="str">
        <f>VLOOKUP(A581,[1]Pricing!$A:$F,6,FALSE)</f>
        <v>3 Weeks</v>
      </c>
      <c r="F581">
        <f>VLOOKUP(B581,[2]Sheet2!$B:$E,4,FALSE)</f>
        <v>60</v>
      </c>
      <c r="G581" s="2">
        <f>VLOOKUP(A581,[1]Pricing!$A:$H,8,FALSE)</f>
        <v>10.502535</v>
      </c>
      <c r="H581" s="2">
        <f>VLOOKUP(A581,[1]Pricing!$A:$J,10,FALSE)</f>
        <v>12.807969512195122</v>
      </c>
      <c r="I581">
        <f>VLOOKUP(A581,MIN!A:B,2,FALSE)</f>
        <v>15</v>
      </c>
      <c r="J581" t="str">
        <f t="shared" si="22"/>
        <v>NO</v>
      </c>
      <c r="K581">
        <f>VLOOKUP(A581,[1]Pricing!$A:$G,7,FALSE)</f>
        <v>60</v>
      </c>
      <c r="L581" t="s">
        <v>1960</v>
      </c>
      <c r="M581" t="str">
        <f t="shared" si="23"/>
        <v>630-004007-001</v>
      </c>
    </row>
    <row r="582" spans="1:13" x14ac:dyDescent="0.25">
      <c r="A582" t="s">
        <v>499</v>
      </c>
      <c r="B582" s="14" t="str">
        <f>VLOOKUP(A582,[1]Pricing!$A:$R,18,FALSE)</f>
        <v>ADS8688IDBTR</v>
      </c>
      <c r="C582" t="s">
        <v>2595</v>
      </c>
      <c r="D582" t="str">
        <f>VLOOKUP(A582,[1]AVL!$A:$F,6,FALSE)</f>
        <v>IC,SMD,ADC,16 BIT,500 KSPS,8 CHAN MUX</v>
      </c>
      <c r="E582" t="str">
        <f>VLOOKUP(A582,[1]Pricing!$A:$F,6,FALSE)</f>
        <v>15 Weeks</v>
      </c>
      <c r="F582">
        <f>VLOOKUP(B582,[2]Sheet2!$B:$E,4,FALSE)</f>
        <v>23</v>
      </c>
      <c r="G582" s="2">
        <f>VLOOKUP(A582,[1]Pricing!$A:$H,8,FALSE)</f>
        <v>12.806475000000001</v>
      </c>
      <c r="H582" s="2">
        <f>VLOOKUP(A582,[1]Pricing!$A:$J,10,FALSE)</f>
        <v>15.617652439024392</v>
      </c>
      <c r="I582">
        <f>VLOOKUP(A582,MIN!A:B,2,FALSE)</f>
        <v>15</v>
      </c>
      <c r="J582" t="str">
        <f t="shared" si="22"/>
        <v>NO</v>
      </c>
      <c r="K582">
        <f>VLOOKUP(A582,[1]Pricing!$A:$G,7,FALSE)</f>
        <v>60</v>
      </c>
      <c r="L582" t="s">
        <v>2689</v>
      </c>
      <c r="M582" t="str">
        <f t="shared" si="23"/>
        <v>630-311348-001</v>
      </c>
    </row>
    <row r="583" spans="1:13" x14ac:dyDescent="0.25">
      <c r="A583" t="s">
        <v>1230</v>
      </c>
      <c r="B583" s="14" t="str">
        <f>VLOOKUP(A583,[1]Pricing!$A:$R,18,FALSE)</f>
        <v>OPA548T</v>
      </c>
      <c r="C583" t="s">
        <v>2595</v>
      </c>
      <c r="D583" t="str">
        <f>VLOOKUP(A583,[1]AVL!$A:$F,6,FALSE)</f>
        <v>IC,PWR OPAMP,TO-220,OPA548T,ROHS</v>
      </c>
      <c r="E583" t="str">
        <f>VLOOKUP(A583,[1]Pricing!$A:$F,6,FALSE)</f>
        <v>9 Weeks</v>
      </c>
      <c r="F583">
        <f>VLOOKUP(B583,[2]Sheet2!$B:$E,4,FALSE)</f>
        <v>50</v>
      </c>
      <c r="G583" s="2">
        <f>VLOOKUP(A583,[1]Pricing!$A:$H,8,FALSE)</f>
        <v>13.823639999999999</v>
      </c>
      <c r="H583" s="2">
        <f>VLOOKUP(A583,[1]Pricing!$A:$J,10,FALSE)</f>
        <v>16.858097560975612</v>
      </c>
      <c r="I583">
        <f>VLOOKUP(A583,MIN!A:B,2,FALSE)</f>
        <v>15</v>
      </c>
      <c r="J583" t="str">
        <f t="shared" si="22"/>
        <v>NO</v>
      </c>
      <c r="K583">
        <f>VLOOKUP(A583,[1]Pricing!$A:$G,7,FALSE)</f>
        <v>50</v>
      </c>
      <c r="L583" t="s">
        <v>1960</v>
      </c>
      <c r="M583" t="str">
        <f t="shared" si="23"/>
        <v>631-015265-001</v>
      </c>
    </row>
    <row r="584" spans="1:13" x14ac:dyDescent="0.25">
      <c r="A584" t="s">
        <v>191</v>
      </c>
      <c r="B584" s="14" t="str">
        <f>VLOOKUP(A584,[1]Pricing!$A:$R,18,FALSE)</f>
        <v>2SA1416S-TD-E</v>
      </c>
      <c r="C584" t="s">
        <v>2623</v>
      </c>
      <c r="D584" t="str">
        <f>VLOOKUP(A584,[1]AVL!$A:$F,6,FALSE)</f>
        <v>XSTR,SMD,PNP,100V,1A,500MW,SOT-89,ROHS</v>
      </c>
      <c r="E584" t="str">
        <f>VLOOKUP(A584,[1]Pricing!$A:$F,6,FALSE)</f>
        <v>12 Weeks</v>
      </c>
      <c r="F584">
        <f>VLOOKUP(B584,[2]Sheet2!$B:$E,4,FALSE)</f>
        <v>610</v>
      </c>
      <c r="G584" s="2">
        <f>VLOOKUP(A584,[1]Pricing!$A:$H,8,FALSE)</f>
        <v>0.19117799999999999</v>
      </c>
      <c r="H584" s="2">
        <f>VLOOKUP(A584,[1]Pricing!$A:$J,10,FALSE)</f>
        <v>0.23314390243902439</v>
      </c>
      <c r="I584">
        <f>VLOOKUP(A584,MIN!A:B,2,FALSE)</f>
        <v>15</v>
      </c>
      <c r="J584" t="str">
        <f t="shared" si="22"/>
        <v>NO</v>
      </c>
      <c r="K584">
        <f>VLOOKUP(A584,[1]Pricing!$A:$G,7,FALSE)</f>
        <v>1000</v>
      </c>
      <c r="L584" t="s">
        <v>2689</v>
      </c>
      <c r="M584" t="str">
        <f t="shared" si="23"/>
        <v>626-B25312-001</v>
      </c>
    </row>
    <row r="585" spans="1:13" x14ac:dyDescent="0.25">
      <c r="A585" t="s">
        <v>189</v>
      </c>
      <c r="B585" s="14" t="str">
        <f>VLOOKUP(A585,[1]Pricing!$A:$R,18,FALSE)</f>
        <v>2920L600/24SLER</v>
      </c>
      <c r="C585" t="s">
        <v>2620</v>
      </c>
      <c r="D585" t="str">
        <f>VLOOKUP(A585,[1]AVL!$A:$F,6,FALSE)</f>
        <v>FUSE,SMD,PPTC,24V,6A,2920,ROHS</v>
      </c>
      <c r="E585" t="str">
        <f>VLOOKUP(A585,[1]Pricing!$A:$F,6,FALSE)</f>
        <v>18 Weeks</v>
      </c>
      <c r="F585">
        <f>VLOOKUP(B585,[2]Sheet2!$B:$E,4,FALSE)</f>
        <v>2500</v>
      </c>
      <c r="G585" s="2">
        <f>VLOOKUP(A585,[1]Pricing!$A:$H,8,FALSE)</f>
        <v>1.286775</v>
      </c>
      <c r="H585" s="2">
        <f>VLOOKUP(A585,[1]Pricing!$A:$J,10,FALSE)</f>
        <v>1.5692378048780489</v>
      </c>
      <c r="I585">
        <f>VLOOKUP(A585,MIN!A:B,2,FALSE)</f>
        <v>25</v>
      </c>
      <c r="J585" t="str">
        <f t="shared" si="22"/>
        <v>NO</v>
      </c>
      <c r="K585">
        <f>VLOOKUP(A585,[1]Pricing!$A:$G,7,FALSE)</f>
        <v>2500</v>
      </c>
      <c r="L585" t="s">
        <v>1960</v>
      </c>
      <c r="M585" t="str">
        <f t="shared" si="23"/>
        <v>682-A91737-006</v>
      </c>
    </row>
    <row r="586" spans="1:13" x14ac:dyDescent="0.25">
      <c r="A586" t="s">
        <v>187</v>
      </c>
      <c r="B586" s="14" t="str">
        <f>VLOOKUP(A586,[1]Pricing!$A:$R,18,FALSE)</f>
        <v>2920L500/24SLDR</v>
      </c>
      <c r="C586" t="s">
        <v>2620</v>
      </c>
      <c r="D586" t="str">
        <f>VLOOKUP(A586,[1]AVL!$A:$F,6,FALSE)</f>
        <v>FUSE,SMD,PPTC,24V,5A,2920,ROHS</v>
      </c>
      <c r="E586" t="str">
        <f>VLOOKUP(A586,[1]Pricing!$A:$F,6,FALSE)</f>
        <v>18 Weeks</v>
      </c>
      <c r="F586">
        <f>VLOOKUP(B586,[2]Sheet2!$B:$E,4,FALSE)</f>
        <v>1500</v>
      </c>
      <c r="G586" s="2">
        <f>VLOOKUP(A586,[1]Pricing!$A:$H,8,FALSE)</f>
        <v>1.352695</v>
      </c>
      <c r="H586" s="2">
        <f>VLOOKUP(A586,[1]Pricing!$A:$J,10,FALSE)</f>
        <v>1.649628048780488</v>
      </c>
      <c r="I586">
        <f>VLOOKUP(A586,MIN!A:B,2,FALSE)</f>
        <v>15</v>
      </c>
      <c r="J586" t="str">
        <f t="shared" si="22"/>
        <v>NO</v>
      </c>
      <c r="K586">
        <f>VLOOKUP(A586,[1]Pricing!$A:$G,7,FALSE)</f>
        <v>1500</v>
      </c>
      <c r="L586" t="s">
        <v>1960</v>
      </c>
      <c r="M586" t="str">
        <f t="shared" si="23"/>
        <v>682-A91737-005</v>
      </c>
    </row>
    <row r="587" spans="1:13" x14ac:dyDescent="0.25">
      <c r="A587" t="s">
        <v>418</v>
      </c>
      <c r="B587" s="14" t="str">
        <f>VLOOKUP(A587,[1]Pricing!$A:$R,18,FALSE)</f>
        <v>76HPSB04GWRT</v>
      </c>
      <c r="C587" t="s">
        <v>2638</v>
      </c>
      <c r="D587" t="str">
        <f>VLOOKUP(A587,[1]AVL!$A:$F,6,FALSE)</f>
        <v>SW,SMD,DIP STRAIGHT 4 POLES,ROHS</v>
      </c>
      <c r="E587" t="str">
        <f>VLOOKUP(A587,[1]Pricing!$A:$F,6,FALSE)</f>
        <v>12 Weeks</v>
      </c>
      <c r="F587">
        <f>VLOOKUP(B587,[2]Sheet2!$B:$E,4,FALSE)</f>
        <v>500</v>
      </c>
      <c r="G587" s="2">
        <f>VLOOKUP(A587,[1]Pricing!$A:$H,8,FALSE)</f>
        <v>2.6599970000000002</v>
      </c>
      <c r="H587" s="2">
        <f>VLOOKUP(A587,[1]Pricing!$A:$J,10,FALSE)</f>
        <v>3.2438987804878052</v>
      </c>
      <c r="I587">
        <f>VLOOKUP(A587,MIN!A:B,2,FALSE)</f>
        <v>25</v>
      </c>
      <c r="J587" t="str">
        <f t="shared" si="22"/>
        <v>NO</v>
      </c>
      <c r="K587">
        <f>VLOOKUP(A587,[1]Pricing!$A:$G,7,FALSE)</f>
        <v>500</v>
      </c>
      <c r="L587" t="s">
        <v>1960</v>
      </c>
      <c r="M587" t="str">
        <f t="shared" si="23"/>
        <v>646-130453-004</v>
      </c>
    </row>
    <row r="588" spans="1:13" x14ac:dyDescent="0.25">
      <c r="A588" t="s">
        <v>1745</v>
      </c>
      <c r="B588" s="14" t="str">
        <f>VLOOKUP(A588,[1]Pricing!$A:$R,18,FALSE)</f>
        <v>TGHLV150RJE</v>
      </c>
      <c r="C588" t="s">
        <v>2640</v>
      </c>
      <c r="D588" t="str">
        <f>VLOOKUP(A588,[1]AVL!$A:$F,6,FALSE)</f>
        <v>RES,THK FILM,150 OHM,5%,200W,SOT227</v>
      </c>
      <c r="E588" t="str">
        <f>VLOOKUP(A588,[1]Pricing!$A:$F,6,FALSE)</f>
        <v>22 Weeks</v>
      </c>
      <c r="F588">
        <f>VLOOKUP(B588,[2]Sheet2!$B:$E,4,FALSE)</f>
        <v>181</v>
      </c>
      <c r="G588" s="2">
        <f>VLOOKUP(A588,[1]Pricing!$A:$H,8,FALSE)</f>
        <v>47.91</v>
      </c>
      <c r="H588" s="2">
        <f>VLOOKUP(A588,[1]Pricing!$A:$J,10,FALSE)</f>
        <v>58.426829268292686</v>
      </c>
      <c r="I588">
        <f>VLOOKUP(A588,MIN!A:B,2,FALSE)</f>
        <v>75</v>
      </c>
      <c r="J588" t="str">
        <f t="shared" si="22"/>
        <v>NO</v>
      </c>
      <c r="K588">
        <f>VLOOKUP(A588,[1]Pricing!$A:$G,7,FALSE)</f>
        <v>150</v>
      </c>
      <c r="L588" t="s">
        <v>2689</v>
      </c>
      <c r="M588" t="str">
        <f t="shared" si="23"/>
        <v>618-B36776-151</v>
      </c>
    </row>
    <row r="589" spans="1:13" x14ac:dyDescent="0.25">
      <c r="A589" t="s">
        <v>127</v>
      </c>
      <c r="B589" s="14" t="str">
        <f>VLOOKUP(A589,[1]Pricing!$A:$R,18,FALSE)</f>
        <v>181-015-113R531</v>
      </c>
      <c r="C589" t="s">
        <v>2585</v>
      </c>
      <c r="D589" t="str">
        <f>VLOOKUP(A589,[1]AVL!$A:$F,6,FALSE)</f>
        <v>CONN,PLUG,D-SUB,HD,15POSN,RTANG,4-40INSR</v>
      </c>
      <c r="E589" t="str">
        <f>VLOOKUP(A589,[1]Pricing!$A:$F,6,FALSE)</f>
        <v>24 Weeks</v>
      </c>
      <c r="F589">
        <f>VLOOKUP(B589,[2]Sheet2!$B:$E,4,FALSE)</f>
        <v>270</v>
      </c>
      <c r="G589" s="2">
        <f>VLOOKUP(A589,[1]Pricing!$A:$H,8,FALSE)</f>
        <v>2.7696299999999998</v>
      </c>
      <c r="H589" s="2">
        <f>VLOOKUP(A589,[1]Pricing!$A:$J,10,FALSE)</f>
        <v>3.3775975609756097</v>
      </c>
      <c r="I589">
        <f>VLOOKUP(A589,MIN!A:B,2,FALSE)</f>
        <v>25</v>
      </c>
      <c r="J589" t="str">
        <f t="shared" si="22"/>
        <v>NO</v>
      </c>
      <c r="K589">
        <f>VLOOKUP(A589,[1]Pricing!$A:$G,7,FALSE)</f>
        <v>270</v>
      </c>
      <c r="L589" t="s">
        <v>1960</v>
      </c>
      <c r="M589" t="str">
        <f t="shared" si="23"/>
        <v>668-A26896-015</v>
      </c>
    </row>
    <row r="590" spans="1:13" x14ac:dyDescent="0.25">
      <c r="A590" t="s">
        <v>117</v>
      </c>
      <c r="B590" s="14" t="str">
        <f>VLOOKUP(A590,[1]Pricing!$A:$R,18,FALSE)</f>
        <v>178-025-313R571</v>
      </c>
      <c r="C590" t="s">
        <v>2585</v>
      </c>
      <c r="D590" t="str">
        <f>VLOOKUP(A590,[1]AVL!$A:$F,6,FALSE)</f>
        <v>CONN,DSUB,DUAL PORT,F/M,25P/25P ROHS</v>
      </c>
      <c r="E590" t="str">
        <f>VLOOKUP(A590,[1]Pricing!$A:$F,6,FALSE)</f>
        <v>19 Weeks</v>
      </c>
      <c r="F590">
        <f>VLOOKUP(B590,[2]Sheet2!$B:$E,4,FALSE)</f>
        <v>47</v>
      </c>
      <c r="G590" s="2">
        <f>VLOOKUP(A590,[1]Pricing!$A:$H,8,FALSE)</f>
        <v>9.4486050000000006</v>
      </c>
      <c r="H590" s="2">
        <f>VLOOKUP(A590,[1]Pricing!$A:$J,10,FALSE)</f>
        <v>11.522689024390246</v>
      </c>
      <c r="I590">
        <f>VLOOKUP(A590,MIN!A:B,2,FALSE)</f>
        <v>25</v>
      </c>
      <c r="J590" t="str">
        <f t="shared" si="22"/>
        <v>NO</v>
      </c>
      <c r="K590">
        <f>VLOOKUP(A590,[1]Pricing!$A:$G,7,FALSE)</f>
        <v>50</v>
      </c>
      <c r="L590" t="s">
        <v>1960</v>
      </c>
      <c r="M590" t="str">
        <f t="shared" si="23"/>
        <v>668-024902-004</v>
      </c>
    </row>
    <row r="591" spans="1:13" x14ac:dyDescent="0.25">
      <c r="A591" t="s">
        <v>576</v>
      </c>
      <c r="B591" s="14" t="str">
        <f>VLOOKUP(A591,[1]Pricing!$A:$R,18,FALSE)</f>
        <v>C0805C101F5GAC</v>
      </c>
      <c r="C591" t="s">
        <v>2581</v>
      </c>
      <c r="D591" t="str">
        <f>VLOOKUP(A591,[1]AVL!$A:$F,6,FALSE)</f>
        <v>CAP,SMD,C0G,100PF,1%,50V,0805</v>
      </c>
      <c r="E591" t="str">
        <f>VLOOKUP(A591,[1]Pricing!$A:$F,6,FALSE)</f>
        <v>15 Weeks</v>
      </c>
      <c r="F591">
        <f>VLOOKUP(B591,[2]Sheet2!$B:$E,4,FALSE)</f>
        <v>4000</v>
      </c>
      <c r="G591" s="2">
        <f>VLOOKUP(A591,[1]Pricing!$A:$H,8,FALSE)</f>
        <v>0.24378900000000001</v>
      </c>
      <c r="H591" s="2">
        <f>VLOOKUP(A591,[1]Pricing!$A:$J,10,FALSE)</f>
        <v>0.29730365853658541</v>
      </c>
      <c r="I591">
        <f>VLOOKUP(A591,MIN!A:B,2,FALSE)</f>
        <v>30</v>
      </c>
      <c r="J591" t="str">
        <f t="shared" si="22"/>
        <v>NO</v>
      </c>
      <c r="K591">
        <f>VLOOKUP(A591,[1]Pricing!$A:$G,7,FALSE)</f>
        <v>4000</v>
      </c>
      <c r="L591" t="s">
        <v>1960</v>
      </c>
      <c r="M591" t="str">
        <f t="shared" si="23"/>
        <v>648-225119-025</v>
      </c>
    </row>
    <row r="592" spans="1:13" x14ac:dyDescent="0.25">
      <c r="A592" t="s">
        <v>383</v>
      </c>
      <c r="B592" s="14" t="str">
        <f>VLOOKUP(A592,[1]Pricing!$A:$R,18,FALSE)</f>
        <v>65863-075LF</v>
      </c>
      <c r="C592" t="s">
        <v>2586</v>
      </c>
      <c r="D592" t="str">
        <f>VLOOKUP(A592,[1]AVL!$A:$F,6,FALSE)</f>
        <v>CONN,HDR,PCB MT,.100 CTR 26P,ROHS</v>
      </c>
      <c r="E592" t="str">
        <f>VLOOKUP(A592,[1]Pricing!$A:$F,6,FALSE)</f>
        <v>9 Weeks</v>
      </c>
      <c r="F592">
        <f>VLOOKUP(B592,[2]Sheet2!$B:$E,4,FALSE)</f>
        <v>250</v>
      </c>
      <c r="G592" s="2">
        <f>VLOOKUP(A592,[1]Pricing!$A:$H,8,FALSE)</f>
        <v>4.0938559999999997</v>
      </c>
      <c r="H592" s="2">
        <f>VLOOKUP(A592,[1]Pricing!$A:$J,10,FALSE)</f>
        <v>4.9925073170731711</v>
      </c>
      <c r="I592">
        <f>VLOOKUP(A592,MIN!A:B,2,FALSE)</f>
        <v>15</v>
      </c>
      <c r="J592" t="str">
        <f t="shared" si="22"/>
        <v>NO</v>
      </c>
      <c r="K592">
        <f>VLOOKUP(A592,[1]Pricing!$A:$G,7,FALSE)</f>
        <v>250</v>
      </c>
      <c r="L592" t="s">
        <v>2689</v>
      </c>
      <c r="M592" t="str">
        <f t="shared" si="23"/>
        <v>668-092915-026</v>
      </c>
    </row>
    <row r="593" spans="1:13" x14ac:dyDescent="0.25">
      <c r="A593" t="s">
        <v>795</v>
      </c>
      <c r="B593" s="14" t="str">
        <f>VLOOKUP(A593,[1]Pricing!$A:$R,18,FALSE)</f>
        <v>ERA-2AEB3321X</v>
      </c>
      <c r="C593" t="s">
        <v>2580</v>
      </c>
      <c r="D593" t="str">
        <f>VLOOKUP(A593,[1]AVL!$A:$F,6,FALSE)</f>
        <v>RES SMD 3.32KOHM 0.1% 1/16W 0402</v>
      </c>
      <c r="E593" t="str">
        <f>VLOOKUP(A593,[1]Pricing!$A:$F,6,FALSE)</f>
        <v>23 Weeks</v>
      </c>
      <c r="F593">
        <f>VLOOKUP(B593,[2]Sheet2!$B:$E,4,FALSE)</f>
        <v>10000</v>
      </c>
      <c r="G593" s="2">
        <f>VLOOKUP(A593,[1]Pricing!$A:$H,8,FALSE)</f>
        <v>4.1116E-2</v>
      </c>
      <c r="H593" s="2">
        <f>VLOOKUP(A593,[1]Pricing!$A:$J,10,FALSE)</f>
        <v>5.0141463414634151E-2</v>
      </c>
      <c r="I593">
        <f>VLOOKUP(A593,MIN!A:B,2,FALSE)</f>
        <v>15</v>
      </c>
      <c r="J593" t="str">
        <f t="shared" si="22"/>
        <v>NO</v>
      </c>
      <c r="K593">
        <f>VLOOKUP(A593,[1]Pricing!$A:$G,7,FALSE)</f>
        <v>10000</v>
      </c>
      <c r="L593" t="s">
        <v>1960</v>
      </c>
      <c r="M593" t="str">
        <f t="shared" si="23"/>
        <v>615-A00423-332</v>
      </c>
    </row>
    <row r="594" spans="1:13" x14ac:dyDescent="0.25">
      <c r="A594" t="s">
        <v>797</v>
      </c>
      <c r="B594" s="14" t="str">
        <f>VLOOKUP(A594,[1]Pricing!$A:$R,18,FALSE)</f>
        <v>ERA-2AEB4120X</v>
      </c>
      <c r="C594" t="s">
        <v>2618</v>
      </c>
      <c r="D594" t="str">
        <f>VLOOKUP(A594,[1]AVL!$A:$F,6,FALSE)</f>
        <v>RES SMD 412 OHM 0.1% 1/16W 0402</v>
      </c>
      <c r="E594" t="str">
        <f>VLOOKUP(A594,[1]Pricing!$A:$F,6,FALSE)</f>
        <v>23 Weeks</v>
      </c>
      <c r="F594">
        <f>VLOOKUP(B594,[2]Sheet2!$B:$E,4,FALSE)</f>
        <v>10000</v>
      </c>
      <c r="G594" s="2">
        <f>VLOOKUP(A594,[1]Pricing!$A:$H,8,FALSE)</f>
        <v>4.1116E-2</v>
      </c>
      <c r="H594" s="2">
        <f>VLOOKUP(A594,[1]Pricing!$A:$J,10,FALSE)</f>
        <v>5.0141463414634151E-2</v>
      </c>
      <c r="I594">
        <f>VLOOKUP(A594,MIN!A:B,2,FALSE)</f>
        <v>25</v>
      </c>
      <c r="J594" t="str">
        <f t="shared" si="22"/>
        <v>NO</v>
      </c>
      <c r="K594">
        <f>VLOOKUP(A594,[1]Pricing!$A:$G,7,FALSE)</f>
        <v>10000</v>
      </c>
      <c r="L594" t="s">
        <v>1960</v>
      </c>
      <c r="M594" t="str">
        <f t="shared" si="23"/>
        <v>615-A00422-412</v>
      </c>
    </row>
    <row r="595" spans="1:13" x14ac:dyDescent="0.25">
      <c r="A595" t="s">
        <v>1472</v>
      </c>
      <c r="B595" s="14" t="str">
        <f>VLOOKUP(A595,[1]Pricing!$A:$R,18,FALSE)</f>
        <v>RK73H1ETTP2703F</v>
      </c>
      <c r="C595" t="s">
        <v>2618</v>
      </c>
      <c r="D595" t="str">
        <f>VLOOKUP(A595,[1]AVL!$A:$F,6,FALSE)</f>
        <v>RES,SMD,270K,1/10W,1%,0402</v>
      </c>
      <c r="E595" t="str">
        <f>VLOOKUP(A595,[1]Pricing!$A:$F,6,FALSE)</f>
        <v>14 Weeks</v>
      </c>
      <c r="F595">
        <f>VLOOKUP(B595,[2]Sheet2!$B:$E,4,FALSE)</f>
        <v>10000</v>
      </c>
      <c r="G595" s="2">
        <f>VLOOKUP(A595,[1]Pricing!$A:$H,8,FALSE)</f>
        <v>3.6770000000000001E-3</v>
      </c>
      <c r="H595" s="2">
        <f>VLOOKUP(A595,[1]Pricing!$A:$J,10,FALSE)</f>
        <v>4.4841463414634153E-3</v>
      </c>
      <c r="I595">
        <f>VLOOKUP(A595,MIN!A:B,2,FALSE)</f>
        <v>25</v>
      </c>
      <c r="J595" t="str">
        <f t="shared" si="22"/>
        <v>NO</v>
      </c>
      <c r="K595">
        <f>VLOOKUP(A595,[1]Pricing!$A:$G,7,FALSE)</f>
        <v>10000</v>
      </c>
      <c r="L595" t="s">
        <v>1960</v>
      </c>
      <c r="M595" t="str">
        <f t="shared" si="23"/>
        <v>615-121726-069</v>
      </c>
    </row>
    <row r="596" spans="1:13" x14ac:dyDescent="0.25">
      <c r="A596" t="s">
        <v>1478</v>
      </c>
      <c r="B596" s="14" t="str">
        <f>VLOOKUP(A596,[1]Pricing!$A:$R,18,FALSE)</f>
        <v>RK73H1ETTP4323F</v>
      </c>
      <c r="C596" t="s">
        <v>2667</v>
      </c>
      <c r="D596" t="str">
        <f>VLOOKUP(A596,[1]AVL!$A:$F,6,FALSE)</f>
        <v>RES,SMD,432K,1/10W,1%,0402</v>
      </c>
      <c r="E596" t="str">
        <f>VLOOKUP(A596,[1]Pricing!$A:$F,6,FALSE)</f>
        <v>3 Weeks</v>
      </c>
      <c r="F596">
        <f>VLOOKUP(B596,[2]Sheet2!$B:$E,4,FALSE)</f>
        <v>10000</v>
      </c>
      <c r="G596" s="2">
        <f>VLOOKUP(A596,[1]Pricing!$A:$H,8,FALSE)</f>
        <v>4.7299999999999998E-3</v>
      </c>
      <c r="H596" s="2">
        <f>VLOOKUP(A596,[1]Pricing!$A:$J,10,FALSE)</f>
        <v>5.7682926829268292E-3</v>
      </c>
      <c r="I596">
        <f>VLOOKUP(A596,MIN!A:B,2,FALSE)</f>
        <v>25</v>
      </c>
      <c r="J596" t="str">
        <f t="shared" si="22"/>
        <v>NO</v>
      </c>
      <c r="K596">
        <f>VLOOKUP(A596,[1]Pricing!$A:$G,7,FALSE)</f>
        <v>10000</v>
      </c>
      <c r="L596" t="s">
        <v>1960</v>
      </c>
      <c r="M596" t="str">
        <f t="shared" si="23"/>
        <v>615-121726-432</v>
      </c>
    </row>
    <row r="597" spans="1:13" x14ac:dyDescent="0.25">
      <c r="A597" t="s">
        <v>1622</v>
      </c>
      <c r="B597" s="14" t="str">
        <f>VLOOKUP(A597,[1]Pricing!$A:$R,18,FALSE)</f>
        <v>SDR03EZPF2004</v>
      </c>
      <c r="C597" t="s">
        <v>2630</v>
      </c>
      <c r="D597" t="str">
        <f>VLOOKUP(A597,[1]AVL!$A:$F,6,FALSE)</f>
        <v>RES,SMD,THK FILM,2M OHM,+/-1%,0.3W,0603</v>
      </c>
      <c r="E597" t="str">
        <f>VLOOKUP(A597,[1]Pricing!$A:$F,6,FALSE)</f>
        <v>18 Weeks</v>
      </c>
      <c r="F597">
        <f>VLOOKUP(B597,[2]Sheet2!$B:$E,4,FALSE)</f>
        <v>12943</v>
      </c>
      <c r="G597" s="2">
        <f>VLOOKUP(A597,[1]Pricing!$A:$H,8,FALSE)</f>
        <v>1.4706E-2</v>
      </c>
      <c r="H597" s="2">
        <f>VLOOKUP(A597,[1]Pricing!$A:$J,10,FALSE)</f>
        <v>1.7934146341463415E-2</v>
      </c>
      <c r="I597">
        <f>VLOOKUP(A597,MIN!A:B,2,FALSE)</f>
        <v>25</v>
      </c>
      <c r="J597" t="str">
        <f t="shared" si="22"/>
        <v>NO</v>
      </c>
      <c r="K597">
        <f>VLOOKUP(A597,[1]Pricing!$A:$G,7,FALSE)</f>
        <v>50000</v>
      </c>
      <c r="L597" t="s">
        <v>1960</v>
      </c>
      <c r="M597" t="str">
        <f t="shared" si="23"/>
        <v>615-B07870-001</v>
      </c>
    </row>
    <row r="598" spans="1:13" x14ac:dyDescent="0.25">
      <c r="A598" t="s">
        <v>686</v>
      </c>
      <c r="B598" s="14" t="str">
        <f>VLOOKUP(A598,[1]Pricing!$A:$R,18,FALSE)</f>
        <v>CRCW12060000Z0EBC</v>
      </c>
      <c r="C598" t="s">
        <v>2617</v>
      </c>
      <c r="D598" t="str">
        <f>VLOOKUP(A598,[1]AVL!$A:$F,6,FALSE)</f>
        <v>RES,SMD,JMPR,1/4W,THK FILM,1206</v>
      </c>
      <c r="E598" t="str">
        <f>VLOOKUP(A598,[1]Pricing!$A:$F,6,FALSE)</f>
        <v>19 Weeks</v>
      </c>
      <c r="F598">
        <f>VLOOKUP(B598,[2]Sheet2!$B:$E,4,FALSE)</f>
        <v>9500</v>
      </c>
      <c r="G598" s="2">
        <f>VLOOKUP(A598,[1]Pricing!$A:$H,8,FALSE)</f>
        <v>6.1279999999999998E-3</v>
      </c>
      <c r="H598" s="2">
        <f>VLOOKUP(A598,[1]Pricing!$A:$J,10,FALSE)</f>
        <v>7.4731707317073175E-3</v>
      </c>
      <c r="I598">
        <f>VLOOKUP(A598,MIN!A:B,2,FALSE)</f>
        <v>25</v>
      </c>
      <c r="J598" t="str">
        <f t="shared" si="22"/>
        <v>NO</v>
      </c>
      <c r="K598">
        <f>VLOOKUP(A598,[1]Pricing!$A:$G,7,FALSE)</f>
        <v>10000</v>
      </c>
      <c r="L598" t="s">
        <v>1960</v>
      </c>
      <c r="M598" t="str">
        <f t="shared" si="23"/>
        <v>615-326252-001</v>
      </c>
    </row>
    <row r="599" spans="1:13" x14ac:dyDescent="0.25">
      <c r="A599" t="s">
        <v>1544</v>
      </c>
      <c r="B599" s="14" t="str">
        <f>VLOOKUP(A599,[1]Pricing!$A:$R,18,FALSE)</f>
        <v>RT0402BRD07365RL</v>
      </c>
      <c r="C599" t="s">
        <v>2618</v>
      </c>
      <c r="D599" t="str">
        <f>VLOOKUP(A599,[1]AVL!$A:$F,6,FALSE)</f>
        <v>RES SMD 365 OHM 0.1% 1/16W 0402</v>
      </c>
      <c r="E599" t="str">
        <f>VLOOKUP(A599,[1]Pricing!$A:$F,6,FALSE)</f>
        <v>22 Weeks</v>
      </c>
      <c r="F599">
        <f>VLOOKUP(B599,[2]Sheet2!$B:$E,4,FALSE)</f>
        <v>10000</v>
      </c>
      <c r="G599" s="2">
        <f>VLOOKUP(A599,[1]Pricing!$A:$H,8,FALSE)</f>
        <v>4.1116E-2</v>
      </c>
      <c r="H599" s="2">
        <f>VLOOKUP(A599,[1]Pricing!$A:$J,10,FALSE)</f>
        <v>5.0141463414634151E-2</v>
      </c>
      <c r="I599">
        <f>VLOOKUP(A599,MIN!A:B,2,FALSE)</f>
        <v>25</v>
      </c>
      <c r="J599" t="str">
        <f t="shared" si="22"/>
        <v>NO</v>
      </c>
      <c r="K599">
        <f>VLOOKUP(A599,[1]Pricing!$A:$G,7,FALSE)</f>
        <v>10000</v>
      </c>
      <c r="L599" t="s">
        <v>1960</v>
      </c>
      <c r="M599" t="str">
        <f t="shared" si="23"/>
        <v>615-A00422-365</v>
      </c>
    </row>
    <row r="600" spans="1:13" x14ac:dyDescent="0.25">
      <c r="A600" t="s">
        <v>668</v>
      </c>
      <c r="B600" s="14" t="str">
        <f>VLOOKUP(A600,[1]Pricing!$A:$R,18,FALSE)</f>
        <v>CRCW04020000Z0EDHP</v>
      </c>
      <c r="C600" t="s">
        <v>2617</v>
      </c>
      <c r="D600" t="str">
        <f>VLOOKUP(A600,[1]AVL!$A:$F,6,FALSE)</f>
        <v>RES,SMD,THK FILM,0OHM,1/5W,0402</v>
      </c>
      <c r="E600" t="str">
        <f>VLOOKUP(A600,[1]Pricing!$A:$F,6,FALSE)</f>
        <v>16 Weeks</v>
      </c>
      <c r="F600">
        <f>VLOOKUP(B600,[2]Sheet2!$B:$E,4,FALSE)</f>
        <v>9078</v>
      </c>
      <c r="G600" s="2">
        <f>VLOOKUP(A600,[1]Pricing!$A:$H,8,FALSE)</f>
        <v>1.0343E-2</v>
      </c>
      <c r="H600" s="2">
        <f>VLOOKUP(A600,[1]Pricing!$A:$J,10,FALSE)</f>
        <v>1.2613414634146341E-2</v>
      </c>
      <c r="I600">
        <f>VLOOKUP(A600,MIN!A:B,2,FALSE)</f>
        <v>75</v>
      </c>
      <c r="J600" t="str">
        <f t="shared" si="22"/>
        <v>NO</v>
      </c>
      <c r="K600">
        <f>VLOOKUP(A600,[1]Pricing!$A:$G,7,FALSE)</f>
        <v>10000</v>
      </c>
      <c r="L600" t="s">
        <v>1960</v>
      </c>
      <c r="M600" t="str">
        <f t="shared" si="23"/>
        <v>615-228652-001</v>
      </c>
    </row>
    <row r="601" spans="1:13" x14ac:dyDescent="0.25">
      <c r="A601" t="s">
        <v>1466</v>
      </c>
      <c r="B601" s="14" t="str">
        <f>VLOOKUP(A601,[1]Pricing!$A:$R,18,FALSE)</f>
        <v>RK73H1ETTP1501F</v>
      </c>
      <c r="C601" t="s">
        <v>2655</v>
      </c>
      <c r="D601" t="str">
        <f>VLOOKUP(A601,[1]AVL!$A:$F,6,FALSE)</f>
        <v>RES,SMD,1.5K,1/10W,1%,0402</v>
      </c>
      <c r="E601" t="str">
        <f>VLOOKUP(A601,[1]Pricing!$A:$F,6,FALSE)</f>
        <v>22 Weeks</v>
      </c>
      <c r="F601">
        <f>VLOOKUP(B601,[2]Sheet2!$B:$E,4,FALSE)</f>
        <v>10000</v>
      </c>
      <c r="G601" s="2">
        <f>VLOOKUP(A601,[1]Pricing!$A:$H,8,FALSE)</f>
        <v>6.0000000000000001E-3</v>
      </c>
      <c r="H601" s="2">
        <f>VLOOKUP(A601,[1]Pricing!$A:$J,10,FALSE)</f>
        <v>7.3170731707317077E-3</v>
      </c>
      <c r="I601">
        <f>VLOOKUP(A601,MIN!A:B,2,FALSE)</f>
        <v>25</v>
      </c>
      <c r="J601" t="str">
        <f t="shared" si="22"/>
        <v>NO</v>
      </c>
      <c r="K601">
        <f>VLOOKUP(A601,[1]Pricing!$A:$G,7,FALSE)</f>
        <v>10000</v>
      </c>
      <c r="L601" t="s">
        <v>1960</v>
      </c>
      <c r="M601" t="str">
        <f t="shared" si="23"/>
        <v>615-121726-050</v>
      </c>
    </row>
    <row r="602" spans="1:13" x14ac:dyDescent="0.25">
      <c r="A602" t="s">
        <v>1468</v>
      </c>
      <c r="B602" s="14" t="str">
        <f>VLOOKUP(A602,[1]Pricing!$A:$R,18,FALSE)</f>
        <v>RK73H1ETTP1502F</v>
      </c>
      <c r="C602" t="s">
        <v>2618</v>
      </c>
      <c r="D602" t="str">
        <f>VLOOKUP(A602,[1]AVL!$A:$F,6,FALSE)</f>
        <v>RES,SMD,15K,1/10W,1%,0402</v>
      </c>
      <c r="E602" t="str">
        <f>VLOOKUP(A602,[1]Pricing!$A:$F,6,FALSE)</f>
        <v>25 Weeks</v>
      </c>
      <c r="F602">
        <f>VLOOKUP(B602,[2]Sheet2!$B:$E,4,FALSE)</f>
        <v>10000</v>
      </c>
      <c r="G602" s="2">
        <f>VLOOKUP(A602,[1]Pricing!$A:$H,8,FALSE)</f>
        <v>6.0000000000000001E-3</v>
      </c>
      <c r="H602" s="2">
        <f>VLOOKUP(A602,[1]Pricing!$A:$J,10,FALSE)</f>
        <v>7.3170731707317077E-3</v>
      </c>
      <c r="I602">
        <f>VLOOKUP(A602,MIN!A:B,2,FALSE)</f>
        <v>25</v>
      </c>
      <c r="J602" t="str">
        <f t="shared" si="22"/>
        <v>NO</v>
      </c>
      <c r="K602">
        <f>VLOOKUP(A602,[1]Pricing!$A:$G,7,FALSE)</f>
        <v>10000</v>
      </c>
      <c r="L602" t="s">
        <v>1960</v>
      </c>
      <c r="M602" t="str">
        <f t="shared" si="23"/>
        <v>615-121726-073</v>
      </c>
    </row>
    <row r="603" spans="1:13" x14ac:dyDescent="0.25">
      <c r="A603" t="s">
        <v>1474</v>
      </c>
      <c r="B603" s="14" t="str">
        <f>VLOOKUP(A603,[1]Pricing!$A:$R,18,FALSE)</f>
        <v>RK73H1ETTP3241F</v>
      </c>
      <c r="C603" t="s">
        <v>2667</v>
      </c>
      <c r="D603" t="str">
        <f>VLOOKUP(A603,[1]AVL!$A:$F,6,FALSE)</f>
        <v>RES,SMD,3.24K,1/10W,1%,0402</v>
      </c>
      <c r="E603" t="str">
        <f>VLOOKUP(A603,[1]Pricing!$A:$F,6,FALSE)</f>
        <v>3 Weeks</v>
      </c>
      <c r="F603">
        <f>VLOOKUP(B603,[2]Sheet2!$B:$E,4,FALSE)</f>
        <v>10000</v>
      </c>
      <c r="G603" s="2">
        <f>VLOOKUP(A603,[1]Pricing!$A:$H,8,FALSE)</f>
        <v>3.6770000000000001E-3</v>
      </c>
      <c r="H603" s="2">
        <f>VLOOKUP(A603,[1]Pricing!$A:$J,10,FALSE)</f>
        <v>4.4841463414634153E-3</v>
      </c>
      <c r="I603">
        <f>VLOOKUP(A603,MIN!A:B,2,FALSE)</f>
        <v>25</v>
      </c>
      <c r="J603" t="str">
        <f t="shared" si="22"/>
        <v>NO</v>
      </c>
      <c r="K603">
        <f>VLOOKUP(A603,[1]Pricing!$A:$G,7,FALSE)</f>
        <v>10000</v>
      </c>
      <c r="L603" t="s">
        <v>1960</v>
      </c>
      <c r="M603" t="str">
        <f t="shared" si="23"/>
        <v>615-121726-322</v>
      </c>
    </row>
    <row r="604" spans="1:13" x14ac:dyDescent="0.25">
      <c r="A604" t="s">
        <v>1476</v>
      </c>
      <c r="B604" s="14" t="str">
        <f>VLOOKUP(A604,[1]Pricing!$A:$R,18,FALSE)</f>
        <v>RK73H1ETTP3901F</v>
      </c>
      <c r="C604" t="s">
        <v>2618</v>
      </c>
      <c r="D604" t="str">
        <f>VLOOKUP(A604,[1]AVL!$A:$F,6,FALSE)</f>
        <v>RES,SMD,3.9K,1/10W,1%,0402</v>
      </c>
      <c r="E604" t="str">
        <f>VLOOKUP(A604,[1]Pricing!$A:$F,6,FALSE)</f>
        <v>11 Weeks</v>
      </c>
      <c r="F604" s="18">
        <v>10000</v>
      </c>
      <c r="G604" s="2">
        <f>VLOOKUP(A604,[1]Pricing!$A:$H,8,FALSE)</f>
        <v>3.6770000000000001E-3</v>
      </c>
      <c r="H604" s="2">
        <f>VLOOKUP(A604,[1]Pricing!$A:$J,10,FALSE)</f>
        <v>4.4841463414634153E-3</v>
      </c>
      <c r="I604">
        <f>VLOOKUP(A604,MIN!A:B,2,FALSE)</f>
        <v>25</v>
      </c>
      <c r="J604" t="str">
        <f t="shared" si="22"/>
        <v>NO</v>
      </c>
      <c r="K604">
        <f>VLOOKUP(A604,[1]Pricing!$A:$G,7,FALSE)</f>
        <v>10000</v>
      </c>
      <c r="L604" t="s">
        <v>1960</v>
      </c>
      <c r="M604" t="str">
        <f t="shared" si="23"/>
        <v>615-121726-059</v>
      </c>
    </row>
    <row r="605" spans="1:13" x14ac:dyDescent="0.25">
      <c r="A605" t="s">
        <v>1516</v>
      </c>
      <c r="B605" s="14" t="str">
        <f>VLOOKUP(A605,[1]Pricing!$A:$R,18,FALSE)</f>
        <v>RT0402BRD0710K5L</v>
      </c>
      <c r="C605" t="s">
        <v>2618</v>
      </c>
      <c r="D605" t="str">
        <f>VLOOKUP(A605,[1]AVL!$A:$F,6,FALSE)</f>
        <v>RES,SMD,10.5K,0.1%,1/16W,0402,ROHS</v>
      </c>
      <c r="E605" t="str">
        <f>VLOOKUP(A605,[1]Pricing!$A:$F,6,FALSE)</f>
        <v>23 Weeks</v>
      </c>
      <c r="F605">
        <f>VLOOKUP(B605,[2]Sheet2!$B:$E,4,FALSE)</f>
        <v>9165</v>
      </c>
      <c r="G605" s="2">
        <f>VLOOKUP(A605,[1]Pricing!$A:$H,8,FALSE)</f>
        <v>4.1116E-2</v>
      </c>
      <c r="H605" s="2">
        <f>VLOOKUP(A605,[1]Pricing!$A:$J,10,FALSE)</f>
        <v>5.0141463414634151E-2</v>
      </c>
      <c r="I605">
        <f>VLOOKUP(A605,MIN!A:B,2,FALSE)</f>
        <v>25</v>
      </c>
      <c r="J605" t="str">
        <f t="shared" si="22"/>
        <v>NO</v>
      </c>
      <c r="K605">
        <f>VLOOKUP(A605,[1]Pricing!$A:$G,7,FALSE)</f>
        <v>10000</v>
      </c>
      <c r="L605" t="s">
        <v>1960</v>
      </c>
      <c r="M605" t="str">
        <f t="shared" si="23"/>
        <v>615-303725-087</v>
      </c>
    </row>
    <row r="606" spans="1:13" x14ac:dyDescent="0.25">
      <c r="A606" t="s">
        <v>1568</v>
      </c>
      <c r="B606" s="14" t="str">
        <f>VLOOKUP(A606,[1]Pricing!$A:$R,18,FALSE)</f>
        <v>RT0805BRD071K62L</v>
      </c>
      <c r="C606" t="s">
        <v>2652</v>
      </c>
      <c r="D606" t="str">
        <f>VLOOKUP(A606,[1]AVL!$A:$F,6,FALSE)</f>
        <v>RES,SMD,0805,RG,MF,0.1%,1/10W,1.62K</v>
      </c>
      <c r="E606" t="str">
        <f>VLOOKUP(A606,[1]Pricing!$A:$F,6,FALSE)</f>
        <v>23 Weeks</v>
      </c>
      <c r="F606">
        <f>VLOOKUP(B606,[2]Sheet2!$B:$E,4,FALSE)</f>
        <v>5000</v>
      </c>
      <c r="G606" s="2">
        <f>VLOOKUP(A606,[1]Pricing!$A:$H,8,FALSE)</f>
        <v>5.1263000000000003E-2</v>
      </c>
      <c r="H606" s="2">
        <f>VLOOKUP(A606,[1]Pricing!$A:$J,10,FALSE)</f>
        <v>6.2515853658536596E-2</v>
      </c>
      <c r="I606">
        <f>VLOOKUP(A606,MIN!A:B,2,FALSE)</f>
        <v>15</v>
      </c>
      <c r="J606" t="str">
        <f t="shared" si="22"/>
        <v>NO</v>
      </c>
      <c r="K606">
        <f>VLOOKUP(A606,[1]Pricing!$A:$G,7,FALSE)</f>
        <v>5000</v>
      </c>
      <c r="L606" t="s">
        <v>1960</v>
      </c>
      <c r="M606" t="str">
        <f t="shared" si="23"/>
        <v>615-064170-162</v>
      </c>
    </row>
    <row r="607" spans="1:13" x14ac:dyDescent="0.25">
      <c r="A607" t="s">
        <v>702</v>
      </c>
      <c r="B607" s="14" t="str">
        <f>VLOOKUP(A607,[1]Pricing!$A:$R,18,FALSE)</f>
        <v>CRCW201039R0JNEF</v>
      </c>
      <c r="C607" t="s">
        <v>2667</v>
      </c>
      <c r="D607" t="str">
        <f>VLOOKUP(A607,[1]AVL!$A:$F,6,FALSE)</f>
        <v>RESISTOR,SMD,2010,39 OHM,5% 1/2W,ROHS</v>
      </c>
      <c r="E607" t="str">
        <f>VLOOKUP(A607,[1]Pricing!$A:$F,6,FALSE)</f>
        <v>17 Weeks</v>
      </c>
      <c r="F607">
        <f>VLOOKUP(B607,[2]Sheet2!$B:$E,4,FALSE)</f>
        <v>8000</v>
      </c>
      <c r="G607" s="2">
        <f>VLOOKUP(A607,[1]Pricing!$A:$H,8,FALSE)</f>
        <v>4.4325999999999997E-2</v>
      </c>
      <c r="H607" s="2">
        <f>VLOOKUP(A607,[1]Pricing!$A:$J,10,FALSE)</f>
        <v>5.4056097560975611E-2</v>
      </c>
      <c r="I607">
        <f>VLOOKUP(A607,MIN!A:B,2,FALSE)</f>
        <v>15</v>
      </c>
      <c r="J607" t="str">
        <f t="shared" si="22"/>
        <v>NO</v>
      </c>
      <c r="K607">
        <f>VLOOKUP(A607,[1]Pricing!$A:$G,7,FALSE)</f>
        <v>4000</v>
      </c>
      <c r="L607" t="s">
        <v>1960</v>
      </c>
      <c r="M607" t="str">
        <f t="shared" si="23"/>
        <v>615-098743-390</v>
      </c>
    </row>
    <row r="608" spans="1:13" x14ac:dyDescent="0.25">
      <c r="A608" t="s">
        <v>704</v>
      </c>
      <c r="B608" s="14" t="str">
        <f>VLOOKUP(A608,[1]Pricing!$A:$R,18,FALSE)</f>
        <v>CRCW20103K00JNEF</v>
      </c>
      <c r="C608" t="s">
        <v>2667</v>
      </c>
      <c r="D608" t="str">
        <f>VLOOKUP(A608,[1]AVL!$A:$F,6,FALSE)</f>
        <v>RESISTOR,SMD,2010,3K OHM,5% 1/2W,ROHS</v>
      </c>
      <c r="E608" t="str">
        <f>VLOOKUP(A608,[1]Pricing!$A:$F,6,FALSE)</f>
        <v>15 Weeks</v>
      </c>
      <c r="F608">
        <f>VLOOKUP(B608,[2]Sheet2!$B:$E,4,FALSE)</f>
        <v>8000</v>
      </c>
      <c r="G608" s="2">
        <f>VLOOKUP(A608,[1]Pricing!$A:$H,8,FALSE)</f>
        <v>3.7990999999999997E-2</v>
      </c>
      <c r="H608" s="2">
        <f>VLOOKUP(A608,[1]Pricing!$A:$J,10,FALSE)</f>
        <v>4.633048780487805E-2</v>
      </c>
      <c r="I608">
        <f>VLOOKUP(A608,MIN!A:B,2,FALSE)</f>
        <v>25</v>
      </c>
      <c r="J608" t="str">
        <f t="shared" si="22"/>
        <v>NO</v>
      </c>
      <c r="K608">
        <f>VLOOKUP(A608,[1]Pricing!$A:$G,7,FALSE)</f>
        <v>4000</v>
      </c>
      <c r="L608" t="s">
        <v>1960</v>
      </c>
      <c r="M608" t="str">
        <f t="shared" si="23"/>
        <v>615-098743-302</v>
      </c>
    </row>
    <row r="609" spans="1:13" x14ac:dyDescent="0.25">
      <c r="A609" t="s">
        <v>1486</v>
      </c>
      <c r="B609" s="14" t="str">
        <f>VLOOKUP(A609,[1]Pricing!$A:$R,18,FALSE)</f>
        <v>RK73H2ETTD47R0F</v>
      </c>
      <c r="C609" t="s">
        <v>2617</v>
      </c>
      <c r="D609" t="str">
        <f>VLOOKUP(A609,[1]AVL!$A:$F,6,FALSE)</f>
        <v>RES,SMD,1210,10-100 OHMS,1%,0.33W,ROHS</v>
      </c>
      <c r="E609" t="str">
        <f>VLOOKUP(A609,[1]Pricing!$A:$F,6,FALSE)</f>
        <v>13 Weeks</v>
      </c>
      <c r="F609">
        <f>VLOOKUP(B609,[2]Sheet2!$B:$E,4,FALSE)</f>
        <v>5000</v>
      </c>
      <c r="G609" s="2">
        <f>VLOOKUP(A609,[1]Pricing!$A:$H,8,FALSE)</f>
        <v>3.3982999999999999E-2</v>
      </c>
      <c r="H609" s="2">
        <f>VLOOKUP(A609,[1]Pricing!$A:$J,10,FALSE)</f>
        <v>4.1442682926829268E-2</v>
      </c>
      <c r="I609">
        <f>VLOOKUP(A609,MIN!A:B,2,FALSE)</f>
        <v>25</v>
      </c>
      <c r="J609" t="str">
        <f t="shared" si="22"/>
        <v>NO</v>
      </c>
      <c r="K609">
        <f>VLOOKUP(A609,[1]Pricing!$A:$G,7,FALSE)</f>
        <v>5000</v>
      </c>
      <c r="L609" t="s">
        <v>1960</v>
      </c>
      <c r="M609" t="str">
        <f t="shared" si="23"/>
        <v>615-047233-470</v>
      </c>
    </row>
    <row r="610" spans="1:13" x14ac:dyDescent="0.25">
      <c r="A610" t="s">
        <v>1773</v>
      </c>
      <c r="B610" s="14" t="str">
        <f>VLOOKUP(A610,[1]Pricing!$A:$R,18,FALSE)</f>
        <v>TNPW08053K90BEEA</v>
      </c>
      <c r="C610" t="s">
        <v>2617</v>
      </c>
      <c r="D610" t="str">
        <f>VLOOKUP(A610,[1]AVL!$A:$F,6,FALSE)</f>
        <v>RES,SMD,3.9K OHM,±0.1%TOL,1/5W,0805</v>
      </c>
      <c r="E610" t="str">
        <f>VLOOKUP(A610,[1]Pricing!$A:$F,6,FALSE)</f>
        <v>13 Weeks</v>
      </c>
      <c r="F610">
        <f>VLOOKUP(B610,[2]Sheet2!$B:$E,4,FALSE)</f>
        <v>5000</v>
      </c>
      <c r="G610" s="2">
        <f>VLOOKUP(A610,[1]Pricing!$A:$H,8,FALSE)</f>
        <v>0.16470699999999999</v>
      </c>
      <c r="H610" s="2">
        <f>VLOOKUP(A610,[1]Pricing!$A:$J,10,FALSE)</f>
        <v>0.20086219512195122</v>
      </c>
      <c r="I610">
        <f>VLOOKUP(A610,MIN!A:B,2,FALSE)</f>
        <v>25</v>
      </c>
      <c r="J610" t="str">
        <f t="shared" si="22"/>
        <v>NO</v>
      </c>
      <c r="K610">
        <f>VLOOKUP(A610,[1]Pricing!$A:$G,7,FALSE)</f>
        <v>5000</v>
      </c>
      <c r="L610" t="s">
        <v>1960</v>
      </c>
      <c r="M610" t="str">
        <f t="shared" si="23"/>
        <v>615-310369-002</v>
      </c>
    </row>
    <row r="611" spans="1:13" x14ac:dyDescent="0.25">
      <c r="A611" t="s">
        <v>1496</v>
      </c>
      <c r="B611" s="14" t="str">
        <f>VLOOKUP(A611,[1]Pricing!$A:$R,18,FALSE)</f>
        <v>RMCF0603FT127K</v>
      </c>
      <c r="C611" t="s">
        <v>2628</v>
      </c>
      <c r="D611" t="str">
        <f>VLOOKUP(A611,[1]AVL!$A:$F,6,FALSE)</f>
        <v>RES,SMD,THK FILM,127K OHM,1%,0.1W,0603</v>
      </c>
      <c r="E611" t="str">
        <f>VLOOKUP(A611,[1]Pricing!$A:$F,6,FALSE)</f>
        <v>16 Weeks</v>
      </c>
      <c r="F611">
        <f>VLOOKUP(B611,[2]Sheet2!$B:$E,4,FALSE)</f>
        <v>5000</v>
      </c>
      <c r="G611" s="2">
        <f>VLOOKUP(A611,[1]Pricing!$A:$H,8,FALSE)</f>
        <v>2.4510000000000001E-3</v>
      </c>
      <c r="H611" s="2">
        <f>VLOOKUP(A611,[1]Pricing!$A:$J,10,FALSE)</f>
        <v>2.9890243902439026E-3</v>
      </c>
      <c r="I611">
        <f>VLOOKUP(A611,MIN!A:B,2,FALSE)</f>
        <v>15</v>
      </c>
      <c r="J611" t="str">
        <f t="shared" si="22"/>
        <v>NO</v>
      </c>
      <c r="K611">
        <f>VLOOKUP(A611,[1]Pricing!$A:$G,7,FALSE)</f>
        <v>5000</v>
      </c>
      <c r="L611" t="s">
        <v>1960</v>
      </c>
      <c r="M611" t="str">
        <f t="shared" si="23"/>
        <v>615-B07781-001</v>
      </c>
    </row>
    <row r="612" spans="1:13" x14ac:dyDescent="0.25">
      <c r="A612" t="s">
        <v>1444</v>
      </c>
      <c r="B612" s="14" t="str">
        <f>VLOOKUP(A612,[1]Pricing!$A:$R,18,FALSE)</f>
        <v>RCS060310M0FKEA</v>
      </c>
      <c r="C612" t="s">
        <v>2617</v>
      </c>
      <c r="D612" t="str">
        <f>VLOOKUP(A612,[1]AVL!$A:$F,6,FALSE)</f>
        <v>RES,SMD,THK FILM,10M OHM,1%,.25W,0603</v>
      </c>
      <c r="E612" t="str">
        <f>VLOOKUP(A612,[1]Pricing!$A:$F,6,FALSE)</f>
        <v>22 Weeks</v>
      </c>
      <c r="F612">
        <f>VLOOKUP(B612,[2]Sheet2!$B:$E,4,FALSE)</f>
        <v>5000</v>
      </c>
      <c r="G612" s="2">
        <f>VLOOKUP(A612,[1]Pricing!$A:$H,8,FALSE)</f>
        <v>1.3481E-2</v>
      </c>
      <c r="H612" s="2">
        <f>VLOOKUP(A612,[1]Pricing!$A:$J,10,FALSE)</f>
        <v>1.6440243902439027E-2</v>
      </c>
      <c r="I612">
        <f>VLOOKUP(A612,MIN!A:B,2,FALSE)</f>
        <v>25</v>
      </c>
      <c r="J612" t="str">
        <f t="shared" si="22"/>
        <v>NO</v>
      </c>
      <c r="K612">
        <f>VLOOKUP(A612,[1]Pricing!$A:$G,7,FALSE)</f>
        <v>5000</v>
      </c>
      <c r="L612" t="s">
        <v>1960</v>
      </c>
      <c r="M612" t="str">
        <f t="shared" si="23"/>
        <v>615-B08007-001</v>
      </c>
    </row>
    <row r="613" spans="1:13" x14ac:dyDescent="0.25">
      <c r="A613" t="s">
        <v>1512</v>
      </c>
      <c r="B613" s="14" t="str">
        <f>VLOOKUP(A613,[1]Pricing!$A:$R,18,FALSE)</f>
        <v>RS73F2BTTD10R0B</v>
      </c>
      <c r="C613" t="s">
        <v>2667</v>
      </c>
      <c r="D613" t="str">
        <f>VLOOKUP(A613,[1]AVL!$A:$F,6,FALSE)</f>
        <v>RES,SMD,10 OHM,0.1%,25PPM,0.33W,1206</v>
      </c>
      <c r="E613" t="str">
        <f>VLOOKUP(A613,[1]Pricing!$A:$F,6,FALSE)</f>
        <v>15 Weeks</v>
      </c>
      <c r="F613">
        <f>VLOOKUP(B613,[2]Sheet2!$B:$E,4,FALSE)</f>
        <v>4222</v>
      </c>
      <c r="G613" s="2">
        <f>VLOOKUP(A613,[1]Pricing!$A:$H,8,FALSE)</f>
        <v>0.13603100000000001</v>
      </c>
      <c r="H613" s="2">
        <f>VLOOKUP(A613,[1]Pricing!$A:$J,10,FALSE)</f>
        <v>0.16589146341463418</v>
      </c>
      <c r="I613">
        <f>VLOOKUP(A613,MIN!A:B,2,FALSE)</f>
        <v>15</v>
      </c>
      <c r="J613" t="str">
        <f t="shared" si="22"/>
        <v>NO</v>
      </c>
      <c r="K613">
        <f>VLOOKUP(A613,[1]Pricing!$A:$G,7,FALSE)</f>
        <v>5000</v>
      </c>
      <c r="L613" t="s">
        <v>1960</v>
      </c>
      <c r="M613" t="str">
        <f t="shared" si="23"/>
        <v>615-A72185-010</v>
      </c>
    </row>
    <row r="614" spans="1:13" x14ac:dyDescent="0.25">
      <c r="A614" t="s">
        <v>578</v>
      </c>
      <c r="B614" s="14" t="str">
        <f>VLOOKUP(A614,[1]Pricing!$A:$R,18,FALSE)</f>
        <v>C0805C103F3GACTU</v>
      </c>
      <c r="C614" t="s">
        <v>2581</v>
      </c>
      <c r="D614" t="str">
        <f>VLOOKUP(A614,[1]AVL!$A:$F,6,FALSE)</f>
        <v>CAP,.01UF,25V,CERAMIC,+/-1%,SMT</v>
      </c>
      <c r="E614" t="str">
        <f>VLOOKUP(A614,[1]Pricing!$A:$F,6,FALSE)</f>
        <v>16 Weeks</v>
      </c>
      <c r="F614">
        <f>VLOOKUP(B614,[2]Sheet2!$B:$E,4,FALSE)</f>
        <v>4000</v>
      </c>
      <c r="G614" s="2">
        <f>VLOOKUP(A614,[1]Pricing!$A:$H,8,FALSE)</f>
        <v>0.81373200000000001</v>
      </c>
      <c r="H614" s="2">
        <f>VLOOKUP(A614,[1]Pricing!$A:$J,10,FALSE)</f>
        <v>0.99235609756097565</v>
      </c>
      <c r="I614">
        <f>VLOOKUP(A614,MIN!A:B,2,FALSE)</f>
        <v>15</v>
      </c>
      <c r="J614" t="str">
        <f t="shared" si="22"/>
        <v>NO</v>
      </c>
      <c r="K614">
        <f>VLOOKUP(A614,[1]Pricing!$A:$G,7,FALSE)</f>
        <v>4000</v>
      </c>
      <c r="L614" t="s">
        <v>1960</v>
      </c>
      <c r="M614" t="str">
        <f t="shared" si="23"/>
        <v>29-407195-00</v>
      </c>
    </row>
    <row r="615" spans="1:13" x14ac:dyDescent="0.25">
      <c r="A615" t="s">
        <v>588</v>
      </c>
      <c r="B615" s="14" t="str">
        <f>VLOOKUP(A615,[1]Pricing!$A:$R,18,FALSE)</f>
        <v>C1608X5R1H474K080AB</v>
      </c>
      <c r="C615" t="s">
        <v>2616</v>
      </c>
      <c r="D615" t="str">
        <f>VLOOKUP(A615,[1]AVL!$A:$F,6,FALSE)</f>
        <v>CAP,SMD,MLCC,470NF,10%,50V,X5R,0603</v>
      </c>
      <c r="E615" t="str">
        <f>VLOOKUP(A615,[1]Pricing!$A:$F,6,FALSE)</f>
        <v>19 Weeks</v>
      </c>
      <c r="F615">
        <f>VLOOKUP(B615,[2]Sheet2!$B:$E,4,FALSE)</f>
        <v>3775</v>
      </c>
      <c r="G615" s="2">
        <f>VLOOKUP(A615,[1]Pricing!$A:$H,8,FALSE)</f>
        <v>3.1863000000000002E-2</v>
      </c>
      <c r="H615" s="2">
        <f>VLOOKUP(A615,[1]Pricing!$A:$J,10,FALSE)</f>
        <v>3.8857317073170736E-2</v>
      </c>
      <c r="I615">
        <f>VLOOKUP(A615,MIN!A:B,2,FALSE)</f>
        <v>15</v>
      </c>
      <c r="J615" t="str">
        <f t="shared" si="22"/>
        <v>NO</v>
      </c>
      <c r="K615">
        <f>VLOOKUP(A615,[1]Pricing!$A:$G,7,FALSE)</f>
        <v>4000</v>
      </c>
      <c r="L615" t="s">
        <v>1960</v>
      </c>
      <c r="M615" t="str">
        <f t="shared" si="23"/>
        <v>648-A92805-474</v>
      </c>
    </row>
    <row r="616" spans="1:13" x14ac:dyDescent="0.25">
      <c r="A616" t="s">
        <v>1763</v>
      </c>
      <c r="B616" s="14" t="str">
        <f>VLOOKUP(A616,[1]Pricing!$A:$R,18,FALSE)</f>
        <v>TMK212BJ474KD-T</v>
      </c>
      <c r="C616" t="s">
        <v>2625</v>
      </c>
      <c r="D616" t="str">
        <f>VLOOKUP(A616,[1]AVL!$A:$F,6,FALSE)</f>
        <v>CAP,SMD,CER,0.47UF,±10%TOL,25V,X5R,0805</v>
      </c>
      <c r="E616" t="str">
        <f>VLOOKUP(A616,[1]Pricing!$A:$F,6,FALSE)</f>
        <v>62 Weeks</v>
      </c>
      <c r="F616">
        <f>VLOOKUP(B616,[2]Sheet2!$B:$E,4,FALSE)</f>
        <v>4000</v>
      </c>
      <c r="G616" s="2">
        <f>VLOOKUP(A616,[1]Pricing!$A:$H,8,FALSE)</f>
        <v>0.16911899999999999</v>
      </c>
      <c r="H616" s="2">
        <f>VLOOKUP(A616,[1]Pricing!$A:$J,10,FALSE)</f>
        <v>0.20624268292682926</v>
      </c>
      <c r="I616">
        <f>VLOOKUP(A616,MIN!A:B,2,FALSE)</f>
        <v>15</v>
      </c>
      <c r="J616" t="str">
        <f t="shared" si="22"/>
        <v>NO</v>
      </c>
      <c r="K616">
        <f>VLOOKUP(A616,[1]Pricing!$A:$G,7,FALSE)</f>
        <v>4000</v>
      </c>
      <c r="L616" t="s">
        <v>1960</v>
      </c>
      <c r="M616" t="str">
        <f t="shared" si="23"/>
        <v>648-347674-047</v>
      </c>
    </row>
    <row r="617" spans="1:13" x14ac:dyDescent="0.25">
      <c r="A617" t="s">
        <v>1206</v>
      </c>
      <c r="B617" s="14" t="str">
        <f>VLOOKUP(A617,[1]Pricing!$A:$R,18,FALSE)</f>
        <v>N24C02UVTG</v>
      </c>
      <c r="C617" t="s">
        <v>2623</v>
      </c>
      <c r="D617" t="str">
        <f>VLOOKUP(A617,[1]AVL!$A:$F,6,FALSE)</f>
        <v>IC,SMD,EEPROM,8PIN,2KB,I2C,1.6-5.5V,US 8</v>
      </c>
      <c r="E617" t="str">
        <f>VLOOKUP(A617,[1]Pricing!$A:$F,6,FALSE)</f>
        <v>65 Weeks</v>
      </c>
      <c r="F617">
        <f>VLOOKUP(B617,[2]Sheet2!$B:$E,4,FALSE)</f>
        <v>2996</v>
      </c>
      <c r="G617" s="2">
        <f>VLOOKUP(A617,[1]Pricing!$A:$H,8,FALSE)</f>
        <v>0.22059000000000001</v>
      </c>
      <c r="H617" s="2">
        <f>VLOOKUP(A617,[1]Pricing!$A:$J,10,FALSE)</f>
        <v>0.26901219512195124</v>
      </c>
      <c r="I617">
        <f>VLOOKUP(A617,MIN!A:B,2,FALSE)</f>
        <v>25</v>
      </c>
      <c r="J617" t="str">
        <f t="shared" si="22"/>
        <v>NO</v>
      </c>
      <c r="K617">
        <f>VLOOKUP(A617,[1]Pricing!$A:$G,7,FALSE)</f>
        <v>3000</v>
      </c>
      <c r="L617" t="s">
        <v>1960</v>
      </c>
      <c r="M617" t="str">
        <f t="shared" si="23"/>
        <v>630-340180-001</v>
      </c>
    </row>
    <row r="618" spans="1:13" x14ac:dyDescent="0.25">
      <c r="A618" t="s">
        <v>891</v>
      </c>
      <c r="B618" s="14" t="str">
        <f>VLOOKUP(A618,[1]Pricing!$A:$R,18,FALSE)</f>
        <v>FDD8453LZ</v>
      </c>
      <c r="C618" t="s">
        <v>2623</v>
      </c>
      <c r="D618" t="str">
        <f>VLOOKUP(A618,[1]AVL!$A:$F,6,FALSE)</f>
        <v>XSTR,SMD,FIELD EFT,N-CHAN,40V,50A,D-PAK</v>
      </c>
      <c r="E618" t="str">
        <f>VLOOKUP(A618,[1]Pricing!$A:$F,6,FALSE)</f>
        <v>16 Weeks</v>
      </c>
      <c r="F618">
        <f>VLOOKUP(B618,[2]Sheet2!$B:$E,4,FALSE)</f>
        <v>2500</v>
      </c>
      <c r="G618" s="2">
        <f>VLOOKUP(A618,[1]Pricing!$A:$H,8,FALSE)</f>
        <v>1.04</v>
      </c>
      <c r="H618" s="2">
        <f>VLOOKUP(A618,[1]Pricing!$A:$J,10,FALSE)</f>
        <v>1.2682926829268293</v>
      </c>
      <c r="I618">
        <f>VLOOKUP(A618,MIN!A:B,2,FALSE)</f>
        <v>15</v>
      </c>
      <c r="J618" t="str">
        <f t="shared" si="22"/>
        <v>NO</v>
      </c>
      <c r="K618">
        <f>VLOOKUP(A618,[1]Pricing!$A:$G,7,FALSE)</f>
        <v>2500</v>
      </c>
      <c r="L618" t="s">
        <v>1960</v>
      </c>
      <c r="M618" t="str">
        <f t="shared" si="23"/>
        <v>626-A76438-001</v>
      </c>
    </row>
    <row r="619" spans="1:13" x14ac:dyDescent="0.25">
      <c r="A619" t="s">
        <v>1214</v>
      </c>
      <c r="B619" s="14" t="str">
        <f>VLOOKUP(A619,[1]Pricing!$A:$R,18,FALSE)</f>
        <v>NTMFS5C460NLT1G</v>
      </c>
      <c r="C619" t="s">
        <v>2623</v>
      </c>
      <c r="D619" t="str">
        <f>VLOOKUP(A619,[1]AVL!$A:$F,6,FALSE)</f>
        <v>XSTR,SMD,MOSFET,N-CHAN,40V,78A,DFN5</v>
      </c>
      <c r="E619" t="str">
        <f>VLOOKUP(A619,[1]Pricing!$A:$F,6,FALSE)</f>
        <v>47 Weeks</v>
      </c>
      <c r="F619">
        <f>VLOOKUP(B619,[2]Sheet2!$B:$E,4,FALSE)</f>
        <v>3641</v>
      </c>
      <c r="G619" s="2">
        <f>VLOOKUP(A619,[1]Pricing!$A:$H,8,FALSE)</f>
        <v>0.357846</v>
      </c>
      <c r="H619" s="2">
        <f>VLOOKUP(A619,[1]Pricing!$A:$J,10,FALSE)</f>
        <v>0.43639756097560978</v>
      </c>
      <c r="I619">
        <f>VLOOKUP(A619,MIN!A:B,2,FALSE)</f>
        <v>25</v>
      </c>
      <c r="J619" t="str">
        <f t="shared" si="22"/>
        <v>NO</v>
      </c>
      <c r="K619">
        <f>VLOOKUP(A619,[1]Pricing!$A:$G,7,FALSE)</f>
        <v>1500</v>
      </c>
      <c r="L619" t="s">
        <v>1960</v>
      </c>
      <c r="M619" t="str">
        <f t="shared" si="23"/>
        <v>626-B20598-001</v>
      </c>
    </row>
    <row r="620" spans="1:13" x14ac:dyDescent="0.25">
      <c r="A620" t="s">
        <v>1592</v>
      </c>
      <c r="B620" s="14" t="str">
        <f>VLOOKUP(A620,[1]Pricing!$A:$R,18,FALSE)</f>
        <v>RXEF185</v>
      </c>
      <c r="C620" t="s">
        <v>2620</v>
      </c>
      <c r="D620" t="str">
        <f>VLOOKUP(A620,[1]AVL!$A:$F,6,FALSE)</f>
        <v>PTC,RXE SERIES 1.85A,ROHS</v>
      </c>
      <c r="E620" t="str">
        <f>VLOOKUP(A620,[1]Pricing!$A:$F,6,FALSE)</f>
        <v>20 Weeks</v>
      </c>
      <c r="F620">
        <f>VLOOKUP(B620,[2]Sheet2!$B:$E,4,FALSE)</f>
        <v>1440</v>
      </c>
      <c r="G620" s="2">
        <f>VLOOKUP(A620,[1]Pricing!$A:$H,8,FALSE)</f>
        <v>0.264708</v>
      </c>
      <c r="H620" s="2">
        <f>VLOOKUP(A620,[1]Pricing!$A:$J,10,FALSE)</f>
        <v>0.32281463414634148</v>
      </c>
      <c r="I620">
        <f>VLOOKUP(A620,MIN!A:B,2,FALSE)</f>
        <v>15</v>
      </c>
      <c r="J620" t="str">
        <f t="shared" si="22"/>
        <v>NO</v>
      </c>
      <c r="K620">
        <f>VLOOKUP(A620,[1]Pricing!$A:$G,7,FALSE)</f>
        <v>1500</v>
      </c>
      <c r="L620" t="s">
        <v>1960</v>
      </c>
      <c r="M620" t="str">
        <f t="shared" si="23"/>
        <v>670-095989-185</v>
      </c>
    </row>
    <row r="621" spans="1:13" x14ac:dyDescent="0.25">
      <c r="A621" t="s">
        <v>666</v>
      </c>
      <c r="B621" s="14" t="str">
        <f>VLOOKUP(A621,[1]Pricing!$A:$R,18,FALSE)</f>
        <v>CPF0402B12RE1</v>
      </c>
      <c r="C621" t="s">
        <v>2599</v>
      </c>
      <c r="D621" t="str">
        <f>VLOOKUP(A621,[1]AVL!$A:$F,6,FALSE)</f>
        <v>RES,SMD,12OHM,±0.1%,25PPM,1/16W,0402</v>
      </c>
      <c r="E621" t="str">
        <f>VLOOKUP(A621,[1]Pricing!$A:$F,6,FALSE)</f>
        <v>11 Weeks</v>
      </c>
      <c r="F621">
        <f>VLOOKUP(B621,[2]Sheet2!$B:$E,4,FALSE)</f>
        <v>1000</v>
      </c>
      <c r="G621" s="2">
        <f>VLOOKUP(A621,[1]Pricing!$A:$H,8,FALSE)</f>
        <v>0.131129</v>
      </c>
      <c r="H621" s="2">
        <f>VLOOKUP(A621,[1]Pricing!$A:$J,10,FALSE)</f>
        <v>0.15991341463414635</v>
      </c>
      <c r="I621">
        <f>VLOOKUP(A621,MIN!A:B,2,FALSE)</f>
        <v>25</v>
      </c>
      <c r="J621" t="str">
        <f t="shared" si="22"/>
        <v>NO</v>
      </c>
      <c r="K621">
        <f>VLOOKUP(A621,[1]Pricing!$A:$G,7,FALSE)</f>
        <v>1000</v>
      </c>
      <c r="L621" t="s">
        <v>1960</v>
      </c>
      <c r="M621" t="str">
        <f t="shared" si="23"/>
        <v>615-A37741-002</v>
      </c>
    </row>
    <row r="622" spans="1:13" x14ac:dyDescent="0.25">
      <c r="A622" t="s">
        <v>230</v>
      </c>
      <c r="B622" s="14">
        <f>VLOOKUP(A622,[1]Pricing!$A:$R,18,FALSE)</f>
        <v>32208550</v>
      </c>
      <c r="C622" t="s">
        <v>2693</v>
      </c>
      <c r="D622" t="str">
        <f>VLOOKUP(A622,[1]AVL!$A:$F,6,FALSE)</f>
        <v>SNSR,TEMP,PT100,M222,-50 TO 300DEG C,PT</v>
      </c>
      <c r="E622" t="str">
        <f>VLOOKUP(A622,[1]Pricing!$A:$F,6,FALSE)</f>
        <v>3 Weeks</v>
      </c>
      <c r="F622">
        <f>VLOOKUP(B622,[2]Sheet2!$B:$E,4,FALSE)</f>
        <v>999</v>
      </c>
      <c r="G622" s="2">
        <f>VLOOKUP(A622,[1]Pricing!$A:$H,8,FALSE)</f>
        <v>1.8995249999999999</v>
      </c>
      <c r="H622" s="2">
        <f>VLOOKUP(A622,[1]Pricing!$A:$J,10,FALSE)</f>
        <v>2.3164939024390243</v>
      </c>
      <c r="I622">
        <f>VLOOKUP(A622,MIN!A:B,2,FALSE)</f>
        <v>15</v>
      </c>
      <c r="J622" t="str">
        <f t="shared" si="22"/>
        <v>NO</v>
      </c>
      <c r="K622">
        <f>VLOOKUP(A622,[1]Pricing!$A:$G,7,FALSE)</f>
        <v>1000</v>
      </c>
      <c r="L622" t="s">
        <v>1960</v>
      </c>
      <c r="M622" t="str">
        <f t="shared" si="23"/>
        <v>666-A51363-001</v>
      </c>
    </row>
    <row r="623" spans="1:13" x14ac:dyDescent="0.25">
      <c r="A623" t="s">
        <v>94</v>
      </c>
      <c r="B623" s="14" t="str">
        <f>VLOOKUP(A623,[1]Pricing!$A:$R,18,FALSE)</f>
        <v>172043-0206</v>
      </c>
      <c r="C623" t="s">
        <v>2610</v>
      </c>
      <c r="D623" t="str">
        <f>VLOOKUP(A623,[1]AVL!$A:$F,6,FALSE)</f>
        <v>CONN,HDR,RTANG,2POSN,30A,600V,W/BD LOCK</v>
      </c>
      <c r="E623" t="str">
        <f>VLOOKUP(A623,[1]Pricing!$A:$F,6,FALSE)</f>
        <v>23 Weeks</v>
      </c>
      <c r="F623">
        <f>VLOOKUP(B623,[2]Sheet2!$B:$E,4,FALSE)</f>
        <v>525</v>
      </c>
      <c r="G623" s="2">
        <f>VLOOKUP(A623,[1]Pricing!$A:$H,8,FALSE)</f>
        <v>1.4705999999999999</v>
      </c>
      <c r="H623" s="2">
        <f>VLOOKUP(A623,[1]Pricing!$A:$J,10,FALSE)</f>
        <v>1.7934146341463415</v>
      </c>
      <c r="I623">
        <f>VLOOKUP(A623,MIN!A:B,2,FALSE)</f>
        <v>25</v>
      </c>
      <c r="J623" t="str">
        <f t="shared" si="22"/>
        <v>NO</v>
      </c>
      <c r="K623">
        <f>VLOOKUP(A623,[1]Pricing!$A:$G,7,FALSE)</f>
        <v>1050</v>
      </c>
      <c r="L623" t="s">
        <v>1960</v>
      </c>
      <c r="M623" t="str">
        <f t="shared" si="23"/>
        <v>668-334356-002</v>
      </c>
    </row>
    <row r="624" spans="1:13" x14ac:dyDescent="0.25">
      <c r="A624" t="s">
        <v>1276</v>
      </c>
      <c r="B624" s="14" t="str">
        <f>VLOOKUP(A624,[1]Pricing!$A:$R,18,FALSE)</f>
        <v>PZHT0603-0R00GT</v>
      </c>
      <c r="C624" t="s">
        <v>2617</v>
      </c>
      <c r="D624" t="str">
        <f>VLOOKUP(A624,[1]AVL!$A:$F,6,FALSE)</f>
        <v>RES,SMD,ZERO OHM JUMPER,0603</v>
      </c>
      <c r="E624" t="str">
        <f>VLOOKUP(A624,[1]Pricing!$A:$F,6,FALSE)</f>
        <v>32 Weeks</v>
      </c>
      <c r="F624">
        <f>VLOOKUP(B624,[2]Sheet2!$B:$E,4,FALSE)</f>
        <v>400</v>
      </c>
      <c r="G624" s="2">
        <f>VLOOKUP(A624,[1]Pricing!$A:$H,8,FALSE)</f>
        <v>2.3506320000000001</v>
      </c>
      <c r="H624" s="2">
        <f>VLOOKUP(A624,[1]Pricing!$A:$J,10,FALSE)</f>
        <v>2.8666243902439028</v>
      </c>
      <c r="I624">
        <f>VLOOKUP(A624,MIN!A:B,2,FALSE)</f>
        <v>30</v>
      </c>
      <c r="J624" t="str">
        <f t="shared" si="22"/>
        <v>NO</v>
      </c>
      <c r="K624">
        <f>VLOOKUP(A624,[1]Pricing!$A:$G,7,FALSE)</f>
        <v>500</v>
      </c>
      <c r="L624" t="s">
        <v>2689</v>
      </c>
      <c r="M624" t="str">
        <f t="shared" si="23"/>
        <v>615-286483-001</v>
      </c>
    </row>
    <row r="625" spans="1:13" x14ac:dyDescent="0.25">
      <c r="A625" t="s">
        <v>239</v>
      </c>
      <c r="B625" s="14" t="str">
        <f>VLOOKUP(A625,[1]Pricing!$A:$R,18,FALSE)</f>
        <v>3299W-1-100LF</v>
      </c>
      <c r="C625" t="s">
        <v>2617</v>
      </c>
      <c r="D625" t="str">
        <f>VLOOKUP(A625,[1]AVL!$A:$F,6,FALSE)</f>
        <v>POT,TRIM,CERMET,25 TURN,10 OHM, ROHS</v>
      </c>
      <c r="E625" t="str">
        <f>VLOOKUP(A625,[1]Pricing!$A:$F,6,FALSE)</f>
        <v>15 Weeks</v>
      </c>
      <c r="F625">
        <f>VLOOKUP(B625,[2]Sheet2!$B:$E,4,FALSE)</f>
        <v>250</v>
      </c>
      <c r="G625" s="2">
        <f>VLOOKUP(A625,[1]Pricing!$A:$H,8,FALSE)</f>
        <v>2.3553199999999999</v>
      </c>
      <c r="H625" s="2">
        <f>VLOOKUP(A625,[1]Pricing!$A:$J,10,FALSE)</f>
        <v>2.8723414634146343</v>
      </c>
      <c r="I625">
        <f>VLOOKUP(A625,MIN!A:B,2,FALSE)</f>
        <v>25</v>
      </c>
      <c r="J625" t="str">
        <f t="shared" si="22"/>
        <v>NO</v>
      </c>
      <c r="K625">
        <f>VLOOKUP(A625,[1]Pricing!$A:$G,7,FALSE)</f>
        <v>250</v>
      </c>
      <c r="L625" t="s">
        <v>1960</v>
      </c>
      <c r="M625" t="str">
        <f t="shared" si="23"/>
        <v>621-000682-100</v>
      </c>
    </row>
    <row r="626" spans="1:13" x14ac:dyDescent="0.25">
      <c r="A626" t="s">
        <v>772</v>
      </c>
      <c r="B626" s="14" t="str">
        <f>VLOOKUP(A626,[1]Pricing!$A:$R,18,FALSE)</f>
        <v>EEV-TG1H102M</v>
      </c>
      <c r="C626" t="s">
        <v>2618</v>
      </c>
      <c r="D626" t="str">
        <f>VLOOKUP(A626,[1]AVL!$A:$F,6,FALSE)</f>
        <v>CAP,SMD,AL,ELCTLT,TG,L-E,20%,50V,1000UF</v>
      </c>
      <c r="E626" t="str">
        <f>VLOOKUP(A626,[1]Pricing!$A:$F,6,FALSE)</f>
        <v>25 Weeks</v>
      </c>
      <c r="F626">
        <f>VLOOKUP(B626,[2]Sheet2!$B:$E,4,FALSE)</f>
        <v>250</v>
      </c>
      <c r="G626" s="2">
        <f>VLOOKUP(A626,[1]Pricing!$A:$H,8,FALSE)</f>
        <v>1.458345</v>
      </c>
      <c r="H626" s="2">
        <f>VLOOKUP(A626,[1]Pricing!$A:$J,10,FALSE)</f>
        <v>1.7784695121951222</v>
      </c>
      <c r="I626">
        <f>VLOOKUP(A626,MIN!A:B,2,FALSE)</f>
        <v>15</v>
      </c>
      <c r="J626" t="str">
        <f t="shared" si="22"/>
        <v>NO</v>
      </c>
      <c r="K626">
        <f>VLOOKUP(A626,[1]Pricing!$A:$G,7,FALSE)</f>
        <v>250</v>
      </c>
      <c r="L626" t="s">
        <v>1960</v>
      </c>
      <c r="M626" t="str">
        <f t="shared" si="23"/>
        <v>648-064017-102</v>
      </c>
    </row>
    <row r="627" spans="1:13" x14ac:dyDescent="0.25">
      <c r="A627" t="s">
        <v>42</v>
      </c>
      <c r="B627" s="14" t="str">
        <f>VLOOKUP(A627,[1]Pricing!$A:$R,18,FALSE)</f>
        <v>101628-000</v>
      </c>
      <c r="C627" t="s">
        <v>2694</v>
      </c>
      <c r="D627" t="str">
        <f>VLOOKUP(A627,[1]AVL!$A:$F,6,FALSE)</f>
        <v>CONT,PIN,SPRING PROBE</v>
      </c>
      <c r="E627" t="str">
        <f>VLOOKUP(A627,[1]Pricing!$A:$F,6,FALSE)</f>
        <v>30 Weeks</v>
      </c>
      <c r="F627" s="18">
        <v>216</v>
      </c>
      <c r="G627" s="2">
        <f>VLOOKUP(A627,[1]Pricing!$A:$H,8,FALSE)</f>
        <v>4.4000000000000004</v>
      </c>
      <c r="H627" s="2">
        <f>VLOOKUP(A627,[1]Pricing!$A:$J,10,FALSE)</f>
        <v>5.3658536585365857</v>
      </c>
      <c r="I627">
        <f>VLOOKUP(A627,MIN!A:B,2,FALSE)</f>
        <v>25</v>
      </c>
      <c r="J627" t="str">
        <f t="shared" si="22"/>
        <v>NO</v>
      </c>
      <c r="K627">
        <f>VLOOKUP(A627,[1]Pricing!$A:$G,7,FALSE)</f>
        <v>216</v>
      </c>
      <c r="L627" t="s">
        <v>1960</v>
      </c>
      <c r="M627" t="str">
        <f t="shared" si="23"/>
        <v>669-116934-001</v>
      </c>
    </row>
    <row r="628" spans="1:13" x14ac:dyDescent="0.25">
      <c r="A628" t="s">
        <v>265</v>
      </c>
      <c r="B628" s="14" t="str">
        <f>VLOOKUP(A628,[1]Pricing!$A:$R,18,FALSE)</f>
        <v>3518-BLACK</v>
      </c>
      <c r="C628" t="s">
        <v>50</v>
      </c>
      <c r="D628" t="str">
        <f>VLOOKUP(A628,[1]AVL!$A:$F,6,FALSE)</f>
        <v>KEY POLARIZING</v>
      </c>
      <c r="E628" t="str">
        <f>VLOOKUP(A628,[1]Pricing!$A:$F,6,FALSE)</f>
        <v>9 Weeks</v>
      </c>
      <c r="F628">
        <f>VLOOKUP(B628,[2]Sheet2!$B:$E,4,FALSE)</f>
        <v>200</v>
      </c>
      <c r="G628" s="2">
        <f>VLOOKUP(A628,[1]Pricing!$A:$H,8,FALSE)</f>
        <v>0.26764900000000003</v>
      </c>
      <c r="H628" s="2">
        <f>VLOOKUP(A628,[1]Pricing!$A:$J,10,FALSE)</f>
        <v>0.3264012195121952</v>
      </c>
      <c r="I628">
        <f>VLOOKUP(A628,MIN!A:B,2,FALSE)</f>
        <v>15</v>
      </c>
      <c r="J628" t="str">
        <f t="shared" si="22"/>
        <v>NO</v>
      </c>
      <c r="K628">
        <f>VLOOKUP(A628,[1]Pricing!$A:$G,7,FALSE)</f>
        <v>200</v>
      </c>
      <c r="L628" t="s">
        <v>1960</v>
      </c>
      <c r="M628" t="str">
        <f t="shared" si="23"/>
        <v>668-008858-004</v>
      </c>
    </row>
    <row r="629" spans="1:13" x14ac:dyDescent="0.25">
      <c r="A629" t="s">
        <v>1604</v>
      </c>
      <c r="B629" s="14" t="str">
        <f>VLOOKUP(A629,[1]Pricing!$A:$R,18,FALSE)</f>
        <v>S25FL512SAGBHIA10</v>
      </c>
      <c r="C629" t="s">
        <v>2695</v>
      </c>
      <c r="D629" t="str">
        <f>VLOOKUP(A629,[1]AVL!$A:$F,6,FALSE)</f>
        <v>IC,SMD,MEM,FLASH-NOR,64MB,3.6V,BGA-24</v>
      </c>
      <c r="E629" t="str">
        <f>VLOOKUP(A629,[1]Pricing!$A:$F,6,FALSE)</f>
        <v>3 Weeks</v>
      </c>
      <c r="F629">
        <v>21</v>
      </c>
      <c r="G629" s="2">
        <f>VLOOKUP(A629,[1]Pricing!$A:$H,8,FALSE)</f>
        <v>7.462682</v>
      </c>
      <c r="H629" s="2">
        <f>VLOOKUP(A629,[1]Pricing!$A:$J,10,FALSE)</f>
        <v>9.1008317073170737</v>
      </c>
      <c r="I629">
        <f>VLOOKUP(A629,MIN!A:B,2,FALSE)</f>
        <v>25</v>
      </c>
      <c r="J629" t="str">
        <f t="shared" si="22"/>
        <v>REORDER</v>
      </c>
      <c r="K629">
        <f>VLOOKUP(A629,[1]Pricing!$A:$G,7,FALSE)</f>
        <v>100</v>
      </c>
      <c r="M629" t="str">
        <f t="shared" si="23"/>
        <v>630-A08069-001</v>
      </c>
    </row>
    <row r="630" spans="1:13" x14ac:dyDescent="0.25">
      <c r="A630" t="s">
        <v>22</v>
      </c>
      <c r="B630" s="14" t="str">
        <f>VLOOKUP(A630,[1]Pricing!$A:$R,18,FALSE)</f>
        <v>1.5SMC18A</v>
      </c>
      <c r="C630" t="s">
        <v>2617</v>
      </c>
      <c r="D630" t="str">
        <f>VLOOKUP(A630,[1]AVL!$A:$F,6,FALSE)</f>
        <v>DIODE,TVS,18V ,1.5KW,SMC,ROHS</v>
      </c>
      <c r="E630" t="str">
        <f>VLOOKUP(A630,[1]Pricing!$A:$F,6,FALSE)</f>
        <v>26 Weeks</v>
      </c>
      <c r="F630">
        <f>VLOOKUP(B630,[2]Sheet2!$B:$E,4,FALSE)</f>
        <v>73</v>
      </c>
      <c r="G630" s="2">
        <f>VLOOKUP(A630,[1]Pricing!$A:$H,8,FALSE)</f>
        <v>0.32200000000000001</v>
      </c>
      <c r="H630" s="2">
        <f>VLOOKUP(A630,[1]Pricing!$A:$J,10,FALSE)</f>
        <v>0.39268292682926831</v>
      </c>
      <c r="I630">
        <f>VLOOKUP(A630,MIN!A:B,2,FALSE)</f>
        <v>25</v>
      </c>
      <c r="J630" t="str">
        <f t="shared" si="22"/>
        <v>NO</v>
      </c>
      <c r="K630">
        <f>VLOOKUP(A630,[1]Pricing!$A:$G,7,FALSE)</f>
        <v>100</v>
      </c>
      <c r="L630" t="s">
        <v>2689</v>
      </c>
      <c r="M630" t="str">
        <f t="shared" si="23"/>
        <v>609-099412-180</v>
      </c>
    </row>
    <row r="631" spans="1:13" x14ac:dyDescent="0.25">
      <c r="A631" t="s">
        <v>113</v>
      </c>
      <c r="B631" s="14" t="str">
        <f>VLOOKUP(A631,[1]Pricing!$A:$R,18,FALSE)</f>
        <v>178-009-313R571</v>
      </c>
      <c r="C631" t="s">
        <v>2585</v>
      </c>
      <c r="D631" t="str">
        <f>VLOOKUP(A631,[1]AVL!$A:$F,6,FALSE)</f>
        <v>CONN,DSUB,DUAL PORT,F/M,9P/9P ROHS</v>
      </c>
      <c r="E631" t="str">
        <f>VLOOKUP(A631,[1]Pricing!$A:$F,6,FALSE)</f>
        <v>19 Weeks</v>
      </c>
      <c r="F631">
        <f>VLOOKUP(B631,[2]Sheet2!$B:$E,4,FALSE)</f>
        <v>57</v>
      </c>
      <c r="G631" s="2">
        <f>VLOOKUP(A631,[1]Pricing!$A:$H,8,FALSE)</f>
        <v>6.8505450000000003</v>
      </c>
      <c r="H631" s="2">
        <f>VLOOKUP(A631,[1]Pricing!$A:$J,10,FALSE)</f>
        <v>8.3543231707317087</v>
      </c>
      <c r="I631">
        <f>VLOOKUP(A631,MIN!A:B,2,FALSE)</f>
        <v>25</v>
      </c>
      <c r="J631" t="str">
        <f t="shared" si="22"/>
        <v>NO</v>
      </c>
      <c r="K631">
        <f>VLOOKUP(A631,[1]Pricing!$A:$G,7,FALSE)</f>
        <v>90</v>
      </c>
      <c r="L631" t="s">
        <v>2689</v>
      </c>
      <c r="M631" t="str">
        <f t="shared" si="23"/>
        <v>668-024901-004</v>
      </c>
    </row>
    <row r="632" spans="1:13" x14ac:dyDescent="0.25">
      <c r="A632" t="s">
        <v>774</v>
      </c>
      <c r="B632" s="14" t="str">
        <f>VLOOKUP(A632,[1]Pricing!$A:$R,18,FALSE)</f>
        <v>EKY-500ELL222MMP1S</v>
      </c>
      <c r="C632" t="s">
        <v>2696</v>
      </c>
      <c r="D632" t="str">
        <f>VLOOKUP(A632,[1]AVL!$A:$F,6,FALSE)</f>
        <v>CAP,AL-ELCTLT,2200UF,50VDC,±20% TOL,ROHS</v>
      </c>
      <c r="E632" t="str">
        <f>VLOOKUP(A632,[1]Pricing!$A:$F,6,FALSE)</f>
        <v>17 Weeks</v>
      </c>
      <c r="F632">
        <f>VLOOKUP(B632,[2]Sheet2!$B:$E,4,FALSE)</f>
        <v>500</v>
      </c>
      <c r="G632" s="2">
        <f>VLOOKUP(A632,[1]Pricing!$A:$H,8,FALSE)</f>
        <v>1.028807</v>
      </c>
      <c r="H632" s="2">
        <f>VLOOKUP(A632,[1]Pricing!$A:$J,10,FALSE)</f>
        <v>1.2546426829268293</v>
      </c>
      <c r="I632">
        <f>VLOOKUP(A632,MIN!A:B,2,FALSE)</f>
        <v>15</v>
      </c>
      <c r="J632" t="str">
        <f t="shared" si="22"/>
        <v>NO</v>
      </c>
      <c r="K632">
        <f>VLOOKUP(A632,[1]Pricing!$A:$G,7,FALSE)</f>
        <v>500</v>
      </c>
      <c r="L632" t="s">
        <v>1960</v>
      </c>
      <c r="M632" t="str">
        <f t="shared" si="23"/>
        <v>649-346748-001</v>
      </c>
    </row>
    <row r="633" spans="1:13" x14ac:dyDescent="0.25">
      <c r="A633" t="s">
        <v>79</v>
      </c>
      <c r="B633" s="14" t="str">
        <f>VLOOKUP(A633,[1]Pricing!$A:$R,18,FALSE)</f>
        <v>164A17359X</v>
      </c>
      <c r="C633" t="s">
        <v>2592</v>
      </c>
      <c r="D633" t="str">
        <f>VLOOKUP(A633,[1]AVL!$A:$F,6,FALSE)</f>
        <v>CONN,RCPT,D-SUB,H DENSITY,15POSN,3A,60V</v>
      </c>
      <c r="E633" t="str">
        <f>VLOOKUP(A633,[1]Pricing!$A:$F,6,FALSE)</f>
        <v>3 Weeks</v>
      </c>
      <c r="F633">
        <v>0</v>
      </c>
      <c r="G633" s="2">
        <f>VLOOKUP(A633,[1]Pricing!$A:$H,8,FALSE)</f>
        <v>9.9044910000000002</v>
      </c>
      <c r="H633" s="2">
        <f>VLOOKUP(A633,[1]Pricing!$A:$J,10,FALSE)</f>
        <v>12.078647560975611</v>
      </c>
      <c r="I633">
        <f>VLOOKUP(A633,MIN!A:B,2,FALSE)</f>
        <v>25</v>
      </c>
      <c r="J633" t="str">
        <f t="shared" si="22"/>
        <v>REORDER</v>
      </c>
      <c r="K633">
        <f>VLOOKUP(A633,[1]Pricing!$A:$G,7,FALSE)</f>
        <v>50</v>
      </c>
      <c r="M633" t="str">
        <f t="shared" si="23"/>
        <v>668-A51501-015</v>
      </c>
    </row>
    <row r="634" spans="1:13" x14ac:dyDescent="0.25">
      <c r="A634" t="s">
        <v>1846</v>
      </c>
      <c r="B634" s="14" t="str">
        <f>VLOOKUP(A634,[1]Pricing!$A:$R,18,FALSE)</f>
        <v>W23-22KJI</v>
      </c>
      <c r="C634" t="s">
        <v>2632</v>
      </c>
      <c r="D634" t="str">
        <f>VLOOKUP(A634,[1]AVL!$A:$F,6,FALSE)</f>
        <v>RES,AXIAL,22K OHM,10.5W,5%,ROHS</v>
      </c>
      <c r="E634" t="str">
        <f>VLOOKUP(A634,[1]Pricing!$A:$F,6,FALSE)</f>
        <v>3 Weeks</v>
      </c>
      <c r="F634">
        <f>VLOOKUP(B634,[2]Sheet2!$B:$E,4,FALSE)</f>
        <v>50</v>
      </c>
      <c r="G634" s="2">
        <f>VLOOKUP(A634,[1]Pricing!$A:$H,8,FALSE)</f>
        <v>3.1372800000000001</v>
      </c>
      <c r="H634" s="2">
        <f>VLOOKUP(A634,[1]Pricing!$A:$J,10,FALSE)</f>
        <v>3.8259512195121954</v>
      </c>
      <c r="I634">
        <f>VLOOKUP(A634,MIN!A:B,2,FALSE)</f>
        <v>25</v>
      </c>
      <c r="J634" t="str">
        <f t="shared" si="22"/>
        <v>NO</v>
      </c>
      <c r="K634">
        <f>VLOOKUP(A634,[1]Pricing!$A:$G,7,FALSE)</f>
        <v>50</v>
      </c>
      <c r="L634" t="s">
        <v>1960</v>
      </c>
      <c r="M634" t="str">
        <f t="shared" si="23"/>
        <v>618-228291-125</v>
      </c>
    </row>
    <row r="635" spans="1:13" x14ac:dyDescent="0.25">
      <c r="A635" t="s">
        <v>729</v>
      </c>
      <c r="B635" s="14" t="str">
        <f>VLOOKUP(A635,[1]Pricing!$A:$R,18,FALSE)</f>
        <v>DAMZ-15S-N-A197</v>
      </c>
      <c r="C635" t="s">
        <v>2697</v>
      </c>
      <c r="D635" t="str">
        <f>VLOOKUP(A635,[1]AVL!$A:$F,6,FALSE)</f>
        <v>CONN,D-SUB,SKT,15PIN,7.5A,PCB MT,BD LOCK</v>
      </c>
      <c r="E635" t="str">
        <f>VLOOKUP(A635,[1]Pricing!$A:$F,6,FALSE)</f>
        <v>20 Weeks</v>
      </c>
      <c r="F635">
        <f>VLOOKUP(B635,[2]Sheet2!$B:$E,4,FALSE)</f>
        <v>18</v>
      </c>
      <c r="G635" s="2">
        <f>VLOOKUP(A635,[1]Pricing!$A:$H,8,FALSE)</f>
        <v>21.213405000000002</v>
      </c>
      <c r="H635" s="2">
        <f>VLOOKUP(A635,[1]Pricing!$A:$J,10,FALSE)</f>
        <v>25.870006097560978</v>
      </c>
      <c r="I635">
        <f>VLOOKUP(A635,MIN!A:B,2,FALSE)</f>
        <v>25</v>
      </c>
      <c r="J635" t="str">
        <f t="shared" si="22"/>
        <v>REORDER</v>
      </c>
      <c r="K635">
        <f>VLOOKUP(A635,[1]Pricing!$A:$G,7,FALSE)</f>
        <v>50</v>
      </c>
      <c r="L635" t="s">
        <v>2689</v>
      </c>
      <c r="M635" t="str">
        <f t="shared" si="23"/>
        <v>668-342826-015</v>
      </c>
    </row>
    <row r="636" spans="1:13" x14ac:dyDescent="0.25">
      <c r="A636" t="s">
        <v>13</v>
      </c>
      <c r="B636" s="14" t="str">
        <f>VLOOKUP(A636,[1]Pricing!$A:$R,18,FALSE)</f>
        <v>0686F5000-01</v>
      </c>
      <c r="C636" t="s">
        <v>2682</v>
      </c>
      <c r="D636" t="str">
        <f>VLOOKUP(A636,[1]AVL!$A:$F,6,FALSE)</f>
        <v>FUSE,SMD,5A,32VAC/63VDC,FAST ACT,0603</v>
      </c>
      <c r="E636" t="str">
        <f>VLOOKUP(A636,[1]Pricing!$A:$F,6,FALSE)</f>
        <v>3 Weeks</v>
      </c>
      <c r="F636">
        <f>VLOOKUP(B636,[2]Sheet2!$B:$E,4,FALSE)</f>
        <v>5000</v>
      </c>
      <c r="G636" s="2">
        <f>VLOOKUP(A636,[1]Pricing!$A:$H,8,FALSE)</f>
        <v>0.13239100000000001</v>
      </c>
      <c r="H636" s="2">
        <f>VLOOKUP(A636,[1]Pricing!$A:$J,10,FALSE)</f>
        <v>0.16145243902439027</v>
      </c>
      <c r="I636">
        <f>VLOOKUP(A636,MIN!A:B,2,FALSE)</f>
        <v>25</v>
      </c>
      <c r="J636" t="str">
        <f t="shared" si="22"/>
        <v>NO</v>
      </c>
      <c r="K636">
        <f>VLOOKUP(A636,[1]Pricing!$A:$G,7,FALSE)</f>
        <v>5000</v>
      </c>
      <c r="L636" t="s">
        <v>1960</v>
      </c>
      <c r="M636" t="str">
        <f t="shared" si="23"/>
        <v>682-343485-500</v>
      </c>
    </row>
    <row r="637" spans="1:13" x14ac:dyDescent="0.25">
      <c r="A637" t="s">
        <v>915</v>
      </c>
      <c r="B637" s="14" t="str">
        <f>VLOOKUP(A637,[1]Pricing!$A:$R,18,FALSE)</f>
        <v>GCM1885C1H392FA16J</v>
      </c>
      <c r="C637" t="s">
        <v>2627</v>
      </c>
      <c r="D637" t="str">
        <f>VLOOKUP(A637,[1]AVL!$A:$F,6,FALSE)</f>
        <v>CAP,SMD,CER,3900PF,+/-1%,50V,C0G,0603</v>
      </c>
      <c r="E637" t="str">
        <f>VLOOKUP(A637,[1]Pricing!$A:$F,6,FALSE)</f>
        <v>12 Weeks</v>
      </c>
      <c r="F637">
        <f>VLOOKUP(B637,[2]Sheet2!$B:$E,4,FALSE)</f>
        <v>4000</v>
      </c>
      <c r="G637" s="2">
        <f>VLOOKUP(A637,[1]Pricing!$A:$H,8,FALSE)</f>
        <v>3.5540000000000002E-2</v>
      </c>
      <c r="H637" s="2">
        <f>VLOOKUP(A637,[1]Pricing!$A:$J,10,FALSE)</f>
        <v>4.334146341463415E-2</v>
      </c>
      <c r="I637">
        <f>VLOOKUP(A637,MIN!A:B,2,FALSE)</f>
        <v>25</v>
      </c>
      <c r="J637" t="str">
        <f t="shared" si="22"/>
        <v>NO</v>
      </c>
      <c r="K637">
        <f>VLOOKUP(A637,[1]Pricing!$A:$G,7,FALSE)</f>
        <v>4000</v>
      </c>
      <c r="L637" t="s">
        <v>1960</v>
      </c>
      <c r="M637" t="str">
        <f t="shared" si="23"/>
        <v>648-A80876-392</v>
      </c>
    </row>
    <row r="638" spans="1:13" x14ac:dyDescent="0.25">
      <c r="A638" t="s">
        <v>1723</v>
      </c>
      <c r="B638" s="14" t="str">
        <f>VLOOKUP(A638,[1]Pricing!$A:$R,18,FALSE)</f>
        <v>SUD35N10-26P-E3</v>
      </c>
      <c r="C638" t="s">
        <v>2617</v>
      </c>
      <c r="D638" t="str">
        <f>VLOOKUP(A638,[1]AVL!$A:$F,6,FALSE)</f>
        <v>IC,SMD,MOSFET,N-CHAN,100V,35A,TO-252-3</v>
      </c>
      <c r="E638" t="str">
        <f>VLOOKUP(A638,[1]Pricing!$A:$F,6,FALSE)</f>
        <v>12 Weeks</v>
      </c>
      <c r="F638">
        <f>VLOOKUP(B638,[2]Sheet2!$B:$E,4,FALSE)</f>
        <v>200</v>
      </c>
      <c r="G638" s="2">
        <f>VLOOKUP(A638,[1]Pricing!$A:$H,8,FALSE)</f>
        <v>1.3603050000000001</v>
      </c>
      <c r="H638" s="2">
        <f>VLOOKUP(A638,[1]Pricing!$A:$J,10,FALSE)</f>
        <v>1.658908536585366</v>
      </c>
      <c r="I638">
        <f>VLOOKUP(A638,MIN!A:B,2,FALSE)</f>
        <v>25</v>
      </c>
      <c r="J638" t="str">
        <f t="shared" si="22"/>
        <v>NO</v>
      </c>
      <c r="K638">
        <f>VLOOKUP(A638,[1]Pricing!$A:$G,7,FALSE)</f>
        <v>200</v>
      </c>
      <c r="L638" t="s">
        <v>1960</v>
      </c>
      <c r="M638" t="str">
        <f t="shared" si="23"/>
        <v>630-B00972-001</v>
      </c>
    </row>
    <row r="639" spans="1:13" x14ac:dyDescent="0.25">
      <c r="A639" t="s">
        <v>837</v>
      </c>
      <c r="B639" s="14" t="str">
        <f>VLOOKUP(A639,[1]Pricing!$A:$R,18,FALSE)</f>
        <v>ERA-8AEB4530V</v>
      </c>
      <c r="C639" t="s">
        <v>2618</v>
      </c>
      <c r="D639" t="str">
        <f>VLOOKUP(A639,[1]AVL!$A:$F,6,FALSE)</f>
        <v>RES,SMD,453,0.1%,1/4W,1206,ROHS</v>
      </c>
      <c r="E639" t="str">
        <f>VLOOKUP(A639,[1]Pricing!$A:$F,6,FALSE)</f>
        <v>22 Weeks</v>
      </c>
      <c r="F639">
        <f>VLOOKUP(B639,[2]Sheet2!$B:$E,4,FALSE)</f>
        <v>5000</v>
      </c>
      <c r="G639" s="2">
        <f>VLOOKUP(A639,[1]Pricing!$A:$H,8,FALSE)</f>
        <v>0.10482900000000001</v>
      </c>
      <c r="H639" s="2">
        <f>VLOOKUP(A639,[1]Pricing!$A:$J,10,FALSE)</f>
        <v>0.12784024390243903</v>
      </c>
      <c r="I639">
        <f>VLOOKUP(A639,MIN!A:B,2,FALSE)</f>
        <v>15</v>
      </c>
      <c r="J639" t="str">
        <f t="shared" si="22"/>
        <v>NO</v>
      </c>
      <c r="K639">
        <f>VLOOKUP(A639,[1]Pricing!$A:$G,7,FALSE)</f>
        <v>5000</v>
      </c>
      <c r="L639" t="s">
        <v>1960</v>
      </c>
      <c r="M639" t="str">
        <f t="shared" si="23"/>
        <v>615-252481-096</v>
      </c>
    </row>
    <row r="640" spans="1:13" x14ac:dyDescent="0.25">
      <c r="A640" t="s">
        <v>691</v>
      </c>
      <c r="B640" s="14" t="str">
        <f>VLOOKUP(A640,[1]Pricing!$A:$R,18,FALSE)</f>
        <v>CRCW12061M02FKEA</v>
      </c>
      <c r="C640" t="s">
        <v>2580</v>
      </c>
      <c r="D640" t="str">
        <f>VLOOKUP(A640,[1]AVL!$A:$F,6,FALSE)</f>
        <v>RES,SMD,1206,1.02M OHM,1%,1/4W,ROHS</v>
      </c>
      <c r="E640" t="str">
        <f>VLOOKUP(A640,[1]Pricing!$A:$F,6,FALSE)</f>
        <v>3 Weeks</v>
      </c>
      <c r="F640">
        <f>VLOOKUP(B640,[2]Sheet2!$B:$E,4,FALSE)</f>
        <v>5000</v>
      </c>
      <c r="G640" s="2">
        <f>VLOOKUP(A640,[1]Pricing!$A:$H,8,FALSE)</f>
        <v>7.3530000000000002E-3</v>
      </c>
      <c r="H640" s="2">
        <f>VLOOKUP(A640,[1]Pricing!$A:$J,10,FALSE)</f>
        <v>8.9670731707317073E-3</v>
      </c>
      <c r="I640">
        <f>VLOOKUP(A640,MIN!A:B,2,FALSE)</f>
        <v>25</v>
      </c>
      <c r="J640" t="str">
        <f t="shared" si="22"/>
        <v>NO</v>
      </c>
      <c r="K640">
        <f>VLOOKUP(A640,[1]Pricing!$A:$G,7,FALSE)</f>
        <v>5000</v>
      </c>
      <c r="L640" t="s">
        <v>1960</v>
      </c>
      <c r="M640" t="str">
        <f t="shared" si="23"/>
        <v>615-116031-102</v>
      </c>
    </row>
    <row r="641" spans="1:13" x14ac:dyDescent="0.25">
      <c r="A641" t="s">
        <v>942</v>
      </c>
      <c r="B641" s="14" t="str">
        <f>VLOOKUP(A641,[1]Pricing!$A:$R,18,FALSE)</f>
        <v>HCPL-2231-300E</v>
      </c>
      <c r="C641" t="s">
        <v>2698</v>
      </c>
      <c r="D641" t="str">
        <f>VLOOKUP(A641,[1]AVL!$A:$F,6,FALSE)</f>
        <v>IC,SMD,HCPL-2231,DUAL OPTOCOUPLER, ROHS</v>
      </c>
      <c r="E641" t="str">
        <f>VLOOKUP(A641,[1]Pricing!$A:$F,6,FALSE)</f>
        <v>24 Weeks</v>
      </c>
      <c r="F641">
        <f>VLOOKUP(B641,[2]Sheet2!$B:$E,4,FALSE)</f>
        <v>200</v>
      </c>
      <c r="G641" s="2">
        <f>VLOOKUP(A641,[1]Pricing!$A:$H,8,FALSE)</f>
        <v>4.0318949999999996</v>
      </c>
      <c r="H641" s="2">
        <f>VLOOKUP(A641,[1]Pricing!$A:$J,10,FALSE)</f>
        <v>4.916945121951219</v>
      </c>
      <c r="I641">
        <f>VLOOKUP(A641,MIN!A:B,2,FALSE)</f>
        <v>15</v>
      </c>
      <c r="J641" t="str">
        <f t="shared" si="22"/>
        <v>NO</v>
      </c>
      <c r="K641">
        <f>VLOOKUP(A641,[1]Pricing!$A:$G,7,FALSE)</f>
        <v>200</v>
      </c>
      <c r="L641" t="s">
        <v>1960</v>
      </c>
      <c r="M641" t="str">
        <f t="shared" si="23"/>
        <v>630-046170-001</v>
      </c>
    </row>
    <row r="642" spans="1:13" x14ac:dyDescent="0.25">
      <c r="A642" t="s">
        <v>1636</v>
      </c>
      <c r="B642" s="14" t="str">
        <f>VLOOKUP(A642,[1]Pricing!$A:$R,18,FALSE)</f>
        <v>SG73S2E1RTTD7500F</v>
      </c>
      <c r="C642" t="s">
        <v>2667</v>
      </c>
      <c r="D642" t="str">
        <f>VLOOKUP(A642,[1]AVL!$A:$F,6,FALSE)</f>
        <v>RES,SMD,THK FILM,750 OHM,1%,1W,1210</v>
      </c>
      <c r="E642" t="str">
        <f>VLOOKUP(A642,[1]Pricing!$A:$F,6,FALSE)</f>
        <v>9 Weeks</v>
      </c>
      <c r="F642">
        <f>VLOOKUP(B642,[2]Sheet2!$B:$E,4,FALSE)</f>
        <v>5000</v>
      </c>
      <c r="G642" s="2">
        <f>VLOOKUP(A642,[1]Pricing!$A:$H,8,FALSE)</f>
        <v>9.4364000000000003E-2</v>
      </c>
      <c r="H642" s="2">
        <f>VLOOKUP(A642,[1]Pricing!$A:$J,10,FALSE)</f>
        <v>0.11507804878048782</v>
      </c>
      <c r="I642">
        <f>VLOOKUP(A642,MIN!A:B,2,FALSE)</f>
        <v>15</v>
      </c>
      <c r="J642" t="str">
        <f t="shared" ref="J642:J705" si="24">IF(F642&lt;=I642,"REORDER","NO")</f>
        <v>NO</v>
      </c>
      <c r="K642">
        <f>VLOOKUP(A642,[1]Pricing!$A:$G,7,FALSE)</f>
        <v>5000</v>
      </c>
      <c r="L642" t="s">
        <v>1960</v>
      </c>
      <c r="M642" t="str">
        <f t="shared" si="23"/>
        <v>615-B09403-001</v>
      </c>
    </row>
    <row r="643" spans="1:13" x14ac:dyDescent="0.25">
      <c r="A643" t="s">
        <v>1248</v>
      </c>
      <c r="B643" s="14" t="str">
        <f>VLOOKUP(A643,[1]Pricing!$A:$R,18,FALSE)</f>
        <v>PDSE1-S24-S12-M-TR</v>
      </c>
      <c r="C643" t="s">
        <v>2699</v>
      </c>
      <c r="D643" t="str">
        <f>VLOOKUP(A643,[1]AVL!$A:$F,6,FALSE)</f>
        <v>PS,DC-DC,SGL OUT,24VDC INPUT,12VDC,SMT</v>
      </c>
      <c r="E643" t="str">
        <f>VLOOKUP(A643,[1]Pricing!$A:$F,6,FALSE)</f>
        <v>13 Weeks</v>
      </c>
      <c r="F643">
        <f>VLOOKUP(B643,[2]Sheet2!$B:$E,4,FALSE)</f>
        <v>1</v>
      </c>
      <c r="G643" s="2">
        <f>VLOOKUP(A643,[1]Pricing!$A:$H,8,FALSE)</f>
        <v>3.084584</v>
      </c>
      <c r="H643" s="2">
        <f>VLOOKUP(A643,[1]Pricing!$A:$J,10,FALSE)</f>
        <v>3.7616878048780489</v>
      </c>
      <c r="I643">
        <f>VLOOKUP(A643,MIN!A:B,2,FALSE)</f>
        <v>15</v>
      </c>
      <c r="J643" t="str">
        <f t="shared" si="24"/>
        <v>REORDER</v>
      </c>
      <c r="K643">
        <f>VLOOKUP(A643,[1]Pricing!$A:$G,7,FALSE)</f>
        <v>228</v>
      </c>
      <c r="L643" t="s">
        <v>2689</v>
      </c>
      <c r="M643" t="str">
        <f t="shared" si="23"/>
        <v>660-B12889-003</v>
      </c>
    </row>
    <row r="644" spans="1:13" x14ac:dyDescent="0.25">
      <c r="A644" t="s">
        <v>1446</v>
      </c>
      <c r="B644" s="14" t="str">
        <f>VLOOKUP(A644,[1]Pricing!$A:$R,18,FALSE)</f>
        <v>RCV420KP</v>
      </c>
      <c r="C644" t="s">
        <v>2595</v>
      </c>
      <c r="D644" t="str">
        <f>VLOOKUP(A644,[1]AVL!$A:$F,6,FALSE)</f>
        <v>IC,RCV420,4-20mA,ROHS</v>
      </c>
      <c r="E644" t="str">
        <f>VLOOKUP(A644,[1]Pricing!$A:$F,6,FALSE)</f>
        <v>15 Weeks</v>
      </c>
      <c r="F644">
        <f>VLOOKUP(B644,[2]Sheet2!$B:$E,4,FALSE)</f>
        <v>59</v>
      </c>
      <c r="G644" s="2">
        <f>VLOOKUP(A644,[1]Pricing!$A:$H,8,FALSE)</f>
        <v>13.7256</v>
      </c>
      <c r="H644" s="2">
        <f>VLOOKUP(A644,[1]Pricing!$A:$J,10,FALSE)</f>
        <v>16.738536585365853</v>
      </c>
      <c r="I644">
        <f>VLOOKUP(A644,MIN!A:B,2,FALSE)</f>
        <v>25</v>
      </c>
      <c r="J644" t="str">
        <f t="shared" si="24"/>
        <v>NO</v>
      </c>
      <c r="K644">
        <f>VLOOKUP(A644,[1]Pricing!$A:$G,7,FALSE)</f>
        <v>50</v>
      </c>
      <c r="L644" t="s">
        <v>2689</v>
      </c>
      <c r="M644" t="str">
        <f t="shared" ref="M644:M708" si="25">A644</f>
        <v>631-096454-001</v>
      </c>
    </row>
    <row r="645" spans="1:13" x14ac:dyDescent="0.25">
      <c r="A645" t="s">
        <v>544</v>
      </c>
      <c r="B645" s="14" t="str">
        <f>VLOOKUP(A645,[1]Pricing!$A:$R,18,FALSE)</f>
        <v>BK1-S505H-6.3-R</v>
      </c>
      <c r="C645" t="s">
        <v>2662</v>
      </c>
      <c r="D645" t="str">
        <f>VLOOKUP(A645,[1]AVL!$A:$F,6,FALSE)</f>
        <v>FUSE,CRTG,6.3A,600VAC/400DC,5X20MM</v>
      </c>
      <c r="E645" t="str">
        <f>VLOOKUP(A645,[1]Pricing!$A:$F,6,FALSE)</f>
        <v>3 Weeks</v>
      </c>
      <c r="F645">
        <f>VLOOKUP(B645,[2]Sheet2!$B:$E,4,FALSE)</f>
        <v>200</v>
      </c>
      <c r="G645" s="2">
        <f>VLOOKUP(A645,[1]Pricing!$A:$H,8,FALSE)</f>
        <v>1.01</v>
      </c>
      <c r="H645" s="2">
        <f>VLOOKUP(A645,[1]Pricing!$A:$J,10,FALSE)</f>
        <v>1.2317073170731707</v>
      </c>
      <c r="I645">
        <f>VLOOKUP(A645,MIN!A:B,2,FALSE)</f>
        <v>15</v>
      </c>
      <c r="J645" t="str">
        <f t="shared" si="24"/>
        <v>NO</v>
      </c>
      <c r="K645">
        <f>VLOOKUP(A645,[1]Pricing!$A:$G,7,FALSE)</f>
        <v>200</v>
      </c>
      <c r="L645" t="s">
        <v>1960</v>
      </c>
      <c r="M645" t="str">
        <f t="shared" si="25"/>
        <v>670-338640-630</v>
      </c>
    </row>
    <row r="646" spans="1:13" x14ac:dyDescent="0.25">
      <c r="A646" t="s">
        <v>1786</v>
      </c>
      <c r="B646" s="14" t="str">
        <f>VLOOKUP(A646,[1]Pricing!$A:$R,18,FALSE)</f>
        <v>TPS259827ONRGER</v>
      </c>
      <c r="C646" t="s">
        <v>2595</v>
      </c>
      <c r="D646" t="str">
        <f>VLOOKUP(A646,[1]AVL!$A:$F,6,FALSE)</f>
        <v>IC,SMD,EFUSE,15A,2.7-24V,24-VQFN</v>
      </c>
      <c r="E646" t="str">
        <f>VLOOKUP(A646,[1]Pricing!$A:$F,6,FALSE)</f>
        <v>9 Weeks</v>
      </c>
      <c r="F646">
        <f>VLOOKUP(B646,[2]Sheet2!$B:$E,4,FALSE)</f>
        <v>60</v>
      </c>
      <c r="G646" s="2">
        <f>VLOOKUP(A646,[1]Pricing!$A:$H,8,FALSE)</f>
        <v>2.5858050000000001</v>
      </c>
      <c r="H646" s="2">
        <f>VLOOKUP(A646,[1]Pricing!$A:$J,10,FALSE)</f>
        <v>3.1534207317073175</v>
      </c>
      <c r="I646">
        <f>VLOOKUP(A646,MIN!A:B,2,FALSE)</f>
        <v>15</v>
      </c>
      <c r="J646" t="str">
        <f t="shared" si="24"/>
        <v>NO</v>
      </c>
      <c r="K646">
        <f>VLOOKUP(A646,[1]Pricing!$A:$G,7,FALSE)</f>
        <v>60</v>
      </c>
      <c r="L646" t="s">
        <v>1960</v>
      </c>
      <c r="M646" t="str">
        <f t="shared" si="25"/>
        <v>630-A39020-001</v>
      </c>
    </row>
    <row r="647" spans="1:13" x14ac:dyDescent="0.25">
      <c r="A647" t="s">
        <v>901</v>
      </c>
      <c r="B647" s="14" t="str">
        <f>VLOOKUP(A647,[1]Pricing!$A:$R,18,FALSE)</f>
        <v>FXWA9306L8X</v>
      </c>
      <c r="C647" t="s">
        <v>2623</v>
      </c>
      <c r="D647" t="str">
        <f>VLOOKUP(A647,[1]AVL!$A:$F,6,FALSE)</f>
        <v>IC,SMD,V LVL TRANSLATOR,2CHAN,I2C,BI-DIR</v>
      </c>
      <c r="E647" t="str">
        <f>VLOOKUP(A647,[1]Pricing!$A:$F,6,FALSE)</f>
        <v>11 Weeks</v>
      </c>
      <c r="F647">
        <f>VLOOKUP(B647,[2]Sheet2!$B:$E,4,FALSE)</f>
        <v>4920</v>
      </c>
      <c r="G647" s="2">
        <f>VLOOKUP(A647,[1]Pricing!$A:$H,8,FALSE)</f>
        <v>0.145565</v>
      </c>
      <c r="H647" s="2">
        <f>VLOOKUP(A647,[1]Pricing!$A:$J,10,FALSE)</f>
        <v>0.17751829268292685</v>
      </c>
      <c r="I647">
        <f>VLOOKUP(A647,MIN!A:B,2,FALSE)</f>
        <v>15</v>
      </c>
      <c r="J647" t="str">
        <f t="shared" si="24"/>
        <v>NO</v>
      </c>
      <c r="K647">
        <f>VLOOKUP(A647,[1]Pricing!$A:$G,7,FALSE)</f>
        <v>5000</v>
      </c>
      <c r="L647" t="s">
        <v>1960</v>
      </c>
      <c r="M647" t="str">
        <f t="shared" si="25"/>
        <v>630-A42470-001</v>
      </c>
    </row>
    <row r="648" spans="1:13" x14ac:dyDescent="0.25">
      <c r="A648" t="s">
        <v>505</v>
      </c>
      <c r="B648" s="14" t="str">
        <f>VLOOKUP(A648,[1]Pricing!$A:$R,18,FALSE)</f>
        <v>A-HDF26PP/Z-UNC3</v>
      </c>
      <c r="C648" t="s">
        <v>2700</v>
      </c>
      <c r="D648" t="str">
        <f>VLOOKUP(A648,[1]AVL!$A:$F,6,FALSE)</f>
        <v>CONN,RCPT,D-SUB,26 POSN,3ROW,3A,THT</v>
      </c>
      <c r="E648" t="str">
        <f>VLOOKUP(A648,[1]Pricing!$A:$F,6,FALSE)</f>
        <v>3 Weeks</v>
      </c>
      <c r="F648">
        <f>VLOOKUP(B648,[2]Sheet2!$B:$E,4,FALSE)</f>
        <v>28</v>
      </c>
      <c r="G648" s="2">
        <f>VLOOKUP(A648,[1]Pricing!$A:$H,8,FALSE)</f>
        <v>1.935065</v>
      </c>
      <c r="H648" s="2">
        <f>VLOOKUP(A648,[1]Pricing!$A:$J,10,FALSE)</f>
        <v>2.3598353658536588</v>
      </c>
      <c r="I648">
        <f>VLOOKUP(A648,MIN!A:B,2,FALSE)</f>
        <v>25</v>
      </c>
      <c r="J648" t="str">
        <f t="shared" si="24"/>
        <v>NO</v>
      </c>
      <c r="K648">
        <f>VLOOKUP(A648,[1]Pricing!$A:$G,7,FALSE)</f>
        <v>70</v>
      </c>
      <c r="L648" t="s">
        <v>2689</v>
      </c>
      <c r="M648" t="str">
        <f t="shared" si="25"/>
        <v>668-B08249-026</v>
      </c>
    </row>
    <row r="649" spans="1:13" x14ac:dyDescent="0.25">
      <c r="A649" t="s">
        <v>1600</v>
      </c>
      <c r="B649" s="14" t="str">
        <f>VLOOKUP(A649,[1]Pricing!$A:$R,18,FALSE)</f>
        <v>S1751-46</v>
      </c>
      <c r="C649" t="s">
        <v>2657</v>
      </c>
      <c r="D649" t="str">
        <f>VLOOKUP(A649,[1]AVL!$A:$F,6,FALSE)</f>
        <v>TERM,SMD,TEST POINT,ROHS</v>
      </c>
      <c r="E649" t="str">
        <f>VLOOKUP(A649,[1]Pricing!$A:$F,6,FALSE)</f>
        <v>18 Weeks</v>
      </c>
      <c r="F649">
        <f>VLOOKUP(B649,[2]Sheet2!$B:$E,4,FALSE)</f>
        <v>250</v>
      </c>
      <c r="G649" s="2">
        <f>VLOOKUP(A649,[1]Pricing!$A:$H,8,FALSE)</f>
        <v>0.18529599999999999</v>
      </c>
      <c r="H649" s="2">
        <f>VLOOKUP(A649,[1]Pricing!$A:$J,10,FALSE)</f>
        <v>0.22597073170731707</v>
      </c>
      <c r="I649">
        <f>VLOOKUP(A649,MIN!A:B,2,FALSE)</f>
        <v>100</v>
      </c>
      <c r="J649" t="str">
        <f t="shared" si="24"/>
        <v>NO</v>
      </c>
      <c r="K649">
        <f>VLOOKUP(A649,[1]Pricing!$A:$G,7,FALSE)</f>
        <v>200</v>
      </c>
      <c r="L649" t="s">
        <v>2689</v>
      </c>
      <c r="M649" t="str">
        <f t="shared" si="25"/>
        <v>674-127923-001</v>
      </c>
    </row>
    <row r="650" spans="1:13" x14ac:dyDescent="0.25">
      <c r="A650" t="s">
        <v>1600</v>
      </c>
      <c r="B650" s="14" t="str">
        <f>VLOOKUP(A650,[1]Pricing!$A:$R,18,FALSE)</f>
        <v>S1751-46</v>
      </c>
      <c r="C650" t="s">
        <v>2657</v>
      </c>
      <c r="D650" t="str">
        <f>VLOOKUP(A650,[1]AVL!$A:$F,6,FALSE)</f>
        <v>TERM,SMD,TEST POINT,ROHS</v>
      </c>
      <c r="E650" t="str">
        <f>VLOOKUP(A650,[1]Pricing!$A:$F,6,FALSE)</f>
        <v>18 Weeks</v>
      </c>
      <c r="F650">
        <v>32</v>
      </c>
      <c r="G650" s="2">
        <f>VLOOKUP(A650,[1]Pricing!$A:$H,8,FALSE)</f>
        <v>0.18529599999999999</v>
      </c>
      <c r="H650" s="2">
        <f>VLOOKUP(A650,[1]Pricing!$A:$J,10,FALSE)</f>
        <v>0.22597073170731707</v>
      </c>
      <c r="I650">
        <f>VLOOKUP(A650,MIN!A:B,2,FALSE)</f>
        <v>100</v>
      </c>
      <c r="J650" t="s">
        <v>2744</v>
      </c>
      <c r="K650">
        <f>VLOOKUP(A650,[1]Pricing!$A:$G,7,FALSE)</f>
        <v>200</v>
      </c>
      <c r="L650" t="s">
        <v>1960</v>
      </c>
      <c r="M650" t="str">
        <f t="shared" ref="M650" si="26">A650</f>
        <v>674-127923-001</v>
      </c>
    </row>
    <row r="651" spans="1:13" x14ac:dyDescent="0.25">
      <c r="A651" t="s">
        <v>1830</v>
      </c>
      <c r="B651" s="14" t="str">
        <f>VLOOKUP(A651,[1]Pricing!$A:$R,18,FALSE)</f>
        <v>UCR03EVPFLR100</v>
      </c>
      <c r="C651" t="s">
        <v>2630</v>
      </c>
      <c r="D651" t="str">
        <f>VLOOKUP(A651,[1]AVL!$A:$F,6,FALSE)</f>
        <v>RES,SMD,0.1 OHM,±1%,1/4W,0603</v>
      </c>
      <c r="E651" t="str">
        <f>VLOOKUP(A651,[1]Pricing!$A:$F,6,FALSE)</f>
        <v>16 Weeks</v>
      </c>
      <c r="F651">
        <f>VLOOKUP(B651,[2]Sheet2!$B:$E,4,FALSE)</f>
        <v>4458</v>
      </c>
      <c r="G651" s="2">
        <f>VLOOKUP(A651,[1]Pricing!$A:$H,8,FALSE)</f>
        <v>0.140933</v>
      </c>
      <c r="H651" s="2">
        <f>VLOOKUP(A651,[1]Pricing!$A:$J,10,FALSE)</f>
        <v>0.17186951219512198</v>
      </c>
      <c r="I651">
        <f>VLOOKUP(A651,MIN!A:B,2,FALSE)</f>
        <v>15</v>
      </c>
      <c r="J651" t="str">
        <f t="shared" si="24"/>
        <v>NO</v>
      </c>
      <c r="K651">
        <f>VLOOKUP(A651,[1]Pricing!$A:$G,7,FALSE)</f>
        <v>5000</v>
      </c>
      <c r="L651" t="s">
        <v>1960</v>
      </c>
      <c r="M651" t="str">
        <f t="shared" si="25"/>
        <v>615-235090-001</v>
      </c>
    </row>
    <row r="652" spans="1:13" x14ac:dyDescent="0.25">
      <c r="A652" t="s">
        <v>1268</v>
      </c>
      <c r="B652" s="14" t="str">
        <f>VLOOKUP(A652,[1]Pricing!$A:$R,18,FALSE)</f>
        <v>PMR18EZPJU5L0</v>
      </c>
      <c r="C652" t="s">
        <v>2630</v>
      </c>
      <c r="D652" t="str">
        <f>VLOOKUP(A652,[1]AVL!$A:$F,6,FALSE)</f>
        <v>RES,SMD,0.005 OHM,±5% TOL,1W,1206</v>
      </c>
      <c r="E652" t="str">
        <f>VLOOKUP(A652,[1]Pricing!$A:$F,6,FALSE)</f>
        <v>16 Weeks</v>
      </c>
      <c r="F652">
        <f>VLOOKUP(B652,[2]Sheet2!$B:$E,4,FALSE)</f>
        <v>4999</v>
      </c>
      <c r="G652" s="2">
        <f>VLOOKUP(A652,[1]Pricing!$A:$H,8,FALSE)</f>
        <v>0.13053999999999999</v>
      </c>
      <c r="H652" s="2">
        <f>VLOOKUP(A652,[1]Pricing!$A:$J,10,FALSE)</f>
        <v>0.15919512195121951</v>
      </c>
      <c r="I652">
        <f>VLOOKUP(A652,MIN!A:B,2,FALSE)</f>
        <v>25</v>
      </c>
      <c r="J652" t="str">
        <f t="shared" si="24"/>
        <v>NO</v>
      </c>
      <c r="K652">
        <f>VLOOKUP(A652,[1]Pricing!$A:$G,7,FALSE)</f>
        <v>5000</v>
      </c>
      <c r="L652" t="s">
        <v>1960</v>
      </c>
      <c r="M652" t="str">
        <f t="shared" si="25"/>
        <v>615-A87446-005</v>
      </c>
    </row>
    <row r="653" spans="1:13" x14ac:dyDescent="0.25">
      <c r="A653" t="s">
        <v>396</v>
      </c>
      <c r="B653" s="14">
        <f>VLOOKUP(A653,[1]Pricing!$A:$R,18,FALSE)</f>
        <v>7443551130</v>
      </c>
      <c r="C653" t="s">
        <v>2701</v>
      </c>
      <c r="D653" t="str">
        <f>VLOOKUP(A653,[1]AVL!$A:$F,6,FALSE)</f>
        <v>IDCTR,SMD,WW,H CUR,1.3UH,±20%,25A,59MHZ</v>
      </c>
      <c r="E653" t="str">
        <f>VLOOKUP(A653,[1]Pricing!$A:$F,6,FALSE)</f>
        <v>3 Weeks</v>
      </c>
      <c r="F653" s="18">
        <v>400</v>
      </c>
      <c r="G653" s="2">
        <f>VLOOKUP(A653,[1]Pricing!$A:$H,8,FALSE)</f>
        <v>2.4510000000000001</v>
      </c>
      <c r="H653" s="2">
        <f>VLOOKUP(A653,[1]Pricing!$A:$J,10,FALSE)</f>
        <v>2.9890243902439027</v>
      </c>
      <c r="I653">
        <f>VLOOKUP(A653,MIN!A:B,2,FALSE)</f>
        <v>15</v>
      </c>
      <c r="J653" t="str">
        <f t="shared" si="24"/>
        <v>NO</v>
      </c>
      <c r="K653">
        <f>VLOOKUP(A653,[1]Pricing!$A:$G,7,FALSE)</f>
        <v>400</v>
      </c>
      <c r="L653" t="s">
        <v>1960</v>
      </c>
      <c r="M653" t="str">
        <f t="shared" si="25"/>
        <v>639-A20790-001</v>
      </c>
    </row>
    <row r="654" spans="1:13" x14ac:dyDescent="0.25">
      <c r="A654" t="s">
        <v>398</v>
      </c>
      <c r="B654" s="14">
        <f>VLOOKUP(A654,[1]Pricing!$A:$R,18,FALSE)</f>
        <v>7447480102</v>
      </c>
      <c r="C654" t="s">
        <v>2701</v>
      </c>
      <c r="D654" t="str">
        <f>VLOOKUP(A654,[1]AVL!$A:$F,6,FALSE)</f>
        <v>IDCTR,WOUND,RDL,1MH,800MA,1.15 OHM,THT</v>
      </c>
      <c r="E654" t="str">
        <f>VLOOKUP(A654,[1]Pricing!$A:$F,6,FALSE)</f>
        <v>3 Weeks</v>
      </c>
      <c r="F654" s="18">
        <v>100</v>
      </c>
      <c r="G654" s="2">
        <f>VLOOKUP(A654,[1]Pricing!$A:$H,8,FALSE)</f>
        <v>1.56864</v>
      </c>
      <c r="H654" s="2">
        <f>VLOOKUP(A654,[1]Pricing!$A:$J,10,FALSE)</f>
        <v>1.9129756097560977</v>
      </c>
      <c r="I654">
        <f>VLOOKUP(A654,MIN!A:B,2,FALSE)</f>
        <v>25</v>
      </c>
      <c r="J654" t="str">
        <f t="shared" si="24"/>
        <v>NO</v>
      </c>
      <c r="K654">
        <f>VLOOKUP(A654,[1]Pricing!$A:$G,7,FALSE)</f>
        <v>100</v>
      </c>
      <c r="L654" t="s">
        <v>1960</v>
      </c>
      <c r="M654" t="str">
        <f t="shared" si="25"/>
        <v>641-254722-001</v>
      </c>
    </row>
    <row r="655" spans="1:13" x14ac:dyDescent="0.25">
      <c r="A655" t="s">
        <v>917</v>
      </c>
      <c r="B655" s="14" t="str">
        <f>VLOOKUP(A655,[1]Pricing!$A:$R,18,FALSE)</f>
        <v>GMC10CG330F100NT</v>
      </c>
      <c r="C655" t="s">
        <v>2656</v>
      </c>
      <c r="D655" t="str">
        <f>VLOOKUP(A655,[1]AVL!$A:$F,6,FALSE)</f>
        <v>CAP,SMD,CER,33PF,±1%,100V,C0G,0603</v>
      </c>
      <c r="E655" t="str">
        <f>VLOOKUP(A655,[1]Pricing!$A:$F,6,FALSE)</f>
        <v>31 Weeks</v>
      </c>
      <c r="F655">
        <f>VLOOKUP(B655,[2]Sheet2!$B:$E,4,FALSE)</f>
        <v>4000</v>
      </c>
      <c r="G655" s="2">
        <f>VLOOKUP(A655,[1]Pricing!$A:$H,8,FALSE)</f>
        <v>0.29289500000000002</v>
      </c>
      <c r="H655" s="2">
        <f>VLOOKUP(A655,[1]Pricing!$A:$J,10,FALSE)</f>
        <v>0.35718902439024397</v>
      </c>
      <c r="I655">
        <f>VLOOKUP(A655,MIN!A:B,2,FALSE)</f>
        <v>15</v>
      </c>
      <c r="J655" t="str">
        <f t="shared" si="24"/>
        <v>NO</v>
      </c>
      <c r="K655">
        <f>VLOOKUP(A655,[1]Pricing!$A:$G,7,FALSE)</f>
        <v>4000</v>
      </c>
      <c r="L655" t="s">
        <v>1960</v>
      </c>
      <c r="M655" t="str">
        <f t="shared" si="25"/>
        <v>648-A42433-330</v>
      </c>
    </row>
    <row r="656" spans="1:13" x14ac:dyDescent="0.25">
      <c r="A656" t="s">
        <v>1760</v>
      </c>
      <c r="B656" s="14" t="str">
        <f>VLOOKUP(A656,[1]Pricing!$A:$R,18,FALSE)</f>
        <v>TLR3APDTE4L00F50</v>
      </c>
      <c r="C656" t="s">
        <v>2667</v>
      </c>
      <c r="D656" t="str">
        <f>VLOOKUP(A656,[1]AVL!$A:$F,6,FALSE)</f>
        <v>RES,SMD,0.004 OHM,±1%,5W,2512,50PPM</v>
      </c>
      <c r="E656" t="str">
        <f>VLOOKUP(A656,[1]Pricing!$A:$F,6,FALSE)</f>
        <v>14 Weeks</v>
      </c>
      <c r="F656">
        <f>VLOOKUP(B656,[2]Sheet2!$B:$E,4,FALSE)</f>
        <v>2000</v>
      </c>
      <c r="G656" s="2">
        <f>VLOOKUP(A656,[1]Pricing!$A:$H,8,FALSE)</f>
        <v>0.412638</v>
      </c>
      <c r="H656" s="2">
        <f>VLOOKUP(A656,[1]Pricing!$A:$J,10,FALSE)</f>
        <v>0.50321707317073172</v>
      </c>
      <c r="I656">
        <f>VLOOKUP(A656,MIN!A:B,2,FALSE)</f>
        <v>15</v>
      </c>
      <c r="J656" t="str">
        <f t="shared" si="24"/>
        <v>NO</v>
      </c>
      <c r="K656">
        <f>VLOOKUP(A656,[1]Pricing!$A:$G,7,FALSE)</f>
        <v>2000</v>
      </c>
      <c r="L656" t="s">
        <v>2689</v>
      </c>
      <c r="M656" t="str">
        <f t="shared" si="25"/>
        <v>615-A65794-001</v>
      </c>
    </row>
    <row r="657" spans="1:13" x14ac:dyDescent="0.25">
      <c r="A657" t="s">
        <v>1460</v>
      </c>
      <c r="B657" s="14" t="str">
        <f>VLOOKUP(A657,[1]Pricing!$A:$R,18,FALSE)</f>
        <v>RGC1/16SC3301BTH</v>
      </c>
      <c r="C657" t="s">
        <v>2702</v>
      </c>
      <c r="D657" t="str">
        <f>VLOOKUP(A657,[1]AVL!$A:$F,6,FALSE)</f>
        <v>RES,SMD,THK FILM,3.3KOHM,.1%,.063W,0402</v>
      </c>
      <c r="E657" t="str">
        <f>VLOOKUP(A657,[1]Pricing!$A:$F,6,FALSE)</f>
        <v>28 Weeks</v>
      </c>
      <c r="F657">
        <f>VLOOKUP(B657,[2]Sheet2!$B:$E,4,FALSE)</f>
        <v>10000</v>
      </c>
      <c r="G657" s="2">
        <f>VLOOKUP(A657,[1]Pricing!$A:$H,8,FALSE)</f>
        <v>1.8383E-2</v>
      </c>
      <c r="H657" s="2">
        <f>VLOOKUP(A657,[1]Pricing!$A:$J,10,FALSE)</f>
        <v>2.2418292682926829E-2</v>
      </c>
      <c r="I657">
        <f>VLOOKUP(A657,MIN!A:B,2,FALSE)</f>
        <v>15</v>
      </c>
      <c r="J657" t="str">
        <f t="shared" si="24"/>
        <v>NO</v>
      </c>
      <c r="K657">
        <f>VLOOKUP(A657,[1]Pricing!$A:$G,7,FALSE)</f>
        <v>10000</v>
      </c>
      <c r="L657" t="s">
        <v>1960</v>
      </c>
      <c r="M657" t="str">
        <f t="shared" si="25"/>
        <v>615-B28247-001</v>
      </c>
    </row>
    <row r="658" spans="1:13" x14ac:dyDescent="0.25">
      <c r="A658" t="s">
        <v>1279</v>
      </c>
      <c r="B658" s="14" t="str">
        <f>VLOOKUP(A658,[1]Pricing!$A:$R,18,FALSE)</f>
        <v>R1501J100B-T1-FE</v>
      </c>
      <c r="C658" t="s">
        <v>2703</v>
      </c>
      <c r="D658" t="str">
        <f>VLOOKUP(A658,[1]AVL!$A:$F,6,FALSE)</f>
        <v>PS,CMOS-LDO,3-24VIN,1A OUT,TO-252-5-P2</v>
      </c>
      <c r="E658" t="str">
        <f>VLOOKUP(A658,[1]Pricing!$A:$F,6,FALSE)</f>
        <v>15 Weeks</v>
      </c>
      <c r="F658">
        <f>VLOOKUP(B658,[2]Sheet2!$B:$E,4,FALSE)</f>
        <v>3000</v>
      </c>
      <c r="G658" s="2">
        <f>VLOOKUP(A658,[1]Pricing!$A:$H,8,FALSE)</f>
        <v>0.66667200000000004</v>
      </c>
      <c r="H658" s="2">
        <f>VLOOKUP(A658,[1]Pricing!$A:$J,10,FALSE)</f>
        <v>0.81301463414634156</v>
      </c>
      <c r="I658">
        <f>VLOOKUP(A658,MIN!A:B,2,FALSE)</f>
        <v>15</v>
      </c>
      <c r="J658" t="str">
        <f t="shared" si="24"/>
        <v>NO</v>
      </c>
      <c r="K658">
        <f>VLOOKUP(A658,[1]Pricing!$A:$G,7,FALSE)</f>
        <v>3000</v>
      </c>
      <c r="L658" t="s">
        <v>1960</v>
      </c>
      <c r="M658" t="str">
        <f t="shared" si="25"/>
        <v>660-346747-001</v>
      </c>
    </row>
    <row r="659" spans="1:13" x14ac:dyDescent="0.25">
      <c r="A659" t="s">
        <v>570</v>
      </c>
      <c r="B659" s="14" t="str">
        <f>VLOOKUP(A659,[1]Pricing!$A:$R,18,FALSE)</f>
        <v>C0603C470F5GAC</v>
      </c>
      <c r="C659" t="s">
        <v>2581</v>
      </c>
      <c r="D659" t="str">
        <f>VLOOKUP(A659,[1]AVL!$A:$F,6,FALSE)</f>
        <v>CAP,SMD,0603,CER,C0G,1%,50V,47PF</v>
      </c>
      <c r="E659" t="str">
        <f>VLOOKUP(A659,[1]Pricing!$A:$F,6,FALSE)</f>
        <v>17 Weeks</v>
      </c>
      <c r="F659">
        <f>VLOOKUP(B659,[2]Sheet2!$B:$E,4,FALSE)</f>
        <v>4000</v>
      </c>
      <c r="G659" s="2">
        <f>VLOOKUP(A659,[1]Pricing!$A:$H,8,FALSE)</f>
        <v>0.24376374999999997</v>
      </c>
      <c r="H659" s="2">
        <f>VLOOKUP(A659,[1]Pricing!$A:$J,10,FALSE)</f>
        <v>0.29727286585365853</v>
      </c>
      <c r="I659">
        <f>VLOOKUP(A659,MIN!A:B,2,FALSE)</f>
        <v>15</v>
      </c>
      <c r="J659" t="str">
        <f t="shared" si="24"/>
        <v>NO</v>
      </c>
      <c r="K659">
        <f>VLOOKUP(A659,[1]Pricing!$A:$G,7,FALSE)</f>
        <v>4000</v>
      </c>
      <c r="L659" t="s">
        <v>1960</v>
      </c>
      <c r="M659" t="str">
        <f t="shared" si="25"/>
        <v>648-250747-470</v>
      </c>
    </row>
    <row r="660" spans="1:13" x14ac:dyDescent="0.25">
      <c r="A660" t="s">
        <v>1558</v>
      </c>
      <c r="B660" s="14" t="str">
        <f>VLOOKUP(A660,[1]Pricing!$A:$R,18,FALSE)</f>
        <v>RT0402BRD07681RL</v>
      </c>
      <c r="C660" t="s">
        <v>2618</v>
      </c>
      <c r="D660" t="str">
        <f>VLOOKUP(A660,[1]AVL!$A:$F,6,FALSE)</f>
        <v>RES SMD 681 OHM 0.1% 1/16W 0402</v>
      </c>
      <c r="E660" t="str">
        <f>VLOOKUP(A660,[1]Pricing!$A:$F,6,FALSE)</f>
        <v>23 Weeks</v>
      </c>
      <c r="F660">
        <f>VLOOKUP(B660,[2]Sheet2!$B:$E,4,FALSE)</f>
        <v>10000</v>
      </c>
      <c r="G660" s="2">
        <f>VLOOKUP(A660,[1]Pricing!$A:$H,8,FALSE)</f>
        <v>4.1116E-2</v>
      </c>
      <c r="H660" s="2">
        <f>VLOOKUP(A660,[1]Pricing!$A:$J,10,FALSE)</f>
        <v>5.0141463414634151E-2</v>
      </c>
      <c r="I660">
        <f>VLOOKUP(A660,MIN!A:B,2,FALSE)</f>
        <v>15</v>
      </c>
      <c r="J660" t="str">
        <f t="shared" si="24"/>
        <v>NO</v>
      </c>
      <c r="K660">
        <f>VLOOKUP(A660,[1]Pricing!$A:$G,7,FALSE)</f>
        <v>10000</v>
      </c>
      <c r="L660" t="s">
        <v>1960</v>
      </c>
      <c r="M660" t="str">
        <f t="shared" si="25"/>
        <v>615-A00422-681</v>
      </c>
    </row>
    <row r="661" spans="1:13" x14ac:dyDescent="0.25">
      <c r="A661" t="s">
        <v>623</v>
      </c>
      <c r="B661" s="14" t="str">
        <f>VLOOKUP(A661,[1]Pricing!$A:$R,18,FALSE)</f>
        <v>CCHD-957X-25-49.152</v>
      </c>
      <c r="C661" t="s">
        <v>2704</v>
      </c>
      <c r="D661" t="str">
        <f>VLOOKUP(A661,[1]AVL!$A:$F,6,FALSE)</f>
        <v>OSC,SMD,LO NOISE,49.152 MHZ,CMOS OUT</v>
      </c>
      <c r="E661" t="str">
        <f>VLOOKUP(A661,[1]Pricing!$A:$F,6,FALSE)</f>
        <v>12 Weeks</v>
      </c>
      <c r="F661">
        <f>VLOOKUP(B661,[2]Sheet2!$B:$E,4,FALSE)</f>
        <v>16</v>
      </c>
      <c r="G661" s="2">
        <f>VLOOKUP(A661,[1]Pricing!$A:$H,8,FALSE)</f>
        <v>36.416713000000001</v>
      </c>
      <c r="H661" s="2">
        <f>VLOOKUP(A661,[1]Pricing!$A:$J,10,FALSE)</f>
        <v>44.410625609756103</v>
      </c>
      <c r="I661">
        <f>VLOOKUP(A661,MIN!A:B,2,FALSE)</f>
        <v>25</v>
      </c>
      <c r="J661" t="str">
        <f t="shared" si="24"/>
        <v>REORDER</v>
      </c>
      <c r="K661">
        <f>VLOOKUP(A661,[1]Pricing!$A:$G,7,FALSE)</f>
        <v>50</v>
      </c>
      <c r="L661" t="s">
        <v>2689</v>
      </c>
      <c r="M661" t="str">
        <f t="shared" si="25"/>
        <v>635-225114-001</v>
      </c>
    </row>
    <row r="662" spans="1:13" x14ac:dyDescent="0.25">
      <c r="A662" t="s">
        <v>1482</v>
      </c>
      <c r="B662" s="14" t="str">
        <f>VLOOKUP(A662,[1]Pricing!$A:$R,18,FALSE)</f>
        <v>RK73H1ETTP4873F</v>
      </c>
      <c r="C662" t="s">
        <v>2618</v>
      </c>
      <c r="D662" t="str">
        <f>VLOOKUP(A662,[1]AVL!$A:$F,6,FALSE)</f>
        <v>RES,SMD,487K OHM,1/10W,1%,0402</v>
      </c>
      <c r="E662" t="str">
        <f>VLOOKUP(A662,[1]Pricing!$A:$F,6,FALSE)</f>
        <v>3 Weeks</v>
      </c>
      <c r="F662">
        <f>VLOOKUP(B662,[2]Sheet2!$B:$E,4,FALSE)</f>
        <v>10000</v>
      </c>
      <c r="G662" s="2">
        <f>VLOOKUP(A662,[1]Pricing!$A:$H,8,FALSE)</f>
        <v>4.7299999999999998E-3</v>
      </c>
      <c r="H662" s="2">
        <f>VLOOKUP(A662,[1]Pricing!$A:$J,10,FALSE)</f>
        <v>5.7682926829268292E-3</v>
      </c>
      <c r="I662">
        <f>VLOOKUP(A662,MIN!A:B,2,FALSE)</f>
        <v>15</v>
      </c>
      <c r="J662" t="str">
        <f t="shared" si="24"/>
        <v>NO</v>
      </c>
      <c r="K662">
        <f>VLOOKUP(A662,[1]Pricing!$A:$G,7,FALSE)</f>
        <v>10000</v>
      </c>
      <c r="L662" t="s">
        <v>1960</v>
      </c>
      <c r="M662" t="str">
        <f t="shared" si="25"/>
        <v>615-121726-214</v>
      </c>
    </row>
    <row r="663" spans="1:13" x14ac:dyDescent="0.25">
      <c r="A663" t="s">
        <v>1188</v>
      </c>
      <c r="B663" s="14" t="str">
        <f>VLOOKUP(A663,[1]Pricing!$A:$R,18,FALSE)</f>
        <v>MPZ1005F470ETD25</v>
      </c>
      <c r="C663" t="s">
        <v>2616</v>
      </c>
      <c r="D663" t="str">
        <f>VLOOKUP(A663,[1]AVL!$A:$F,6,FALSE)</f>
        <v>FERRITE BEAD,47OHM,100MHZ,25% TOL,.45A</v>
      </c>
      <c r="E663" t="str">
        <f>VLOOKUP(A663,[1]Pricing!$A:$F,6,FALSE)</f>
        <v>9 Weeks</v>
      </c>
      <c r="F663">
        <f>VLOOKUP(B663,[2]Sheet2!$B:$E,4,FALSE)</f>
        <v>9324</v>
      </c>
      <c r="G663" s="2">
        <f>VLOOKUP(A663,[1]Pricing!$A:$H,8,FALSE)</f>
        <v>7.3529999999999998E-2</v>
      </c>
      <c r="H663" s="2">
        <f>VLOOKUP(A663,[1]Pricing!$A:$J,10,FALSE)</f>
        <v>8.967073170731707E-2</v>
      </c>
      <c r="I663">
        <f>VLOOKUP(A663,MIN!A:B,2,FALSE)</f>
        <v>35</v>
      </c>
      <c r="J663" t="str">
        <f t="shared" si="24"/>
        <v>NO</v>
      </c>
      <c r="K663">
        <f>VLOOKUP(A663,[1]Pricing!$A:$G,7,FALSE)</f>
        <v>10000</v>
      </c>
      <c r="L663" t="s">
        <v>1960</v>
      </c>
      <c r="M663" t="str">
        <f t="shared" si="25"/>
        <v>639-B11503-001</v>
      </c>
    </row>
    <row r="664" spans="1:13" x14ac:dyDescent="0.25">
      <c r="A664" t="s">
        <v>1570</v>
      </c>
      <c r="B664" s="14" t="str">
        <f>VLOOKUP(A664,[1]Pricing!$A:$R,18,FALSE)</f>
        <v>RT0805BRD071K65L</v>
      </c>
      <c r="C664" t="s">
        <v>2652</v>
      </c>
      <c r="D664" t="str">
        <f>VLOOKUP(A664,[1]AVL!$A:$F,6,FALSE)</f>
        <v>RES,SMD,0805,RG,MF,0.1%,1/10W,1.65K</v>
      </c>
      <c r="E664" t="str">
        <f>VLOOKUP(A664,[1]Pricing!$A:$F,6,FALSE)</f>
        <v>25 Weeks</v>
      </c>
      <c r="F664">
        <f>VLOOKUP(B664,[2]Sheet2!$B:$E,4,FALSE)</f>
        <v>5000</v>
      </c>
      <c r="G664" s="2">
        <f>VLOOKUP(A664,[1]Pricing!$A:$H,8,FALSE)</f>
        <v>5.0245999999999999E-2</v>
      </c>
      <c r="H664" s="2">
        <f>VLOOKUP(A664,[1]Pricing!$A:$J,10,FALSE)</f>
        <v>6.1275609756097561E-2</v>
      </c>
      <c r="I664">
        <f>VLOOKUP(A664,MIN!A:B,2,FALSE)</f>
        <v>25</v>
      </c>
      <c r="J664" t="str">
        <f t="shared" si="24"/>
        <v>NO</v>
      </c>
      <c r="K664">
        <f>VLOOKUP(A664,[1]Pricing!$A:$G,7,FALSE)</f>
        <v>5000</v>
      </c>
      <c r="L664" t="s">
        <v>1960</v>
      </c>
      <c r="M664" t="str">
        <f t="shared" si="25"/>
        <v>615-064170-165</v>
      </c>
    </row>
    <row r="665" spans="1:13" x14ac:dyDescent="0.25">
      <c r="A665" t="s">
        <v>1572</v>
      </c>
      <c r="B665" s="14" t="str">
        <f>VLOOKUP(A665,[1]Pricing!$A:$R,18,FALSE)</f>
        <v>RT0805BRD072K74L</v>
      </c>
      <c r="C665" t="s">
        <v>2580</v>
      </c>
      <c r="D665" t="str">
        <f>VLOOKUP(A665,[1]AVL!$A:$F,6,FALSE)</f>
        <v>RES,SMD,0805,RG,MF,0.1%,1/10W,2.74K ROHS</v>
      </c>
      <c r="E665" t="str">
        <f>VLOOKUP(A665,[1]Pricing!$A:$F,6,FALSE)</f>
        <v>3 Weeks</v>
      </c>
      <c r="F665">
        <f>VLOOKUP(B665,[2]Sheet2!$B:$E,4,FALSE)</f>
        <v>4960</v>
      </c>
      <c r="G665" s="2">
        <f>VLOOKUP(A665,[1]Pricing!$A:$H,8,FALSE)</f>
        <v>5.1263000000000003E-2</v>
      </c>
      <c r="H665" s="2">
        <f>VLOOKUP(A665,[1]Pricing!$A:$J,10,FALSE)</f>
        <v>6.2515853658536596E-2</v>
      </c>
      <c r="I665">
        <f>VLOOKUP(A665,MIN!A:B,2,FALSE)</f>
        <v>25</v>
      </c>
      <c r="J665" t="str">
        <f t="shared" si="24"/>
        <v>NO</v>
      </c>
      <c r="K665">
        <f>VLOOKUP(A665,[1]Pricing!$A:$G,7,FALSE)</f>
        <v>5000</v>
      </c>
      <c r="L665" t="s">
        <v>1960</v>
      </c>
      <c r="M665" t="str">
        <f t="shared" si="25"/>
        <v>615-064170-274</v>
      </c>
    </row>
    <row r="666" spans="1:13" x14ac:dyDescent="0.25">
      <c r="A666" t="s">
        <v>558</v>
      </c>
      <c r="B666" s="14" t="str">
        <f>VLOOKUP(A666,[1]Pricing!$A:$R,18,FALSE)</f>
        <v>C0402C471J5GAC7867</v>
      </c>
      <c r="C666" t="s">
        <v>2581</v>
      </c>
      <c r="D666" t="str">
        <f>VLOOKUP(A666,[1]AVL!$A:$F,6,FALSE)</f>
        <v>CAP,SMD,CER,470PF,50V,NP0,0402,ROHS</v>
      </c>
      <c r="E666" t="str">
        <f>VLOOKUP(A666,[1]Pricing!$A:$F,6,FALSE)</f>
        <v>21 Weeks</v>
      </c>
      <c r="F666">
        <f>VLOOKUP(B666,[2]Sheet2!$B:$E,4,FALSE)</f>
        <v>10000</v>
      </c>
      <c r="G666" s="2">
        <f>VLOOKUP(A666,[1]Pricing!$A:$H,8,FALSE)</f>
        <v>6.2501000000000001E-2</v>
      </c>
      <c r="H666" s="2">
        <f>VLOOKUP(A666,[1]Pricing!$A:$J,10,FALSE)</f>
        <v>7.622073170731708E-2</v>
      </c>
      <c r="I666">
        <f>VLOOKUP(A666,MIN!A:B,2,FALSE)</f>
        <v>25</v>
      </c>
      <c r="J666" t="str">
        <f t="shared" si="24"/>
        <v>NO</v>
      </c>
      <c r="K666">
        <f>VLOOKUP(A666,[1]Pricing!$A:$G,7,FALSE)</f>
        <v>10000</v>
      </c>
      <c r="L666" t="s">
        <v>1960</v>
      </c>
      <c r="M666" t="str">
        <f t="shared" si="25"/>
        <v>648-303723-042</v>
      </c>
    </row>
    <row r="667" spans="1:13" x14ac:dyDescent="0.25">
      <c r="A667" t="s">
        <v>1480</v>
      </c>
      <c r="B667" s="14" t="str">
        <f>VLOOKUP(A667,[1]Pricing!$A:$R,18,FALSE)</f>
        <v>RK73H1ETTP4422F</v>
      </c>
      <c r="C667" t="s">
        <v>2618</v>
      </c>
      <c r="D667" t="str">
        <f>VLOOKUP(A667,[1]AVL!$A:$F,6,FALSE)</f>
        <v>RES,SMD,44.2K,1/10W,1%,0402</v>
      </c>
      <c r="E667" t="str">
        <f>VLOOKUP(A667,[1]Pricing!$A:$F,6,FALSE)</f>
        <v>9 Weeks</v>
      </c>
      <c r="F667">
        <f>VLOOKUP(B667,[2]Sheet2!$B:$E,4,FALSE)</f>
        <v>10000</v>
      </c>
      <c r="G667" s="2">
        <f>VLOOKUP(A667,[1]Pricing!$A:$H,8,FALSE)</f>
        <v>6.0000000000000001E-3</v>
      </c>
      <c r="H667" s="2">
        <f>VLOOKUP(A667,[1]Pricing!$A:$J,10,FALSE)</f>
        <v>7.3170731707317077E-3</v>
      </c>
      <c r="I667">
        <f>VLOOKUP(A667,MIN!A:B,2,FALSE)</f>
        <v>15</v>
      </c>
      <c r="J667" t="str">
        <f t="shared" si="24"/>
        <v>NO</v>
      </c>
      <c r="K667">
        <f>VLOOKUP(A667,[1]Pricing!$A:$G,7,FALSE)</f>
        <v>10000</v>
      </c>
      <c r="L667" t="s">
        <v>1960</v>
      </c>
      <c r="M667" t="str">
        <f t="shared" si="25"/>
        <v>615-121726-121</v>
      </c>
    </row>
    <row r="668" spans="1:13" x14ac:dyDescent="0.25">
      <c r="A668" t="s">
        <v>1484</v>
      </c>
      <c r="B668" s="14" t="str">
        <f>VLOOKUP(A668,[1]Pricing!$A:$R,18,FALSE)</f>
        <v>RK73H1ETTP5102F</v>
      </c>
      <c r="C668" t="s">
        <v>2655</v>
      </c>
      <c r="D668" t="str">
        <f>VLOOKUP(A668,[1]AVL!$A:$F,6,FALSE)</f>
        <v>RES,SMD,51K,1/10W,1%,0402</v>
      </c>
      <c r="E668" t="str">
        <f>VLOOKUP(A668,[1]Pricing!$A:$F,6,FALSE)</f>
        <v>3 Weeks</v>
      </c>
      <c r="F668">
        <f>VLOOKUP(B668,[2]Sheet2!$B:$E,4,FALSE)</f>
        <v>10000</v>
      </c>
      <c r="G668" s="2">
        <f>VLOOKUP(A668,[1]Pricing!$A:$H,8,FALSE)</f>
        <v>3.6770000000000001E-3</v>
      </c>
      <c r="H668" s="2">
        <f>VLOOKUP(A668,[1]Pricing!$A:$J,10,FALSE)</f>
        <v>4.4841463414634153E-3</v>
      </c>
      <c r="I668">
        <f>VLOOKUP(A668,MIN!A:B,2,FALSE)</f>
        <v>25</v>
      </c>
      <c r="J668" t="str">
        <f t="shared" si="24"/>
        <v>NO</v>
      </c>
      <c r="K668">
        <f>VLOOKUP(A668,[1]Pricing!$A:$G,7,FALSE)</f>
        <v>10000</v>
      </c>
      <c r="L668" t="s">
        <v>1960</v>
      </c>
      <c r="M668" t="str">
        <f t="shared" si="25"/>
        <v>615-121726-086</v>
      </c>
    </row>
    <row r="669" spans="1:13" x14ac:dyDescent="0.25">
      <c r="A669" t="s">
        <v>1577</v>
      </c>
      <c r="B669" s="14" t="str">
        <f>VLOOKUP(A669,[1]Pricing!$A:$R,18,FALSE)</f>
        <v>RT0805FRE07100RL</v>
      </c>
      <c r="C669" t="s">
        <v>2580</v>
      </c>
      <c r="D669" t="str">
        <f>VLOOKUP(A669,[1]AVL!$A:$F,6,FALSE)</f>
        <v>RES,SMD,0805,TF,100 OHM,1%,1/8W,ROHS</v>
      </c>
      <c r="E669" t="str">
        <f>VLOOKUP(A669,[1]Pricing!$A:$F,6,FALSE)</f>
        <v>55 Weeks</v>
      </c>
      <c r="F669">
        <f>VLOOKUP(B669,[2]Sheet2!$B:$E,4,FALSE)</f>
        <v>10000</v>
      </c>
      <c r="G669" s="2">
        <f>VLOOKUP(A669,[1]Pricing!$A:$H,8,FALSE)</f>
        <v>9.8040000000000002E-3</v>
      </c>
      <c r="H669" s="2">
        <f>VLOOKUP(A669,[1]Pricing!$A:$J,10,FALSE)</f>
        <v>1.195609756097561E-2</v>
      </c>
      <c r="I669">
        <f>VLOOKUP(A669,MIN!A:B,2,FALSE)</f>
        <v>25</v>
      </c>
      <c r="J669" t="str">
        <f t="shared" si="24"/>
        <v>NO</v>
      </c>
      <c r="K669">
        <f>VLOOKUP(A669,[1]Pricing!$A:$G,7,FALSE)</f>
        <v>10000</v>
      </c>
      <c r="L669" t="s">
        <v>1960</v>
      </c>
      <c r="M669" t="str">
        <f t="shared" si="25"/>
        <v>615-055211-100</v>
      </c>
    </row>
    <row r="670" spans="1:13" x14ac:dyDescent="0.25">
      <c r="A670" t="s">
        <v>1319</v>
      </c>
      <c r="B670" s="14" t="str">
        <f>VLOOKUP(A670,[1]Pricing!$A:$R,18,FALSE)</f>
        <v>RC0402FR-071R37L</v>
      </c>
      <c r="C670" t="s">
        <v>2580</v>
      </c>
      <c r="D670" t="str">
        <f>VLOOKUP(A670,[1]AVL!$A:$F,6,FALSE)</f>
        <v>RES,0402,THKF,1/16W,1% 1.37 ROHS</v>
      </c>
      <c r="E670" t="str">
        <f>VLOOKUP(A670,[1]Pricing!$A:$F,6,FALSE)</f>
        <v>16 Weeks</v>
      </c>
      <c r="F670">
        <f>VLOOKUP(B670,[2]Sheet2!$B:$E,4,FALSE)</f>
        <v>10000</v>
      </c>
      <c r="G670" s="2">
        <f>VLOOKUP(A670,[1]Pricing!$A:$H,8,FALSE)</f>
        <v>4.9020000000000001E-3</v>
      </c>
      <c r="H670" s="2">
        <f>VLOOKUP(A670,[1]Pricing!$A:$J,10,FALSE)</f>
        <v>5.9780487804878052E-3</v>
      </c>
      <c r="I670">
        <f>VLOOKUP(A670,MIN!A:B,2,FALSE)</f>
        <v>25</v>
      </c>
      <c r="J670" t="str">
        <f t="shared" si="24"/>
        <v>NO</v>
      </c>
      <c r="K670">
        <f>VLOOKUP(A670,[1]Pricing!$A:$G,7,FALSE)</f>
        <v>10000</v>
      </c>
      <c r="L670" t="s">
        <v>1960</v>
      </c>
      <c r="M670" t="str">
        <f t="shared" si="25"/>
        <v>615-123458-137</v>
      </c>
    </row>
    <row r="671" spans="1:13" x14ac:dyDescent="0.25">
      <c r="A671" t="s">
        <v>1270</v>
      </c>
      <c r="B671" s="14" t="str">
        <f>VLOOKUP(A671,[1]Pricing!$A:$R,18,FALSE)</f>
        <v>PMR18EZPJU9L0</v>
      </c>
      <c r="C671" t="s">
        <v>2630</v>
      </c>
      <c r="D671" t="str">
        <f>VLOOKUP(A671,[1]AVL!$A:$F,6,FALSE)</f>
        <v>RES,SMD,0.009 OHM,±5% TOL,1W,1206</v>
      </c>
      <c r="E671" t="str">
        <f>VLOOKUP(A671,[1]Pricing!$A:$F,6,FALSE)</f>
        <v>16 Weeks</v>
      </c>
      <c r="F671">
        <f>VLOOKUP(B671,[2]Sheet2!$B:$E,4,FALSE)</f>
        <v>4622</v>
      </c>
      <c r="G671" s="2">
        <f>VLOOKUP(A671,[1]Pricing!$A:$H,8,FALSE)</f>
        <v>0.13603100000000001</v>
      </c>
      <c r="H671" s="2">
        <f>VLOOKUP(A671,[1]Pricing!$A:$J,10,FALSE)</f>
        <v>0.16589146341463418</v>
      </c>
      <c r="I671">
        <f>VLOOKUP(A671,MIN!A:B,2,FALSE)</f>
        <v>25</v>
      </c>
      <c r="J671" t="str">
        <f t="shared" si="24"/>
        <v>NO</v>
      </c>
      <c r="K671">
        <f>VLOOKUP(A671,[1]Pricing!$A:$G,7,FALSE)</f>
        <v>5000</v>
      </c>
      <c r="L671" t="s">
        <v>1960</v>
      </c>
      <c r="M671" t="str">
        <f t="shared" si="25"/>
        <v>615-A87446-009</v>
      </c>
    </row>
    <row r="672" spans="1:13" x14ac:dyDescent="0.25">
      <c r="A672" t="s">
        <v>467</v>
      </c>
      <c r="B672" s="14" t="str">
        <f>VLOOKUP(A672,[1]Pricing!$A:$R,18,FALSE)</f>
        <v>AC0603FR-0710KL</v>
      </c>
      <c r="C672" t="s">
        <v>2628</v>
      </c>
      <c r="D672" t="str">
        <f>VLOOKUP(A672,[1]AVL!$A:$F,6,FALSE)</f>
        <v>RES,SMD,10KOHM,±1% TOL,0.1W,0603</v>
      </c>
      <c r="E672" t="str">
        <f>VLOOKUP(A672,[1]Pricing!$A:$F,6,FALSE)</f>
        <v>27 Weeks</v>
      </c>
      <c r="F672">
        <f>VLOOKUP(B672,[2]Sheet2!$B:$E,4,FALSE)</f>
        <v>5000</v>
      </c>
      <c r="G672" s="2">
        <f>VLOOKUP(A672,[1]Pricing!$A:$H,8,FALSE)</f>
        <v>3.6770000000000001E-3</v>
      </c>
      <c r="H672" s="2">
        <f>VLOOKUP(A672,[1]Pricing!$A:$J,10,FALSE)</f>
        <v>4.4841463414634153E-3</v>
      </c>
      <c r="I672">
        <f>VLOOKUP(A672,MIN!A:B,2,FALSE)</f>
        <v>25</v>
      </c>
      <c r="J672" t="str">
        <f t="shared" si="24"/>
        <v>NO</v>
      </c>
      <c r="K672">
        <f>VLOOKUP(A672,[1]Pricing!$A:$G,7,FALSE)</f>
        <v>5000</v>
      </c>
      <c r="L672" t="s">
        <v>1960</v>
      </c>
      <c r="M672" t="str">
        <f t="shared" si="25"/>
        <v>615-A34866-016</v>
      </c>
    </row>
    <row r="673" spans="1:13" x14ac:dyDescent="0.25">
      <c r="A673" t="s">
        <v>469</v>
      </c>
      <c r="B673" s="14" t="str">
        <f>VLOOKUP(A673,[1]Pricing!$A:$R,18,FALSE)</f>
        <v>AC0603FR-072KL</v>
      </c>
      <c r="C673" t="s">
        <v>2618</v>
      </c>
      <c r="D673" t="str">
        <f>VLOOKUP(A673,[1]AVL!$A:$F,6,FALSE)</f>
        <v>RES,0603,THKF,1%,1/10W,100PPM,2K ROHS</v>
      </c>
      <c r="E673" t="str">
        <f>VLOOKUP(A673,[1]Pricing!$A:$F,6,FALSE)</f>
        <v>16 Weeks</v>
      </c>
      <c r="F673">
        <f>VLOOKUP(B673,[2]Sheet2!$B:$E,4,FALSE)</f>
        <v>4591</v>
      </c>
      <c r="G673" s="2">
        <f>VLOOKUP(A673,[1]Pricing!$A:$H,8,FALSE)</f>
        <v>4.9020000000000001E-3</v>
      </c>
      <c r="H673" s="2">
        <f>VLOOKUP(A673,[1]Pricing!$A:$J,10,FALSE)</f>
        <v>5.9780487804878052E-3</v>
      </c>
      <c r="I673">
        <f>VLOOKUP(A673,MIN!A:B,2,FALSE)</f>
        <v>15</v>
      </c>
      <c r="J673" t="str">
        <f t="shared" si="24"/>
        <v>NO</v>
      </c>
      <c r="K673">
        <f>VLOOKUP(A673,[1]Pricing!$A:$G,7,FALSE)</f>
        <v>5000</v>
      </c>
      <c r="L673" t="s">
        <v>1960</v>
      </c>
      <c r="M673" t="str">
        <f t="shared" si="25"/>
        <v>615-068559-200</v>
      </c>
    </row>
    <row r="674" spans="1:13" x14ac:dyDescent="0.25">
      <c r="A674" t="s">
        <v>473</v>
      </c>
      <c r="B674" s="14" t="str">
        <f>VLOOKUP(A674,[1]Pricing!$A:$R,18,FALSE)</f>
        <v>AC0603FR-0749K9L</v>
      </c>
      <c r="C674" t="s">
        <v>2617</v>
      </c>
      <c r="D674" t="str">
        <f>VLOOKUP(A674,[1]AVL!$A:$F,6,FALSE)</f>
        <v>RES,0603,THKF,1%,1/10W,100PPM,49.9K ROHS</v>
      </c>
      <c r="E674" t="str">
        <f>VLOOKUP(A674,[1]Pricing!$A:$F,6,FALSE)</f>
        <v>28 Weeks</v>
      </c>
      <c r="F674">
        <f>VLOOKUP(B674,[2]Sheet2!$B:$E,4,FALSE)</f>
        <v>4935</v>
      </c>
      <c r="G674" s="2">
        <f>VLOOKUP(A674,[1]Pricing!$A:$H,8,FALSE)</f>
        <v>4.9020000000000001E-3</v>
      </c>
      <c r="H674" s="2">
        <f>VLOOKUP(A674,[1]Pricing!$A:$J,10,FALSE)</f>
        <v>5.9780487804878052E-3</v>
      </c>
      <c r="I674">
        <f>VLOOKUP(A674,MIN!A:B,2,FALSE)</f>
        <v>25</v>
      </c>
      <c r="J674" t="str">
        <f t="shared" si="24"/>
        <v>NO</v>
      </c>
      <c r="K674">
        <f>VLOOKUP(A674,[1]Pricing!$A:$G,7,FALSE)</f>
        <v>5000</v>
      </c>
      <c r="L674" t="s">
        <v>1960</v>
      </c>
      <c r="M674" t="str">
        <f t="shared" si="25"/>
        <v>615-068560-499</v>
      </c>
    </row>
    <row r="675" spans="1:13" x14ac:dyDescent="0.25">
      <c r="A675" t="s">
        <v>477</v>
      </c>
      <c r="B675" s="14" t="str">
        <f>VLOOKUP(A675,[1]Pricing!$A:$R,18,FALSE)</f>
        <v>AC0805FR-0710KL</v>
      </c>
      <c r="C675" t="s">
        <v>2617</v>
      </c>
      <c r="D675" t="str">
        <f>VLOOKUP(A675,[1]AVL!$A:$F,6,FALSE)</f>
        <v>RES,SMD,0805,TF,1%,1/8W,10K,ROHS</v>
      </c>
      <c r="E675" t="str">
        <f>VLOOKUP(A675,[1]Pricing!$A:$F,6,FALSE)</f>
        <v>31 Weeks</v>
      </c>
      <c r="F675">
        <f>VLOOKUP(B675,[2]Sheet2!$B:$E,4,FALSE)</f>
        <v>10000</v>
      </c>
      <c r="G675" s="2">
        <f>VLOOKUP(A675,[1]Pricing!$A:$H,8,FALSE)</f>
        <v>9.8399999999999998E-3</v>
      </c>
      <c r="H675" s="2">
        <f>VLOOKUP(A675,[1]Pricing!$A:$J,10,FALSE)</f>
        <v>1.2E-2</v>
      </c>
      <c r="I675">
        <f>VLOOKUP(A675,MIN!A:B,2,FALSE)</f>
        <v>25</v>
      </c>
      <c r="J675" t="str">
        <f t="shared" si="24"/>
        <v>NO</v>
      </c>
      <c r="K675">
        <f>VLOOKUP(A675,[1]Pricing!$A:$G,7,FALSE)</f>
        <v>5000</v>
      </c>
      <c r="L675" t="s">
        <v>1960</v>
      </c>
      <c r="M675" t="str">
        <f t="shared" si="25"/>
        <v>615-041926-103</v>
      </c>
    </row>
    <row r="676" spans="1:13" x14ac:dyDescent="0.25">
      <c r="A676" t="s">
        <v>813</v>
      </c>
      <c r="B676" s="14" t="str">
        <f>VLOOKUP(A676,[1]Pricing!$A:$R,18,FALSE)</f>
        <v>ERA6AEB154</v>
      </c>
      <c r="C676" t="s">
        <v>2652</v>
      </c>
      <c r="D676" t="str">
        <f>VLOOKUP(A676,[1]AVL!$A:$F,6,FALSE)</f>
        <v>RES,SMD,0805,MF,1/8W,0.1%,150K ROHS</v>
      </c>
      <c r="E676" t="str">
        <f>VLOOKUP(A676,[1]Pricing!$A:$F,6,FALSE)</f>
        <v>21 Weeks</v>
      </c>
      <c r="F676">
        <f>VLOOKUP(B676,[2]Sheet2!$B:$E,4,FALSE)</f>
        <v>5000</v>
      </c>
      <c r="G676" s="2">
        <f>VLOOKUP(A676,[1]Pricing!$A:$H,8,FALSE)</f>
        <v>4.1214000000000001E-2</v>
      </c>
      <c r="H676" s="2">
        <f>VLOOKUP(A676,[1]Pricing!$A:$J,10,FALSE)</f>
        <v>5.0260975609756099E-2</v>
      </c>
      <c r="I676">
        <f>VLOOKUP(A676,MIN!A:B,2,FALSE)</f>
        <v>15</v>
      </c>
      <c r="J676" t="str">
        <f t="shared" si="24"/>
        <v>NO</v>
      </c>
      <c r="K676">
        <f>VLOOKUP(A676,[1]Pricing!$A:$G,7,FALSE)</f>
        <v>5000</v>
      </c>
      <c r="L676" t="s">
        <v>1960</v>
      </c>
      <c r="M676" t="str">
        <f t="shared" si="25"/>
        <v>615-052828-150</v>
      </c>
    </row>
    <row r="677" spans="1:13" x14ac:dyDescent="0.25">
      <c r="A677" t="s">
        <v>817</v>
      </c>
      <c r="B677" s="14" t="str">
        <f>VLOOKUP(A677,[1]Pricing!$A:$R,18,FALSE)</f>
        <v>ERA-6AEB2370V</v>
      </c>
      <c r="C677" t="s">
        <v>2652</v>
      </c>
      <c r="D677" t="str">
        <f>VLOOKUP(A677,[1]AVL!$A:$F,6,FALSE)</f>
        <v>RES,0805,TF,1/8W,0.1%,25PPM,237 ROHS</v>
      </c>
      <c r="E677" t="str">
        <f>VLOOKUP(A677,[1]Pricing!$A:$F,6,FALSE)</f>
        <v>21 Weeks</v>
      </c>
      <c r="F677">
        <f>VLOOKUP(B677,[2]Sheet2!$B:$E,4,FALSE)</f>
        <v>4767</v>
      </c>
      <c r="G677" s="2">
        <f>VLOOKUP(A677,[1]Pricing!$A:$H,8,FALSE)</f>
        <v>5.1263000000000003E-2</v>
      </c>
      <c r="H677" s="2">
        <f>VLOOKUP(A677,[1]Pricing!$A:$J,10,FALSE)</f>
        <v>6.2515853658536596E-2</v>
      </c>
      <c r="I677">
        <f>VLOOKUP(A677,MIN!A:B,2,FALSE)</f>
        <v>25</v>
      </c>
      <c r="J677" t="str">
        <f t="shared" si="24"/>
        <v>NO</v>
      </c>
      <c r="K677">
        <f>VLOOKUP(A677,[1]Pricing!$A:$G,7,FALSE)</f>
        <v>5000</v>
      </c>
      <c r="L677" t="s">
        <v>1960</v>
      </c>
      <c r="M677" t="str">
        <f t="shared" si="25"/>
        <v>615-162861-079</v>
      </c>
    </row>
    <row r="678" spans="1:13" x14ac:dyDescent="0.25">
      <c r="A678" t="s">
        <v>879</v>
      </c>
      <c r="B678" s="14" t="str">
        <f>VLOOKUP(A678,[1]Pricing!$A:$R,18,FALSE)</f>
        <v>ESR03EZPF1004</v>
      </c>
      <c r="C678" t="s">
        <v>2630</v>
      </c>
      <c r="D678" t="str">
        <f>VLOOKUP(A678,[1]AVL!$A:$F,6,FALSE)</f>
        <v>RES,SMD,1M OHM,±1%,1/4W,100PPM,0603</v>
      </c>
      <c r="E678" t="str">
        <f>VLOOKUP(A678,[1]Pricing!$A:$F,6,FALSE)</f>
        <v>16 Weeks</v>
      </c>
      <c r="F678">
        <f>VLOOKUP(B678,[2]Sheet2!$B:$E,4,FALSE)</f>
        <v>5000</v>
      </c>
      <c r="G678" s="2">
        <f>VLOOKUP(A678,[1]Pricing!$A:$H,8,FALSE)</f>
        <v>1.7156999999999999E-2</v>
      </c>
      <c r="H678" s="2">
        <f>VLOOKUP(A678,[1]Pricing!$A:$J,10,FALSE)</f>
        <v>2.0923170731707318E-2</v>
      </c>
      <c r="I678">
        <f>VLOOKUP(A678,MIN!A:B,2,FALSE)</f>
        <v>25</v>
      </c>
      <c r="J678" t="str">
        <f t="shared" si="24"/>
        <v>NO</v>
      </c>
      <c r="K678">
        <f>VLOOKUP(A678,[1]Pricing!$A:$G,7,FALSE)</f>
        <v>5000</v>
      </c>
      <c r="L678" t="s">
        <v>1960</v>
      </c>
      <c r="M678" t="str">
        <f t="shared" si="25"/>
        <v>615-A14987-002</v>
      </c>
    </row>
    <row r="679" spans="1:13" x14ac:dyDescent="0.25">
      <c r="A679" t="s">
        <v>568</v>
      </c>
      <c r="B679" s="14" t="str">
        <f>VLOOKUP(A679,[1]Pricing!$A:$R,18,FALSE)</f>
        <v>C0603C221F5GAC</v>
      </c>
      <c r="C679" t="s">
        <v>2581</v>
      </c>
      <c r="D679" t="str">
        <f>VLOOKUP(A679,[1]AVL!$A:$F,6,FALSE)</f>
        <v>CAP,SMD,0603,CER,C0G,1%,50V,220PF</v>
      </c>
      <c r="E679" t="str">
        <f>VLOOKUP(A679,[1]Pricing!$A:$F,6,FALSE)</f>
        <v>17 Weeks</v>
      </c>
      <c r="F679">
        <f>VLOOKUP(B679,[2]Sheet2!$B:$E,4,FALSE)</f>
        <v>4000</v>
      </c>
      <c r="G679" s="2">
        <f>VLOOKUP(A679,[1]Pricing!$A:$H,8,FALSE)</f>
        <v>5.6372999999999999E-2</v>
      </c>
      <c r="H679" s="2">
        <f>VLOOKUP(A679,[1]Pricing!$A:$J,10,FALSE)</f>
        <v>6.8747560975609759E-2</v>
      </c>
      <c r="I679">
        <f>VLOOKUP(A679,MIN!A:B,2,FALSE)</f>
        <v>25</v>
      </c>
      <c r="J679" t="str">
        <f t="shared" si="24"/>
        <v>NO</v>
      </c>
      <c r="K679">
        <f>VLOOKUP(A679,[1]Pricing!$A:$G,7,FALSE)</f>
        <v>4000</v>
      </c>
      <c r="L679" t="s">
        <v>1960</v>
      </c>
      <c r="M679" t="str">
        <f t="shared" si="25"/>
        <v>648-250747-221</v>
      </c>
    </row>
    <row r="680" spans="1:13" x14ac:dyDescent="0.25">
      <c r="A680" t="s">
        <v>580</v>
      </c>
      <c r="B680" s="14" t="str">
        <f>VLOOKUP(A680,[1]Pricing!$A:$R,18,FALSE)</f>
        <v>C0805C103J5GAC</v>
      </c>
      <c r="C680" t="s">
        <v>2581</v>
      </c>
      <c r="D680" t="str">
        <f>VLOOKUP(A680,[1]AVL!$A:$F,6,FALSE)</f>
        <v>CAP,0805,COG,5%,50V,10000PF</v>
      </c>
      <c r="E680" t="str">
        <f>VLOOKUP(A680,[1]Pricing!$A:$F,6,FALSE)</f>
        <v>15 Weeks</v>
      </c>
      <c r="F680">
        <f>VLOOKUP(B680,[2]Sheet2!$B:$E,4,FALSE)</f>
        <v>3910</v>
      </c>
      <c r="G680" s="2">
        <f>VLOOKUP(A680,[1]Pricing!$A:$H,8,FALSE)</f>
        <v>0.04</v>
      </c>
      <c r="H680" s="2">
        <f>VLOOKUP(A680,[1]Pricing!$A:$J,10,FALSE)</f>
        <v>4.878048780487805E-2</v>
      </c>
      <c r="I680">
        <f>VLOOKUP(A680,MIN!A:B,2,FALSE)</f>
        <v>25</v>
      </c>
      <c r="J680" t="str">
        <f t="shared" si="24"/>
        <v>NO</v>
      </c>
      <c r="K680">
        <f>VLOOKUP(A680,[1]Pricing!$A:$G,7,FALSE)</f>
        <v>4000</v>
      </c>
      <c r="L680" t="s">
        <v>1960</v>
      </c>
      <c r="M680" t="str">
        <f t="shared" si="25"/>
        <v>648-099901-103</v>
      </c>
    </row>
    <row r="681" spans="1:13" x14ac:dyDescent="0.25">
      <c r="A681" t="s">
        <v>1030</v>
      </c>
      <c r="B681" s="14" t="str">
        <f>VLOOKUP(A681,[1]Pricing!$A:$R,18,FALSE)</f>
        <v>LBQ39G-L2OO-35-1</v>
      </c>
      <c r="C681" t="s">
        <v>2705</v>
      </c>
      <c r="D681" t="str">
        <f>VLOOKUP(A681,[1]AVL!$A:$F,6,FALSE)</f>
        <v>LED,SMD,2.85V,5MA,470NM,BLU,0603</v>
      </c>
      <c r="E681" t="str">
        <f>VLOOKUP(A681,[1]Pricing!$A:$F,6,FALSE)</f>
        <v>4 Weeks</v>
      </c>
      <c r="F681">
        <f>VLOOKUP(B681,[2]Sheet2!$B:$E,4,FALSE)</f>
        <v>4000</v>
      </c>
      <c r="G681" s="2">
        <f>VLOOKUP(A681,[1]Pricing!$A:$H,8,FALSE)</f>
        <v>6.0049999999999999E-2</v>
      </c>
      <c r="H681" s="2">
        <f>VLOOKUP(A681,[1]Pricing!$A:$J,10,FALSE)</f>
        <v>7.323170731707318E-2</v>
      </c>
      <c r="I681">
        <f>VLOOKUP(A681,MIN!A:B,2,FALSE)</f>
        <v>15</v>
      </c>
      <c r="J681" t="str">
        <f t="shared" si="24"/>
        <v>NO</v>
      </c>
      <c r="K681">
        <f>VLOOKUP(A681,[1]Pricing!$A:$G,7,FALSE)</f>
        <v>4000</v>
      </c>
      <c r="L681" t="s">
        <v>1960</v>
      </c>
      <c r="M681" t="str">
        <f t="shared" si="25"/>
        <v>664-250155-001</v>
      </c>
    </row>
    <row r="682" spans="1:13" x14ac:dyDescent="0.25">
      <c r="A682" t="s">
        <v>1112</v>
      </c>
      <c r="B682" s="14" t="str">
        <f>VLOOKUP(A682,[1]Pricing!$A:$R,18,FALSE)</f>
        <v>LTQ39G-Q1OO-25-1</v>
      </c>
      <c r="C682" t="s">
        <v>2705</v>
      </c>
      <c r="D682" t="str">
        <f>VLOOKUP(A682,[1]AVL!$A:$F,6,FALSE)</f>
        <v>LED,SMD,CHIPLED 0603,2.85V,5MA,TRUE GRN</v>
      </c>
      <c r="E682" t="str">
        <f>VLOOKUP(A682,[1]Pricing!$A:$F,6,FALSE)</f>
        <v>3 Weeks</v>
      </c>
      <c r="F682">
        <f>VLOOKUP(B682,[2]Sheet2!$B:$E,4,FALSE)</f>
        <v>2514</v>
      </c>
      <c r="G682" s="2">
        <f>VLOOKUP(A682,[1]Pricing!$A:$H,8,FALSE)</f>
        <v>7.1079000000000003E-2</v>
      </c>
      <c r="H682" s="2">
        <f>VLOOKUP(A682,[1]Pricing!$A:$J,10,FALSE)</f>
        <v>8.6681707317073184E-2</v>
      </c>
      <c r="I682">
        <f>VLOOKUP(A682,MIN!A:B,2,FALSE)</f>
        <v>25</v>
      </c>
      <c r="J682" t="str">
        <f t="shared" si="24"/>
        <v>NO</v>
      </c>
      <c r="K682">
        <f>VLOOKUP(A682,[1]Pricing!$A:$G,7,FALSE)</f>
        <v>4000</v>
      </c>
      <c r="L682" t="s">
        <v>1960</v>
      </c>
      <c r="M682" t="str">
        <f t="shared" si="25"/>
        <v>664-313477-001</v>
      </c>
    </row>
    <row r="683" spans="1:13" x14ac:dyDescent="0.25">
      <c r="A683" t="s">
        <v>1761</v>
      </c>
      <c r="B683" s="14" t="str">
        <f>VLOOKUP(A683,[1]Pricing!$A:$R,18,FALSE)</f>
        <v>TLRP3A30CR004FTE</v>
      </c>
      <c r="C683" t="s">
        <v>2599</v>
      </c>
      <c r="D683" t="str">
        <f>VLOOKUP(A683,[1]AVL!$A:$F,6,FALSE)</f>
        <v>RES,SMD,CUR SNS,.004OHM,+/-1%,25PPM,2512</v>
      </c>
      <c r="E683" t="str">
        <f>VLOOKUP(A683,[1]Pricing!$A:$F,6,FALSE)</f>
        <v>17 Weeks</v>
      </c>
      <c r="F683">
        <f>VLOOKUP(B683,[2]Sheet2!$B:$E,4,FALSE)</f>
        <v>3880</v>
      </c>
      <c r="G683" s="2">
        <f>VLOOKUP(A683,[1]Pricing!$A:$H,8,FALSE)</f>
        <v>0.19240399999999999</v>
      </c>
      <c r="H683" s="2">
        <f>VLOOKUP(A683,[1]Pricing!$A:$J,10,FALSE)</f>
        <v>0.23463902439024389</v>
      </c>
      <c r="I683">
        <f>VLOOKUP(A683,MIN!A:B,2,FALSE)</f>
        <v>25</v>
      </c>
      <c r="J683" t="str">
        <f t="shared" si="24"/>
        <v>NO</v>
      </c>
      <c r="K683">
        <f>VLOOKUP(A683,[1]Pricing!$A:$G,7,FALSE)</f>
        <v>4000</v>
      </c>
      <c r="L683" t="s">
        <v>1960</v>
      </c>
      <c r="M683" t="str">
        <f t="shared" si="25"/>
        <v>615-A93810-001</v>
      </c>
    </row>
    <row r="684" spans="1:13" x14ac:dyDescent="0.25">
      <c r="A684" t="s">
        <v>1510</v>
      </c>
      <c r="B684" s="14" t="str">
        <f>VLOOKUP(A684,[1]Pricing!$A:$R,18,FALSE)</f>
        <v>RQ73C2B357RBTD</v>
      </c>
      <c r="C684" t="s">
        <v>2599</v>
      </c>
      <c r="D684" t="str">
        <f>VLOOKUP(A684,[1]AVL!$A:$F,6,FALSE)</f>
        <v>RES,SMD,357OHM,0.4W,200V,0.1%,1206,ROHS</v>
      </c>
      <c r="E684" t="str">
        <f>VLOOKUP(A684,[1]Pricing!$A:$F,6,FALSE)</f>
        <v>20 Weeks</v>
      </c>
      <c r="F684">
        <f>VLOOKUP(B684,[2]Sheet2!$B:$E,4,FALSE)</f>
        <v>2749</v>
      </c>
      <c r="G684" s="2">
        <f>VLOOKUP(A684,[1]Pricing!$A:$H,8,FALSE)</f>
        <v>0.29045599999999999</v>
      </c>
      <c r="H684" s="2">
        <f>VLOOKUP(A684,[1]Pricing!$A:$J,10,FALSE)</f>
        <v>0.35421463414634147</v>
      </c>
      <c r="I684">
        <f>VLOOKUP(A684,MIN!A:B,2,FALSE)</f>
        <v>15</v>
      </c>
      <c r="J684" t="str">
        <f t="shared" si="24"/>
        <v>NO</v>
      </c>
      <c r="K684">
        <f>VLOOKUP(A684,[1]Pricing!$A:$G,7,FALSE)</f>
        <v>5000</v>
      </c>
      <c r="L684" t="s">
        <v>1960</v>
      </c>
      <c r="M684" t="str">
        <f t="shared" si="25"/>
        <v>615-A61037-357</v>
      </c>
    </row>
    <row r="685" spans="1:13" x14ac:dyDescent="0.25">
      <c r="A685" t="s">
        <v>1756</v>
      </c>
      <c r="B685" s="14" t="str">
        <f>VLOOKUP(A685,[1]Pricing!$A:$R,18,FALSE)</f>
        <v>TLP2367(TPR,E</v>
      </c>
      <c r="C685" t="s">
        <v>2690</v>
      </c>
      <c r="D685" t="str">
        <f>VLOOKUP(A685,[1]AVL!$A:$F,6,FALSE)</f>
        <v>IC,SMD,PHOTOCOUPLER,1 CKT,3.3V/5V,HS,SO6</v>
      </c>
      <c r="E685" t="str">
        <f>VLOOKUP(A685,[1]Pricing!$A:$F,6,FALSE)</f>
        <v>39 Weeks</v>
      </c>
      <c r="F685">
        <f>VLOOKUP(B685,[2]Sheet2!$B:$E,4,FALSE)</f>
        <v>2829</v>
      </c>
      <c r="G685" s="2">
        <f>VLOOKUP(A685,[1]Pricing!$A:$H,8,FALSE)</f>
        <v>0.92647800000000002</v>
      </c>
      <c r="H685" s="2">
        <f>VLOOKUP(A685,[1]Pricing!$A:$J,10,FALSE)</f>
        <v>1.1298512195121952</v>
      </c>
      <c r="I685">
        <f>VLOOKUP(A685,MIN!A:B,2,FALSE)</f>
        <v>25</v>
      </c>
      <c r="J685" t="str">
        <f t="shared" si="24"/>
        <v>NO</v>
      </c>
      <c r="K685">
        <f>VLOOKUP(A685,[1]Pricing!$A:$G,7,FALSE)</f>
        <v>3000</v>
      </c>
      <c r="L685" t="s">
        <v>1960</v>
      </c>
      <c r="M685" t="str">
        <f t="shared" si="25"/>
        <v>630-337827-001</v>
      </c>
    </row>
    <row r="686" spans="1:13" x14ac:dyDescent="0.25">
      <c r="A686" t="s">
        <v>1181</v>
      </c>
      <c r="B686" s="14" t="str">
        <f>VLOOKUP(A686,[1]Pricing!$A:$R,18,FALSE)</f>
        <v>MMSTA56Q-7-F</v>
      </c>
      <c r="C686" t="s">
        <v>2634</v>
      </c>
      <c r="D686" t="str">
        <f>VLOOKUP(A686,[1]AVL!$A:$F,6,FALSE)</f>
        <v>XSTR,SMD,PNP,80V,500MA,50MHZ,200MW</v>
      </c>
      <c r="E686" t="str">
        <f>VLOOKUP(A686,[1]Pricing!$A:$F,6,FALSE)</f>
        <v>19 Weeks</v>
      </c>
      <c r="F686">
        <f>VLOOKUP(B686,[2]Sheet2!$B:$E,4,FALSE)</f>
        <v>2865</v>
      </c>
      <c r="G686" s="2">
        <f>VLOOKUP(A686,[1]Pricing!$A:$H,8,FALSE)</f>
        <v>6.3553999999999999E-2</v>
      </c>
      <c r="H686" s="2">
        <f>VLOOKUP(A686,[1]Pricing!$A:$J,10,FALSE)</f>
        <v>7.7504878048780493E-2</v>
      </c>
      <c r="I686">
        <f>VLOOKUP(A686,MIN!A:B,2,FALSE)</f>
        <v>15</v>
      </c>
      <c r="J686" t="str">
        <f t="shared" si="24"/>
        <v>NO</v>
      </c>
      <c r="K686">
        <f>VLOOKUP(A686,[1]Pricing!$A:$G,7,FALSE)</f>
        <v>3000</v>
      </c>
      <c r="L686" t="s">
        <v>1960</v>
      </c>
      <c r="M686" t="str">
        <f t="shared" si="25"/>
        <v>626-A56166-001</v>
      </c>
    </row>
    <row r="687" spans="1:13" x14ac:dyDescent="0.25">
      <c r="A687" t="s">
        <v>1727</v>
      </c>
      <c r="B687" s="14" t="str">
        <f>VLOOKUP(A687,[1]Pricing!$A:$R,18,FALSE)</f>
        <v>T491A104K050AT</v>
      </c>
      <c r="C687" t="s">
        <v>2673</v>
      </c>
      <c r="D687" t="str">
        <f>VLOOKUP(A687,[1]AVL!$A:$F,6,FALSE)</f>
        <v>CAP,3216,0.1UF,10%,50V,TANT,ROHS</v>
      </c>
      <c r="E687" t="str">
        <f>VLOOKUP(A687,[1]Pricing!$A:$F,6,FALSE)</f>
        <v>15 Weeks</v>
      </c>
      <c r="F687">
        <f>VLOOKUP(B687,[2]Sheet2!$B:$E,4,FALSE)</f>
        <v>2278</v>
      </c>
      <c r="G687" s="2">
        <f>VLOOKUP(A687,[1]Pricing!$A:$H,8,FALSE)</f>
        <v>0.16176599999999999</v>
      </c>
      <c r="H687" s="2">
        <f>VLOOKUP(A687,[1]Pricing!$A:$J,10,FALSE)</f>
        <v>0.19727560975609756</v>
      </c>
      <c r="I687">
        <f>VLOOKUP(A687,MIN!A:B,2,FALSE)</f>
        <v>15</v>
      </c>
      <c r="J687" t="str">
        <f t="shared" si="24"/>
        <v>NO</v>
      </c>
      <c r="K687">
        <f>VLOOKUP(A687,[1]Pricing!$A:$G,7,FALSE)</f>
        <v>2000</v>
      </c>
      <c r="L687" t="s">
        <v>1960</v>
      </c>
      <c r="M687" t="str">
        <f t="shared" si="25"/>
        <v>648-098106-104</v>
      </c>
    </row>
    <row r="688" spans="1:13" x14ac:dyDescent="0.25">
      <c r="A688" t="s">
        <v>654</v>
      </c>
      <c r="B688" s="14" t="str">
        <f>VLOOKUP(A688,[1]Pricing!$A:$R,18,FALSE)</f>
        <v>CL31B106KBHNNNE</v>
      </c>
      <c r="C688" t="s">
        <v>2636</v>
      </c>
      <c r="D688" t="str">
        <f>VLOOKUP(A688,[1]AVL!$A:$F,6,FALSE)</f>
        <v>CAP,SMD,CER,10UF,+/-10%,50VDC,X7R,1206</v>
      </c>
      <c r="E688" t="str">
        <f>VLOOKUP(A688,[1]Pricing!$A:$F,6,FALSE)</f>
        <v>27 Weeks</v>
      </c>
      <c r="F688">
        <f>VLOOKUP(B688,[2]Sheet2!$B:$E,4,FALSE)</f>
        <v>1938</v>
      </c>
      <c r="G688" s="2">
        <f>VLOOKUP(A688,[1]Pricing!$A:$H,8,FALSE)</f>
        <v>8.4559999999999996E-2</v>
      </c>
      <c r="H688" s="2">
        <f>VLOOKUP(A688,[1]Pricing!$A:$J,10,FALSE)</f>
        <v>0.1031219512195122</v>
      </c>
      <c r="I688">
        <f>VLOOKUP(A688,MIN!A:B,2,FALSE)</f>
        <v>25</v>
      </c>
      <c r="J688" t="str">
        <f t="shared" si="24"/>
        <v>NO</v>
      </c>
      <c r="K688">
        <f>VLOOKUP(A688,[1]Pricing!$A:$G,7,FALSE)</f>
        <v>2000</v>
      </c>
      <c r="L688" t="s">
        <v>1960</v>
      </c>
      <c r="M688" t="str">
        <f t="shared" si="25"/>
        <v>648-B17749-001</v>
      </c>
    </row>
    <row r="689" spans="1:13" x14ac:dyDescent="0.25">
      <c r="A689" t="s">
        <v>1122</v>
      </c>
      <c r="B689" s="14" t="str">
        <f>VLOOKUP(A689,[1]Pricing!$A:$R,18,FALSE)</f>
        <v>M-542CT</v>
      </c>
      <c r="C689" t="s">
        <v>2581</v>
      </c>
      <c r="D689" t="str">
        <f>VLOOKUP(A689,[1]AVL!$A:$F,6,FALSE)</f>
        <v>IDCTR,SMD,200UH,50VDC,0.120 OHM,0.5A</v>
      </c>
      <c r="E689" t="str">
        <f>VLOOKUP(A689,[1]Pricing!$A:$F,6,FALSE)</f>
        <v>36 Weeks</v>
      </c>
      <c r="F689">
        <f>VLOOKUP(B689,[2]Sheet2!$B:$E,4,FALSE)</f>
        <v>1000</v>
      </c>
      <c r="G689" s="2">
        <f>VLOOKUP(A689,[1]Pricing!$A:$H,8,FALSE)</f>
        <v>1.7157</v>
      </c>
      <c r="H689" s="2">
        <f>VLOOKUP(A689,[1]Pricing!$A:$J,10,FALSE)</f>
        <v>2.0923170731707317</v>
      </c>
      <c r="I689">
        <f>VLOOKUP(A689,MIN!A:B,2,FALSE)</f>
        <v>15</v>
      </c>
      <c r="J689" t="str">
        <f t="shared" si="24"/>
        <v>NO</v>
      </c>
      <c r="K689">
        <f>VLOOKUP(A689,[1]Pricing!$A:$G,7,FALSE)</f>
        <v>1000</v>
      </c>
      <c r="L689" t="s">
        <v>1960</v>
      </c>
      <c r="M689" t="str">
        <f t="shared" si="25"/>
        <v>639-A57204-001</v>
      </c>
    </row>
    <row r="690" spans="1:13" x14ac:dyDescent="0.25">
      <c r="A690" t="s">
        <v>590</v>
      </c>
      <c r="B690" s="14" t="str">
        <f>VLOOKUP(A690,[1]Pricing!$A:$R,18,FALSE)</f>
        <v>C3225X7R1H106K250AC</v>
      </c>
      <c r="C690" t="s">
        <v>2616</v>
      </c>
      <c r="D690" t="str">
        <f>VLOOKUP(A690,[1]AVL!$A:$F,6,FALSE)</f>
        <v>CAP,SMD,MLCC,10UF,10%,50VDC,X7R,1210</v>
      </c>
      <c r="E690" t="str">
        <f>VLOOKUP(A690,[1]Pricing!$A:$F,6,FALSE)</f>
        <v>41 Weeks</v>
      </c>
      <c r="F690">
        <f>VLOOKUP(B690,[2]Sheet2!$B:$E,4,FALSE)</f>
        <v>1000</v>
      </c>
      <c r="G690" s="2">
        <f>VLOOKUP(A690,[1]Pricing!$A:$H,8,FALSE)</f>
        <v>0.30760100000000001</v>
      </c>
      <c r="H690" s="2">
        <f>VLOOKUP(A690,[1]Pricing!$A:$J,10,FALSE)</f>
        <v>0.37512317073170737</v>
      </c>
      <c r="I690">
        <f>VLOOKUP(A690,MIN!A:B,2,FALSE)</f>
        <v>25</v>
      </c>
      <c r="J690" t="str">
        <f t="shared" si="24"/>
        <v>NO</v>
      </c>
      <c r="K690">
        <f>VLOOKUP(A690,[1]Pricing!$A:$G,7,FALSE)</f>
        <v>1000</v>
      </c>
      <c r="L690" t="s">
        <v>1960</v>
      </c>
      <c r="M690" t="str">
        <f t="shared" si="25"/>
        <v>648-A86847-106</v>
      </c>
    </row>
    <row r="691" spans="1:13" x14ac:dyDescent="0.25">
      <c r="A691" t="s">
        <v>1010</v>
      </c>
      <c r="B691" s="14" t="str">
        <f>VLOOKUP(A691,[1]Pricing!$A:$R,18,FALSE)</f>
        <v>KCM55QR71H226KH13K</v>
      </c>
      <c r="C691" t="s">
        <v>2627</v>
      </c>
      <c r="D691" t="str">
        <f>VLOOKUP(A691,[1]AVL!$A:$F,6,FALSE)</f>
        <v>CAP,SMD,MLCC,22UF,+/-10%,50VDC,X7R</v>
      </c>
      <c r="E691" t="str">
        <f>VLOOKUP(A691,[1]Pricing!$A:$F,6,FALSE)</f>
        <v>19 Weeks</v>
      </c>
      <c r="F691">
        <f>VLOOKUP(B691,[2]Sheet2!$B:$E,4,FALSE)</f>
        <v>1000</v>
      </c>
      <c r="G691" s="2">
        <f>VLOOKUP(A691,[1]Pricing!$A:$H,8,FALSE)</f>
        <v>1.2377549999999999</v>
      </c>
      <c r="H691" s="2">
        <f>VLOOKUP(A691,[1]Pricing!$A:$J,10,FALSE)</f>
        <v>1.5094573170731707</v>
      </c>
      <c r="I691">
        <f>VLOOKUP(A691,MIN!A:B,2,FALSE)</f>
        <v>25</v>
      </c>
      <c r="J691" t="str">
        <f t="shared" si="24"/>
        <v>NO</v>
      </c>
      <c r="K691">
        <f>VLOOKUP(A691,[1]Pricing!$A:$G,7,FALSE)</f>
        <v>1000</v>
      </c>
      <c r="L691" t="s">
        <v>1960</v>
      </c>
      <c r="M691" t="str">
        <f t="shared" si="25"/>
        <v>648-B24495-226</v>
      </c>
    </row>
    <row r="692" spans="1:13" x14ac:dyDescent="0.25">
      <c r="A692" t="s">
        <v>1862</v>
      </c>
      <c r="B692" s="14" t="str">
        <f>VLOOKUP(A692,[1]Pricing!$A:$R,18,FALSE)</f>
        <v>XLH736030.000000I</v>
      </c>
      <c r="C692" t="s">
        <v>2706</v>
      </c>
      <c r="D692" t="str">
        <f>VLOOKUP(A692,[1]AVL!$A:$F,6,FALSE)</f>
        <v>OSC,SMD,XTAL,30MHZ,3.3V,LVCMOS,6-SMD</v>
      </c>
      <c r="E692" t="str">
        <f>VLOOKUP(A692,[1]Pricing!$A:$F,6,FALSE)</f>
        <v>27 Weeks</v>
      </c>
      <c r="F692">
        <f>VLOOKUP(B692,[2]Sheet2!$B:$E,4,FALSE)</f>
        <v>1000</v>
      </c>
      <c r="G692" s="2">
        <f>VLOOKUP(A692,[1]Pricing!$A:$H,8,FALSE)</f>
        <v>0.80270300000000006</v>
      </c>
      <c r="H692" s="2">
        <f>VLOOKUP(A692,[1]Pricing!$A:$J,10,FALSE)</f>
        <v>0.97890609756097569</v>
      </c>
      <c r="I692">
        <f>VLOOKUP(A692,MIN!A:B,2,FALSE)</f>
        <v>15</v>
      </c>
      <c r="J692" t="str">
        <f t="shared" si="24"/>
        <v>NO</v>
      </c>
      <c r="K692">
        <f>VLOOKUP(A692,[1]Pricing!$A:$G,7,FALSE)</f>
        <v>1000</v>
      </c>
      <c r="L692" t="s">
        <v>1960</v>
      </c>
      <c r="M692" t="str">
        <f t="shared" si="25"/>
        <v>635-122552-102</v>
      </c>
    </row>
    <row r="693" spans="1:13" x14ac:dyDescent="0.25">
      <c r="A693" t="s">
        <v>768</v>
      </c>
      <c r="B693" s="14" t="str">
        <f>VLOOKUP(A693,[1]Pricing!$A:$R,18,FALSE)</f>
        <v>EEHZT1H101V</v>
      </c>
      <c r="C693" t="s">
        <v>2618</v>
      </c>
      <c r="D693" t="str">
        <f>VLOOKUP(A693,[1]AVL!$A:$F,6,FALSE)</f>
        <v>CAP,SMD,AL,ELCTLT,100UF,20%,50V,VIB PRF</v>
      </c>
      <c r="E693" t="str">
        <f>VLOOKUP(A693,[1]Pricing!$A:$F,6,FALSE)</f>
        <v>42 Weeks</v>
      </c>
      <c r="F693">
        <f>VLOOKUP(B693,[2]Sheet2!$B:$E,4,FALSE)</f>
        <v>500</v>
      </c>
      <c r="G693" s="2">
        <f>VLOOKUP(A693,[1]Pricing!$A:$H,8,FALSE)</f>
        <v>1.13849</v>
      </c>
      <c r="H693" s="2">
        <f>VLOOKUP(A693,[1]Pricing!$A:$J,10,FALSE)</f>
        <v>1.3884024390243903</v>
      </c>
      <c r="I693">
        <f>VLOOKUP(A693,MIN!A:B,2,FALSE)</f>
        <v>15</v>
      </c>
      <c r="J693" t="str">
        <f t="shared" si="24"/>
        <v>NO</v>
      </c>
      <c r="K693">
        <f>VLOOKUP(A693,[1]Pricing!$A:$G,7,FALSE)</f>
        <v>500</v>
      </c>
      <c r="L693" t="s">
        <v>1960</v>
      </c>
      <c r="M693" t="str">
        <f t="shared" si="25"/>
        <v>648-A68176-100</v>
      </c>
    </row>
    <row r="694" spans="1:13" x14ac:dyDescent="0.25">
      <c r="A694" t="s">
        <v>1630</v>
      </c>
      <c r="B694" s="14" t="str">
        <f>VLOOKUP(A694,[1]Pricing!$A:$R,18,FALSE)</f>
        <v>SF2</v>
      </c>
      <c r="C694" t="s">
        <v>2707</v>
      </c>
      <c r="D694" t="str">
        <f>VLOOKUP(A694,[1]AVL!$A:$F,6,FALSE)</f>
        <v>FLTR CAP,FOR SHT2X/3X/4X/SHTC1/C3 SNSR</v>
      </c>
      <c r="E694" t="str">
        <f>VLOOKUP(A694,[1]Pricing!$A:$F,6,FALSE)</f>
        <v>10 Weeks</v>
      </c>
      <c r="F694">
        <f>VLOOKUP(B694,[2]Sheet2!$B:$E,4,FALSE)</f>
        <v>500</v>
      </c>
      <c r="G694" s="2">
        <f>VLOOKUP(A694,[1]Pricing!$A:$H,8,FALSE)</f>
        <v>0.98040000000000005</v>
      </c>
      <c r="H694" s="2">
        <f>VLOOKUP(A694,[1]Pricing!$A:$J,10,FALSE)</f>
        <v>1.1956097560975611</v>
      </c>
      <c r="I694">
        <f>VLOOKUP(A694,MIN!A:B,2,FALSE)</f>
        <v>25</v>
      </c>
      <c r="J694" t="str">
        <f t="shared" si="24"/>
        <v>NO</v>
      </c>
      <c r="K694">
        <f>VLOOKUP(A694,[1]Pricing!$A:$G,7,FALSE)</f>
        <v>500</v>
      </c>
      <c r="L694" t="s">
        <v>1960</v>
      </c>
      <c r="M694" t="str">
        <f t="shared" si="25"/>
        <v>687-A67230-001</v>
      </c>
    </row>
    <row r="695" spans="1:13" x14ac:dyDescent="0.25">
      <c r="A695" t="s">
        <v>994</v>
      </c>
      <c r="B695" s="14" t="str">
        <f>VLOOKUP(A695,[1]Pricing!$A:$R,18,FALSE)</f>
        <v>K42X-E9S/P-A4N</v>
      </c>
      <c r="C695" t="s">
        <v>2612</v>
      </c>
      <c r="D695" t="str">
        <f>VLOOKUP(A695,[1]AVL!$A:$F,6,FALSE)</f>
        <v>CONN,DSUB,DUAL PORT,9P/9P,F/M,ROHS</v>
      </c>
      <c r="E695" t="str">
        <f>VLOOKUP(A695,[1]Pricing!$A:$F,6,FALSE)</f>
        <v>27 Weeks</v>
      </c>
      <c r="F695">
        <f>VLOOKUP(B695,[2]Sheet2!$B:$E,4,FALSE)</f>
        <v>270</v>
      </c>
      <c r="G695" s="2">
        <f>VLOOKUP(A695,[1]Pricing!$A:$H,8,FALSE)</f>
        <v>6.2275010000000002</v>
      </c>
      <c r="H695" s="2">
        <f>VLOOKUP(A695,[1]Pricing!$A:$J,10,FALSE)</f>
        <v>7.5945134146341466</v>
      </c>
      <c r="I695">
        <f>VLOOKUP(A695,MIN!A:B,2,FALSE)</f>
        <v>15</v>
      </c>
      <c r="J695" t="str">
        <f t="shared" si="24"/>
        <v>NO</v>
      </c>
      <c r="K695">
        <f>VLOOKUP(A695,[1]Pricing!$A:$G,7,FALSE)</f>
        <v>270</v>
      </c>
      <c r="L695" t="s">
        <v>1960</v>
      </c>
      <c r="M695" t="str">
        <f t="shared" si="25"/>
        <v>668-259275-004</v>
      </c>
    </row>
    <row r="696" spans="1:13" x14ac:dyDescent="0.25">
      <c r="A696" t="s">
        <v>627</v>
      </c>
      <c r="B696" s="14" t="str">
        <f>VLOOKUP(A696,[1]Pricing!$A:$R,18,FALSE)</f>
        <v>CD74ACT109M96</v>
      </c>
      <c r="C696" t="s">
        <v>2595</v>
      </c>
      <c r="D696" t="str">
        <f>VLOOKUP(A696,[1]AVL!$A:$F,6,FALSE)</f>
        <v>IC,SMD,DUAL JK FLIP-FLOP,4.5-5.5V,SOIC16</v>
      </c>
      <c r="E696" t="str">
        <f>VLOOKUP(A696,[1]Pricing!$A:$F,6,FALSE)</f>
        <v>15 Weeks</v>
      </c>
      <c r="F696">
        <f>VLOOKUP(B696,[2]Sheet2!$B:$E,4,FALSE)</f>
        <v>200</v>
      </c>
      <c r="G696" s="2">
        <f>VLOOKUP(A696,[1]Pricing!$A:$H,8,FALSE)</f>
        <v>0.57598499999999997</v>
      </c>
      <c r="H696" s="2">
        <f>VLOOKUP(A696,[1]Pricing!$A:$J,10,FALSE)</f>
        <v>0.70242073170731711</v>
      </c>
      <c r="I696">
        <f>VLOOKUP(A696,MIN!A:B,2,FALSE)</f>
        <v>15</v>
      </c>
      <c r="J696" t="str">
        <f t="shared" si="24"/>
        <v>NO</v>
      </c>
      <c r="K696">
        <f>VLOOKUP(A696,[1]Pricing!$A:$G,7,FALSE)</f>
        <v>200</v>
      </c>
      <c r="L696" t="s">
        <v>1960</v>
      </c>
      <c r="M696" t="str">
        <f t="shared" si="25"/>
        <v>630-A93018-001</v>
      </c>
    </row>
    <row r="697" spans="1:13" x14ac:dyDescent="0.25">
      <c r="A697" t="s">
        <v>1672</v>
      </c>
      <c r="B697" s="14" t="str">
        <f>VLOOKUP(A697,[1]Pricing!$A:$R,18,FALSE)</f>
        <v>SN74AHCT04DBR</v>
      </c>
      <c r="C697" t="s">
        <v>2595</v>
      </c>
      <c r="D697" t="str">
        <f>VLOOKUP(A697,[1]AVL!$A:$F,6,FALSE)</f>
        <v>IC,SMD,INV,6CHAN,4.5-5.5V,SSOP-14</v>
      </c>
      <c r="E697" t="str">
        <f>VLOOKUP(A697,[1]Pricing!$A:$F,6,FALSE)</f>
        <v>15 Weeks</v>
      </c>
      <c r="F697">
        <f>VLOOKUP(B697,[2]Sheet2!$B:$E,4,FALSE)</f>
        <v>172</v>
      </c>
      <c r="G697" s="2">
        <f>VLOOKUP(A697,[1]Pricing!$A:$H,8,FALSE)</f>
        <v>0.26838499999999998</v>
      </c>
      <c r="H697" s="2">
        <f>VLOOKUP(A697,[1]Pricing!$A:$J,10,FALSE)</f>
        <v>0.32729878048780486</v>
      </c>
      <c r="I697">
        <f>VLOOKUP(A697,MIN!A:B,2,FALSE)</f>
        <v>25</v>
      </c>
      <c r="J697" t="str">
        <f t="shared" si="24"/>
        <v>NO</v>
      </c>
      <c r="K697">
        <f>VLOOKUP(A697,[1]Pricing!$A:$G,7,FALSE)</f>
        <v>200</v>
      </c>
      <c r="L697" t="s">
        <v>1960</v>
      </c>
      <c r="M697" t="str">
        <f t="shared" si="25"/>
        <v>630-A78557-001</v>
      </c>
    </row>
    <row r="698" spans="1:13" x14ac:dyDescent="0.25">
      <c r="A698" t="s">
        <v>1844</v>
      </c>
      <c r="B698" s="14" t="str">
        <f>VLOOKUP(A698,[1]Pricing!$A:$R,18,FALSE)</f>
        <v>VO618A-4</v>
      </c>
      <c r="C698" t="s">
        <v>2617</v>
      </c>
      <c r="D698" t="str">
        <f>VLOOKUP(A698,[1]AVL!$A:$F,6,FALSE)</f>
        <v>IC,PHOTOCOUPLER,0.01A,DIP-4</v>
      </c>
      <c r="E698" t="str">
        <f>VLOOKUP(A698,[1]Pricing!$A:$F,6,FALSE)</f>
        <v>57 Weeks</v>
      </c>
      <c r="F698">
        <f>VLOOKUP(B698,[2]Sheet2!$B:$E,4,FALSE)</f>
        <v>200</v>
      </c>
      <c r="G698" s="2">
        <f>VLOOKUP(A698,[1]Pricing!$A:$H,8,FALSE)</f>
        <v>0.16017300000000001</v>
      </c>
      <c r="H698" s="2">
        <f>VLOOKUP(A698,[1]Pricing!$A:$J,10,FALSE)</f>
        <v>0.19533292682926831</v>
      </c>
      <c r="I698">
        <f>VLOOKUP(A698,MIN!A:B,2,FALSE)</f>
        <v>25</v>
      </c>
      <c r="J698" t="str">
        <f t="shared" si="24"/>
        <v>NO</v>
      </c>
      <c r="K698">
        <f>VLOOKUP(A698,[1]Pricing!$A:$G,7,FALSE)</f>
        <v>200</v>
      </c>
      <c r="L698" t="s">
        <v>1960</v>
      </c>
      <c r="M698" t="str">
        <f t="shared" si="25"/>
        <v>631-289054-002</v>
      </c>
    </row>
    <row r="699" spans="1:13" x14ac:dyDescent="0.25">
      <c r="A699" t="s">
        <v>123</v>
      </c>
      <c r="B699" s="14" t="str">
        <f>VLOOKUP(A699,[1]Pricing!$A:$R,18,FALSE)</f>
        <v>180-078-113R001</v>
      </c>
      <c r="C699" t="s">
        <v>2585</v>
      </c>
      <c r="D699" t="str">
        <f>VLOOKUP(A699,[1]AVL!$A:$F,6,FALSE)</f>
        <v>CONN,PLUG,D-SUB,HD,78POSN,STR,3A,SLDR</v>
      </c>
      <c r="E699" t="str">
        <f>VLOOKUP(A699,[1]Pricing!$A:$F,6,FALSE)</f>
        <v>19 Weeks</v>
      </c>
      <c r="F699">
        <f>VLOOKUP(B699,[2]Sheet2!$B:$E,4,FALSE)</f>
        <v>250</v>
      </c>
      <c r="G699" s="2">
        <f>VLOOKUP(A699,[1]Pricing!$A:$H,8,FALSE)</f>
        <v>8.4682049999999993</v>
      </c>
      <c r="H699" s="2">
        <f>VLOOKUP(A699,[1]Pricing!$A:$J,10,FALSE)</f>
        <v>10.327079268292684</v>
      </c>
      <c r="I699">
        <f>VLOOKUP(A699,MIN!A:B,2,FALSE)</f>
        <v>25</v>
      </c>
      <c r="J699" t="str">
        <f t="shared" si="24"/>
        <v>NO</v>
      </c>
      <c r="K699">
        <f>VLOOKUP(A699,[1]Pricing!$A:$G,7,FALSE)</f>
        <v>250</v>
      </c>
      <c r="L699" t="s">
        <v>1960</v>
      </c>
      <c r="M699" t="str">
        <f t="shared" si="25"/>
        <v>668-A26900-078</v>
      </c>
    </row>
    <row r="700" spans="1:13" x14ac:dyDescent="0.25">
      <c r="A700" t="s">
        <v>247</v>
      </c>
      <c r="B700" s="14" t="str">
        <f>VLOOKUP(A700,[1]Pricing!$A:$R,18,FALSE)</f>
        <v>34.81.7.024.9024</v>
      </c>
      <c r="C700" t="s">
        <v>2708</v>
      </c>
      <c r="D700" t="str">
        <f>VLOOKUP(A700,[1]AVL!$A:$F,6,FALSE)</f>
        <v>RLY,SSR,1 NO,24VDC INPUT,24VDC,6A,SIP-4</v>
      </c>
      <c r="E700" t="str">
        <f>VLOOKUP(A700,[1]Pricing!$A:$F,6,FALSE)</f>
        <v>13 Weeks</v>
      </c>
      <c r="F700">
        <f>VLOOKUP(B700,[2]Sheet2!$B:$E,4,FALSE)</f>
        <v>100</v>
      </c>
      <c r="G700" s="2">
        <f>VLOOKUP(A700,[1]Pricing!$A:$H,8,FALSE)</f>
        <v>16.477705</v>
      </c>
      <c r="H700" s="2">
        <f>VLOOKUP(A700,[1]Pricing!$A:$J,10,FALSE)</f>
        <v>20.094762195121952</v>
      </c>
      <c r="I700">
        <f>VLOOKUP(A700,MIN!A:B,2,FALSE)</f>
        <v>15</v>
      </c>
      <c r="J700" t="str">
        <f t="shared" si="24"/>
        <v>NO</v>
      </c>
      <c r="K700">
        <f>VLOOKUP(A700,[1]Pricing!$A:$G,7,FALSE)</f>
        <v>100</v>
      </c>
      <c r="L700" t="s">
        <v>1960</v>
      </c>
      <c r="M700" t="str">
        <f t="shared" si="25"/>
        <v>644-347685-024</v>
      </c>
    </row>
    <row r="701" spans="1:13" x14ac:dyDescent="0.25">
      <c r="A701" t="s">
        <v>287</v>
      </c>
      <c r="B701" s="14">
        <f>VLOOKUP(A701,[1]Pricing!$A:$R,18,FALSE)</f>
        <v>4857</v>
      </c>
      <c r="C701" t="s">
        <v>2644</v>
      </c>
      <c r="D701" t="str">
        <f>VLOOKUP(A701,[1]AVL!$A:$F,6,FALSE)</f>
        <v>SPCR,FORCE FIT,#6 SCR SIZE,.250IN LG,SST</v>
      </c>
      <c r="E701" t="str">
        <f>VLOOKUP(A701,[1]Pricing!$A:$F,6,FALSE)</f>
        <v>3 Weeks</v>
      </c>
      <c r="F701">
        <f>VLOOKUP(B701,[2]Sheet2!$B:$E,4,FALSE)</f>
        <v>100</v>
      </c>
      <c r="G701" s="2">
        <f>VLOOKUP(A701,[1]Pricing!$A:$H,8,FALSE)</f>
        <v>0.73652600000000001</v>
      </c>
      <c r="H701" s="2">
        <f>VLOOKUP(A701,[1]Pricing!$A:$J,10,FALSE)</f>
        <v>0.89820243902439034</v>
      </c>
      <c r="I701">
        <f>VLOOKUP(A701,MIN!A:B,2,FALSE)</f>
        <v>15</v>
      </c>
      <c r="J701" t="str">
        <f t="shared" si="24"/>
        <v>NO</v>
      </c>
      <c r="K701">
        <f>VLOOKUP(A701,[1]Pricing!$A:$G,7,FALSE)</f>
        <v>100</v>
      </c>
      <c r="L701" t="s">
        <v>1960</v>
      </c>
      <c r="M701" t="str">
        <f t="shared" si="25"/>
        <v>723-B11534-003</v>
      </c>
    </row>
    <row r="702" spans="1:13" x14ac:dyDescent="0.25">
      <c r="A702" t="s">
        <v>430</v>
      </c>
      <c r="B702" s="14">
        <f>VLOOKUP(A702,[1]Pricing!$A:$R,18,FALSE)</f>
        <v>7779</v>
      </c>
      <c r="C702" t="s">
        <v>2644</v>
      </c>
      <c r="D702" t="str">
        <f>VLOOKUP(A702,[1]AVL!$A:$F,6,FALSE)</f>
        <v>TERM,PCB,6-32THD,15A,THM,HORIZ MT</v>
      </c>
      <c r="E702" t="str">
        <f>VLOOKUP(A702,[1]Pricing!$A:$F,6,FALSE)</f>
        <v>3 Weeks</v>
      </c>
      <c r="F702">
        <f>VLOOKUP(B702,[2]Sheet2!$B:$E,4,FALSE)</f>
        <v>100</v>
      </c>
      <c r="G702" s="2">
        <f>VLOOKUP(A702,[1]Pricing!$A:$H,8,FALSE)</f>
        <v>0.39657199999999998</v>
      </c>
      <c r="H702" s="2">
        <f>VLOOKUP(A702,[1]Pricing!$A:$J,10,FALSE)</f>
        <v>0.48362439024390247</v>
      </c>
      <c r="I702">
        <f>VLOOKUP(A702,MIN!A:B,2,FALSE)</f>
        <v>25</v>
      </c>
      <c r="J702" t="str">
        <f t="shared" si="24"/>
        <v>NO</v>
      </c>
      <c r="K702">
        <f>VLOOKUP(A702,[1]Pricing!$A:$G,7,FALSE)</f>
        <v>100</v>
      </c>
      <c r="L702" t="s">
        <v>1960</v>
      </c>
      <c r="M702" t="str">
        <f t="shared" si="25"/>
        <v>671-A96800-001</v>
      </c>
    </row>
    <row r="703" spans="1:13" x14ac:dyDescent="0.25">
      <c r="A703" t="s">
        <v>1638</v>
      </c>
      <c r="B703" s="14" t="str">
        <f>VLOOKUP(A703,[1]Pricing!$A:$R,18,FALSE)</f>
        <v>SHT35-DIS-B2.5KS</v>
      </c>
      <c r="C703" t="s">
        <v>2707</v>
      </c>
      <c r="D703" t="str">
        <f>VLOOKUP(A703,[1]AVL!$A:$F,6,FALSE)</f>
        <v>SNSR,TEMP/HMD,2.15-5.5V INPUT,I2C,DFN-8</v>
      </c>
      <c r="E703" t="str">
        <f>VLOOKUP(A703,[1]Pricing!$A:$F,6,FALSE)</f>
        <v>3 Weeks</v>
      </c>
      <c r="F703">
        <f>VLOOKUP(B703,[2]Sheet2!$B:$E,4,FALSE)</f>
        <v>100</v>
      </c>
      <c r="G703" s="2">
        <f>VLOOKUP(A703,[1]Pricing!$A:$H,8,FALSE)</f>
        <v>5.9559300000000004</v>
      </c>
      <c r="H703" s="2">
        <f>VLOOKUP(A703,[1]Pricing!$A:$J,10,FALSE)</f>
        <v>7.2633292682926838</v>
      </c>
      <c r="I703">
        <f>VLOOKUP(A703,MIN!A:B,2,FALSE)</f>
        <v>25</v>
      </c>
      <c r="J703" t="str">
        <f t="shared" si="24"/>
        <v>NO</v>
      </c>
      <c r="K703">
        <f>VLOOKUP(A703,[1]Pricing!$A:$G,7,FALSE)</f>
        <v>100</v>
      </c>
      <c r="L703" t="s">
        <v>1960</v>
      </c>
      <c r="M703" t="str">
        <f t="shared" si="25"/>
        <v>679-346463-001</v>
      </c>
    </row>
    <row r="704" spans="1:13" x14ac:dyDescent="0.25">
      <c r="A704" t="s">
        <v>556</v>
      </c>
      <c r="B704" s="14" t="str">
        <f>VLOOKUP(A704,[1]Pricing!$A:$R,18,FALSE)</f>
        <v>BWR-15/330-D48A-C</v>
      </c>
      <c r="C704" t="s">
        <v>2627</v>
      </c>
      <c r="D704" t="str">
        <f>VLOOKUP(A704,[1]AVL!$A:$F,6,FALSE)</f>
        <v>PS,DC/DC,24/15V,ROHS</v>
      </c>
      <c r="E704" t="str">
        <f>VLOOKUP(A704,[1]Pricing!$A:$F,6,FALSE)</f>
        <v>55 Weeks</v>
      </c>
      <c r="F704">
        <f>VLOOKUP(B704,[2]Sheet2!$B:$E,4,FALSE)</f>
        <v>60</v>
      </c>
      <c r="G704" s="2">
        <f>VLOOKUP(A704,[1]Pricing!$A:$H,8,FALSE)</f>
        <v>74.275199999999998</v>
      </c>
      <c r="H704" s="2">
        <f>VLOOKUP(A704,[1]Pricing!$A:$J,10,FALSE)</f>
        <v>90.57951219512195</v>
      </c>
      <c r="I704">
        <f>VLOOKUP(A704,MIN!A:B,2,FALSE)</f>
        <v>15</v>
      </c>
      <c r="J704" t="str">
        <f t="shared" si="24"/>
        <v>NO</v>
      </c>
      <c r="K704">
        <f>VLOOKUP(A704,[1]Pricing!$A:$G,7,FALSE)</f>
        <v>60</v>
      </c>
      <c r="L704" t="s">
        <v>1960</v>
      </c>
      <c r="M704" t="str">
        <f t="shared" si="25"/>
        <v>660-B20622-001</v>
      </c>
    </row>
    <row r="705" spans="1:13" x14ac:dyDescent="0.25">
      <c r="A705" t="s">
        <v>885</v>
      </c>
      <c r="B705" s="14" t="str">
        <f>VLOOKUP(A705,[1]Pricing!$A:$R,18,FALSE)</f>
        <v>ESW-120-23-G-D</v>
      </c>
      <c r="C705" t="s">
        <v>2608</v>
      </c>
      <c r="D705" t="str">
        <f>VLOOKUP(A705,[1]AVL!$A:$F,6,FALSE)</f>
        <v>CONN,SKT,STP,40POSN,2ROW,2.54MM PITCH,TH</v>
      </c>
      <c r="E705" t="str">
        <f>VLOOKUP(A705,[1]Pricing!$A:$F,6,FALSE)</f>
        <v>7 Weeks</v>
      </c>
      <c r="F705">
        <f>VLOOKUP(B705,[2]Sheet2!$B:$E,4,FALSE)</f>
        <v>55</v>
      </c>
      <c r="G705" s="2">
        <f>VLOOKUP(A705,[1]Pricing!$A:$H,8,FALSE)</f>
        <v>9.5289999999999999</v>
      </c>
      <c r="H705" s="2">
        <f>VLOOKUP(A705,[1]Pricing!$A:$J,10,FALSE)</f>
        <v>11.620731707317074</v>
      </c>
      <c r="I705">
        <f>VLOOKUP(A705,MIN!A:B,2,FALSE)</f>
        <v>25</v>
      </c>
      <c r="J705" t="str">
        <f t="shared" si="24"/>
        <v>NO</v>
      </c>
      <c r="K705">
        <f>VLOOKUP(A705,[1]Pricing!$A:$G,7,FALSE)</f>
        <v>50</v>
      </c>
      <c r="L705" t="s">
        <v>1960</v>
      </c>
      <c r="M705" t="str">
        <f t="shared" si="25"/>
        <v>668-B14839-001</v>
      </c>
    </row>
    <row r="706" spans="1:13" x14ac:dyDescent="0.25">
      <c r="A706" t="s">
        <v>950</v>
      </c>
      <c r="B706" s="14" t="str">
        <f>VLOOKUP(A706,[1]Pricing!$A:$R,18,FALSE)</f>
        <v>HVCC153Y6P102KEAX</v>
      </c>
      <c r="C706" t="s">
        <v>2617</v>
      </c>
      <c r="D706" t="str">
        <f>VLOOKUP(A706,[1]AVL!$A:$F,6,FALSE)</f>
        <v>CAP,CER,DISC,1000PF,15KVDC,10% TOL,RDL</v>
      </c>
      <c r="E706" t="str">
        <f>VLOOKUP(A706,[1]Pricing!$A:$F,6,FALSE)</f>
        <v>18 Weeks</v>
      </c>
      <c r="F706">
        <f>VLOOKUP(B706,[2]Sheet2!$B:$E,4,FALSE)</f>
        <v>250</v>
      </c>
      <c r="G706" s="2">
        <f>VLOOKUP(A706,[1]Pricing!$A:$H,8,FALSE)</f>
        <v>1.778397</v>
      </c>
      <c r="H706" s="2">
        <f>VLOOKUP(A706,[1]Pricing!$A:$J,10,FALSE)</f>
        <v>2.168776829268293</v>
      </c>
      <c r="I706">
        <f>VLOOKUP(A706,MIN!A:B,2,FALSE)</f>
        <v>25</v>
      </c>
      <c r="J706" t="str">
        <f t="shared" ref="J706:J769" si="27">IF(F706&lt;=I706,"REORDER","NO")</f>
        <v>NO</v>
      </c>
      <c r="K706">
        <f>VLOOKUP(A706,[1]Pricing!$A:$G,7,FALSE)</f>
        <v>250</v>
      </c>
      <c r="L706" t="s">
        <v>1960</v>
      </c>
      <c r="M706" t="str">
        <f t="shared" si="25"/>
        <v>649-B19790-001</v>
      </c>
    </row>
    <row r="707" spans="1:13" x14ac:dyDescent="0.25">
      <c r="A707" t="s">
        <v>1754</v>
      </c>
      <c r="B707" s="14" t="str">
        <f>VLOOKUP(A707,[1]Pricing!$A:$R,18,FALSE)</f>
        <v>THS4521IDGKR</v>
      </c>
      <c r="C707" t="s">
        <v>2595</v>
      </c>
      <c r="D707" t="str">
        <f>VLOOKUP(A707,[1]AVL!$A:$F,6,FALSE)</f>
        <v>IC,SMD,DIFFAMPL,2.5-5.5V,1.14MA,VSSOP-8</v>
      </c>
      <c r="E707" t="str">
        <f>VLOOKUP(A707,[1]Pricing!$A:$F,6,FALSE)</f>
        <v>3 Weeks</v>
      </c>
      <c r="F707">
        <f>VLOOKUP(B707,[2]Sheet2!$B:$E,4,FALSE)</f>
        <v>250</v>
      </c>
      <c r="G707" s="2">
        <f>VLOOKUP(A707,[1]Pricing!$A:$H,8,FALSE)</f>
        <v>3.2250749999999999</v>
      </c>
      <c r="H707" s="2">
        <f>VLOOKUP(A707,[1]Pricing!$A:$J,10,FALSE)</f>
        <v>3.9330182926829269</v>
      </c>
      <c r="I707">
        <f>VLOOKUP(A707,MIN!A:B,2,FALSE)</f>
        <v>25</v>
      </c>
      <c r="J707" t="str">
        <f t="shared" si="27"/>
        <v>NO</v>
      </c>
      <c r="K707">
        <f>VLOOKUP(A707,[1]Pricing!$A:$G,7,FALSE)</f>
        <v>250</v>
      </c>
      <c r="L707" t="s">
        <v>1960</v>
      </c>
      <c r="M707" t="str">
        <f t="shared" si="25"/>
        <v>630-B14831-001</v>
      </c>
    </row>
    <row r="708" spans="1:13" x14ac:dyDescent="0.25">
      <c r="A708" t="s">
        <v>263</v>
      </c>
      <c r="B708" s="14" t="str">
        <f>VLOOKUP(A708,[1]Pricing!$A:$R,18,FALSE)</f>
        <v>350825-1</v>
      </c>
      <c r="C708" t="s">
        <v>2599</v>
      </c>
      <c r="D708" t="str">
        <f>VLOOKUP(A708,[1]AVL!$A:$F,6,FALSE)</f>
        <v>CONN,MATE-N-LOK,3 POS,FEMALE</v>
      </c>
      <c r="E708" t="str">
        <f>VLOOKUP(A708,[1]Pricing!$A:$F,6,FALSE)</f>
        <v>12 Weeks</v>
      </c>
      <c r="F708">
        <f>VLOOKUP(B708,[2]Sheet2!$B:$E,4,FALSE)</f>
        <v>500</v>
      </c>
      <c r="G708" s="2">
        <f>VLOOKUP(A708,[1]Pricing!$A:$H,8,FALSE)</f>
        <v>0.45046900000000001</v>
      </c>
      <c r="H708" s="2">
        <f>VLOOKUP(A708,[1]Pricing!$A:$J,10,FALSE)</f>
        <v>0.54935243902439024</v>
      </c>
      <c r="I708">
        <f>VLOOKUP(A708,MIN!A:B,2,FALSE)</f>
        <v>15</v>
      </c>
      <c r="J708" t="str">
        <f t="shared" si="27"/>
        <v>NO</v>
      </c>
      <c r="K708">
        <f>VLOOKUP(A708,[1]Pricing!$A:$G,7,FALSE)</f>
        <v>500</v>
      </c>
      <c r="L708" t="s">
        <v>1960</v>
      </c>
      <c r="M708" t="str">
        <f t="shared" si="25"/>
        <v>39-357073-00</v>
      </c>
    </row>
    <row r="709" spans="1:13" x14ac:dyDescent="0.25">
      <c r="A709" t="s">
        <v>163</v>
      </c>
      <c r="B709" s="14" t="str">
        <f>VLOOKUP(A709,[1]Pricing!$A:$R,18,FALSE)</f>
        <v>251R14S3R3BV4T</v>
      </c>
      <c r="C709" t="s">
        <v>2709</v>
      </c>
      <c r="D709" t="str">
        <f>VLOOKUP(A709,[1]AVL!$A:$F,6,FALSE)</f>
        <v>CAP,SMD,CER,3.3PF,250V,C0G/NP0,0603</v>
      </c>
      <c r="E709" t="str">
        <f>VLOOKUP(A709,[1]Pricing!$A:$F,6,FALSE)</f>
        <v>11 Weeks</v>
      </c>
      <c r="F709">
        <f>VLOOKUP(B709,[2]Sheet2!$B:$E,4,FALSE)</f>
        <v>4000</v>
      </c>
      <c r="G709" s="2">
        <f>VLOOKUP(A709,[1]Pricing!$A:$H,8,FALSE)</f>
        <v>6.1275000000000003E-2</v>
      </c>
      <c r="H709" s="2">
        <f>VLOOKUP(A709,[1]Pricing!$A:$J,10,FALSE)</f>
        <v>7.4725609756097572E-2</v>
      </c>
      <c r="I709">
        <f>VLOOKUP(A709,MIN!A:B,2,FALSE)</f>
        <v>15</v>
      </c>
      <c r="J709" t="str">
        <f t="shared" si="27"/>
        <v>NO</v>
      </c>
      <c r="K709">
        <f>VLOOKUP(A709,[1]Pricing!$A:$G,7,FALSE)</f>
        <v>4000</v>
      </c>
      <c r="L709" t="s">
        <v>1960</v>
      </c>
      <c r="M709" t="str">
        <f t="shared" ref="M709:M772" si="28">A709</f>
        <v>648-304520-001</v>
      </c>
    </row>
    <row r="710" spans="1:13" x14ac:dyDescent="0.25">
      <c r="A710" t="s">
        <v>1391</v>
      </c>
      <c r="B710" s="14" t="str">
        <f>VLOOKUP(A710,[1]Pricing!$A:$R,18,FALSE)</f>
        <v>RC1206FR-071K91L</v>
      </c>
      <c r="C710" t="s">
        <v>2580</v>
      </c>
      <c r="D710" t="str">
        <f>VLOOKUP(A710,[1]AVL!$A:$F,6,FALSE)</f>
        <v>RES,SMD,1206,1%,1/4W,1.91K,ROHS</v>
      </c>
      <c r="E710" t="str">
        <f>VLOOKUP(A710,[1]Pricing!$A:$F,6,FALSE)</f>
        <v>29 Weeks</v>
      </c>
      <c r="F710">
        <f>VLOOKUP(B710,[2]Sheet2!$B:$E,4,FALSE)</f>
        <v>5000</v>
      </c>
      <c r="G710" s="2">
        <f>VLOOKUP(A710,[1]Pricing!$A:$H,8,FALSE)</f>
        <v>8.5789999999999998E-3</v>
      </c>
      <c r="H710" s="2">
        <f>VLOOKUP(A710,[1]Pricing!$A:$J,10,FALSE)</f>
        <v>1.04621951219512E-2</v>
      </c>
      <c r="I710">
        <f>VLOOKUP(A710,MIN!A:B,2,FALSE)</f>
        <v>25</v>
      </c>
      <c r="J710" t="str">
        <f t="shared" si="27"/>
        <v>NO</v>
      </c>
      <c r="K710">
        <f>VLOOKUP(A710,[1]Pricing!$A:$G,7,FALSE)</f>
        <v>5000</v>
      </c>
      <c r="L710" t="s">
        <v>2689</v>
      </c>
      <c r="M710" t="str">
        <f t="shared" si="28"/>
        <v>615-306231-191</v>
      </c>
    </row>
    <row r="711" spans="1:13" x14ac:dyDescent="0.25">
      <c r="A711" t="s">
        <v>696</v>
      </c>
      <c r="B711" s="14" t="str">
        <f>VLOOKUP(A711,[1]Pricing!$A:$R,18,FALSE)</f>
        <v>CRCW12068K45FKEA</v>
      </c>
      <c r="C711" t="s">
        <v>2631</v>
      </c>
      <c r="D711" t="str">
        <f>VLOOKUP(A711,[1]AVL!$A:$F,6,FALSE)</f>
        <v>RES,SMD,1206,8.45K,1%,1/4W,ROHS</v>
      </c>
      <c r="E711" t="str">
        <f>VLOOKUP(A711,[1]Pricing!$A:$F,6,FALSE)</f>
        <v>15 Weeks</v>
      </c>
      <c r="F711">
        <f>VLOOKUP(B711,[2]Sheet2!$B:$E,4,FALSE)</f>
        <v>4999</v>
      </c>
      <c r="G711" s="2">
        <f>VLOOKUP(A711,[1]Pricing!$A:$H,8,FALSE)</f>
        <v>7.3530000000000002E-3</v>
      </c>
      <c r="H711" s="2">
        <f>VLOOKUP(A711,[1]Pricing!$A:$J,10,FALSE)</f>
        <v>8.9670731707317073E-3</v>
      </c>
      <c r="I711">
        <f>VLOOKUP(A711,MIN!A:B,2,FALSE)</f>
        <v>15</v>
      </c>
      <c r="J711" t="str">
        <f t="shared" si="27"/>
        <v>NO</v>
      </c>
      <c r="K711">
        <f>VLOOKUP(A711,[1]Pricing!$A:$G,7,FALSE)</f>
        <v>5000</v>
      </c>
      <c r="L711" t="s">
        <v>1960</v>
      </c>
      <c r="M711" t="str">
        <f t="shared" si="28"/>
        <v>615-116028-845</v>
      </c>
    </row>
    <row r="712" spans="1:13" x14ac:dyDescent="0.25">
      <c r="A712" t="s">
        <v>1409</v>
      </c>
      <c r="B712" s="14" t="str">
        <f>VLOOKUP(A712,[1]Pricing!$A:$R,18,FALSE)</f>
        <v>RC1206FR-073K24L</v>
      </c>
      <c r="C712" t="s">
        <v>2632</v>
      </c>
      <c r="D712" t="str">
        <f>VLOOKUP(A712,[1]AVL!$A:$F,6,FALSE)</f>
        <v>RES,1206,1% 1/4W,3.24K ROHS</v>
      </c>
      <c r="E712" t="str">
        <f>VLOOKUP(A712,[1]Pricing!$A:$F,6,FALSE)</f>
        <v>15 Weeks</v>
      </c>
      <c r="F712">
        <f>VLOOKUP(B712,[2]Sheet2!$B:$E,4,FALSE)</f>
        <v>5000</v>
      </c>
      <c r="G712" s="2">
        <f>VLOOKUP(A712,[1]Pricing!$A:$H,8,FALSE)</f>
        <v>8.5789999999999998E-3</v>
      </c>
      <c r="H712" s="2">
        <f>VLOOKUP(A712,[1]Pricing!$A:$J,10,FALSE)</f>
        <v>1.046219512195122E-2</v>
      </c>
      <c r="I712">
        <f>VLOOKUP(A712,MIN!A:B,2,FALSE)</f>
        <v>15</v>
      </c>
      <c r="J712" t="str">
        <f t="shared" si="27"/>
        <v>NO</v>
      </c>
      <c r="K712">
        <f>VLOOKUP(A712,[1]Pricing!$A:$G,7,FALSE)</f>
        <v>5000</v>
      </c>
      <c r="L712" t="s">
        <v>1960</v>
      </c>
      <c r="M712" t="str">
        <f t="shared" si="28"/>
        <v>615-116028-324</v>
      </c>
    </row>
    <row r="713" spans="1:13" x14ac:dyDescent="0.25">
      <c r="A713" t="s">
        <v>397</v>
      </c>
      <c r="B713" s="14">
        <f>VLOOKUP(A713,[1]Pricing!$A:$R,18,FALSE)</f>
        <v>7443551370</v>
      </c>
      <c r="C713" t="s">
        <v>2701</v>
      </c>
      <c r="D713" t="str">
        <f>VLOOKUP(A713,[1]AVL!$A:$F,6,FALSE)</f>
        <v>IDCTR,SMD,WW,3.7UH,±20%,17A,SHLD,1365</v>
      </c>
      <c r="E713" t="str">
        <f>VLOOKUP(A713,[1]Pricing!$A:$F,6,FALSE)</f>
        <v>3 Weeks</v>
      </c>
      <c r="F713">
        <f>VLOOKUP(B713,[2]Sheet2!$B:$E,4,FALSE)</f>
        <v>335</v>
      </c>
      <c r="G713" s="2">
        <f>VLOOKUP(A713,[1]Pricing!$A:$H,8,FALSE)</f>
        <v>2.4510000000000001</v>
      </c>
      <c r="H713" s="2">
        <f>VLOOKUP(A713,[1]Pricing!$A:$J,10,FALSE)</f>
        <v>2.9890243902439027</v>
      </c>
      <c r="I713">
        <f>VLOOKUP(A713,MIN!A:B,2,FALSE)</f>
        <v>15</v>
      </c>
      <c r="J713" t="str">
        <f t="shared" si="27"/>
        <v>NO</v>
      </c>
      <c r="K713">
        <f>VLOOKUP(A713,[1]Pricing!$A:$G,7,FALSE)</f>
        <v>400</v>
      </c>
      <c r="L713" t="s">
        <v>1960</v>
      </c>
      <c r="M713" t="str">
        <f t="shared" si="28"/>
        <v>639-A66354-001</v>
      </c>
    </row>
    <row r="714" spans="1:13" x14ac:dyDescent="0.25">
      <c r="A714" t="s">
        <v>456</v>
      </c>
      <c r="B714" s="14">
        <f>VLOOKUP(A714,[1]Pricing!$A:$R,18,FALSE)</f>
        <v>9564517512</v>
      </c>
      <c r="C714" t="s">
        <v>2570</v>
      </c>
      <c r="D714" t="str">
        <f>VLOOKUP(A714,[1]AVL!$A:$F,6,FALSE)</f>
        <v>CONN,RCPT,DSUB,HD,ST,FEM,62P,ROHS</v>
      </c>
      <c r="E714" t="str">
        <f>VLOOKUP(A714,[1]Pricing!$A:$F,6,FALSE)</f>
        <v>18 Weeks</v>
      </c>
      <c r="F714">
        <f>VLOOKUP(B714,[2]Sheet2!$B:$E,4,FALSE)</f>
        <v>100</v>
      </c>
      <c r="G714" s="2">
        <f>VLOOKUP(A714,[1]Pricing!$A:$H,8,FALSE)</f>
        <v>9.6691950000000002</v>
      </c>
      <c r="H714" s="2">
        <f>VLOOKUP(A714,[1]Pricing!$A:$J,10,FALSE)</f>
        <v>11.791701219512197</v>
      </c>
      <c r="I714">
        <f>VLOOKUP(A714,MIN!A:B,2,FALSE)</f>
        <v>25</v>
      </c>
      <c r="J714" t="str">
        <f t="shared" si="27"/>
        <v>NO</v>
      </c>
      <c r="K714">
        <f>VLOOKUP(A714,[1]Pricing!$A:$G,7,FALSE)</f>
        <v>100</v>
      </c>
      <c r="L714" t="s">
        <v>1960</v>
      </c>
      <c r="M714" t="str">
        <f t="shared" si="28"/>
        <v>668-117019-062</v>
      </c>
    </row>
    <row r="715" spans="1:13" x14ac:dyDescent="0.25">
      <c r="A715" t="s">
        <v>66</v>
      </c>
      <c r="B715" s="14" t="str">
        <f>VLOOKUP(A715,[1]Pricing!$A:$R,18,FALSE)</f>
        <v>1410-L110-L1F1-S01-8A</v>
      </c>
      <c r="C715" t="s">
        <v>2611</v>
      </c>
      <c r="D715" t="str">
        <f>VLOOKUP(A715,[1]AVL!$A:$F,6,FALSE)</f>
        <v>CB,8A,PC MOUNT</v>
      </c>
      <c r="E715" t="str">
        <f>VLOOKUP(A715,[1]Pricing!$A:$F,6,FALSE)</f>
        <v>9 Weeks</v>
      </c>
      <c r="F715">
        <f>VLOOKUP(B715,[2]Sheet2!$B:$E,4,FALSE)</f>
        <v>49</v>
      </c>
      <c r="G715" s="2">
        <f>VLOOKUP(A715,[1]Pricing!$A:$H,8,FALSE)</f>
        <v>6.968928</v>
      </c>
      <c r="H715" s="2">
        <f>VLOOKUP(A715,[1]Pricing!$A:$J,10,FALSE)</f>
        <v>8.4986926829268299</v>
      </c>
      <c r="I715">
        <f>VLOOKUP(A715,MIN!A:B,2,FALSE)</f>
        <v>25</v>
      </c>
      <c r="J715" t="str">
        <f t="shared" si="27"/>
        <v>NO</v>
      </c>
      <c r="K715">
        <f>VLOOKUP(A715,[1]Pricing!$A:$G,7,FALSE)</f>
        <v>50</v>
      </c>
      <c r="L715" t="s">
        <v>1960</v>
      </c>
      <c r="M715" t="str">
        <f t="shared" si="28"/>
        <v>34-143740-08</v>
      </c>
    </row>
    <row r="716" spans="1:13" x14ac:dyDescent="0.25">
      <c r="A716" t="s">
        <v>1616</v>
      </c>
      <c r="B716" s="14" t="str">
        <f>VLOOKUP(A716,[1]Pricing!$A:$R,18,FALSE)</f>
        <v>SBR5E45P5-7</v>
      </c>
      <c r="C716" t="s">
        <v>2634</v>
      </c>
      <c r="D716" t="str">
        <f>VLOOKUP(A716,[1]AVL!$A:$F,6,FALSE)</f>
        <v>DIO,SMD,SUPER BARR RECT,5A,45V,POWERDI5</v>
      </c>
      <c r="E716" t="str">
        <f>VLOOKUP(A716,[1]Pricing!$A:$F,6,FALSE)</f>
        <v>15 Weeks</v>
      </c>
      <c r="F716">
        <f>VLOOKUP(B716,[2]Sheet2!$B:$E,4,FALSE)</f>
        <v>4500</v>
      </c>
      <c r="G716" s="2">
        <f>VLOOKUP(A716,[1]Pricing!$A:$H,8,FALSE)</f>
        <v>0.16717000000000001</v>
      </c>
      <c r="H716" s="2">
        <f>VLOOKUP(A716,[1]Pricing!$A:$J,10,FALSE)</f>
        <v>0.2038658536585366</v>
      </c>
      <c r="I716">
        <f>VLOOKUP(A716,MIN!A:B,2,FALSE)</f>
        <v>25</v>
      </c>
      <c r="J716" t="str">
        <f t="shared" si="27"/>
        <v>NO</v>
      </c>
      <c r="K716">
        <f>VLOOKUP(A716,[1]Pricing!$A:$G,7,FALSE)</f>
        <v>5000</v>
      </c>
      <c r="L716" t="s">
        <v>1960</v>
      </c>
      <c r="M716" t="str">
        <f t="shared" si="28"/>
        <v>609-A92271-001</v>
      </c>
    </row>
    <row r="717" spans="1:13" x14ac:dyDescent="0.25">
      <c r="A717" t="s">
        <v>970</v>
      </c>
      <c r="B717" s="14" t="str">
        <f>VLOOKUP(A717,[1]Pricing!$A:$R,18,FALSE)</f>
        <v>INA826AIDGKR</v>
      </c>
      <c r="C717" t="s">
        <v>2595</v>
      </c>
      <c r="D717" t="str">
        <f>VLOOKUP(A717,[1]AVL!$A:$F,6,FALSE)</f>
        <v>IC,SMD,OP AMP INSTR 1MHZ 8MSOP</v>
      </c>
      <c r="E717" t="str">
        <f>VLOOKUP(A717,[1]Pricing!$A:$F,6,FALSE)</f>
        <v>3 Weeks</v>
      </c>
      <c r="F717">
        <f>VLOOKUP(B717,[2]Sheet2!$B:$E,4,FALSE)</f>
        <v>2500</v>
      </c>
      <c r="G717" s="2">
        <f>VLOOKUP(A717,[1]Pricing!$A:$H,8,FALSE)</f>
        <v>1.3848149999999999</v>
      </c>
      <c r="H717" s="2">
        <f>VLOOKUP(A717,[1]Pricing!$A:$J,10,FALSE)</f>
        <v>1.6887987804878049</v>
      </c>
      <c r="I717">
        <f>VLOOKUP(A717,MIN!A:B,2,FALSE)</f>
        <v>25</v>
      </c>
      <c r="J717" t="str">
        <f t="shared" si="27"/>
        <v>NO</v>
      </c>
      <c r="K717">
        <f>VLOOKUP(A717,[1]Pricing!$A:$G,7,FALSE)</f>
        <v>2500</v>
      </c>
      <c r="L717" t="s">
        <v>1960</v>
      </c>
      <c r="M717" t="str">
        <f t="shared" si="28"/>
        <v>630-122889-001</v>
      </c>
    </row>
    <row r="718" spans="1:13" x14ac:dyDescent="0.25">
      <c r="A718" t="s">
        <v>1524</v>
      </c>
      <c r="B718" s="14" t="str">
        <f>VLOOKUP(A718,[1]Pricing!$A:$R,18,FALSE)</f>
        <v>RT0402BRD0719K1L</v>
      </c>
      <c r="C718" t="s">
        <v>2618</v>
      </c>
      <c r="D718" t="str">
        <f>VLOOKUP(A718,[1]AVL!$A:$F,6,FALSE)</f>
        <v>RES,SMD,19.1KOHM,0.1%,1/16W,0402</v>
      </c>
      <c r="E718" t="str">
        <f>VLOOKUP(A718,[1]Pricing!$A:$F,6,FALSE)</f>
        <v>27 Weeks</v>
      </c>
      <c r="F718">
        <f>VLOOKUP(B718,[2]Sheet2!$B:$E,4,FALSE)</f>
        <v>19818</v>
      </c>
      <c r="G718" s="2">
        <f>VLOOKUP(A718,[1]Pricing!$A:$H,8,FALSE)</f>
        <v>4.1116E-2</v>
      </c>
      <c r="H718" s="2">
        <f>VLOOKUP(A718,[1]Pricing!$A:$J,10,FALSE)</f>
        <v>5.0141463414634151E-2</v>
      </c>
      <c r="I718">
        <f>VLOOKUP(A718,MIN!A:B,2,FALSE)</f>
        <v>15</v>
      </c>
      <c r="J718" t="str">
        <f t="shared" si="27"/>
        <v>NO</v>
      </c>
      <c r="K718">
        <f>VLOOKUP(A718,[1]Pricing!$A:$G,7,FALSE)</f>
        <v>10000</v>
      </c>
      <c r="L718" t="s">
        <v>1960</v>
      </c>
      <c r="M718" t="str">
        <f t="shared" si="28"/>
        <v>615-A00424-191</v>
      </c>
    </row>
    <row r="719" spans="1:13" x14ac:dyDescent="0.25">
      <c r="A719" t="s">
        <v>1792</v>
      </c>
      <c r="B719" s="14" t="str">
        <f>VLOOKUP(A719,[1]Pricing!$A:$R,18,FALSE)</f>
        <v>TPS568215RNNR</v>
      </c>
      <c r="C719" t="s">
        <v>2595</v>
      </c>
      <c r="D719" t="str">
        <f>VLOOKUP(A719,[1]AVL!$A:$F,6,FALSE)</f>
        <v>IC,SMD,BUCK CONV,4.5-17VIN,8A,18-VQFN</v>
      </c>
      <c r="E719" t="str">
        <f>VLOOKUP(A719,[1]Pricing!$A:$F,6,FALSE)</f>
        <v>9 Weeks</v>
      </c>
      <c r="F719">
        <f>VLOOKUP(B719,[2]Sheet2!$B:$E,4,FALSE)</f>
        <v>3000</v>
      </c>
      <c r="G719" s="2">
        <f>VLOOKUP(A719,[1]Pricing!$A:$H,8,FALSE)</f>
        <v>1.2500100000000001</v>
      </c>
      <c r="H719" s="2">
        <f>VLOOKUP(A719,[1]Pricing!$A:$J,10,FALSE)</f>
        <v>1.5244024390243904</v>
      </c>
      <c r="I719">
        <f>VLOOKUP(A719,MIN!A:B,2,FALSE)</f>
        <v>25</v>
      </c>
      <c r="J719" t="str">
        <f t="shared" si="27"/>
        <v>NO</v>
      </c>
      <c r="K719">
        <f>VLOOKUP(A719,[1]Pricing!$A:$G,7,FALSE)</f>
        <v>3000</v>
      </c>
      <c r="L719" t="s">
        <v>1960</v>
      </c>
      <c r="M719" t="str">
        <f t="shared" si="28"/>
        <v>630-346019-001</v>
      </c>
    </row>
    <row r="720" spans="1:13" x14ac:dyDescent="0.25">
      <c r="A720" t="s">
        <v>1038</v>
      </c>
      <c r="B720" s="14" t="str">
        <f>VLOOKUP(A720,[1]Pricing!$A:$R,18,FALSE)</f>
        <v>LM2907MX-8/NOPB</v>
      </c>
      <c r="C720" t="s">
        <v>2595</v>
      </c>
      <c r="D720" t="str">
        <f>VLOOKUP(A720,[1]AVL!$A:$F,6,FALSE)</f>
        <v>IC,SMD,F/V CONVERTOR</v>
      </c>
      <c r="E720" t="str">
        <f>VLOOKUP(A720,[1]Pricing!$A:$F,6,FALSE)</f>
        <v>9 Weeks</v>
      </c>
      <c r="F720">
        <f>VLOOKUP(B720,[2]Sheet2!$B:$E,4,FALSE)</f>
        <v>2249</v>
      </c>
      <c r="G720" s="2">
        <f>VLOOKUP(A720,[1]Pricing!$A:$H,8,FALSE)</f>
        <v>0.91912499999999997</v>
      </c>
      <c r="H720" s="2">
        <f>VLOOKUP(A720,[1]Pricing!$A:$J,10,FALSE)</f>
        <v>1.1208841463414634</v>
      </c>
      <c r="I720">
        <f>VLOOKUP(A720,MIN!A:B,2,FALSE)</f>
        <v>25</v>
      </c>
      <c r="J720" t="str">
        <f t="shared" si="27"/>
        <v>NO</v>
      </c>
      <c r="K720">
        <f>VLOOKUP(A720,[1]Pricing!$A:$G,7,FALSE)</f>
        <v>2500</v>
      </c>
      <c r="L720" t="s">
        <v>1960</v>
      </c>
      <c r="M720" t="str">
        <f t="shared" si="28"/>
        <v>630-148462-001</v>
      </c>
    </row>
    <row r="721" spans="1:13" x14ac:dyDescent="0.25">
      <c r="A721" t="s">
        <v>1450</v>
      </c>
      <c r="B721" s="14" t="str">
        <f>VLOOKUP(A721,[1]Pricing!$A:$R,18,FALSE)</f>
        <v>REF5025AIDR</v>
      </c>
      <c r="C721" t="s">
        <v>2595</v>
      </c>
      <c r="D721" t="str">
        <f>VLOOKUP(A721,[1]AVL!$A:$F,6,FALSE)</f>
        <v>IC,SMD,2.5V REF SUPPLY</v>
      </c>
      <c r="E721" t="str">
        <f>VLOOKUP(A721,[1]Pricing!$A:$F,6,FALSE)</f>
        <v>3 Weeks</v>
      </c>
      <c r="F721">
        <f>VLOOKUP(B721,[2]Sheet2!$B:$E,4,FALSE)</f>
        <v>2500</v>
      </c>
      <c r="G721" s="2">
        <f>VLOOKUP(A721,[1]Pricing!$A:$H,8,FALSE)</f>
        <v>1.5931500000000001</v>
      </c>
      <c r="H721" s="2">
        <f>VLOOKUP(A721,[1]Pricing!$A:$J,10,FALSE)</f>
        <v>1.9428658536585368</v>
      </c>
      <c r="I721">
        <f>VLOOKUP(A721,MIN!A:B,2,FALSE)</f>
        <v>15</v>
      </c>
      <c r="J721" t="str">
        <f t="shared" si="27"/>
        <v>NO</v>
      </c>
      <c r="K721">
        <f>VLOOKUP(A721,[1]Pricing!$A:$G,7,FALSE)</f>
        <v>2500</v>
      </c>
      <c r="L721" t="s">
        <v>1960</v>
      </c>
      <c r="M721" t="str">
        <f t="shared" si="28"/>
        <v>630-116956-001</v>
      </c>
    </row>
    <row r="722" spans="1:13" x14ac:dyDescent="0.25">
      <c r="A722" t="s">
        <v>1157</v>
      </c>
      <c r="B722" s="14" t="str">
        <f>VLOOKUP(A722,[1]Pricing!$A:$R,18,FALSE)</f>
        <v>MBRS540T3G</v>
      </c>
      <c r="C722" t="s">
        <v>2623</v>
      </c>
      <c r="D722" t="str">
        <f>VLOOKUP(A722,[1]AVL!$A:$F,6,FALSE)</f>
        <v>DIO,SMD,SCHOTTKY,5A,40V,ROHS</v>
      </c>
      <c r="E722" t="str">
        <f>VLOOKUP(A722,[1]Pricing!$A:$F,6,FALSE)</f>
        <v>19 Weeks</v>
      </c>
      <c r="F722">
        <f>VLOOKUP(B722,[2]Sheet2!$B:$E,4,FALSE)</f>
        <v>2500</v>
      </c>
      <c r="G722" s="2">
        <f>VLOOKUP(A722,[1]Pricing!$A:$H,8,FALSE)</f>
        <v>0.219365</v>
      </c>
      <c r="H722" s="2">
        <f>VLOOKUP(A722,[1]Pricing!$A:$J,10,FALSE)</f>
        <v>0.26751829268292687</v>
      </c>
      <c r="I722">
        <f>VLOOKUP(A722,MIN!A:B,2,FALSE)</f>
        <v>15</v>
      </c>
      <c r="J722" t="str">
        <f t="shared" si="27"/>
        <v>NO</v>
      </c>
      <c r="K722">
        <f>VLOOKUP(A722,[1]Pricing!$A:$G,7,FALSE)</f>
        <v>2500</v>
      </c>
      <c r="L722" t="s">
        <v>1960</v>
      </c>
      <c r="M722" t="str">
        <f t="shared" si="28"/>
        <v>609-088967-001</v>
      </c>
    </row>
    <row r="723" spans="1:13" x14ac:dyDescent="0.25">
      <c r="A723" t="s">
        <v>1782</v>
      </c>
      <c r="B723" s="14" t="str">
        <f>VLOOKUP(A723,[1]Pricing!$A:$R,18,FALSE)</f>
        <v>TPS16630PWPT</v>
      </c>
      <c r="C723" t="s">
        <v>2595</v>
      </c>
      <c r="D723" t="str">
        <f>VLOOKUP(A723,[1]AVL!$A:$F,6,FALSE)</f>
        <v>IC,SMD,E-FUSE,60V,6A,HTSSOP-20</v>
      </c>
      <c r="E723" t="str">
        <f>VLOOKUP(A723,[1]Pricing!$A:$F,6,FALSE)</f>
        <v>74 Weeks</v>
      </c>
      <c r="F723">
        <f>VLOOKUP(B723,[2]Sheet2!$B:$E,4,FALSE)</f>
        <v>2000</v>
      </c>
      <c r="G723" s="2">
        <f>VLOOKUP(A723,[1]Pricing!$A:$H,8,FALSE)</f>
        <v>1.7892300000000001</v>
      </c>
      <c r="H723" s="2">
        <f>VLOOKUP(A723,[1]Pricing!$A:$J,10,FALSE)</f>
        <v>2.181987804878049</v>
      </c>
      <c r="I723">
        <f>VLOOKUP(A723,MIN!A:B,2,FALSE)</f>
        <v>15</v>
      </c>
      <c r="J723" t="str">
        <f t="shared" si="27"/>
        <v>NO</v>
      </c>
      <c r="K723">
        <f>VLOOKUP(A723,[1]Pricing!$A:$G,7,FALSE)</f>
        <v>2000</v>
      </c>
      <c r="L723" t="s">
        <v>1960</v>
      </c>
      <c r="M723" t="str">
        <f t="shared" si="28"/>
        <v>630-A39011-001</v>
      </c>
    </row>
    <row r="724" spans="1:13" x14ac:dyDescent="0.25">
      <c r="A724" t="s">
        <v>409</v>
      </c>
      <c r="B724" s="14" t="str">
        <f>VLOOKUP(A724,[1]Pricing!$A:$R,18,FALSE)</f>
        <v>74ACT11030D</v>
      </c>
      <c r="C724" t="s">
        <v>2595</v>
      </c>
      <c r="D724" t="str">
        <f>VLOOKUP(A724,[1]AVL!$A:$F,6,FALSE)</f>
        <v>IC,SMD,8 INPUT,NAND,14PIN,4.5-5.5V,SOIC</v>
      </c>
      <c r="E724" t="str">
        <f>VLOOKUP(A724,[1]Pricing!$A:$F,6,FALSE)</f>
        <v>15 Weeks</v>
      </c>
      <c r="F724">
        <f>VLOOKUP(B724,[2]Sheet2!$B:$E,4,FALSE)</f>
        <v>499</v>
      </c>
      <c r="G724" s="2">
        <f>VLOOKUP(A724,[1]Pricing!$A:$H,8,FALSE)</f>
        <v>1.4705999999999999</v>
      </c>
      <c r="H724" s="2">
        <f>VLOOKUP(A724,[1]Pricing!$A:$J,10,FALSE)</f>
        <v>1.7934146341463415</v>
      </c>
      <c r="I724">
        <f>VLOOKUP(A724,MIN!A:B,2,FALSE)</f>
        <v>15</v>
      </c>
      <c r="J724" t="str">
        <f t="shared" si="27"/>
        <v>NO</v>
      </c>
      <c r="K724">
        <f>VLOOKUP(A724,[1]Pricing!$A:$G,7,FALSE)</f>
        <v>500</v>
      </c>
      <c r="L724" t="s">
        <v>1960</v>
      </c>
      <c r="M724" t="str">
        <f t="shared" si="28"/>
        <v>630-332743-001</v>
      </c>
    </row>
    <row r="725" spans="1:13" x14ac:dyDescent="0.25">
      <c r="A725" t="s">
        <v>958</v>
      </c>
      <c r="B725" s="14" t="str">
        <f>VLOOKUP(A725,[1]Pricing!$A:$R,18,FALSE)</f>
        <v>ICD15S13E6GV00LF</v>
      </c>
      <c r="C725" t="s">
        <v>2658</v>
      </c>
      <c r="D725" t="str">
        <f>VLOOKUP(A725,[1]AVL!$A:$F,6,FALSE)</f>
        <v>CONN,RCPT,DSUB,HD,R/A,15P,3A</v>
      </c>
      <c r="E725" t="str">
        <f>VLOOKUP(A725,[1]Pricing!$A:$F,6,FALSE)</f>
        <v>17 Weeks</v>
      </c>
      <c r="F725">
        <f>VLOOKUP(B725,[2]Sheet2!$B:$E,4,FALSE)</f>
        <v>300</v>
      </c>
      <c r="G725" s="2">
        <f>VLOOKUP(A725,[1]Pricing!$A:$H,8,FALSE)</f>
        <v>1.458345</v>
      </c>
      <c r="H725" s="2">
        <f>VLOOKUP(A725,[1]Pricing!$A:$J,10,FALSE)</f>
        <v>1.7784695121951222</v>
      </c>
      <c r="I725">
        <f>VLOOKUP(A725,MIN!A:B,2,FALSE)</f>
        <v>25</v>
      </c>
      <c r="J725" t="str">
        <f t="shared" si="27"/>
        <v>NO</v>
      </c>
      <c r="K725">
        <f>VLOOKUP(A725,[1]Pricing!$A:$G,7,FALSE)</f>
        <v>300</v>
      </c>
      <c r="L725" t="s">
        <v>1960</v>
      </c>
      <c r="M725" t="str">
        <f t="shared" si="28"/>
        <v>668-327250-001</v>
      </c>
    </row>
    <row r="726" spans="1:13" x14ac:dyDescent="0.25">
      <c r="A726" t="s">
        <v>966</v>
      </c>
      <c r="B726" s="14" t="str">
        <f>VLOOKUP(A726,[1]Pricing!$A:$R,18,FALSE)</f>
        <v>INA128U/2K5</v>
      </c>
      <c r="C726" t="s">
        <v>2710</v>
      </c>
      <c r="D726" t="str">
        <f>VLOOKUP(A726,[1]AVL!$A:$F,6,FALSE)</f>
        <v>IC,SMD,INA128U</v>
      </c>
      <c r="E726" t="str">
        <f>VLOOKUP(A726,[1]Pricing!$A:$F,6,FALSE)</f>
        <v>3 Weeks</v>
      </c>
      <c r="F726">
        <f>VLOOKUP(B726,[2]Sheet2!$B:$E,4,FALSE)</f>
        <v>250</v>
      </c>
      <c r="G726" s="2">
        <f>VLOOKUP(A726,[1]Pricing!$A:$H,8,FALSE)</f>
        <v>7.8432000000000004</v>
      </c>
      <c r="H726" s="2">
        <f>VLOOKUP(A726,[1]Pricing!$A:$J,10,FALSE)</f>
        <v>9.5648780487804892</v>
      </c>
      <c r="I726">
        <f>VLOOKUP(A726,MIN!A:B,2,FALSE)</f>
        <v>15</v>
      </c>
      <c r="J726" t="str">
        <f t="shared" si="27"/>
        <v>NO</v>
      </c>
      <c r="K726">
        <f>VLOOKUP(A726,[1]Pricing!$A:$G,7,FALSE)</f>
        <v>225</v>
      </c>
      <c r="L726" t="s">
        <v>1960</v>
      </c>
      <c r="M726" t="str">
        <f t="shared" si="28"/>
        <v>630-089742-001</v>
      </c>
    </row>
    <row r="727" spans="1:13" x14ac:dyDescent="0.25">
      <c r="A727" t="s">
        <v>956</v>
      </c>
      <c r="B727" s="14" t="str">
        <f>VLOOKUP(A727,[1]Pricing!$A:$R,18,FALSE)</f>
        <v>IAUC80N04S6L032ATMA1</v>
      </c>
      <c r="C727" t="s">
        <v>2572</v>
      </c>
      <c r="D727" t="str">
        <f>VLOOKUP(A727,[1]AVL!$A:$F,6,FALSE)</f>
        <v>XSTR,SMD,MOSFET,N-CHAN,40V,80A,TDSON-8</v>
      </c>
      <c r="E727" t="str">
        <f>VLOOKUP(A727,[1]Pricing!$A:$F,6,FALSE)</f>
        <v>21 Weeks</v>
      </c>
      <c r="F727">
        <f>VLOOKUP(B727,[2]Sheet2!$B:$E,4,FALSE)</f>
        <v>4870</v>
      </c>
      <c r="G727" s="2">
        <f>VLOOKUP(A727,[1]Pricing!$A:$H,8,FALSE)</f>
        <v>0.34314</v>
      </c>
      <c r="H727" s="2">
        <f>VLOOKUP(A727,[1]Pricing!$A:$J,10,FALSE)</f>
        <v>0.41846341463414638</v>
      </c>
      <c r="I727">
        <f>VLOOKUP(A727,MIN!A:B,2,FALSE)</f>
        <v>25</v>
      </c>
      <c r="J727" t="str">
        <f t="shared" si="27"/>
        <v>NO</v>
      </c>
      <c r="K727">
        <f>VLOOKUP(A727,[1]Pricing!$A:$G,7,FALSE)</f>
        <v>5000</v>
      </c>
      <c r="L727" t="s">
        <v>1960</v>
      </c>
      <c r="M727" t="str">
        <f t="shared" si="28"/>
        <v>626-A73824-001</v>
      </c>
    </row>
    <row r="728" spans="1:13" x14ac:dyDescent="0.25">
      <c r="A728" t="s">
        <v>548</v>
      </c>
      <c r="B728" s="14" t="str">
        <f>VLOOKUP(A728,[1]Pricing!$A:$R,18,FALSE)</f>
        <v>BSC080N03LSGATMA1</v>
      </c>
      <c r="C728" t="s">
        <v>2572</v>
      </c>
      <c r="D728" t="str">
        <f>VLOOKUP(A728,[1]AVL!$A:$F,6,FALSE)</f>
        <v>MOSFET,SMD,N-CH,30V,53A,TDSON-8</v>
      </c>
      <c r="E728" t="str">
        <f>VLOOKUP(A728,[1]Pricing!$A:$F,6,FALSE)</f>
        <v>3 Weeks</v>
      </c>
      <c r="F728">
        <f>VLOOKUP(B728,[2]Sheet2!$B:$E,4,FALSE)</f>
        <v>5000</v>
      </c>
      <c r="G728" s="2">
        <f>VLOOKUP(A728,[1]Pricing!$A:$H,8,FALSE)</f>
        <v>0.298483</v>
      </c>
      <c r="H728" s="2">
        <f>VLOOKUP(A728,[1]Pricing!$A:$J,10,FALSE)</f>
        <v>0.36400365853658539</v>
      </c>
      <c r="I728">
        <f>VLOOKUP(A728,MIN!A:B,2,FALSE)</f>
        <v>15</v>
      </c>
      <c r="J728" t="str">
        <f t="shared" si="27"/>
        <v>NO</v>
      </c>
      <c r="K728">
        <f>VLOOKUP(A728,[1]Pricing!$A:$G,7,FALSE)</f>
        <v>5000</v>
      </c>
      <c r="L728" t="s">
        <v>1960</v>
      </c>
      <c r="M728" t="str">
        <f t="shared" si="28"/>
        <v>628-A20933-001</v>
      </c>
    </row>
    <row r="729" spans="1:13" x14ac:dyDescent="0.25">
      <c r="A729" t="s">
        <v>1748</v>
      </c>
      <c r="B729" s="14" t="str">
        <f>VLOOKUP(A729,[1]Pricing!$A:$R,18,FALSE)</f>
        <v>TGHLV25R0JE</v>
      </c>
      <c r="C729" t="s">
        <v>2640</v>
      </c>
      <c r="D729" t="str">
        <f>VLOOKUP(A729,[1]AVL!$A:$F,6,FALSE)</f>
        <v>RES,THK FILM,25 OHM,5%,200W,SOT227</v>
      </c>
      <c r="E729" t="str">
        <f>VLOOKUP(A729,[1]Pricing!$A:$F,6,FALSE)</f>
        <v>20 Weeks</v>
      </c>
      <c r="F729">
        <f>VLOOKUP(B729,[2]Sheet2!$B:$E,4,FALSE)</f>
        <v>50</v>
      </c>
      <c r="G729" s="2">
        <f>VLOOKUP(A729,[1]Pricing!$A:$H,8,FALSE)</f>
        <v>45.821444999999997</v>
      </c>
      <c r="H729" s="2">
        <f>VLOOKUP(A729,[1]Pricing!$A:$J,10,FALSE)</f>
        <v>55.879810975609757</v>
      </c>
      <c r="I729">
        <f>VLOOKUP(A729,MIN!A:B,2,FALSE)</f>
        <v>25</v>
      </c>
      <c r="J729" t="str">
        <f t="shared" si="27"/>
        <v>NO</v>
      </c>
      <c r="K729">
        <f>VLOOKUP(A729,[1]Pricing!$A:$G,7,FALSE)</f>
        <v>50</v>
      </c>
      <c r="L729" t="s">
        <v>1960</v>
      </c>
      <c r="M729" t="str">
        <f t="shared" si="28"/>
        <v>618-B36776-250</v>
      </c>
    </row>
    <row r="730" spans="1:13" x14ac:dyDescent="0.25">
      <c r="A730" t="s">
        <v>516</v>
      </c>
      <c r="B730" s="14" t="str">
        <f>VLOOKUP(A730,[1]Pricing!$A:$R,18,FALSE)</f>
        <v>ASP-134604-01</v>
      </c>
      <c r="C730" t="s">
        <v>2608</v>
      </c>
      <c r="D730" t="str">
        <f>VLOOKUP(A730,[1]AVL!$A:$F,6,FALSE)</f>
        <v>CONN,SMD,VITA57.1 FMC MEZZ LPC, 160POS</v>
      </c>
      <c r="E730" t="str">
        <f>VLOOKUP(A730,[1]Pricing!$A:$F,6,FALSE)</f>
        <v>6 Weeks</v>
      </c>
      <c r="F730">
        <f>VLOOKUP(B730,[2]Sheet2!$B:$E,4,FALSE)</f>
        <v>54</v>
      </c>
      <c r="G730" s="2">
        <f>VLOOKUP(A730,[1]Pricing!$A:$H,8,FALSE)</f>
        <v>10.698615</v>
      </c>
      <c r="H730" s="2">
        <f>VLOOKUP(A730,[1]Pricing!$A:$J,10,FALSE)</f>
        <v>13.047091463414635</v>
      </c>
      <c r="I730">
        <f>VLOOKUP(A730,MIN!A:B,2,FALSE)</f>
        <v>25</v>
      </c>
      <c r="J730" t="str">
        <f t="shared" si="27"/>
        <v>NO</v>
      </c>
      <c r="K730">
        <f>VLOOKUP(A730,[1]Pricing!$A:$G,7,FALSE)</f>
        <v>200</v>
      </c>
      <c r="L730" t="s">
        <v>2689</v>
      </c>
      <c r="M730" t="str">
        <f t="shared" si="28"/>
        <v>667-204367-001</v>
      </c>
    </row>
    <row r="731" spans="1:13" x14ac:dyDescent="0.25">
      <c r="A731" t="s">
        <v>334</v>
      </c>
      <c r="B731" s="14" t="str">
        <f>VLOOKUP(A731,[1]Pricing!$A:$R,18,FALSE)</f>
        <v>532602B02500G</v>
      </c>
      <c r="C731" t="s">
        <v>2711</v>
      </c>
      <c r="D731" t="str">
        <f>VLOOKUP(A731,[1]AVL!$A:$F,6,FALSE)</f>
        <v>HTSK,TO-220,1.5IN</v>
      </c>
      <c r="E731" t="str">
        <f>VLOOKUP(A731,[1]Pricing!$A:$F,6,FALSE)</f>
        <v>9 Weeks</v>
      </c>
      <c r="F731">
        <f>VLOOKUP(B731,[2]Sheet2!$B:$E,4,FALSE)</f>
        <v>230</v>
      </c>
      <c r="G731" s="2">
        <f>VLOOKUP(A731,[1]Pricing!$A:$H,8,FALSE)</f>
        <v>1.629915</v>
      </c>
      <c r="H731" s="2">
        <f>VLOOKUP(A731,[1]Pricing!$A:$J,10,FALSE)</f>
        <v>1.9877012195121952</v>
      </c>
      <c r="I731">
        <f>VLOOKUP(A731,MIN!A:B,2,FALSE)</f>
        <v>15</v>
      </c>
      <c r="J731" t="str">
        <f t="shared" si="27"/>
        <v>NO</v>
      </c>
      <c r="K731">
        <f>VLOOKUP(A731,[1]Pricing!$A:$G,7,FALSE)</f>
        <v>240</v>
      </c>
      <c r="L731" t="s">
        <v>1960</v>
      </c>
      <c r="M731" t="str">
        <f t="shared" si="28"/>
        <v>779-130536-001</v>
      </c>
    </row>
    <row r="732" spans="1:13" x14ac:dyDescent="0.25">
      <c r="A732" t="s">
        <v>304</v>
      </c>
      <c r="B732" s="14" t="str">
        <f>VLOOKUP(A732,[1]Pricing!$A:$R,18,FALSE)</f>
        <v>50SVPK120M</v>
      </c>
      <c r="C732" t="s">
        <v>2618</v>
      </c>
      <c r="D732" t="str">
        <f>VLOOKUP(A732,[1]AVL!$A:$F,6,FALSE)</f>
        <v>CAP,SMD,AL,ELCTLT,20%,50V,120UF,10MM DIA</v>
      </c>
      <c r="E732" t="str">
        <f>VLOOKUP(A732,[1]Pricing!$A:$F,6,FALSE)</f>
        <v>3 Weeks</v>
      </c>
      <c r="F732">
        <f>VLOOKUP(B732,[2]Sheet2!$B:$E,4,FALSE)</f>
        <v>294</v>
      </c>
      <c r="G732" s="2">
        <f>VLOOKUP(A732,[1]Pricing!$A:$H,8,FALSE)</f>
        <v>1.5421450000000001</v>
      </c>
      <c r="H732" s="2">
        <f>VLOOKUP(A732,[1]Pricing!$A:$J,10,FALSE)</f>
        <v>1.8806646341463418</v>
      </c>
      <c r="I732">
        <f>VLOOKUP(A732,MIN!A:B,2,FALSE)</f>
        <v>25</v>
      </c>
      <c r="J732" t="str">
        <f t="shared" si="27"/>
        <v>NO</v>
      </c>
      <c r="K732">
        <f>VLOOKUP(A732,[1]Pricing!$A:$G,7,FALSE)</f>
        <v>400</v>
      </c>
      <c r="L732" t="s">
        <v>2689</v>
      </c>
      <c r="M732" t="str">
        <f t="shared" si="28"/>
        <v>648-A89447-120</v>
      </c>
    </row>
    <row r="733" spans="1:13" x14ac:dyDescent="0.25">
      <c r="A733" t="s">
        <v>348</v>
      </c>
      <c r="B733" s="14" t="str">
        <f>VLOOKUP(A733,[1]Pricing!$A:$R,18,FALSE)</f>
        <v>564R60GAS10</v>
      </c>
      <c r="C733" t="s">
        <v>2617</v>
      </c>
      <c r="D733" t="str">
        <f>VLOOKUP(A733,[1]AVL!$A:$F,6,FALSE)</f>
        <v>CAP,CER,DISC,0.01UF,±20%,6KV,Z5U,RDL</v>
      </c>
      <c r="E733" t="str">
        <f>VLOOKUP(A733,[1]Pricing!$A:$F,6,FALSE)</f>
        <v>3 Weeks</v>
      </c>
      <c r="F733">
        <f>VLOOKUP(B733,[2]Sheet2!$B:$E,4,FALSE)</f>
        <v>50</v>
      </c>
      <c r="G733" s="2">
        <f>VLOOKUP(A733,[1]Pricing!$A:$H,8,FALSE)</f>
        <v>4.4853300000000003</v>
      </c>
      <c r="H733" s="2">
        <f>VLOOKUP(A733,[1]Pricing!$A:$J,10,FALSE)</f>
        <v>5.4699146341463418</v>
      </c>
      <c r="I733">
        <f>VLOOKUP(A733,MIN!A:B,2,FALSE)</f>
        <v>25</v>
      </c>
      <c r="J733" t="str">
        <f t="shared" si="27"/>
        <v>NO</v>
      </c>
      <c r="K733">
        <f>VLOOKUP(A733,[1]Pricing!$A:$G,7,FALSE)</f>
        <v>50</v>
      </c>
      <c r="L733" t="s">
        <v>1960</v>
      </c>
      <c r="M733" t="str">
        <f t="shared" si="28"/>
        <v>649-A29466-001</v>
      </c>
    </row>
    <row r="734" spans="1:13" x14ac:dyDescent="0.25">
      <c r="A734" t="s">
        <v>1448</v>
      </c>
      <c r="B734" s="14" t="str">
        <f>VLOOKUP(A734,[1]Pricing!$A:$R,18,FALSE)</f>
        <v>RDEC71E226K3K1H03B</v>
      </c>
      <c r="C734" t="s">
        <v>2712</v>
      </c>
      <c r="D734" t="str">
        <f>VLOOKUP(A734,[1]AVL!$A:$F,6,FALSE)</f>
        <v>CAP,CER,22UF,25VDC,±10%TOL,X7S,INS CRP</v>
      </c>
      <c r="E734" t="str">
        <f>VLOOKUP(A734,[1]Pricing!$A:$F,6,FALSE)</f>
        <v>15 Weeks</v>
      </c>
      <c r="F734">
        <f>VLOOKUP(B734,[2]Sheet2!$B:$E,4,FALSE)</f>
        <v>500</v>
      </c>
      <c r="G734" s="2">
        <f>VLOOKUP(A734,[1]Pricing!$A:$H,8,FALSE)</f>
        <v>0.58088700000000004</v>
      </c>
      <c r="H734" s="2">
        <f>VLOOKUP(A734,[1]Pricing!$A:$J,10,FALSE)</f>
        <v>0.70839878048780502</v>
      </c>
      <c r="I734">
        <f>VLOOKUP(A734,MIN!A:B,2,FALSE)</f>
        <v>25</v>
      </c>
      <c r="J734" t="str">
        <f t="shared" si="27"/>
        <v>NO</v>
      </c>
      <c r="K734">
        <f>VLOOKUP(A734,[1]Pricing!$A:$G,7,FALSE)</f>
        <v>500</v>
      </c>
      <c r="L734" t="s">
        <v>1960</v>
      </c>
      <c r="M734" t="str">
        <f t="shared" si="28"/>
        <v>649-336799-001</v>
      </c>
    </row>
    <row r="735" spans="1:13" x14ac:dyDescent="0.25">
      <c r="A735" t="s">
        <v>1640</v>
      </c>
      <c r="B735" s="14" t="str">
        <f>VLOOKUP(A735,[1]Pricing!$A:$R,18,FALSE)</f>
        <v>SI2399DS-T1-GE3</v>
      </c>
      <c r="C735" t="s">
        <v>2617</v>
      </c>
      <c r="D735" t="str">
        <f>VLOOKUP(A735,[1]AVL!$A:$F,6,FALSE)</f>
        <v>MOSFET,SMD,P-CH,20V,6A,2.5W,SOT-23-3</v>
      </c>
      <c r="E735" t="str">
        <f>VLOOKUP(A735,[1]Pricing!$A:$F,6,FALSE)</f>
        <v>3 Weeks</v>
      </c>
      <c r="F735">
        <f>VLOOKUP(B735,[2]Sheet2!$B:$E,4,FALSE)</f>
        <v>2950</v>
      </c>
      <c r="G735" s="2">
        <f>VLOOKUP(A735,[1]Pricing!$A:$H,8,FALSE)</f>
        <v>0.15196200000000001</v>
      </c>
      <c r="H735" s="2">
        <f>VLOOKUP(A735,[1]Pricing!$A:$J,10,FALSE)</f>
        <v>0.18531951219512197</v>
      </c>
      <c r="I735">
        <f>VLOOKUP(A735,MIN!A:B,2,FALSE)</f>
        <v>25</v>
      </c>
      <c r="J735" t="str">
        <f t="shared" si="27"/>
        <v>NO</v>
      </c>
      <c r="K735">
        <f>VLOOKUP(A735,[1]Pricing!$A:$G,7,FALSE)</f>
        <v>3000</v>
      </c>
      <c r="L735" t="s">
        <v>1960</v>
      </c>
      <c r="M735" t="str">
        <f t="shared" si="28"/>
        <v>628-277026-001</v>
      </c>
    </row>
    <row r="736" spans="1:13" x14ac:dyDescent="0.25">
      <c r="A736" t="s">
        <v>883</v>
      </c>
      <c r="B736" s="14" t="str">
        <f>VLOOKUP(A736,[1]Pricing!$A:$R,18,FALSE)</f>
        <v>ESR03EZPF7502</v>
      </c>
      <c r="C736" t="s">
        <v>2630</v>
      </c>
      <c r="D736" t="str">
        <f>VLOOKUP(A736,[1]AVL!$A:$F,6,FALSE)</f>
        <v>RES,SMD,75K OHM,+/-1%,1/4W,100PPM,0603</v>
      </c>
      <c r="E736" t="str">
        <f>VLOOKUP(A736,[1]Pricing!$A:$F,6,FALSE)</f>
        <v>16 Weeks</v>
      </c>
      <c r="F736">
        <f>VLOOKUP(B736,[2]Sheet2!$B:$E,4,FALSE)</f>
        <v>5000</v>
      </c>
      <c r="G736" s="2">
        <f>VLOOKUP(A736,[1]Pricing!$A:$H,8,FALSE)</f>
        <v>1.5932000000000002E-2</v>
      </c>
      <c r="H736" s="2">
        <f>VLOOKUP(A736,[1]Pricing!$A:$J,10,FALSE)</f>
        <v>1.942926829268293E-2</v>
      </c>
      <c r="I736">
        <f>VLOOKUP(A736,MIN!A:B,2,FALSE)</f>
        <v>15</v>
      </c>
      <c r="J736" t="str">
        <f t="shared" si="27"/>
        <v>NO</v>
      </c>
      <c r="K736">
        <f>VLOOKUP(A736,[1]Pricing!$A:$G,7,FALSE)</f>
        <v>5000</v>
      </c>
      <c r="L736" t="s">
        <v>1960</v>
      </c>
      <c r="M736" t="str">
        <f t="shared" si="28"/>
        <v>615-A14987-004</v>
      </c>
    </row>
    <row r="737" spans="1:13" x14ac:dyDescent="0.25">
      <c r="A737" t="s">
        <v>105</v>
      </c>
      <c r="B737" s="14" t="str">
        <f>VLOOKUP(A737,[1]Pricing!$A:$R,18,FALSE)</f>
        <v>1-770182-1</v>
      </c>
      <c r="C737" t="s">
        <v>2599</v>
      </c>
      <c r="D737" t="str">
        <f>VLOOKUP(A737,[1]AVL!$A:$F,6,FALSE)</f>
        <v>CONN,HDR,PCB,ST,MINI-U M-N-LOK,9P,ROHS</v>
      </c>
      <c r="E737" t="str">
        <f>VLOOKUP(A737,[1]Pricing!$A:$F,6,FALSE)</f>
        <v>8 Weeks</v>
      </c>
      <c r="F737">
        <f>VLOOKUP(B737,[2]Sheet2!$B:$E,4,FALSE)</f>
        <v>380</v>
      </c>
      <c r="G737" s="2">
        <f>VLOOKUP(A737,[1]Pricing!$A:$H,8,FALSE)</f>
        <v>1.64</v>
      </c>
      <c r="H737" s="2">
        <f>VLOOKUP(A737,[1]Pricing!$A:$J,10,FALSE)</f>
        <v>2</v>
      </c>
      <c r="I737">
        <f>VLOOKUP(A737,MIN!A:B,2,FALSE)</f>
        <v>15</v>
      </c>
      <c r="J737" t="str">
        <f t="shared" si="27"/>
        <v>NO</v>
      </c>
      <c r="K737">
        <f>VLOOKUP(A737,[1]Pricing!$A:$G,7,FALSE)</f>
        <v>200</v>
      </c>
      <c r="L737" t="s">
        <v>2689</v>
      </c>
      <c r="M737" t="str">
        <f t="shared" si="28"/>
        <v>668-061260-009</v>
      </c>
    </row>
    <row r="738" spans="1:13" x14ac:dyDescent="0.25">
      <c r="A738" t="s">
        <v>1262</v>
      </c>
      <c r="B738" s="14" t="str">
        <f>VLOOKUP(A738,[1]Pricing!$A:$R,18,FALSE)</f>
        <v>PLT0805Z5000AST5</v>
      </c>
      <c r="C738" t="s">
        <v>2617</v>
      </c>
      <c r="D738" t="str">
        <f>VLOOKUP(A738,[1]AVL!$A:$F,6,FALSE)</f>
        <v>RES,0805,TF,0.25W,0.05%,500 ROHS</v>
      </c>
      <c r="E738" t="str">
        <f>VLOOKUP(A738,[1]Pricing!$A:$F,6,FALSE)</f>
        <v>110 Weeks</v>
      </c>
      <c r="F738">
        <f>VLOOKUP(B738,[2]Sheet2!$B:$E,4,FALSE)</f>
        <v>489</v>
      </c>
      <c r="G738" s="2">
        <f>VLOOKUP(A738,[1]Pricing!$A:$H,8,FALSE)</f>
        <v>2.0465849999999999</v>
      </c>
      <c r="H738" s="2">
        <f>VLOOKUP(A738,[1]Pricing!$A:$J,10,FALSE)</f>
        <v>2.4958353658536585</v>
      </c>
      <c r="I738">
        <f>VLOOKUP(A738,MIN!A:B,2,FALSE)</f>
        <v>15</v>
      </c>
      <c r="J738" t="str">
        <f t="shared" si="27"/>
        <v>NO</v>
      </c>
      <c r="K738">
        <f>VLOOKUP(A738,[1]Pricing!$A:$G,7,FALSE)</f>
        <v>500</v>
      </c>
      <c r="L738" t="s">
        <v>1960</v>
      </c>
      <c r="M738" t="str">
        <f t="shared" si="28"/>
        <v>615-162505-001</v>
      </c>
    </row>
    <row r="739" spans="1:13" x14ac:dyDescent="0.25">
      <c r="A739" t="s">
        <v>978</v>
      </c>
      <c r="B739" s="14" t="str">
        <f>VLOOKUP(A739,[1]Pricing!$A:$R,18,FALSE)</f>
        <v>ISC012N04LM6ATMA1</v>
      </c>
      <c r="C739" t="s">
        <v>2572</v>
      </c>
      <c r="D739" t="str">
        <f>VLOOKUP(A739,[1]AVL!$A:$F,6,FALSE)</f>
        <v>XSTR,SMD,FIELD EFT,N-CH,40V,238A</v>
      </c>
      <c r="E739" t="str">
        <f>VLOOKUP(A739,[1]Pricing!$A:$F,6,FALSE)</f>
        <v>3 Weeks</v>
      </c>
      <c r="F739">
        <f>VLOOKUP(B739,[2]Sheet2!$B:$E,4,FALSE)</f>
        <v>52</v>
      </c>
      <c r="G739" s="2">
        <f>VLOOKUP(A739,[1]Pricing!$A:$H,8,FALSE)</f>
        <v>1.6421699999999999</v>
      </c>
      <c r="H739" s="2">
        <f>VLOOKUP(A739,[1]Pricing!$A:$J,10,FALSE)</f>
        <v>2.0026463414634148</v>
      </c>
      <c r="I739">
        <f>VLOOKUP(A739,MIN!A:B,2,FALSE)</f>
        <v>15</v>
      </c>
      <c r="J739" t="str">
        <f t="shared" si="27"/>
        <v>NO</v>
      </c>
      <c r="K739">
        <f>VLOOKUP(A739,[1]Pricing!$A:$G,7,FALSE)</f>
        <v>100</v>
      </c>
      <c r="L739" t="s">
        <v>1960</v>
      </c>
      <c r="M739" t="str">
        <f t="shared" si="28"/>
        <v>626-232475-002</v>
      </c>
    </row>
    <row r="740" spans="1:13" x14ac:dyDescent="0.25">
      <c r="A740" t="s">
        <v>660</v>
      </c>
      <c r="B740" s="14" t="str">
        <f>VLOOKUP(A740,[1]Pricing!$A:$R,18,FALSE)</f>
        <v>CNY17-2</v>
      </c>
      <c r="C740" t="s">
        <v>2617</v>
      </c>
      <c r="D740" t="str">
        <f>VLOOKUP(A740,[1]AVL!$A:$F,6,FALSE)</f>
        <v>IC,OPTCPLR,PHOTO XSTR OUT,DIP-6</v>
      </c>
      <c r="E740" t="str">
        <f>VLOOKUP(A740,[1]Pricing!$A:$F,6,FALSE)</f>
        <v>27 Weeks</v>
      </c>
      <c r="F740">
        <f>VLOOKUP(B740,[2]Sheet2!$B:$E,4,FALSE)</f>
        <v>2000</v>
      </c>
      <c r="G740" s="2">
        <f>VLOOKUP(A740,[1]Pricing!$A:$H,8,FALSE)</f>
        <v>0.125001</v>
      </c>
      <c r="H740" s="2">
        <f>VLOOKUP(A740,[1]Pricing!$A:$J,10,FALSE)</f>
        <v>0.15244024390243904</v>
      </c>
      <c r="I740">
        <f>VLOOKUP(A740,MIN!A:B,2,FALSE)</f>
        <v>25</v>
      </c>
      <c r="J740" t="str">
        <f t="shared" si="27"/>
        <v>NO</v>
      </c>
      <c r="K740">
        <f>VLOOKUP(A740,[1]Pricing!$A:$G,7,FALSE)</f>
        <v>2000</v>
      </c>
      <c r="L740" t="s">
        <v>1960</v>
      </c>
      <c r="M740" t="str">
        <f t="shared" si="28"/>
        <v>631-B33254-001</v>
      </c>
    </row>
    <row r="741" spans="1:13" x14ac:dyDescent="0.25">
      <c r="A741" t="s">
        <v>1650</v>
      </c>
      <c r="B741" s="14" t="str">
        <f>VLOOKUP(A741,[1]Pricing!$A:$R,18,FALSE)</f>
        <v>SMAJ4740A</v>
      </c>
      <c r="C741" t="s">
        <v>2688</v>
      </c>
      <c r="D741" t="str">
        <f>VLOOKUP(A741,[1]AVL!$A:$F,6,FALSE)</f>
        <v>DIO,SMD,ZENER,1W,10V</v>
      </c>
      <c r="E741" t="str">
        <f>VLOOKUP(A741,[1]Pricing!$A:$F,6,FALSE)</f>
        <v>23 Weeks</v>
      </c>
      <c r="F741">
        <f>VLOOKUP(B741,[2]Sheet2!$B:$E,4,FALSE)</f>
        <v>664</v>
      </c>
      <c r="G741" s="2">
        <f>VLOOKUP(A741,[1]Pricing!$A:$H,8,FALSE)</f>
        <v>8.4909999999999999E-2</v>
      </c>
      <c r="H741" s="2">
        <f>VLOOKUP(A741,[1]Pricing!$A:$J,10,FALSE)</f>
        <v>0.10354878048780489</v>
      </c>
      <c r="I741">
        <f>VLOOKUP(A741,MIN!A:B,2,FALSE)</f>
        <v>15</v>
      </c>
      <c r="J741" t="str">
        <f t="shared" si="27"/>
        <v>NO</v>
      </c>
      <c r="K741">
        <f>VLOOKUP(A741,[1]Pricing!$A:$G,7,FALSE)</f>
        <v>7500</v>
      </c>
      <c r="L741" t="s">
        <v>1960</v>
      </c>
      <c r="M741" t="str">
        <f t="shared" si="28"/>
        <v>609-117182-001</v>
      </c>
    </row>
    <row r="742" spans="1:13" x14ac:dyDescent="0.25">
      <c r="A742" t="s">
        <v>1778</v>
      </c>
      <c r="B742" s="14" t="str">
        <f>VLOOKUP(A742,[1]Pricing!$A:$R,18,FALSE)</f>
        <v>TNPW1206200RBEEA</v>
      </c>
      <c r="C742" t="s">
        <v>2617</v>
      </c>
      <c r="D742" t="str">
        <f>VLOOKUP(A742,[1]AVL!$A:$F,6,FALSE)</f>
        <v>RES,1206,TF,0.1%,+/- 25 PPM,200 ROHS</v>
      </c>
      <c r="E742" t="str">
        <f>VLOOKUP(A742,[1]Pricing!$A:$F,6,FALSE)</f>
        <v>25 Weeks</v>
      </c>
      <c r="F742">
        <f>VLOOKUP(B742,[2]Sheet2!$B:$E,4,FALSE)</f>
        <v>4920</v>
      </c>
      <c r="G742" s="2">
        <f>VLOOKUP(A742,[1]Pricing!$A:$H,8,FALSE)</f>
        <v>0.190247</v>
      </c>
      <c r="H742" s="2">
        <f>VLOOKUP(A742,[1]Pricing!$A:$J,10,FALSE)</f>
        <v>0.23200853658536585</v>
      </c>
      <c r="I742">
        <f>VLOOKUP(A742,MIN!A:B,2,FALSE)</f>
        <v>15</v>
      </c>
      <c r="J742" t="str">
        <f t="shared" si="27"/>
        <v>NO</v>
      </c>
      <c r="K742">
        <f>VLOOKUP(A742,[1]Pricing!$A:$G,7,FALSE)</f>
        <v>5000</v>
      </c>
      <c r="L742" t="s">
        <v>1960</v>
      </c>
      <c r="M742" t="str">
        <f t="shared" si="28"/>
        <v>615-080142-200</v>
      </c>
    </row>
    <row r="743" spans="1:13" x14ac:dyDescent="0.25">
      <c r="A743" t="s">
        <v>1075</v>
      </c>
      <c r="B743" s="14" t="str">
        <f>VLOOKUP(A743,[1]Pricing!$A:$R,18,FALSE)</f>
        <v>LS7184NS</v>
      </c>
      <c r="C743" t="s">
        <v>2713</v>
      </c>
      <c r="D743" t="str">
        <f>VLOOKUP(A743,[1]AVL!$A:$F,6,FALSE)</f>
        <v>IC,SMD,QUAD CLK CNVTR</v>
      </c>
      <c r="E743" t="str">
        <f>VLOOKUP(A743,[1]Pricing!$A:$F,6,FALSE)</f>
        <v>3 Weeks</v>
      </c>
      <c r="F743">
        <f>VLOOKUP(B743,[2]Sheet2!$B:$E,4,FALSE)</f>
        <v>75</v>
      </c>
      <c r="G743" s="2">
        <f>VLOOKUP(A743,[1]Pricing!$A:$H,8,FALSE)</f>
        <v>3.7531500000000007</v>
      </c>
      <c r="H743" s="2">
        <f>VLOOKUP(A743,[1]Pricing!$A:$J,10,FALSE)</f>
        <v>4.5770121951219522</v>
      </c>
      <c r="I743">
        <f>VLOOKUP(A743,MIN!A:B,2,FALSE)</f>
        <v>15</v>
      </c>
      <c r="J743" t="str">
        <f t="shared" si="27"/>
        <v>NO</v>
      </c>
      <c r="K743">
        <f>VLOOKUP(A743,[1]Pricing!$A:$G,7,FALSE)</f>
        <v>94</v>
      </c>
      <c r="L743" t="s">
        <v>2689</v>
      </c>
      <c r="M743" t="str">
        <f t="shared" si="28"/>
        <v>630-049539-002</v>
      </c>
    </row>
    <row r="744" spans="1:13" x14ac:dyDescent="0.25">
      <c r="A744" t="s">
        <v>1566</v>
      </c>
      <c r="B744" s="14" t="str">
        <f>VLOOKUP(A744,[1]Pricing!$A:$R,18,FALSE)</f>
        <v>RT0402BRE0750RL</v>
      </c>
      <c r="C744" t="s">
        <v>2580</v>
      </c>
      <c r="D744" t="str">
        <f>VLOOKUP(A744,[1]AVL!$A:$F,6,FALSE)</f>
        <v>RES,SMD,50OHM,.1% TOL,1/16W,0402</v>
      </c>
      <c r="E744" t="str">
        <f>VLOOKUP(A744,[1]Pricing!$A:$F,6,FALSE)</f>
        <v>27 Weeks</v>
      </c>
      <c r="F744">
        <f>VLOOKUP(B744,[2]Sheet2!$B:$E,4,FALSE)</f>
        <v>8935</v>
      </c>
      <c r="G744" s="2">
        <f>VLOOKUP(A744,[1]Pricing!$A:$H,8,FALSE)</f>
        <v>3.7108000000000002E-2</v>
      </c>
      <c r="H744" s="2">
        <f>VLOOKUP(A744,[1]Pricing!$A:$J,10,FALSE)</f>
        <v>4.5253658536585369E-2</v>
      </c>
      <c r="I744">
        <f>VLOOKUP(A744,MIN!A:B,2,FALSE)</f>
        <v>15</v>
      </c>
      <c r="J744" t="str">
        <f t="shared" si="27"/>
        <v>NO</v>
      </c>
      <c r="K744">
        <f>VLOOKUP(A744,[1]Pricing!$A:$G,7,FALSE)</f>
        <v>10000</v>
      </c>
      <c r="L744" t="s">
        <v>1960</v>
      </c>
      <c r="M744" t="str">
        <f t="shared" si="28"/>
        <v>615-B11215-001</v>
      </c>
    </row>
    <row r="745" spans="1:13" x14ac:dyDescent="0.25">
      <c r="A745" t="s">
        <v>1500</v>
      </c>
      <c r="B745" s="14" t="str">
        <f>VLOOKUP(A745,[1]Pricing!$A:$R,18,FALSE)</f>
        <v>RNCP0805FTD40K2</v>
      </c>
      <c r="C745" t="s">
        <v>2628</v>
      </c>
      <c r="D745" t="str">
        <f>VLOOKUP(A745,[1]AVL!$A:$F,6,FALSE)</f>
        <v>RES,SMD,40.2K OHM,+/-1%,1/4W,HP,0805</v>
      </c>
      <c r="E745" t="str">
        <f>VLOOKUP(A745,[1]Pricing!$A:$F,6,FALSE)</f>
        <v>17 Weeks</v>
      </c>
      <c r="F745">
        <f>VLOOKUP(B745,[2]Sheet2!$B:$E,4,FALSE)</f>
        <v>5000</v>
      </c>
      <c r="G745" s="2">
        <f>VLOOKUP(A745,[1]Pricing!$A:$H,8,FALSE)</f>
        <v>8.5789999999999998E-3</v>
      </c>
      <c r="H745" s="2">
        <f>VLOOKUP(A745,[1]Pricing!$A:$J,10,FALSE)</f>
        <v>1.046219512195122E-2</v>
      </c>
      <c r="I745">
        <f>VLOOKUP(A745,MIN!A:B,2,FALSE)</f>
        <v>25</v>
      </c>
      <c r="J745" t="str">
        <f t="shared" si="27"/>
        <v>NO</v>
      </c>
      <c r="K745">
        <f>VLOOKUP(A745,[1]Pricing!$A:$G,7,FALSE)</f>
        <v>5000</v>
      </c>
      <c r="L745" t="s">
        <v>1960</v>
      </c>
      <c r="M745" t="str">
        <f t="shared" si="28"/>
        <v>615-220118-005</v>
      </c>
    </row>
    <row r="746" spans="1:13" x14ac:dyDescent="0.25">
      <c r="A746" t="s">
        <v>819</v>
      </c>
      <c r="B746" s="14" t="str">
        <f>VLOOKUP(A746,[1]Pricing!$A:$R,18,FALSE)</f>
        <v>ERA-6AEB241V</v>
      </c>
      <c r="C746" t="s">
        <v>2652</v>
      </c>
      <c r="D746" t="str">
        <f>VLOOKUP(A746,[1]AVL!$A:$F,6,FALSE)</f>
        <v>RES,0805,TF,1/8W,0.1%,25PPM,240 ROHS</v>
      </c>
      <c r="E746" t="str">
        <f>VLOOKUP(A746,[1]Pricing!$A:$F,6,FALSE)</f>
        <v>22 Weeks</v>
      </c>
      <c r="F746">
        <f>VLOOKUP(B746,[2]Sheet2!$B:$E,4,FALSE)</f>
        <v>9989</v>
      </c>
      <c r="G746" s="2">
        <f>VLOOKUP(A746,[1]Pricing!$A:$H,8,FALSE)</f>
        <v>5.0245999999999999E-2</v>
      </c>
      <c r="H746" s="2">
        <f>VLOOKUP(A746,[1]Pricing!$A:$J,10,FALSE)</f>
        <v>6.1275609756097561E-2</v>
      </c>
      <c r="I746">
        <f>VLOOKUP(A746,MIN!A:B,2,FALSE)</f>
        <v>15</v>
      </c>
      <c r="J746" t="str">
        <f t="shared" si="27"/>
        <v>NO</v>
      </c>
      <c r="K746">
        <f>VLOOKUP(A746,[1]Pricing!$A:$G,7,FALSE)</f>
        <v>5000</v>
      </c>
      <c r="L746" t="s">
        <v>1960</v>
      </c>
      <c r="M746" t="str">
        <f t="shared" si="28"/>
        <v>615-162861-080</v>
      </c>
    </row>
    <row r="747" spans="1:13" x14ac:dyDescent="0.25">
      <c r="A747" t="s">
        <v>897</v>
      </c>
      <c r="B747" s="14" t="str">
        <f>VLOOKUP(A747,[1]Pricing!$A:$R,18,FALSE)</f>
        <v>FSV1550V</v>
      </c>
      <c r="C747" t="s">
        <v>2623</v>
      </c>
      <c r="D747" t="str">
        <f>VLOOKUP(A747,[1]AVL!$A:$F,6,FALSE)</f>
        <v>DIO,SMD,SCHOTTKY,790MV,15A,TO-277-3</v>
      </c>
      <c r="E747" t="str">
        <f>VLOOKUP(A747,[1]Pricing!$A:$F,6,FALSE)</f>
        <v>29 Weeks</v>
      </c>
      <c r="F747">
        <f>VLOOKUP(B747,[2]Sheet2!$B:$E,4,FALSE)</f>
        <v>5000</v>
      </c>
      <c r="G747" s="2">
        <f>VLOOKUP(A747,[1]Pricing!$A:$H,8,FALSE)</f>
        <v>0.54534800000000005</v>
      </c>
      <c r="H747" s="2">
        <f>VLOOKUP(A747,[1]Pricing!$A:$J,10,FALSE)</f>
        <v>0.66505853658536596</v>
      </c>
      <c r="I747">
        <f>VLOOKUP(A747,MIN!A:B,2,FALSE)</f>
        <v>15</v>
      </c>
      <c r="J747" t="str">
        <f t="shared" si="27"/>
        <v>NO</v>
      </c>
      <c r="K747">
        <f>VLOOKUP(A747,[1]Pricing!$A:$G,7,FALSE)</f>
        <v>5000</v>
      </c>
      <c r="L747" t="s">
        <v>1960</v>
      </c>
      <c r="M747" t="str">
        <f t="shared" si="28"/>
        <v>609-A71211-001</v>
      </c>
    </row>
    <row r="748" spans="1:13" x14ac:dyDescent="0.25">
      <c r="A748" t="s">
        <v>1652</v>
      </c>
      <c r="B748" s="14" t="str">
        <f>VLOOKUP(A748,[1]Pricing!$A:$R,18,FALSE)</f>
        <v>SMBJ13A</v>
      </c>
      <c r="C748" t="s">
        <v>2620</v>
      </c>
      <c r="D748" t="str">
        <f>VLOOKUP(A748,[1]AVL!$A:$F,6,FALSE)</f>
        <v>DIO,SMD,PWR,TVS,600W,13V,ROHS</v>
      </c>
      <c r="E748" t="str">
        <f>VLOOKUP(A748,[1]Pricing!$A:$F,6,FALSE)</f>
        <v>15 Weeks</v>
      </c>
      <c r="F748">
        <f>VLOOKUP(B748,[2]Sheet2!$B:$E,4,FALSE)</f>
        <v>2850</v>
      </c>
      <c r="G748" s="2">
        <f>VLOOKUP(A748,[1]Pricing!$A:$H,8,FALSE)</f>
        <v>9.0687000000000004E-2</v>
      </c>
      <c r="H748" s="2">
        <f>VLOOKUP(A748,[1]Pricing!$A:$J,10,FALSE)</f>
        <v>0.11059390243902441</v>
      </c>
      <c r="I748">
        <f>VLOOKUP(A748,MIN!A:B,2,FALSE)</f>
        <v>25</v>
      </c>
      <c r="J748" t="str">
        <f t="shared" si="27"/>
        <v>NO</v>
      </c>
      <c r="K748">
        <f>VLOOKUP(A748,[1]Pricing!$A:$G,7,FALSE)</f>
        <v>3000</v>
      </c>
      <c r="L748" t="s">
        <v>1960</v>
      </c>
      <c r="M748" t="str">
        <f t="shared" si="28"/>
        <v>609-034003-013</v>
      </c>
    </row>
    <row r="749" spans="1:13" x14ac:dyDescent="0.25">
      <c r="A749" t="s">
        <v>893</v>
      </c>
      <c r="B749" s="14" t="str">
        <f>VLOOKUP(A749,[1]Pricing!$A:$R,18,FALSE)</f>
        <v>FDMS8460</v>
      </c>
      <c r="C749" t="s">
        <v>2623</v>
      </c>
      <c r="D749" t="str">
        <f>VLOOKUP(A749,[1]AVL!$A:$F,6,FALSE)</f>
        <v>XSTR,SMD,FIELD EFT,N-CH,40V,49A,2.2M OHM</v>
      </c>
      <c r="E749" t="str">
        <f>VLOOKUP(A749,[1]Pricing!$A:$F,6,FALSE)</f>
        <v>36 Weeks</v>
      </c>
      <c r="F749">
        <f>VLOOKUP(B749,[2]Sheet2!$B:$E,4,FALSE)</f>
        <v>2940</v>
      </c>
      <c r="G749" s="2">
        <f>VLOOKUP(A749,[1]Pricing!$A:$H,8,FALSE)</f>
        <v>1.1801569999999999</v>
      </c>
      <c r="H749" s="2">
        <f>VLOOKUP(A749,[1]Pricing!$A:$J,10,FALSE)</f>
        <v>1.4392158536585367</v>
      </c>
      <c r="I749">
        <f>VLOOKUP(A749,MIN!A:B,2,FALSE)</f>
        <v>25</v>
      </c>
      <c r="J749" t="str">
        <f t="shared" si="27"/>
        <v>NO</v>
      </c>
      <c r="K749">
        <f>VLOOKUP(A749,[1]Pricing!$A:$G,7,FALSE)</f>
        <v>3000</v>
      </c>
      <c r="L749" t="s">
        <v>1960</v>
      </c>
      <c r="M749" t="str">
        <f t="shared" si="28"/>
        <v>626-345771-001</v>
      </c>
    </row>
    <row r="750" spans="1:13" x14ac:dyDescent="0.25">
      <c r="A750" t="s">
        <v>1711</v>
      </c>
      <c r="B750" s="14" t="str">
        <f>VLOOKUP(A750,[1]Pricing!$A:$R,18,FALSE)</f>
        <v>SS26T3G</v>
      </c>
      <c r="C750" t="s">
        <v>2623</v>
      </c>
      <c r="D750" t="str">
        <f>VLOOKUP(A750,[1]AVL!$A:$F,6,FALSE)</f>
        <v>DIO,SMD,SCHOTTKY,60V,2A</v>
      </c>
      <c r="E750" t="str">
        <f>VLOOKUP(A750,[1]Pricing!$A:$F,6,FALSE)</f>
        <v>13 Weeks</v>
      </c>
      <c r="F750">
        <f>VLOOKUP(B750,[2]Sheet2!$B:$E,4,FALSE)</f>
        <v>1000</v>
      </c>
      <c r="G750" s="2">
        <f>VLOOKUP(A750,[1]Pricing!$A:$H,8,FALSE)</f>
        <v>0.116423</v>
      </c>
      <c r="H750" s="2">
        <f>VLOOKUP(A750,[1]Pricing!$A:$J,10,FALSE)</f>
        <v>0.14197926829268293</v>
      </c>
      <c r="I750">
        <f>VLOOKUP(A750,MIN!A:B,2,FALSE)</f>
        <v>15</v>
      </c>
      <c r="J750" t="str">
        <f t="shared" si="27"/>
        <v>NO</v>
      </c>
      <c r="K750">
        <f>VLOOKUP(A750,[1]Pricing!$A:$G,7,FALSE)</f>
        <v>750</v>
      </c>
      <c r="L750" t="s">
        <v>1960</v>
      </c>
      <c r="M750" t="str">
        <f t="shared" si="28"/>
        <v>609-066834-060</v>
      </c>
    </row>
    <row r="751" spans="1:13" x14ac:dyDescent="0.25">
      <c r="A751" t="s">
        <v>9</v>
      </c>
      <c r="B751" s="14" t="str">
        <f>VLOOKUP(A751,[1]Pricing!$A:$R,18,FALSE)</f>
        <v>0650R9120-13</v>
      </c>
      <c r="C751" t="s">
        <v>2682</v>
      </c>
      <c r="D751" t="str">
        <f>VLOOKUP(A751,[1]AVL!$A:$F,6,FALSE)</f>
        <v>FUSE,AXIAL LEAD,12A,250V,5X20,FAST-ACT</v>
      </c>
      <c r="E751" t="str">
        <f>VLOOKUP(A751,[1]Pricing!$A:$F,6,FALSE)</f>
        <v>13 Weeks</v>
      </c>
      <c r="F751">
        <f>VLOOKUP(B751,[2]Sheet2!$B:$E,4,FALSE)</f>
        <v>1000</v>
      </c>
      <c r="G751" s="2">
        <f>VLOOKUP(A751,[1]Pricing!$A:$H,8,FALSE)</f>
        <v>0.35468699999999997</v>
      </c>
      <c r="H751" s="2">
        <f>VLOOKUP(A751,[1]Pricing!$A:$J,10,FALSE)</f>
        <v>0.43254512195121952</v>
      </c>
      <c r="I751">
        <f>VLOOKUP(A751,MIN!A:B,2,FALSE)</f>
        <v>15</v>
      </c>
      <c r="J751" t="str">
        <f t="shared" si="27"/>
        <v>NO</v>
      </c>
      <c r="K751">
        <f>VLOOKUP(A751,[1]Pricing!$A:$G,7,FALSE)</f>
        <v>1000</v>
      </c>
      <c r="L751" t="s">
        <v>1960</v>
      </c>
      <c r="M751" t="str">
        <f t="shared" si="28"/>
        <v>670-A07635-022</v>
      </c>
    </row>
    <row r="752" spans="1:13" x14ac:dyDescent="0.25">
      <c r="A752" t="s">
        <v>1492</v>
      </c>
      <c r="B752" s="14" t="str">
        <f>VLOOKUP(A752,[1]Pricing!$A:$R,18,FALSE)</f>
        <v>RKEF135</v>
      </c>
      <c r="C752" t="s">
        <v>2620</v>
      </c>
      <c r="D752" t="str">
        <f>VLOOKUP(A752,[1]AVL!$A:$F,6,FALSE)</f>
        <v>FUSE,PPTC,1.35A HOLD CUR,60V,THT</v>
      </c>
      <c r="E752" t="str">
        <f>VLOOKUP(A752,[1]Pricing!$A:$F,6,FALSE)</f>
        <v>17 Weeks</v>
      </c>
      <c r="F752">
        <f>VLOOKUP(B752,[2]Sheet2!$B:$E,4,FALSE)</f>
        <v>500</v>
      </c>
      <c r="G752" s="2">
        <f>VLOOKUP(A752,[1]Pricing!$A:$H,8,FALSE)</f>
        <v>0.29411999999999999</v>
      </c>
      <c r="H752" s="2">
        <f>VLOOKUP(A752,[1]Pricing!$A:$J,10,FALSE)</f>
        <v>0.35868292682926828</v>
      </c>
      <c r="I752">
        <f>VLOOKUP(A752,MIN!A:B,2,FALSE)</f>
        <v>25</v>
      </c>
      <c r="J752" t="str">
        <f t="shared" si="27"/>
        <v>NO</v>
      </c>
      <c r="K752">
        <f>VLOOKUP(A752,[1]Pricing!$A:$G,7,FALSE)</f>
        <v>500</v>
      </c>
      <c r="L752" t="s">
        <v>1960</v>
      </c>
      <c r="M752" t="str">
        <f t="shared" si="28"/>
        <v>670-A11993-135</v>
      </c>
    </row>
    <row r="753" spans="1:13" x14ac:dyDescent="0.25">
      <c r="A753" t="s">
        <v>324</v>
      </c>
      <c r="B753" s="14" t="str">
        <f>VLOOKUP(A753,[1]Pricing!$A:$R,18,FALSE)</f>
        <v>5-147278-3</v>
      </c>
      <c r="C753" t="s">
        <v>2599</v>
      </c>
      <c r="D753" t="str">
        <f>VLOOKUP(A753,[1]AVL!$A:$F,6,FALSE)</f>
        <v>CONN,SMD,RT ANGL MTE,4 POS</v>
      </c>
      <c r="E753" t="str">
        <f>VLOOKUP(A753,[1]Pricing!$A:$F,6,FALSE)</f>
        <v>22 Weeks</v>
      </c>
      <c r="F753">
        <f>VLOOKUP(B753,[2]Sheet2!$B:$E,4,FALSE)</f>
        <v>290</v>
      </c>
      <c r="G753" s="2">
        <f>VLOOKUP(A753,[1]Pricing!$A:$H,8,FALSE)</f>
        <v>4.0441500000000001</v>
      </c>
      <c r="H753" s="2">
        <f>VLOOKUP(A753,[1]Pricing!$A:$J,10,FALSE)</f>
        <v>4.9318902439024397</v>
      </c>
      <c r="I753">
        <f>VLOOKUP(A753,MIN!A:B,2,FALSE)</f>
        <v>15</v>
      </c>
      <c r="J753" t="str">
        <f t="shared" si="27"/>
        <v>NO</v>
      </c>
      <c r="K753">
        <f>VLOOKUP(A753,[1]Pricing!$A:$G,7,FALSE)</f>
        <v>300</v>
      </c>
      <c r="L753" t="s">
        <v>1960</v>
      </c>
      <c r="M753" t="str">
        <f t="shared" si="28"/>
        <v>667-123622-001</v>
      </c>
    </row>
    <row r="754" spans="1:13" x14ac:dyDescent="0.25">
      <c r="A754" t="s">
        <v>554</v>
      </c>
      <c r="B754" s="14" t="str">
        <f>VLOOKUP(A754,[1]Pricing!$A:$R,18,FALSE)</f>
        <v>BST13T1ACR</v>
      </c>
      <c r="C754" t="s">
        <v>2714</v>
      </c>
      <c r="D754" t="str">
        <f>VLOOKUP(A754,[1]AVL!$A:$F,6,FALSE)</f>
        <v>SW,TGL,SPDT,ON-OFF-ON,3A,120VAC,THT</v>
      </c>
      <c r="E754" t="str">
        <f>VLOOKUP(A754,[1]Pricing!$A:$F,6,FALSE)</f>
        <v>3 Weeks</v>
      </c>
      <c r="F754">
        <f>VLOOKUP(B754,[2]Sheet2!$B:$E,4,FALSE)</f>
        <v>200</v>
      </c>
      <c r="G754" s="2">
        <f>VLOOKUP(A754,[1]Pricing!$A:$H,8,FALSE)</f>
        <v>3.061728</v>
      </c>
      <c r="H754" s="2">
        <f>VLOOKUP(A754,[1]Pricing!$A:$J,10,FALSE)</f>
        <v>3.7338146341463418</v>
      </c>
      <c r="I754">
        <f>VLOOKUP(A754,MIN!A:B,2,FALSE)</f>
        <v>15</v>
      </c>
      <c r="J754" t="str">
        <f t="shared" si="27"/>
        <v>NO</v>
      </c>
      <c r="K754">
        <f>VLOOKUP(A754,[1]Pricing!$A:$G,7,FALSE)</f>
        <v>200</v>
      </c>
      <c r="L754" t="s">
        <v>1960</v>
      </c>
      <c r="M754" t="str">
        <f t="shared" si="28"/>
        <v>645-B04805-001</v>
      </c>
    </row>
    <row r="755" spans="1:13" x14ac:dyDescent="0.25">
      <c r="A755" t="s">
        <v>1842</v>
      </c>
      <c r="B755" s="14" t="str">
        <f>VLOOKUP(A755,[1]Pricing!$A:$R,18,FALSE)</f>
        <v>VN7140ASTR</v>
      </c>
      <c r="C755" t="s">
        <v>2715</v>
      </c>
      <c r="D755" t="str">
        <f>VLOOKUP(A755,[1]AVL!$A:$F,6,FALSE)</f>
        <v>IC,SMD,DVR,HIGH-SIDE,1-CH O/P,8SOIC</v>
      </c>
      <c r="E755" t="str">
        <f>VLOOKUP(A755,[1]Pricing!$A:$F,6,FALSE)</f>
        <v>30 Weeks</v>
      </c>
      <c r="F755">
        <f>VLOOKUP(B755,[2]Sheet2!$B:$E,4,FALSE)</f>
        <v>200</v>
      </c>
      <c r="G755" s="2">
        <f>VLOOKUP(A755,[1]Pricing!$A:$H,8,FALSE)</f>
        <v>1.1044210000000001</v>
      </c>
      <c r="H755" s="2">
        <f>VLOOKUP(A755,[1]Pricing!$A:$J,10,FALSE)</f>
        <v>1.3468548780487808</v>
      </c>
      <c r="I755">
        <f>VLOOKUP(A755,MIN!A:B,2,FALSE)</f>
        <v>25</v>
      </c>
      <c r="J755" t="str">
        <f t="shared" si="27"/>
        <v>NO</v>
      </c>
      <c r="K755">
        <f>VLOOKUP(A755,[1]Pricing!$A:$G,7,FALSE)</f>
        <v>200</v>
      </c>
      <c r="L755" t="s">
        <v>1960</v>
      </c>
      <c r="M755" t="str">
        <f t="shared" si="28"/>
        <v>630-274216-001</v>
      </c>
    </row>
    <row r="756" spans="1:13" x14ac:dyDescent="0.25">
      <c r="A756" t="s">
        <v>1032</v>
      </c>
      <c r="B756" s="14" t="str">
        <f>VLOOKUP(A756,[1]Pricing!$A:$R,18,FALSE)</f>
        <v>LC4064V-75TN48E</v>
      </c>
      <c r="C756" t="s">
        <v>2716</v>
      </c>
      <c r="D756" t="str">
        <f>VLOOKUP(A756,[1]AVL!$A:$F,6,FALSE)</f>
        <v>IC,SMD,CPLD,32 I/O,5V TOLERNT,7.5NS,ROHS</v>
      </c>
      <c r="E756" t="str">
        <f>VLOOKUP(A756,[1]Pricing!$A:$F,6,FALSE)</f>
        <v>3 Weeks</v>
      </c>
      <c r="F756">
        <f>VLOOKUP(B756,[2]Sheet2!$B:$E,4,FALSE)</f>
        <v>60</v>
      </c>
      <c r="G756" s="2">
        <f>VLOOKUP(A756,[1]Pricing!$A:$H,8,FALSE)</f>
        <v>12.058920000000001</v>
      </c>
      <c r="H756" s="2">
        <f>VLOOKUP(A756,[1]Pricing!$A:$J,10,FALSE)</f>
        <v>14.706000000000001</v>
      </c>
      <c r="I756">
        <f>VLOOKUP(A756,MIN!A:B,2,FALSE)</f>
        <v>15</v>
      </c>
      <c r="J756" t="str">
        <f t="shared" si="27"/>
        <v>NO</v>
      </c>
      <c r="K756">
        <f>VLOOKUP(A756,[1]Pricing!$A:$G,7,FALSE)</f>
        <v>60</v>
      </c>
      <c r="L756" t="s">
        <v>1960</v>
      </c>
      <c r="M756" t="str">
        <f t="shared" si="28"/>
        <v>630-225109-001</v>
      </c>
    </row>
    <row r="757" spans="1:13" x14ac:dyDescent="0.25">
      <c r="A757" t="s">
        <v>1185</v>
      </c>
      <c r="B757" s="14" t="str">
        <f>VLOOKUP(A757,[1]Pricing!$A:$R,18,FALSE)</f>
        <v>MOX93021004FVE</v>
      </c>
      <c r="C757" t="s">
        <v>2640</v>
      </c>
      <c r="D757" t="str">
        <f>VLOOKUP(A757,[1]AVL!$A:$F,6,FALSE)</f>
        <v>RES,METAL FILM,1M OHM</v>
      </c>
      <c r="E757" t="str">
        <f>VLOOKUP(A757,[1]Pricing!$A:$F,6,FALSE)</f>
        <v>48 Weeks</v>
      </c>
      <c r="F757">
        <f>VLOOKUP(B757,[2]Sheet2!$B:$E,4,FALSE)</f>
        <v>18</v>
      </c>
      <c r="G757" s="2">
        <f>VLOOKUP(A757,[1]Pricing!$A:$H,8,FALSE)</f>
        <v>24.929500000000001</v>
      </c>
      <c r="H757" s="2">
        <f>VLOOKUP(A757,[1]Pricing!$A:$J,10,FALSE)</f>
        <v>30.401829268292687</v>
      </c>
      <c r="I757">
        <f>VLOOKUP(A757,MIN!A:B,2,FALSE)</f>
        <v>25</v>
      </c>
      <c r="J757" t="str">
        <f t="shared" si="27"/>
        <v>REORDER</v>
      </c>
      <c r="K757">
        <f>VLOOKUP(A757,[1]Pricing!$A:$G,7,FALSE)</f>
        <v>60</v>
      </c>
      <c r="L757" t="s">
        <v>2689</v>
      </c>
      <c r="M757" t="str">
        <f t="shared" si="28"/>
        <v>618-213909-001</v>
      </c>
    </row>
    <row r="758" spans="1:13" x14ac:dyDescent="0.25">
      <c r="A758" t="s">
        <v>1856</v>
      </c>
      <c r="B758" s="14" t="str">
        <f>VLOOKUP(A758,[1]Pricing!$A:$R,18,FALSE)</f>
        <v>WT21S</v>
      </c>
      <c r="C758" t="s">
        <v>2717</v>
      </c>
      <c r="D758" t="str">
        <f>VLOOKUP(A758,[1]AVL!$A:$F,6,FALSE)</f>
        <v>SW,TGL,DPST,250V/6A,SLDR TERM,SEALED</v>
      </c>
      <c r="E758" t="str">
        <f>VLOOKUP(A758,[1]Pricing!$A:$F,6,FALSE)</f>
        <v>23 Weeks</v>
      </c>
      <c r="F758">
        <f>VLOOKUP(B758,[2]Sheet2!$B:$E,4,FALSE)</f>
        <v>200</v>
      </c>
      <c r="G758" s="2">
        <f>VLOOKUP(A758,[1]Pricing!$A:$H,8,FALSE)</f>
        <v>15.700616</v>
      </c>
      <c r="H758" s="2">
        <f>VLOOKUP(A758,[1]Pricing!$A:$J,10,FALSE)</f>
        <v>19.147092682926832</v>
      </c>
      <c r="I758">
        <f>VLOOKUP(A758,MIN!A:B,2,FALSE)</f>
        <v>15</v>
      </c>
      <c r="J758" t="str">
        <f t="shared" si="27"/>
        <v>NO</v>
      </c>
      <c r="K758">
        <f>VLOOKUP(A758,[1]Pricing!$A:$G,7,FALSE)</f>
        <v>200</v>
      </c>
      <c r="L758" t="s">
        <v>1960</v>
      </c>
      <c r="M758" t="str">
        <f t="shared" si="28"/>
        <v>645-A79390-001</v>
      </c>
    </row>
    <row r="759" spans="1:13" x14ac:dyDescent="0.25">
      <c r="A759" t="s">
        <v>998</v>
      </c>
      <c r="B759" s="14" t="str">
        <f>VLOOKUP(A759,[1]Pricing!$A:$R,18,FALSE)</f>
        <v>K66X-B44P-N</v>
      </c>
      <c r="C759" t="s">
        <v>2612</v>
      </c>
      <c r="D759" t="str">
        <f>VLOOKUP(A759,[1]AVL!$A:$F,6,FALSE)</f>
        <v>CONN,HD,D-SUB,RT ANGL,MALE,44 PIN,ROHS</v>
      </c>
      <c r="E759" t="str">
        <f>VLOOKUP(A759,[1]Pricing!$A:$F,6,FALSE)</f>
        <v>27 Weeks</v>
      </c>
      <c r="F759">
        <f>VLOOKUP(B759,[2]Sheet2!$B:$E,4,FALSE)</f>
        <v>48</v>
      </c>
      <c r="G759" s="2">
        <f>VLOOKUP(A759,[1]Pricing!$A:$H,8,FALSE)</f>
        <v>9.2770349999999997</v>
      </c>
      <c r="H759" s="2">
        <f>VLOOKUP(A759,[1]Pricing!$A:$J,10,FALSE)</f>
        <v>11.313457317073171</v>
      </c>
      <c r="I759">
        <f>VLOOKUP(A759,MIN!A:B,2,FALSE)</f>
        <v>15</v>
      </c>
      <c r="J759" t="str">
        <f t="shared" si="27"/>
        <v>NO</v>
      </c>
      <c r="K759">
        <f>VLOOKUP(A759,[1]Pricing!$A:$G,7,FALSE)</f>
        <v>50</v>
      </c>
      <c r="L759" t="s">
        <v>2689</v>
      </c>
      <c r="M759" t="str">
        <f t="shared" si="28"/>
        <v>668-043863-044</v>
      </c>
    </row>
    <row r="760" spans="1:13" x14ac:dyDescent="0.25">
      <c r="A760" t="s">
        <v>1167</v>
      </c>
      <c r="B760" s="14" t="str">
        <f>VLOOKUP(A760,[1]Pricing!$A:$R,18,FALSE)</f>
        <v>MF40100V1-1000U-G99</v>
      </c>
      <c r="C760" t="s">
        <v>2718</v>
      </c>
      <c r="D760" t="str">
        <f>VLOOKUP(A760,[1]AVL!$A:$F,6,FALSE)</f>
        <v>FAN,5VDC,.136A,40X40X10MM,8CFM,VAPO BRG</v>
      </c>
      <c r="E760" t="str">
        <f>VLOOKUP(A760,[1]Pricing!$A:$F,6,FALSE)</f>
        <v>21 Weeks</v>
      </c>
      <c r="F760">
        <f>VLOOKUP(B760,[2]Sheet2!$B:$E,4,FALSE)</f>
        <v>50</v>
      </c>
      <c r="G760" s="2">
        <f>VLOOKUP(A760,[1]Pricing!$A:$H,8,FALSE)</f>
        <v>4.4176820000000001</v>
      </c>
      <c r="H760" s="2">
        <f>VLOOKUP(A760,[1]Pricing!$A:$J,10,FALSE)</f>
        <v>5.3874170731707318</v>
      </c>
      <c r="I760">
        <f>VLOOKUP(A760,MIN!A:B,2,FALSE)</f>
        <v>25</v>
      </c>
      <c r="J760" t="str">
        <f t="shared" si="27"/>
        <v>NO</v>
      </c>
      <c r="K760">
        <f>VLOOKUP(A760,[1]Pricing!$A:$G,7,FALSE)</f>
        <v>50</v>
      </c>
      <c r="L760" t="s">
        <v>1960</v>
      </c>
      <c r="M760" t="str">
        <f t="shared" si="28"/>
        <v>677-B14836-001</v>
      </c>
    </row>
    <row r="761" spans="1:13" x14ac:dyDescent="0.25">
      <c r="A761" t="s">
        <v>1642</v>
      </c>
      <c r="B761" s="14" t="str">
        <f>VLOOKUP(A761,[1]Pricing!$A:$R,18,FALSE)</f>
        <v>SiT3373AI-1E3-33EG245.760000</v>
      </c>
      <c r="C761" t="s">
        <v>2719</v>
      </c>
      <c r="D761" t="str">
        <f>VLOOKUP(A761,[1]AVL!$A:$F,6,FALSE)</f>
        <v>OSC,SMD,XTAL,3.3V,245.76MHZ,50PPM</v>
      </c>
      <c r="E761" t="str">
        <f>VLOOKUP(A761,[1]Pricing!$A:$F,6,FALSE)</f>
        <v>4 Weeks</v>
      </c>
      <c r="F761">
        <f>VLOOKUP(B761,[2]Sheet2!$B:$E,4,FALSE)</f>
        <v>30</v>
      </c>
      <c r="G761" s="2">
        <f>VLOOKUP(A761,[1]Pricing!$A:$H,8,FALSE)</f>
        <v>3.04</v>
      </c>
      <c r="H761" s="2">
        <f>VLOOKUP(A761,[1]Pricing!$A:$J,10,FALSE)</f>
        <v>3.7073170731707319</v>
      </c>
      <c r="I761">
        <f>VLOOKUP(A761,MIN!A:B,2,FALSE)</f>
        <v>15</v>
      </c>
      <c r="J761" t="str">
        <f t="shared" si="27"/>
        <v>NO</v>
      </c>
      <c r="K761">
        <f>VLOOKUP(A761,[1]Pricing!$A:$G,7,FALSE)</f>
        <v>30</v>
      </c>
      <c r="L761" t="s">
        <v>1960</v>
      </c>
      <c r="M761" t="str">
        <f t="shared" si="28"/>
        <v>635-A91539-001</v>
      </c>
    </row>
    <row r="762" spans="1:13" x14ac:dyDescent="0.25">
      <c r="A762" t="s">
        <v>540</v>
      </c>
      <c r="B762" s="14" t="str">
        <f>VLOOKUP(A762,[1]Pricing!$A:$R,18,FALSE)</f>
        <v>BK1/S505H-4-R</v>
      </c>
      <c r="C762" t="s">
        <v>2620</v>
      </c>
      <c r="D762" t="str">
        <f>VLOOKUP(A762,[1]AVL!$A:$F,6,FALSE)</f>
        <v>FUSE,CRTG,4A,600VAC/400DC,5X20MM</v>
      </c>
      <c r="E762" t="str">
        <f>VLOOKUP(A762,[1]Pricing!$A:$F,6,FALSE)</f>
        <v>3 Weeks</v>
      </c>
      <c r="F762">
        <f>VLOOKUP(B762,[2]Sheet2!$B:$E,4,FALSE)</f>
        <v>200</v>
      </c>
      <c r="G762" s="2">
        <f>VLOOKUP(A762,[1]Pricing!$A:$H,8,FALSE)</f>
        <v>0.92500000000000004</v>
      </c>
      <c r="H762" s="2">
        <f>VLOOKUP(A762,[1]Pricing!$A:$J,10,FALSE)</f>
        <v>1.128048780487805</v>
      </c>
      <c r="I762">
        <f>VLOOKUP(A762,MIN!A:B,2,FALSE)</f>
        <v>25</v>
      </c>
      <c r="J762" t="str">
        <f t="shared" si="27"/>
        <v>NO</v>
      </c>
      <c r="K762">
        <f>VLOOKUP(A762,[1]Pricing!$A:$G,7,FALSE)</f>
        <v>200</v>
      </c>
      <c r="L762" t="s">
        <v>1960</v>
      </c>
      <c r="M762" t="str">
        <f t="shared" si="28"/>
        <v>670-338640-400</v>
      </c>
    </row>
    <row r="763" spans="1:13" x14ac:dyDescent="0.25">
      <c r="A763" t="s">
        <v>1246</v>
      </c>
      <c r="B763" s="14" t="str">
        <f>VLOOKUP(A763,[1]Pricing!$A:$R,18,FALSE)</f>
        <v>PCC-SMP-E-100</v>
      </c>
      <c r="C763" t="s">
        <v>2720</v>
      </c>
      <c r="D763" t="str">
        <f>VLOOKUP(A763,[1]AVL!$A:$F,6,FALSE)</f>
        <v>CONN,TC,MINTR,2POSN,FEM,TYPE-E,HORIZ MT</v>
      </c>
      <c r="E763" t="str">
        <f>VLOOKUP(A763,[1]Pricing!$A:$F,6,FALSE)</f>
        <v>6 Weeks</v>
      </c>
      <c r="F763">
        <f>VLOOKUP(B763,[2]Sheet2!$B:$E,4,FALSE)</f>
        <v>100</v>
      </c>
      <c r="G763" s="2">
        <f>VLOOKUP(A763,[1]Pricing!$A:$H,8,FALSE)</f>
        <v>3.8444500000000001</v>
      </c>
      <c r="H763" s="2">
        <f>VLOOKUP(A763,[1]Pricing!$A:$J,10,FALSE)</f>
        <v>4.6883536585365855</v>
      </c>
      <c r="I763">
        <f>VLOOKUP(A763,MIN!A:B,2,FALSE)</f>
        <v>75</v>
      </c>
      <c r="J763" t="str">
        <f t="shared" si="27"/>
        <v>NO</v>
      </c>
      <c r="K763">
        <f>VLOOKUP(A763,[1]Pricing!$A:$G,7,FALSE)</f>
        <v>100</v>
      </c>
      <c r="L763" t="s">
        <v>1960</v>
      </c>
      <c r="M763" t="str">
        <f t="shared" si="28"/>
        <v>668-A65704-001</v>
      </c>
    </row>
    <row r="764" spans="1:13" x14ac:dyDescent="0.25">
      <c r="A764" t="s">
        <v>1073</v>
      </c>
      <c r="B764" s="14" t="str">
        <f>VLOOKUP(A764,[1]Pricing!$A:$R,18,FALSE)</f>
        <v>LPD25-25B</v>
      </c>
      <c r="C764" t="s">
        <v>2721</v>
      </c>
      <c r="D764" t="str">
        <f>VLOOKUP(A764,[1]AVL!$A:$F,6,FALSE)</f>
        <v>HTSK,LP DROP,25.4SQX25MM,ANODIZED,AL,BLK</v>
      </c>
      <c r="E764" t="str">
        <f>VLOOKUP(A764,[1]Pricing!$A:$F,6,FALSE)</f>
        <v>6 Weeks</v>
      </c>
      <c r="F764">
        <f>VLOOKUP(B764,[2]Sheet2!$B:$E,4,FALSE)</f>
        <v>100</v>
      </c>
      <c r="G764" s="2">
        <f>VLOOKUP(A764,[1]Pricing!$A:$H,8,FALSE)</f>
        <v>2.41</v>
      </c>
      <c r="H764" s="2">
        <f>VLOOKUP(A764,[1]Pricing!$A:$J,10,FALSE)</f>
        <v>2.9390243902439028</v>
      </c>
      <c r="I764">
        <f>VLOOKUP(A764,MIN!A:B,2,FALSE)</f>
        <v>15</v>
      </c>
      <c r="J764" t="str">
        <f t="shared" si="27"/>
        <v>NO</v>
      </c>
      <c r="K764">
        <f>VLOOKUP(A764,[1]Pricing!$A:$G,7,FALSE)</f>
        <v>100</v>
      </c>
      <c r="L764" t="s">
        <v>1960</v>
      </c>
      <c r="M764" t="str">
        <f t="shared" si="28"/>
        <v>779-256998-002</v>
      </c>
    </row>
    <row r="765" spans="1:13" x14ac:dyDescent="0.25">
      <c r="A765" t="s">
        <v>662</v>
      </c>
      <c r="B765" s="14" t="str">
        <f>VLOOKUP(A765,[1]Pricing!$A:$R,18,FALSE)</f>
        <v>CNY17-4</v>
      </c>
      <c r="C765" t="s">
        <v>2617</v>
      </c>
      <c r="D765" t="str">
        <f>VLOOKUP(A765,[1]AVL!$A:$F,6,FALSE)</f>
        <v>IC,OPTOCOUPLER,XSTR OUTPUT</v>
      </c>
      <c r="E765" t="str">
        <f>VLOOKUP(A765,[1]Pricing!$A:$F,6,FALSE)</f>
        <v>19 Weeks</v>
      </c>
      <c r="F765">
        <f>VLOOKUP(B765,[2]Sheet2!$B:$E,4,FALSE)</f>
        <v>5988</v>
      </c>
      <c r="G765" s="2">
        <f>VLOOKUP(A765,[1]Pricing!$A:$H,8,FALSE)</f>
        <v>0.114927</v>
      </c>
      <c r="H765" s="2">
        <f>VLOOKUP(A765,[1]Pricing!$A:$J,10,FALSE)</f>
        <v>0.14015487804878049</v>
      </c>
      <c r="I765">
        <f>VLOOKUP(A765,MIN!A:B,2,FALSE)</f>
        <v>25</v>
      </c>
      <c r="J765" t="str">
        <f t="shared" si="27"/>
        <v>NO</v>
      </c>
      <c r="K765">
        <f>VLOOKUP(A765,[1]Pricing!$A:$G,7,FALSE)</f>
        <v>6000</v>
      </c>
      <c r="L765" t="s">
        <v>1960</v>
      </c>
      <c r="M765" t="str">
        <f t="shared" si="28"/>
        <v>631-308696-001</v>
      </c>
    </row>
    <row r="766" spans="1:13" x14ac:dyDescent="0.25">
      <c r="A766" t="s">
        <v>289</v>
      </c>
      <c r="B766" s="14" t="str">
        <f>VLOOKUP(A766,[1]Pricing!$A:$R,18,FALSE)</f>
        <v>4NSLWPP</v>
      </c>
      <c r="C766" t="s">
        <v>2722</v>
      </c>
      <c r="D766" t="str">
        <f>VLOOKUP(A766,[1]AVL!$A:$F,6,FALSE)</f>
        <v>WSHR,SPLTLK,PHOS BRNZ</v>
      </c>
      <c r="E766" t="str">
        <f>VLOOKUP(A766,[1]Pricing!$A:$F,6,FALSE)</f>
        <v>3 Weeks</v>
      </c>
      <c r="F766">
        <f>VLOOKUP(B766,[2]Sheet2!$B:$E,4,FALSE)</f>
        <v>1000</v>
      </c>
      <c r="G766" s="2">
        <f>VLOOKUP(A766,[1]Pricing!$A:$H,8,FALSE)</f>
        <v>0.115</v>
      </c>
      <c r="H766" s="2">
        <f>VLOOKUP(A766,[1]Pricing!$A:$J,10,FALSE)</f>
        <v>0.1402439024390244</v>
      </c>
      <c r="I766">
        <f>VLOOKUP(A766,MIN!A:B,2,FALSE)</f>
        <v>500</v>
      </c>
      <c r="J766" t="str">
        <f t="shared" si="27"/>
        <v>NO</v>
      </c>
      <c r="K766">
        <f>VLOOKUP(A766,[1]Pricing!$A:$G,7,FALSE)</f>
        <v>1000</v>
      </c>
      <c r="L766" t="s">
        <v>1960</v>
      </c>
      <c r="M766" t="str">
        <f t="shared" si="28"/>
        <v>729-036913-002</v>
      </c>
    </row>
    <row r="767" spans="1:13" x14ac:dyDescent="0.25">
      <c r="A767" t="s">
        <v>1775</v>
      </c>
      <c r="B767" s="14" t="str">
        <f>VLOOKUP(A767,[1]Pricing!$A:$R,18,FALSE)</f>
        <v>TNPW080584K5BEEA</v>
      </c>
      <c r="C767" t="s">
        <v>2652</v>
      </c>
      <c r="D767" t="str">
        <f>VLOOKUP(A767,[1]AVL!$A:$F,6,FALSE)</f>
        <v>RES,SMD,0805,84.5K OHMS</v>
      </c>
      <c r="E767" t="str">
        <f>VLOOKUP(A767,[1]Pricing!$A:$F,6,FALSE)</f>
        <v>15 Weeks</v>
      </c>
      <c r="F767">
        <f>VLOOKUP(B767,[2]Sheet2!$B:$E,4,FALSE)</f>
        <v>5000</v>
      </c>
      <c r="G767" s="2">
        <f>VLOOKUP(A767,[1]Pricing!$A:$H,8,FALSE)</f>
        <v>0.164217</v>
      </c>
      <c r="H767" s="2">
        <f>VLOOKUP(A767,[1]Pricing!$A:$J,10,FALSE)</f>
        <v>0.20026463414634149</v>
      </c>
      <c r="I767">
        <f>VLOOKUP(A767,MIN!A:B,2,FALSE)</f>
        <v>15</v>
      </c>
      <c r="J767" t="str">
        <f t="shared" si="27"/>
        <v>NO</v>
      </c>
      <c r="K767">
        <f>VLOOKUP(A767,[1]Pricing!$A:$G,7,FALSE)</f>
        <v>5000</v>
      </c>
      <c r="L767" t="s">
        <v>2689</v>
      </c>
      <c r="M767" t="str">
        <f t="shared" si="28"/>
        <v>615-049171-845</v>
      </c>
    </row>
    <row r="768" spans="1:13" x14ac:dyDescent="0.25">
      <c r="A768" t="s">
        <v>1794</v>
      </c>
      <c r="B768" s="14" t="str">
        <f>VLOOKUP(A768,[1]Pricing!$A:$R,18,FALSE)</f>
        <v>TPS65910AA1RSL</v>
      </c>
      <c r="C768" t="s">
        <v>2692</v>
      </c>
      <c r="D768" t="str">
        <f>VLOOKUP(A768,[1]AVL!$A:$F,6,FALSE)</f>
        <v>IC,SMD,PWR MGMT 8 LDO 48VQFN,ROHS</v>
      </c>
      <c r="E768" t="str">
        <f>VLOOKUP(A768,[1]Pricing!$A:$F,6,FALSE)</f>
        <v>3 Weeks</v>
      </c>
      <c r="F768">
        <f>VLOOKUP(B768,[2]Sheet2!$B:$E,4,FALSE)</f>
        <v>60</v>
      </c>
      <c r="G768" s="2">
        <f>VLOOKUP(A768,[1]Pricing!$A:$H,8,FALSE)</f>
        <v>4.0931699999999998</v>
      </c>
      <c r="H768" s="2">
        <f>VLOOKUP(A768,[1]Pricing!$A:$J,10,FALSE)</f>
        <v>4.991670731707317</v>
      </c>
      <c r="I768">
        <f>VLOOKUP(A768,MIN!A:B,2,FALSE)</f>
        <v>15</v>
      </c>
      <c r="J768" t="str">
        <f t="shared" si="27"/>
        <v>NO</v>
      </c>
      <c r="K768">
        <f>VLOOKUP(A768,[1]Pricing!$A:$G,7,FALSE)</f>
        <v>60</v>
      </c>
      <c r="L768" t="s">
        <v>1960</v>
      </c>
      <c r="M768" t="str">
        <f t="shared" si="28"/>
        <v>630-121459-001</v>
      </c>
    </row>
    <row r="769" spans="1:13" x14ac:dyDescent="0.25">
      <c r="A769" t="s">
        <v>1832</v>
      </c>
      <c r="B769" s="14" t="str">
        <f>VLOOKUP(A769,[1]Pricing!$A:$R,18,FALSE)</f>
        <v>ULN2003ADR</v>
      </c>
      <c r="C769" t="s">
        <v>2595</v>
      </c>
      <c r="D769" t="str">
        <f>VLOOKUP(A769,[1]AVL!$A:$F,6,FALSE)</f>
        <v>IC,SMD,ULN2003AD,DUAL,DAR,HV,HC</v>
      </c>
      <c r="E769" t="str">
        <f>VLOOKUP(A769,[1]Pricing!$A:$F,6,FALSE)</f>
        <v>8 Weeks</v>
      </c>
      <c r="F769">
        <f>VLOOKUP(B769,[2]Sheet2!$B:$E,4,FALSE)</f>
        <v>967</v>
      </c>
      <c r="G769" s="2">
        <f>VLOOKUP(A769,[1]Pricing!$A:$H,8,FALSE)</f>
        <v>0.132354</v>
      </c>
      <c r="H769" s="2">
        <f>VLOOKUP(A769,[1]Pricing!$A:$J,10,FALSE)</f>
        <v>0.16140731707317074</v>
      </c>
      <c r="I769">
        <f>VLOOKUP(A769,MIN!A:B,2,FALSE)</f>
        <v>15</v>
      </c>
      <c r="J769" t="str">
        <f t="shared" si="27"/>
        <v>NO</v>
      </c>
      <c r="K769">
        <f>VLOOKUP(A769,[1]Pricing!$A:$G,7,FALSE)</f>
        <v>1000</v>
      </c>
      <c r="L769" t="s">
        <v>1960</v>
      </c>
      <c r="M769" t="str">
        <f t="shared" si="28"/>
        <v>630-038898-001</v>
      </c>
    </row>
    <row r="770" spans="1:13" x14ac:dyDescent="0.25">
      <c r="A770" t="s">
        <v>1044</v>
      </c>
      <c r="B770" s="14" t="str">
        <f>VLOOKUP(A770,[1]Pricing!$A:$R,18,FALSE)</f>
        <v>LM358MX/NOPB</v>
      </c>
      <c r="C770" t="s">
        <v>2594</v>
      </c>
      <c r="D770" t="str">
        <f>VLOOKUP(A770,[1]AVL!$A:$F,6,FALSE)</f>
        <v>IC, LM358, DUAL OP AMP, SO8, ROHS</v>
      </c>
      <c r="E770" t="str">
        <f>VLOOKUP(A770,[1]Pricing!$A:$F,6,FALSE)</f>
        <v>9 Weeks</v>
      </c>
      <c r="F770">
        <f>VLOOKUP(B770,[2]Sheet2!$B:$E,4,FALSE)</f>
        <v>2490</v>
      </c>
      <c r="G770" s="2">
        <f>VLOOKUP(A770,[1]Pricing!$A:$H,8,FALSE)</f>
        <v>0.39734000000000003</v>
      </c>
      <c r="H770" s="2">
        <f>VLOOKUP(A770,[1]Pricing!$A:$J,10,FALSE)</f>
        <v>0.48456097560975614</v>
      </c>
      <c r="I770">
        <f>VLOOKUP(A770,MIN!A:B,2,FALSE)</f>
        <v>25</v>
      </c>
      <c r="J770" t="str">
        <f t="shared" ref="J770:J834" si="29">IF(F770&lt;=I770,"REORDER","NO")</f>
        <v>NO</v>
      </c>
      <c r="K770">
        <f>VLOOKUP(A770,[1]Pricing!$A:$G,7,FALSE)</f>
        <v>2500</v>
      </c>
      <c r="L770" t="s">
        <v>1960</v>
      </c>
      <c r="M770" t="str">
        <f t="shared" si="28"/>
        <v>630-900406-001</v>
      </c>
    </row>
    <row r="771" spans="1:13" x14ac:dyDescent="0.25">
      <c r="A771" t="s">
        <v>1210</v>
      </c>
      <c r="B771" s="14" t="str">
        <f>VLOOKUP(A771,[1]Pricing!$A:$R,18,FALSE)</f>
        <v>NE556DR</v>
      </c>
      <c r="C771" t="s">
        <v>2595</v>
      </c>
      <c r="D771" t="str">
        <f>VLOOKUP(A771,[1]AVL!$A:$F,6,FALSE)</f>
        <v>IC,SMD,TMR,DUAL PRCN,4.5-16V,SOIC-14</v>
      </c>
      <c r="E771" t="str">
        <f>VLOOKUP(A771,[1]Pricing!$A:$F,6,FALSE)</f>
        <v>3 Weeks</v>
      </c>
      <c r="F771">
        <f>VLOOKUP(B771,[2]Sheet2!$B:$E,4,FALSE)</f>
        <v>2500</v>
      </c>
      <c r="G771" s="2">
        <f>VLOOKUP(A771,[1]Pricing!$A:$H,8,FALSE)</f>
        <v>0.15997</v>
      </c>
      <c r="H771" s="2">
        <f>VLOOKUP(A771,[1]Pricing!$A:$J,10,FALSE)</f>
        <v>0.19508536585365854</v>
      </c>
      <c r="I771">
        <f>VLOOKUP(A771,MIN!A:B,2,FALSE)</f>
        <v>15</v>
      </c>
      <c r="J771" t="str">
        <f t="shared" si="29"/>
        <v>NO</v>
      </c>
      <c r="K771">
        <f>VLOOKUP(A771,[1]Pricing!$A:$G,7,FALSE)</f>
        <v>2500</v>
      </c>
      <c r="L771" t="s">
        <v>1960</v>
      </c>
      <c r="M771" t="str">
        <f t="shared" si="28"/>
        <v>630-032533-001</v>
      </c>
    </row>
    <row r="772" spans="1:13" x14ac:dyDescent="0.25">
      <c r="A772" t="s">
        <v>1697</v>
      </c>
      <c r="B772" s="14" t="str">
        <f>VLOOKUP(A772,[1]Pricing!$A:$R,18,FALSE)</f>
        <v>SN74LVC2G00DCUR</v>
      </c>
      <c r="C772" t="s">
        <v>2595</v>
      </c>
      <c r="D772" t="str">
        <f>VLOOKUP(A772,[1]AVL!$A:$F,6,FALSE)</f>
        <v>IC,SMD,DUAL 2 IN NAND</v>
      </c>
      <c r="E772" t="str">
        <f>VLOOKUP(A772,[1]Pricing!$A:$F,6,FALSE)</f>
        <v>9 Weeks</v>
      </c>
      <c r="F772">
        <f>VLOOKUP(B772,[2]Sheet2!$B:$E,4,FALSE)</f>
        <v>3000</v>
      </c>
      <c r="G772" s="2">
        <f>VLOOKUP(A772,[1]Pricing!$A:$H,8,FALSE)</f>
        <v>0.178923</v>
      </c>
      <c r="H772" s="2">
        <f>VLOOKUP(A772,[1]Pricing!$A:$J,10,FALSE)</f>
        <v>0.21819878048780489</v>
      </c>
      <c r="I772">
        <f>VLOOKUP(A772,MIN!A:B,2,FALSE)</f>
        <v>15</v>
      </c>
      <c r="J772" t="str">
        <f t="shared" si="29"/>
        <v>NO</v>
      </c>
      <c r="K772">
        <f>VLOOKUP(A772,[1]Pricing!$A:$G,7,FALSE)</f>
        <v>3000</v>
      </c>
      <c r="L772" t="s">
        <v>1960</v>
      </c>
      <c r="M772" t="str">
        <f t="shared" si="28"/>
        <v>630-135488-001</v>
      </c>
    </row>
    <row r="773" spans="1:13" x14ac:dyDescent="0.25">
      <c r="A773" t="s">
        <v>364</v>
      </c>
      <c r="B773" s="14" t="str">
        <f>VLOOKUP(A773,[1]Pricing!$A:$R,18,FALSE)</f>
        <v>6-104910-4</v>
      </c>
      <c r="C773" t="s">
        <v>2599</v>
      </c>
      <c r="D773" t="str">
        <f>VLOOKUP(A773,[1]AVL!$A:$F,6,FALSE)</f>
        <v>CONN,HDR,PCB,3A,600V,15PIN,SHRD,VERT,BLK</v>
      </c>
      <c r="E773" t="str">
        <f>VLOOKUP(A773,[1]Pricing!$A:$F,6,FALSE)</f>
        <v>12 Weeks</v>
      </c>
      <c r="F773">
        <f>VLOOKUP(B773,[2]Sheet2!$B:$E,4,FALSE)</f>
        <v>1001</v>
      </c>
      <c r="G773" s="2">
        <f>VLOOKUP(A773,[1]Pricing!$A:$H,8,FALSE)</f>
        <v>2.5329250000000001</v>
      </c>
      <c r="H773" s="2">
        <f>VLOOKUP(A773,[1]Pricing!$A:$J,10,FALSE)</f>
        <v>3.0889329268292687</v>
      </c>
      <c r="I773">
        <f>VLOOKUP(A773,MIN!A:B,2,FALSE)</f>
        <v>25</v>
      </c>
      <c r="J773" t="str">
        <f t="shared" si="29"/>
        <v>NO</v>
      </c>
      <c r="K773">
        <f>VLOOKUP(A773,[1]Pricing!$A:$G,7,FALSE)</f>
        <v>936</v>
      </c>
      <c r="L773" t="s">
        <v>1960</v>
      </c>
      <c r="M773" t="str">
        <f t="shared" ref="M773:M837" si="30">A773</f>
        <v>668-B33497-015</v>
      </c>
    </row>
    <row r="774" spans="1:13" x14ac:dyDescent="0.25">
      <c r="A774" t="s">
        <v>552</v>
      </c>
      <c r="B774" s="14" t="str">
        <f>VLOOKUP(A774,[1]Pricing!$A:$R,18,FALSE)</f>
        <v>BSS84AK,215</v>
      </c>
      <c r="C774" t="s">
        <v>2622</v>
      </c>
      <c r="D774" t="str">
        <f>VLOOKUP(A774,[1]AVL!$A:$F,6,FALSE)</f>
        <v>XSTR,SMD,MOSFET,P-CH,50V,0.180A,TO-236AB</v>
      </c>
      <c r="E774" t="str">
        <f>VLOOKUP(A774,[1]Pricing!$A:$F,6,FALSE)</f>
        <v>3 Weeks</v>
      </c>
      <c r="F774">
        <f>VLOOKUP(B774,[2]Sheet2!$B:$E,4,FALSE)</f>
        <v>9750</v>
      </c>
      <c r="G774" s="2">
        <f>VLOOKUP(A774,[1]Pricing!$A:$H,8,FALSE)</f>
        <v>2.4510000000000001E-2</v>
      </c>
      <c r="H774" s="2">
        <f>VLOOKUP(A774,[1]Pricing!$A:$J,10,FALSE)</f>
        <v>2.9890243902439027E-2</v>
      </c>
      <c r="I774">
        <f>VLOOKUP(A774,MIN!A:B,2,FALSE)</f>
        <v>15</v>
      </c>
      <c r="J774" t="str">
        <f t="shared" si="29"/>
        <v>NO</v>
      </c>
      <c r="K774">
        <f>VLOOKUP(A774,[1]Pricing!$A:$G,7,FALSE)</f>
        <v>10000</v>
      </c>
      <c r="L774" t="s">
        <v>1960</v>
      </c>
      <c r="M774" t="str">
        <f t="shared" si="30"/>
        <v>626-A86953-001</v>
      </c>
    </row>
    <row r="775" spans="1:13" x14ac:dyDescent="0.25">
      <c r="A775" t="s">
        <v>1536</v>
      </c>
      <c r="B775" s="14" t="str">
        <f>VLOOKUP(A775,[1]Pricing!$A:$R,18,FALSE)</f>
        <v>RT0402BRD07267RL</v>
      </c>
      <c r="C775" t="s">
        <v>2580</v>
      </c>
      <c r="D775" t="str">
        <f>VLOOKUP(A775,[1]AVL!$A:$F,6,FALSE)</f>
        <v>RES SMD 267 OHM 0.1% 1/16W 0402</v>
      </c>
      <c r="E775" t="str">
        <f>VLOOKUP(A775,[1]Pricing!$A:$F,6,FALSE)</f>
        <v>22 Weeks</v>
      </c>
      <c r="F775">
        <f>VLOOKUP(B775,[2]Sheet2!$B:$E,4,FALSE)</f>
        <v>10000</v>
      </c>
      <c r="G775" s="2">
        <f>VLOOKUP(A775,[1]Pricing!$A:$H,8,FALSE)</f>
        <v>3.9656999999999998E-2</v>
      </c>
      <c r="H775" s="2">
        <f>VLOOKUP(A775,[1]Pricing!$A:$J,10,FALSE)</f>
        <v>4.8362195121951217E-2</v>
      </c>
      <c r="I775">
        <f>VLOOKUP(A775,MIN!A:B,2,FALSE)</f>
        <v>15</v>
      </c>
      <c r="J775" t="str">
        <f t="shared" si="29"/>
        <v>NO</v>
      </c>
      <c r="K775">
        <f>VLOOKUP(A775,[1]Pricing!$A:$G,7,FALSE)</f>
        <v>10000</v>
      </c>
      <c r="L775" t="s">
        <v>1960</v>
      </c>
      <c r="M775" t="str">
        <f t="shared" si="30"/>
        <v>615-A00422-267</v>
      </c>
    </row>
    <row r="776" spans="1:13" x14ac:dyDescent="0.25">
      <c r="A776" t="s">
        <v>1769</v>
      </c>
      <c r="B776" s="14" t="str">
        <f>VLOOKUP(A776,[1]Pricing!$A:$R,18,FALSE)</f>
        <v>TNPW040219K8BEED</v>
      </c>
      <c r="C776" t="s">
        <v>2617</v>
      </c>
      <c r="D776" t="str">
        <f>VLOOKUP(A776,[1]AVL!$A:$F,6,FALSE)</f>
        <v>RES,SMD,0402,0.1% 1/16W,19.8K</v>
      </c>
      <c r="E776" t="str">
        <f>VLOOKUP(A776,[1]Pricing!$A:$F,6,FALSE)</f>
        <v>15 Weeks</v>
      </c>
      <c r="F776">
        <f>VLOOKUP(B776,[2]Sheet2!$B:$E,4,FALSE)</f>
        <v>10000</v>
      </c>
      <c r="G776" s="2">
        <f>VLOOKUP(A776,[1]Pricing!$A:$H,8,FALSE)</f>
        <v>0.101717</v>
      </c>
      <c r="H776" s="2">
        <f>VLOOKUP(A776,[1]Pricing!$A:$J,10,FALSE)</f>
        <v>0.12404512195121953</v>
      </c>
      <c r="I776">
        <f>VLOOKUP(A776,MIN!A:B,2,FALSE)</f>
        <v>15</v>
      </c>
      <c r="J776" t="str">
        <f t="shared" si="29"/>
        <v>NO</v>
      </c>
      <c r="K776">
        <f>VLOOKUP(A776,[1]Pricing!$A:$G,7,FALSE)</f>
        <v>10000</v>
      </c>
      <c r="L776" t="s">
        <v>1960</v>
      </c>
      <c r="M776" t="str">
        <f t="shared" si="30"/>
        <v>615-233538-001</v>
      </c>
    </row>
    <row r="777" spans="1:13" x14ac:dyDescent="0.25">
      <c r="A777" t="s">
        <v>877</v>
      </c>
      <c r="B777" s="14" t="str">
        <f>VLOOKUP(A777,[1]Pricing!$A:$R,18,FALSE)</f>
        <v>ESD7551N2T5G</v>
      </c>
      <c r="C777" t="s">
        <v>2623</v>
      </c>
      <c r="D777" t="str">
        <f>VLOOKUP(A777,[1]AVL!$A:$F,6,FALSE)</f>
        <v>DIO,SMD,3.3V,ESD CLAMP</v>
      </c>
      <c r="E777" t="str">
        <f>VLOOKUP(A777,[1]Pricing!$A:$F,6,FALSE)</f>
        <v>24 Weeks</v>
      </c>
      <c r="F777">
        <f>VLOOKUP(B777,[2]Sheet2!$B:$E,4,FALSE)</f>
        <v>7940</v>
      </c>
      <c r="G777" s="2">
        <f>VLOOKUP(A777,[1]Pricing!$A:$H,8,FALSE)</f>
        <v>5.6372999999999999E-2</v>
      </c>
      <c r="H777" s="2">
        <f>VLOOKUP(A777,[1]Pricing!$A:$J,10,FALSE)</f>
        <v>6.8747560975609759E-2</v>
      </c>
      <c r="I777">
        <f>VLOOKUP(A777,MIN!A:B,2,FALSE)</f>
        <v>25</v>
      </c>
      <c r="J777" t="str">
        <f t="shared" si="29"/>
        <v>NO</v>
      </c>
      <c r="K777">
        <f>VLOOKUP(A777,[1]Pricing!$A:$G,7,FALSE)</f>
        <v>8000</v>
      </c>
      <c r="L777" t="s">
        <v>1960</v>
      </c>
      <c r="M777" t="str">
        <f t="shared" si="30"/>
        <v>609-283113-001</v>
      </c>
    </row>
    <row r="778" spans="1:13" x14ac:dyDescent="0.25">
      <c r="A778" t="s">
        <v>875</v>
      </c>
      <c r="B778" s="14" t="str">
        <f>VLOOKUP(A778,[1]Pricing!$A:$R,18,FALSE)</f>
        <v>ERJUP3F2003V</v>
      </c>
      <c r="C778" t="s">
        <v>2618</v>
      </c>
      <c r="D778" t="str">
        <f>VLOOKUP(A778,[1]AVL!$A:$F,6,FALSE)</f>
        <v>RES,SMD,THK FILM,200K OHM,1%,0.25W,0603</v>
      </c>
      <c r="E778" t="str">
        <f>VLOOKUP(A778,[1]Pricing!$A:$F,6,FALSE)</f>
        <v>23 Weeks</v>
      </c>
      <c r="F778">
        <f>VLOOKUP(B778,[2]Sheet2!$B:$E,4,FALSE)</f>
        <v>5000</v>
      </c>
      <c r="G778" s="2">
        <f>VLOOKUP(A778,[1]Pricing!$A:$H,8,FALSE)</f>
        <v>2.2880000000000001E-2</v>
      </c>
      <c r="H778" s="2">
        <f>VLOOKUP(A778,[1]Pricing!$A:$J,10,FALSE)</f>
        <v>2.7902439024390248E-2</v>
      </c>
      <c r="I778">
        <f>VLOOKUP(A778,MIN!A:B,2,FALSE)</f>
        <v>15</v>
      </c>
      <c r="J778" t="str">
        <f t="shared" si="29"/>
        <v>NO</v>
      </c>
      <c r="K778">
        <f>VLOOKUP(A778,[1]Pricing!$A:$G,7,FALSE)</f>
        <v>5000</v>
      </c>
      <c r="L778" t="s">
        <v>1960</v>
      </c>
      <c r="M778" t="str">
        <f t="shared" si="30"/>
        <v>615-B08197-001</v>
      </c>
    </row>
    <row r="779" spans="1:13" x14ac:dyDescent="0.25">
      <c r="A779" t="s">
        <v>845</v>
      </c>
      <c r="B779" s="14" t="str">
        <f>VLOOKUP(A779,[1]Pricing!$A:$R,18,FALSE)</f>
        <v>ERJ1TRQFR43U</v>
      </c>
      <c r="C779" t="s">
        <v>2618</v>
      </c>
      <c r="D779" t="str">
        <f>VLOOKUP(A779,[1]AVL!$A:$F,6,FALSE)</f>
        <v>RES,SMD,1W,+/-1%TOL,0.43OHM,THK FILM</v>
      </c>
      <c r="E779" t="str">
        <f>VLOOKUP(A779,[1]Pricing!$A:$F,6,FALSE)</f>
        <v>25 Weeks</v>
      </c>
      <c r="F779">
        <f>VLOOKUP(B779,[2]Sheet2!$B:$E,4,FALSE)</f>
        <v>4000</v>
      </c>
      <c r="G779" s="2">
        <f>VLOOKUP(A779,[1]Pricing!$A:$H,8,FALSE)</f>
        <v>0.17157</v>
      </c>
      <c r="H779" s="2">
        <f>VLOOKUP(A779,[1]Pricing!$A:$J,10,FALSE)</f>
        <v>0.20923170731707319</v>
      </c>
      <c r="I779">
        <f>VLOOKUP(A779,MIN!A:B,2,FALSE)</f>
        <v>25</v>
      </c>
      <c r="J779" t="str">
        <f t="shared" si="29"/>
        <v>NO</v>
      </c>
      <c r="K779">
        <f>VLOOKUP(A779,[1]Pricing!$A:$G,7,FALSE)</f>
        <v>4000</v>
      </c>
      <c r="L779" t="s">
        <v>1960</v>
      </c>
      <c r="M779" t="str">
        <f t="shared" si="30"/>
        <v>615-255080-043</v>
      </c>
    </row>
    <row r="780" spans="1:13" x14ac:dyDescent="0.25">
      <c r="A780" t="s">
        <v>46</v>
      </c>
      <c r="B780" s="14" t="str">
        <f>VLOOKUP(A780,[1]Pricing!$A:$R,18,FALSE)</f>
        <v>101X15N220MV4E</v>
      </c>
      <c r="C780" t="s">
        <v>2723</v>
      </c>
      <c r="D780" t="str">
        <f>VLOOKUP(A780,[1]AVL!$A:$F,6,FALSE)</f>
        <v>CAP,SMD,X2Y,22PF,20%,100V,0805</v>
      </c>
      <c r="E780" t="str">
        <f>VLOOKUP(A780,[1]Pricing!$A:$F,6,FALSE)</f>
        <v>12 Weeks</v>
      </c>
      <c r="F780">
        <f>VLOOKUP(B780,[2]Sheet2!$B:$E,4,FALSE)</f>
        <v>3918</v>
      </c>
      <c r="G780" s="2">
        <f>VLOOKUP(A780,[1]Pricing!$A:$H,8,FALSE)</f>
        <v>0.107</v>
      </c>
      <c r="H780" s="2">
        <f>VLOOKUP(A780,[1]Pricing!$A:$J,10,FALSE)</f>
        <v>0.13048780487804879</v>
      </c>
      <c r="I780">
        <f>VLOOKUP(A780,MIN!A:B,2,FALSE)</f>
        <v>15</v>
      </c>
      <c r="J780" t="str">
        <f t="shared" si="29"/>
        <v>NO</v>
      </c>
      <c r="K780">
        <f>VLOOKUP(A780,[1]Pricing!$A:$G,7,FALSE)</f>
        <v>4000</v>
      </c>
      <c r="L780" t="s">
        <v>1960</v>
      </c>
      <c r="M780" t="str">
        <f t="shared" si="30"/>
        <v>648-108237-001</v>
      </c>
    </row>
    <row r="781" spans="1:13" x14ac:dyDescent="0.25">
      <c r="A781" t="s">
        <v>913</v>
      </c>
      <c r="B781" s="14" t="str">
        <f>VLOOKUP(A781,[1]Pricing!$A:$R,18,FALSE)</f>
        <v>GCM1885C1H332FA16D</v>
      </c>
      <c r="C781" t="s">
        <v>2627</v>
      </c>
      <c r="D781" t="str">
        <f>VLOOKUP(A781,[1]AVL!$A:$F,6,FALSE)</f>
        <v>CAP,SMD,CER,3300PF,+/-1%,50V,C0G,0603</v>
      </c>
      <c r="E781" t="str">
        <f>VLOOKUP(A781,[1]Pricing!$A:$F,6,FALSE)</f>
        <v>22 Weeks</v>
      </c>
      <c r="F781">
        <f>VLOOKUP(B781,[2]Sheet2!$B:$E,4,FALSE)</f>
        <v>4000</v>
      </c>
      <c r="G781" s="2">
        <f>VLOOKUP(A781,[1]Pricing!$A:$H,8,FALSE)</f>
        <v>3.3089E-2</v>
      </c>
      <c r="H781" s="2">
        <f>VLOOKUP(A781,[1]Pricing!$A:$J,10,FALSE)</f>
        <v>4.0352439024390244E-2</v>
      </c>
      <c r="I781">
        <f>VLOOKUP(A781,MIN!A:B,2,FALSE)</f>
        <v>25</v>
      </c>
      <c r="J781" t="str">
        <f t="shared" si="29"/>
        <v>NO</v>
      </c>
      <c r="K781">
        <f>VLOOKUP(A781,[1]Pricing!$A:$G,7,FALSE)</f>
        <v>4000</v>
      </c>
      <c r="L781" t="s">
        <v>1960</v>
      </c>
      <c r="M781" t="str">
        <f t="shared" si="30"/>
        <v>648-A80876-332</v>
      </c>
    </row>
    <row r="782" spans="1:13" x14ac:dyDescent="0.25">
      <c r="A782" t="s">
        <v>919</v>
      </c>
      <c r="B782" s="14" t="str">
        <f>VLOOKUP(A782,[1]Pricing!$A:$R,18,FALSE)</f>
        <v>GQM1875G2E100JB12D</v>
      </c>
      <c r="C782" t="s">
        <v>2627</v>
      </c>
      <c r="D782" t="str">
        <f>VLOOKUP(A782,[1]AVL!$A:$F,6,FALSE)</f>
        <v>CAP,SMD,CER,10PF,+/-5%TOL,250V,X8G,0603</v>
      </c>
      <c r="E782" t="str">
        <f>VLOOKUP(A782,[1]Pricing!$A:$F,6,FALSE)</f>
        <v>13 Weeks</v>
      </c>
      <c r="F782">
        <f>VLOOKUP(B782,[2]Sheet2!$B:$E,4,FALSE)</f>
        <v>4000</v>
      </c>
      <c r="G782" s="2">
        <f>VLOOKUP(A782,[1]Pricing!$A:$H,8,FALSE)</f>
        <v>9.2733999999999997E-2</v>
      </c>
      <c r="H782" s="2">
        <f>VLOOKUP(A782,[1]Pricing!$A:$J,10,FALSE)</f>
        <v>0.11309024390243903</v>
      </c>
      <c r="I782">
        <f>VLOOKUP(A782,MIN!A:B,2,FALSE)</f>
        <v>15</v>
      </c>
      <c r="J782" t="str">
        <f t="shared" si="29"/>
        <v>NO</v>
      </c>
      <c r="K782">
        <f>VLOOKUP(A782,[1]Pricing!$A:$G,7,FALSE)</f>
        <v>4000</v>
      </c>
      <c r="L782" t="s">
        <v>1960</v>
      </c>
      <c r="M782" t="str">
        <f t="shared" si="30"/>
        <v>648-B08025-001</v>
      </c>
    </row>
    <row r="783" spans="1:13" x14ac:dyDescent="0.25">
      <c r="A783" t="s">
        <v>51</v>
      </c>
      <c r="B783" s="14" t="str">
        <f>VLOOKUP(A783,[1]Pricing!$A:$R,18,FALSE)</f>
        <v>10-89-7060</v>
      </c>
      <c r="C783" t="s">
        <v>2610</v>
      </c>
      <c r="D783" t="str">
        <f>VLOOKUP(A783,[1]AVL!$A:$F,6,FALSE)</f>
        <v>HEADER,STR,DBL ROW,6 CKT,ROHS</v>
      </c>
      <c r="E783" t="str">
        <f>VLOOKUP(A783,[1]Pricing!$A:$F,6,FALSE)</f>
        <v>28 Weeks</v>
      </c>
      <c r="F783">
        <f>VLOOKUP(B783,[2]Sheet2!$B:$E,4,FALSE)</f>
        <v>3000</v>
      </c>
      <c r="G783" s="2">
        <f>VLOOKUP(A783,[1]Pricing!$A:$H,8,FALSE)</f>
        <v>0.46936699999999998</v>
      </c>
      <c r="H783" s="2">
        <f>VLOOKUP(A783,[1]Pricing!$A:$J,10,FALSE)</f>
        <v>0.5723987804878049</v>
      </c>
      <c r="I783">
        <f>VLOOKUP(A783,MIN!A:B,2,FALSE)</f>
        <v>15</v>
      </c>
      <c r="J783" t="str">
        <f t="shared" si="29"/>
        <v>NO</v>
      </c>
      <c r="K783">
        <f>VLOOKUP(A783,[1]Pricing!$A:$G,7,FALSE)</f>
        <v>3000</v>
      </c>
      <c r="L783" t="s">
        <v>1960</v>
      </c>
      <c r="M783" t="str">
        <f t="shared" si="30"/>
        <v>668-005463-006</v>
      </c>
    </row>
    <row r="784" spans="1:13" x14ac:dyDescent="0.25">
      <c r="A784" t="s">
        <v>742</v>
      </c>
      <c r="B784" s="14" t="str">
        <f>VLOOKUP(A784,[1]Pricing!$A:$R,18,FALSE)</f>
        <v>DFLT5V0A-7</v>
      </c>
      <c r="C784" t="s">
        <v>2634</v>
      </c>
      <c r="D784" t="str">
        <f>VLOOKUP(A784,[1]AVL!$A:$F,6,FALSE)</f>
        <v>DIO,SMD,PWR,TVS,255W,5V  ROHS</v>
      </c>
      <c r="E784" t="str">
        <f>VLOOKUP(A784,[1]Pricing!$A:$F,6,FALSE)</f>
        <v>16 Weeks</v>
      </c>
      <c r="F784">
        <f>VLOOKUP(B784,[2]Sheet2!$B:$E,4,FALSE)</f>
        <v>3000</v>
      </c>
      <c r="G784" s="2">
        <f>VLOOKUP(A784,[1]Pricing!$A:$H,8,FALSE)</f>
        <v>0.116423</v>
      </c>
      <c r="H784" s="2">
        <f>VLOOKUP(A784,[1]Pricing!$A:$J,10,FALSE)</f>
        <v>0.14197926829268293</v>
      </c>
      <c r="I784">
        <f>VLOOKUP(A784,MIN!A:B,2,FALSE)</f>
        <v>15</v>
      </c>
      <c r="J784" t="str">
        <f t="shared" si="29"/>
        <v>NO</v>
      </c>
      <c r="K784">
        <f>VLOOKUP(A784,[1]Pricing!$A:$G,7,FALSE)</f>
        <v>3000</v>
      </c>
      <c r="L784" t="s">
        <v>1960</v>
      </c>
      <c r="M784" t="str">
        <f t="shared" si="30"/>
        <v>609-068289-001</v>
      </c>
    </row>
    <row r="785" spans="1:13" x14ac:dyDescent="0.25">
      <c r="A785" t="s">
        <v>302</v>
      </c>
      <c r="B785" s="14" t="str">
        <f>VLOOKUP(A785,[1]Pricing!$A:$R,18,FALSE)</f>
        <v>50865-5</v>
      </c>
      <c r="C785" t="s">
        <v>2599</v>
      </c>
      <c r="D785" t="str">
        <f>VLOOKUP(A785,[1]AVL!$A:$F,6,FALSE)</f>
        <v>CONT,SKT,MINIATURE SPRING SOCKET</v>
      </c>
      <c r="E785" t="str">
        <f>VLOOKUP(A785,[1]Pricing!$A:$F,6,FALSE)</f>
        <v>23 Weeks</v>
      </c>
      <c r="F785">
        <f>VLOOKUP(B785,[2]Sheet2!$B:$E,4,FALSE)</f>
        <v>2000</v>
      </c>
      <c r="G785" s="2">
        <f>VLOOKUP(A785,[1]Pricing!$A:$H,8,FALSE)</f>
        <v>0.59319100000000002</v>
      </c>
      <c r="H785" s="2">
        <f>VLOOKUP(A785,[1]Pricing!$A:$J,10,FALSE)</f>
        <v>0.72340365853658539</v>
      </c>
      <c r="I785">
        <f>VLOOKUP(A785,MIN!A:B,2,FALSE)</f>
        <v>25</v>
      </c>
      <c r="J785" t="str">
        <f t="shared" si="29"/>
        <v>NO</v>
      </c>
      <c r="K785">
        <f>VLOOKUP(A785,[1]Pricing!$A:$G,7,FALSE)</f>
        <v>2000</v>
      </c>
      <c r="L785" t="s">
        <v>1960</v>
      </c>
      <c r="M785" t="str">
        <f t="shared" si="30"/>
        <v>669-047358-001</v>
      </c>
    </row>
    <row r="786" spans="1:13" x14ac:dyDescent="0.25">
      <c r="A786" t="s">
        <v>652</v>
      </c>
      <c r="B786" s="14" t="str">
        <f>VLOOKUP(A786,[1]Pricing!$A:$R,18,FALSE)</f>
        <v>CL21A476MQYNNNE</v>
      </c>
      <c r="C786" t="s">
        <v>2636</v>
      </c>
      <c r="D786" t="str">
        <f>VLOOKUP(A786,[1]AVL!$A:$F,6,FALSE)</f>
        <v>CAP,SMD,MLCC,47UF,20%,6.3V,X5R,0805</v>
      </c>
      <c r="E786" t="str">
        <f>VLOOKUP(A786,[1]Pricing!$A:$F,6,FALSE)</f>
        <v>27 Weeks</v>
      </c>
      <c r="F786">
        <f>VLOOKUP(B786,[2]Sheet2!$B:$E,4,FALSE)</f>
        <v>386</v>
      </c>
      <c r="G786" s="2">
        <f>VLOOKUP(A786,[1]Pricing!$A:$H,8,FALSE)</f>
        <v>6.9523000000000001E-2</v>
      </c>
      <c r="H786" s="2">
        <f>VLOOKUP(A786,[1]Pricing!$A:$J,10,FALSE)</f>
        <v>8.4784146341463418E-2</v>
      </c>
      <c r="I786">
        <f>VLOOKUP(A786,MIN!A:B,2,FALSE)</f>
        <v>50</v>
      </c>
      <c r="J786" t="str">
        <f t="shared" si="29"/>
        <v>NO</v>
      </c>
      <c r="K786">
        <f>VLOOKUP(A786,[1]Pricing!$A:$G,7,FALSE)</f>
        <v>2000</v>
      </c>
      <c r="L786" t="s">
        <v>1960</v>
      </c>
      <c r="M786" t="str">
        <f t="shared" si="30"/>
        <v>648-B34301-001</v>
      </c>
    </row>
    <row r="787" spans="1:13" x14ac:dyDescent="0.25">
      <c r="A787" t="s">
        <v>1006</v>
      </c>
      <c r="B787" s="14" t="str">
        <f>VLOOKUP(A787,[1]Pricing!$A:$R,18,FALSE)</f>
        <v>K86X-ED-15P-BR</v>
      </c>
      <c r="C787" t="s">
        <v>2612</v>
      </c>
      <c r="D787" t="str">
        <f>VLOOKUP(A787,[1]AVL!$A:$F,6,FALSE)</f>
        <v>CONN,PIN,15P,DSUB,HD,VERT,ROHS</v>
      </c>
      <c r="E787" t="str">
        <f>VLOOKUP(A787,[1]Pricing!$A:$F,6,FALSE)</f>
        <v>27 Weeks</v>
      </c>
      <c r="F787">
        <f>VLOOKUP(B787,[2]Sheet2!$B:$E,4,FALSE)</f>
        <v>1005</v>
      </c>
      <c r="G787" s="2">
        <f>VLOOKUP(A787,[1]Pricing!$A:$H,8,FALSE)</f>
        <v>3.8113049999999999</v>
      </c>
      <c r="H787" s="2">
        <f>VLOOKUP(A787,[1]Pricing!$A:$J,10,FALSE)</f>
        <v>4.6479329268292684</v>
      </c>
      <c r="I787">
        <f>VLOOKUP(A787,MIN!A:B,2,FALSE)</f>
        <v>15</v>
      </c>
      <c r="J787" t="str">
        <f t="shared" si="29"/>
        <v>NO</v>
      </c>
      <c r="K787">
        <f>VLOOKUP(A787,[1]Pricing!$A:$G,7,FALSE)</f>
        <v>1008</v>
      </c>
      <c r="L787" t="s">
        <v>1960</v>
      </c>
      <c r="M787" t="str">
        <f t="shared" si="30"/>
        <v>668-099029-015</v>
      </c>
    </row>
    <row r="788" spans="1:13" x14ac:dyDescent="0.25">
      <c r="A788" t="s">
        <v>592</v>
      </c>
      <c r="B788" s="14" t="str">
        <f>VLOOKUP(A788,[1]Pricing!$A:$R,18,FALSE)</f>
        <v>C4532C0G3F101K160KA</v>
      </c>
      <c r="C788" t="s">
        <v>2616</v>
      </c>
      <c r="D788" t="str">
        <f>VLOOKUP(A788,[1]AVL!$A:$F,6,FALSE)</f>
        <v>CAP,1812,COG,10%,3KV,100PF ROHS</v>
      </c>
      <c r="E788" t="str">
        <f>VLOOKUP(A788,[1]Pricing!$A:$F,6,FALSE)</f>
        <v>19 Weeks</v>
      </c>
      <c r="F788">
        <f>VLOOKUP(B788,[2]Sheet2!$B:$E,4,FALSE)</f>
        <v>1000</v>
      </c>
      <c r="G788" s="2">
        <f>VLOOKUP(A788,[1]Pricing!$A:$H,8,FALSE)</f>
        <v>0.23774700000000001</v>
      </c>
      <c r="H788" s="2">
        <f>VLOOKUP(A788,[1]Pricing!$A:$J,10,FALSE)</f>
        <v>0.28993536585365859</v>
      </c>
      <c r="I788">
        <f>VLOOKUP(A788,MIN!A:B,2,FALSE)</f>
        <v>25</v>
      </c>
      <c r="J788" t="str">
        <f t="shared" si="29"/>
        <v>NO</v>
      </c>
      <c r="K788">
        <f>VLOOKUP(A788,[1]Pricing!$A:$G,7,FALSE)</f>
        <v>1000</v>
      </c>
      <c r="L788" t="s">
        <v>1960</v>
      </c>
      <c r="M788" t="str">
        <f t="shared" si="30"/>
        <v>648-067455-101</v>
      </c>
    </row>
    <row r="789" spans="1:13" x14ac:dyDescent="0.25">
      <c r="A789" t="s">
        <v>664</v>
      </c>
      <c r="B789" s="14" t="str">
        <f>VLOOKUP(A789,[1]Pricing!$A:$R,18,FALSE)</f>
        <v>CPC1303GR</v>
      </c>
      <c r="C789" t="s">
        <v>2724</v>
      </c>
      <c r="D789" t="str">
        <f>VLOOKUP(A789,[1]AVL!$A:$F,6,FALSE)</f>
        <v>IC,SMD,SINGLE TRNSTOR OPTOCPL TTL COMP</v>
      </c>
      <c r="E789" t="str">
        <f>VLOOKUP(A789,[1]Pricing!$A:$F,6,FALSE)</f>
        <v>26 Weeks</v>
      </c>
      <c r="F789">
        <f>VLOOKUP(B789,[2]Sheet2!$B:$E,4,FALSE)</f>
        <v>457</v>
      </c>
      <c r="G789" s="2">
        <f>VLOOKUP(A789,[1]Pricing!$A:$H,8,FALSE)</f>
        <v>0.70343699999999998</v>
      </c>
      <c r="H789" s="2">
        <f>VLOOKUP(A789,[1]Pricing!$A:$J,10,FALSE)</f>
        <v>0.85785</v>
      </c>
      <c r="I789">
        <f>VLOOKUP(A789,MIN!A:B,2,FALSE)</f>
        <v>15</v>
      </c>
      <c r="J789" t="str">
        <f t="shared" si="29"/>
        <v>NO</v>
      </c>
      <c r="K789">
        <f>VLOOKUP(A789,[1]Pricing!$A:$G,7,FALSE)</f>
        <v>1000</v>
      </c>
      <c r="L789" t="s">
        <v>2689</v>
      </c>
      <c r="M789" t="str">
        <f t="shared" si="30"/>
        <v>630-080990-001</v>
      </c>
    </row>
    <row r="790" spans="1:13" x14ac:dyDescent="0.25">
      <c r="A790" t="s">
        <v>986</v>
      </c>
      <c r="B790" s="14" t="str">
        <f>VLOOKUP(A790,[1]Pricing!$A:$R,18,FALSE)</f>
        <v>JSX-1055</v>
      </c>
      <c r="C790" t="s">
        <v>2725</v>
      </c>
      <c r="D790" t="str">
        <f>VLOOKUP(A790,[1]AVL!$A:$F,6,FALSE)</f>
        <v>CONN,DSUB,JCK SCRW,HEX,.216,ROHS</v>
      </c>
      <c r="E790" t="str">
        <f>VLOOKUP(A790,[1]Pricing!$A:$F,6,FALSE)</f>
        <v>25 Weeks</v>
      </c>
      <c r="F790">
        <f>VLOOKUP(B790,[2]Sheet2!$B:$E,4,FALSE)</f>
        <v>987</v>
      </c>
      <c r="G790" s="2">
        <f>VLOOKUP(A790,[1]Pricing!$A:$H,8,FALSE)</f>
        <v>0.180149</v>
      </c>
      <c r="H790" s="2">
        <f>VLOOKUP(A790,[1]Pricing!$A:$J,10,FALSE)</f>
        <v>0.2196939024390244</v>
      </c>
      <c r="I790">
        <f>VLOOKUP(A790,MIN!A:B,2,FALSE)</f>
        <v>30</v>
      </c>
      <c r="J790" t="str">
        <f t="shared" si="29"/>
        <v>NO</v>
      </c>
      <c r="K790">
        <f>VLOOKUP(A790,[1]Pricing!$A:$G,7,FALSE)</f>
        <v>1000</v>
      </c>
      <c r="L790" t="s">
        <v>1960</v>
      </c>
      <c r="M790" t="str">
        <f t="shared" si="30"/>
        <v>668-097179-216</v>
      </c>
    </row>
    <row r="791" spans="1:13" x14ac:dyDescent="0.25">
      <c r="A791" t="s">
        <v>542</v>
      </c>
      <c r="B791" s="14" t="str">
        <f>VLOOKUP(A791,[1]Pricing!$A:$R,18,FALSE)</f>
        <v>BK1/S505H-5-R</v>
      </c>
      <c r="C791" t="s">
        <v>2662</v>
      </c>
      <c r="D791" t="str">
        <f>VLOOKUP(A791,[1]AVL!$A:$F,6,FALSE)</f>
        <v>FUSE,CRTG,5A,600VAC/400DC,5X20MM</v>
      </c>
      <c r="E791" t="str">
        <f>VLOOKUP(A791,[1]Pricing!$A:$F,6,FALSE)</f>
        <v>13 Weeks</v>
      </c>
      <c r="F791">
        <f>VLOOKUP(B791,[2]Sheet2!$B:$E,4,FALSE)</f>
        <v>989</v>
      </c>
      <c r="G791" s="2">
        <f>VLOOKUP(A791,[1]Pricing!$A:$H,8,FALSE)</f>
        <v>0.87004999999999999</v>
      </c>
      <c r="H791" s="2">
        <f>VLOOKUP(A791,[1]Pricing!$A:$J,10,FALSE)</f>
        <v>1.0610365853658537</v>
      </c>
      <c r="I791">
        <f>VLOOKUP(A791,MIN!A:B,2,FALSE)</f>
        <v>25</v>
      </c>
      <c r="J791" t="str">
        <f t="shared" si="29"/>
        <v>NO</v>
      </c>
      <c r="K791">
        <f>VLOOKUP(A791,[1]Pricing!$A:$G,7,FALSE)</f>
        <v>1000</v>
      </c>
      <c r="L791" t="s">
        <v>1960</v>
      </c>
      <c r="M791" t="str">
        <f t="shared" si="30"/>
        <v>670-338640-500</v>
      </c>
    </row>
    <row r="792" spans="1:13" x14ac:dyDescent="0.25">
      <c r="A792" t="s">
        <v>988</v>
      </c>
      <c r="B792" s="14" t="str">
        <f>VLOOKUP(A792,[1]Pricing!$A:$R,18,FALSE)</f>
        <v>JSX-1055-5.9</v>
      </c>
      <c r="C792" t="s">
        <v>2612</v>
      </c>
      <c r="D792" t="str">
        <f>VLOOKUP(A792,[1]AVL!$A:$F,6,FALSE)</f>
        <v>CONN,DSUB,JCK SCRW,HEX,.217</v>
      </c>
      <c r="E792" t="str">
        <f>VLOOKUP(A792,[1]Pricing!$A:$F,6,FALSE)</f>
        <v>25 Weeks</v>
      </c>
      <c r="F792">
        <f>VLOOKUP(B792,[2]Sheet2!$B:$E,4,FALSE)</f>
        <v>146</v>
      </c>
      <c r="G792" s="2">
        <f>VLOOKUP(A792,[1]Pricing!$A:$H,8,FALSE)</f>
        <v>0.20269799999999999</v>
      </c>
      <c r="H792" s="2">
        <f>VLOOKUP(A792,[1]Pricing!$A:$J,10,FALSE)</f>
        <v>0.24719268292682928</v>
      </c>
      <c r="I792">
        <f>VLOOKUP(A792,MIN!A:B,2,FALSE)</f>
        <v>25</v>
      </c>
      <c r="J792" t="str">
        <f t="shared" si="29"/>
        <v>NO</v>
      </c>
      <c r="K792">
        <f>VLOOKUP(A792,[1]Pricing!$A:$G,7,FALSE)</f>
        <v>500</v>
      </c>
      <c r="L792" t="s">
        <v>1960</v>
      </c>
      <c r="M792" t="str">
        <f t="shared" si="30"/>
        <v>668-097179-217</v>
      </c>
    </row>
    <row r="793" spans="1:13" x14ac:dyDescent="0.25">
      <c r="A793" t="s">
        <v>984</v>
      </c>
      <c r="B793" s="14" t="str">
        <f>VLOOKUP(A793,[1]Pricing!$A:$R,18,FALSE)</f>
        <v>IXTT220N20X4HV</v>
      </c>
      <c r="C793" t="s">
        <v>2724</v>
      </c>
      <c r="D793" t="str">
        <f>VLOOKUP(A793,[1]AVL!$A:$F,6,FALSE)</f>
        <v>XSTR,SMD,FIELD EFT,N-CH,200V,TO-268HV</v>
      </c>
      <c r="E793" t="str">
        <f>VLOOKUP(A793,[1]Pricing!$A:$F,6,FALSE)</f>
        <v>43 Weeks</v>
      </c>
      <c r="F793">
        <f>VLOOKUP(B793,[2]Sheet2!$B:$E,4,FALSE)</f>
        <v>210</v>
      </c>
      <c r="G793" s="2">
        <f>VLOOKUP(A793,[1]Pricing!$A:$H,8,FALSE)</f>
        <v>13.835895000000001</v>
      </c>
      <c r="H793" s="2">
        <f>VLOOKUP(A793,[1]Pricing!$A:$J,10,FALSE)</f>
        <v>16.87304268292683</v>
      </c>
      <c r="I793">
        <f>VLOOKUP(A793,MIN!A:B,2,FALSE)</f>
        <v>25</v>
      </c>
      <c r="J793" t="str">
        <f t="shared" si="29"/>
        <v>NO</v>
      </c>
      <c r="K793">
        <f>VLOOKUP(A793,[1]Pricing!$A:$G,7,FALSE)</f>
        <v>210</v>
      </c>
      <c r="L793" t="s">
        <v>1960</v>
      </c>
      <c r="M793" t="str">
        <f t="shared" si="30"/>
        <v>626-B09702-001</v>
      </c>
    </row>
    <row r="794" spans="1:13" x14ac:dyDescent="0.25">
      <c r="A794" t="s">
        <v>393</v>
      </c>
      <c r="B794" s="14">
        <f>VLOOKUP(A794,[1]Pricing!$A:$R,18,FALSE)</f>
        <v>734152063</v>
      </c>
      <c r="C794" t="s">
        <v>2610</v>
      </c>
      <c r="D794" t="str">
        <f>VLOOKUP(A794,[1]AVL!$A:$F,6,FALSE)</f>
        <v>CONN,SMD,MMCX,JACK,STR,50 OHM</v>
      </c>
      <c r="E794" t="str">
        <f>VLOOKUP(A794,[1]Pricing!$A:$F,6,FALSE)</f>
        <v>3 Weeks</v>
      </c>
      <c r="F794">
        <f>VLOOKUP(B794,[2]Sheet2!$B:$E,4,FALSE)</f>
        <v>100</v>
      </c>
      <c r="G794" s="2">
        <f>VLOOKUP(A794,[1]Pricing!$A:$H,8,FALSE)</f>
        <v>1.782367</v>
      </c>
      <c r="H794" s="2">
        <f>VLOOKUP(A794,[1]Pricing!$A:$J,10,FALSE)</f>
        <v>2.1736182926829271</v>
      </c>
      <c r="I794">
        <f>VLOOKUP(A794,MIN!A:B,2,FALSE)</f>
        <v>25</v>
      </c>
      <c r="J794" t="str">
        <f t="shared" si="29"/>
        <v>NO</v>
      </c>
      <c r="K794">
        <f>VLOOKUP(A794,[1]Pricing!$A:$G,7,FALSE)</f>
        <v>100</v>
      </c>
      <c r="L794" t="s">
        <v>1960</v>
      </c>
      <c r="M794" t="str">
        <f t="shared" si="30"/>
        <v>667-272524-001</v>
      </c>
    </row>
    <row r="795" spans="1:13" x14ac:dyDescent="0.25">
      <c r="A795" t="s">
        <v>1020</v>
      </c>
      <c r="B795" s="14" t="str">
        <f>VLOOKUP(A795,[1]Pricing!$A:$R,18,FALSE)</f>
        <v>KLKR010.T</v>
      </c>
      <c r="C795" t="s">
        <v>2620</v>
      </c>
      <c r="D795" t="str">
        <f>VLOOKUP(A795,[1]AVL!$A:$F,6,FALSE)</f>
        <v>FUSE,FAST-ACT,10A,600VAC/300VDC,5AG</v>
      </c>
      <c r="E795" t="str">
        <f>VLOOKUP(A795,[1]Pricing!$A:$F,6,FALSE)</f>
        <v>21 Weeks</v>
      </c>
      <c r="F795">
        <f>VLOOKUP(B795,[2]Sheet2!$B:$E,4,FALSE)</f>
        <v>100</v>
      </c>
      <c r="G795" s="2">
        <f>VLOOKUP(A795,[1]Pricing!$A:$H,8,FALSE)</f>
        <v>15.567527</v>
      </c>
      <c r="H795" s="2">
        <f>VLOOKUP(A795,[1]Pricing!$A:$J,10,FALSE)</f>
        <v>18.984789024390246</v>
      </c>
      <c r="I795">
        <f>VLOOKUP(A795,MIN!A:B,2,FALSE)</f>
        <v>25</v>
      </c>
      <c r="J795" t="str">
        <f t="shared" si="29"/>
        <v>NO</v>
      </c>
      <c r="K795">
        <f>VLOOKUP(A795,[1]Pricing!$A:$G,7,FALSE)</f>
        <v>100</v>
      </c>
      <c r="L795" t="s">
        <v>1960</v>
      </c>
      <c r="M795" t="str">
        <f t="shared" si="30"/>
        <v>670-332664-021</v>
      </c>
    </row>
    <row r="796" spans="1:13" x14ac:dyDescent="0.25">
      <c r="A796" t="s">
        <v>454</v>
      </c>
      <c r="B796" s="14">
        <f>VLOOKUP(A796,[1]Pricing!$A:$R,18,FALSE)</f>
        <v>9552666816741</v>
      </c>
      <c r="C796" t="s">
        <v>2570</v>
      </c>
      <c r="D796" t="str">
        <f>VLOOKUP(A796,[1]AVL!$A:$F,6,FALSE)</f>
        <v>CONN,SMD,D-SUB,MR,7.3MM,15P ROHS</v>
      </c>
      <c r="E796" t="str">
        <f>VLOOKUP(A796,[1]Pricing!$A:$F,6,FALSE)</f>
        <v>3 Weeks</v>
      </c>
      <c r="F796">
        <f>VLOOKUP(B796,[2]Sheet2!$B:$E,4,FALSE)</f>
        <v>200</v>
      </c>
      <c r="G796" s="2">
        <f>VLOOKUP(A796,[1]Pricing!$A:$H,8,FALSE)</f>
        <v>3.9472499999999999</v>
      </c>
      <c r="H796" s="2">
        <f>VLOOKUP(A796,[1]Pricing!$A:$J,10,FALSE)</f>
        <v>4.8137195121951217</v>
      </c>
      <c r="I796">
        <f>VLOOKUP(A796,MIN!A:B,2,FALSE)</f>
        <v>15</v>
      </c>
      <c r="J796" t="str">
        <f t="shared" si="29"/>
        <v>NO</v>
      </c>
      <c r="K796">
        <f>VLOOKUP(A796,[1]Pricing!$A:$G,7,FALSE)</f>
        <v>200</v>
      </c>
      <c r="L796" t="s">
        <v>1960</v>
      </c>
      <c r="M796" t="str">
        <f t="shared" si="30"/>
        <v>667-072912-015</v>
      </c>
    </row>
    <row r="797" spans="1:13" x14ac:dyDescent="0.25">
      <c r="A797" t="s">
        <v>982</v>
      </c>
      <c r="B797" s="14" t="str">
        <f>VLOOKUP(A797,[1]Pricing!$A:$R,18,FALSE)</f>
        <v>IXTT120N15P</v>
      </c>
      <c r="C797" t="s">
        <v>2724</v>
      </c>
      <c r="D797" t="str">
        <f>VLOOKUP(A797,[1]AVL!$A:$F,6,FALSE)</f>
        <v>XSTR,SMD,MOSFET,N-CH,150V,120A,TO-268</v>
      </c>
      <c r="E797" t="str">
        <f>VLOOKUP(A797,[1]Pricing!$A:$F,6,FALSE)</f>
        <v>46 Weeks</v>
      </c>
      <c r="F797">
        <f>VLOOKUP(B797,[2]Sheet2!$B:$E,4,FALSE)</f>
        <v>100</v>
      </c>
      <c r="G797" s="2">
        <f>VLOOKUP(A797,[1]Pricing!$A:$H,8,FALSE)</f>
        <v>8.1740849999999998</v>
      </c>
      <c r="H797" s="2">
        <f>VLOOKUP(A797,[1]Pricing!$A:$J,10,FALSE)</f>
        <v>9.9683963414634142</v>
      </c>
      <c r="I797">
        <f>VLOOKUP(A797,MIN!A:B,2,FALSE)</f>
        <v>25</v>
      </c>
      <c r="J797" t="str">
        <f t="shared" si="29"/>
        <v>NO</v>
      </c>
      <c r="K797">
        <f>VLOOKUP(A797,[1]Pricing!$A:$G,7,FALSE)</f>
        <v>100</v>
      </c>
      <c r="L797" t="s">
        <v>2689</v>
      </c>
      <c r="M797" t="str">
        <f t="shared" si="30"/>
        <v>626-A87430-001</v>
      </c>
    </row>
    <row r="798" spans="1:13" x14ac:dyDescent="0.25">
      <c r="A798" t="s">
        <v>1579</v>
      </c>
      <c r="B798" s="14" t="str">
        <f>VLOOKUP(A798,[1]Pricing!$A:$R,18,FALSE)</f>
        <v>RTE24024F</v>
      </c>
      <c r="C798" t="s">
        <v>2599</v>
      </c>
      <c r="D798" t="str">
        <f>VLOOKUP(A798,[1]AVL!$A:$F,6,FALSE)</f>
        <v>RLY,PWR,DPDT,24VDC,ROHS</v>
      </c>
      <c r="E798" t="str">
        <f>VLOOKUP(A798,[1]Pricing!$A:$F,6,FALSE)</f>
        <v>95 Weeks</v>
      </c>
      <c r="F798">
        <f>VLOOKUP(B798,[2]Sheet2!$B:$E,4,FALSE)</f>
        <v>18</v>
      </c>
      <c r="G798" s="2">
        <f>VLOOKUP(A798,[1]Pricing!$A:$H,8,FALSE)</f>
        <v>5.0667070000000001</v>
      </c>
      <c r="H798" s="2">
        <f>VLOOKUP(A798,[1]Pricing!$A:$J,10,FALSE)</f>
        <v>6.1789109756097567</v>
      </c>
      <c r="I798">
        <f>VLOOKUP(A798,MIN!A:B,2,FALSE)</f>
        <v>25</v>
      </c>
      <c r="J798" t="str">
        <f t="shared" si="29"/>
        <v>REORDER</v>
      </c>
      <c r="K798">
        <f>VLOOKUP(A798,[1]Pricing!$A:$G,7,FALSE)</f>
        <v>60</v>
      </c>
      <c r="L798" t="s">
        <v>1960</v>
      </c>
      <c r="M798" t="str">
        <f t="shared" si="30"/>
        <v>644-087493-002</v>
      </c>
    </row>
    <row r="799" spans="1:13" x14ac:dyDescent="0.25">
      <c r="A799" t="s">
        <v>209</v>
      </c>
      <c r="B799" s="14" t="str">
        <f>VLOOKUP(A799,[1]Pricing!$A:$R,18,FALSE)</f>
        <v>302W2CPXX51E40X</v>
      </c>
      <c r="C799" t="s">
        <v>2592</v>
      </c>
      <c r="D799" t="str">
        <f>VLOOKUP(A799,[1]AVL!$A:$F,6,FALSE)</f>
        <v>CONN,PLUG,COMBO-D,2W2C,30A,SHL SIZE 1</v>
      </c>
      <c r="E799" t="str">
        <f>VLOOKUP(A799,[1]Pricing!$A:$F,6,FALSE)</f>
        <v>3 Weeks</v>
      </c>
      <c r="F799">
        <f>VLOOKUP(B799,[2]Sheet2!$B:$E,4,FALSE)</f>
        <v>35</v>
      </c>
      <c r="G799" s="2">
        <f>VLOOKUP(A799,[1]Pricing!$A:$H,8,FALSE)</f>
        <v>8.9338949999999997</v>
      </c>
      <c r="H799" s="2">
        <f>VLOOKUP(A799,[1]Pricing!$A:$J,10,FALSE)</f>
        <v>10.894993902439024</v>
      </c>
      <c r="I799">
        <f>VLOOKUP(A799,MIN!A:B,2,FALSE)</f>
        <v>15</v>
      </c>
      <c r="J799" t="str">
        <f t="shared" si="29"/>
        <v>NO</v>
      </c>
      <c r="K799">
        <f>VLOOKUP(A799,[1]Pricing!$A:$G,7,FALSE)</f>
        <v>60</v>
      </c>
      <c r="L799" t="s">
        <v>2689</v>
      </c>
      <c r="M799" t="str">
        <f t="shared" si="30"/>
        <v>668-336426-001</v>
      </c>
    </row>
    <row r="800" spans="1:13" x14ac:dyDescent="0.25">
      <c r="A800" t="s">
        <v>992</v>
      </c>
      <c r="B800" s="14" t="str">
        <f>VLOOKUP(A800,[1]Pricing!$A:$R,18,FALSE)</f>
        <v>K202XHT-E9P-N</v>
      </c>
      <c r="C800" t="s">
        <v>2726</v>
      </c>
      <c r="D800" t="str">
        <f>VLOOKUP(A800,[1]AVL!$A:$F,6,FALSE)</f>
        <v>CONN,SMD,D-SUB,PLUG,9POSN,RTANG,AU FLASH</v>
      </c>
      <c r="E800" t="str">
        <f>VLOOKUP(A800,[1]Pricing!$A:$F,6,FALSE)</f>
        <v>27 Weeks</v>
      </c>
      <c r="F800">
        <f>VLOOKUP(B800,[2]Sheet2!$B:$E,4,FALSE)</f>
        <v>26</v>
      </c>
      <c r="G800" s="2">
        <f>VLOOKUP(A800,[1]Pricing!$A:$H,8,FALSE)</f>
        <v>3.3211050000000002</v>
      </c>
      <c r="H800" s="2">
        <f>VLOOKUP(A800,[1]Pricing!$A:$J,10,FALSE)</f>
        <v>4.050128048780488</v>
      </c>
      <c r="I800">
        <f>VLOOKUP(A800,MIN!A:B,2,FALSE)</f>
        <v>15</v>
      </c>
      <c r="J800" t="str">
        <f t="shared" si="29"/>
        <v>NO</v>
      </c>
      <c r="K800">
        <f>VLOOKUP(A800,[1]Pricing!$A:$G,7,FALSE)</f>
        <v>30</v>
      </c>
      <c r="L800" t="s">
        <v>1960</v>
      </c>
      <c r="M800" t="str">
        <f t="shared" si="30"/>
        <v>667-215428-001</v>
      </c>
    </row>
    <row r="801" spans="1:13" x14ac:dyDescent="0.25">
      <c r="A801" t="s">
        <v>173</v>
      </c>
      <c r="B801" s="14" t="str">
        <f>VLOOKUP(A801,[1]Pricing!$A:$R,18,FALSE)</f>
        <v>2-747708-0</v>
      </c>
      <c r="C801" t="s">
        <v>2697</v>
      </c>
      <c r="D801" t="str">
        <f>VLOOKUP(A801,[1]AVL!$A:$F,6,FALSE)</f>
        <v>CONN,DSUB,25F,PCB STRT,0.25"</v>
      </c>
      <c r="E801" t="str">
        <f>VLOOKUP(A801,[1]Pricing!$A:$F,6,FALSE)</f>
        <v>48 Weeks</v>
      </c>
      <c r="F801">
        <f>VLOOKUP(B801,[2]Sheet2!$B:$E,4,FALSE)</f>
        <v>5</v>
      </c>
      <c r="G801" s="2">
        <f>VLOOKUP(A801,[1]Pricing!$A:$H,8,FALSE)</f>
        <v>28.076205000000002</v>
      </c>
      <c r="H801" s="2">
        <f>VLOOKUP(A801,[1]Pricing!$A:$J,10,FALSE)</f>
        <v>34.239274390243907</v>
      </c>
      <c r="I801">
        <f>VLOOKUP(A801,MIN!A:B,2,FALSE)</f>
        <v>25</v>
      </c>
      <c r="J801" t="str">
        <f t="shared" si="29"/>
        <v>REORDER</v>
      </c>
      <c r="K801">
        <f>VLOOKUP(A801,[1]Pricing!$A:$G,7,FALSE)</f>
        <v>50</v>
      </c>
      <c r="L801" t="s">
        <v>1960</v>
      </c>
      <c r="M801" t="str">
        <f t="shared" si="30"/>
        <v>39-130655-25</v>
      </c>
    </row>
    <row r="802" spans="1:13" x14ac:dyDescent="0.25">
      <c r="A802" t="s">
        <v>220</v>
      </c>
      <c r="B802" s="14" t="str">
        <f>VLOOKUP(A802,[1]Pricing!$A:$R,18,FALSE)</f>
        <v>303W3CSXX69E40X</v>
      </c>
      <c r="C802" t="s">
        <v>2593</v>
      </c>
      <c r="D802" t="str">
        <f>VLOOKUP(A802,[1]AVL!$A:$F,6,FALSE)</f>
        <v>CONN,RCPT,D-SUB,POWER,3P,COMBO,ROHS</v>
      </c>
      <c r="E802" t="str">
        <f>VLOOKUP(A802,[1]Pricing!$A:$F,6,FALSE)</f>
        <v>15 Weeks</v>
      </c>
      <c r="F802">
        <f>VLOOKUP(B802,[2]Sheet2!$B:$E,4,FALSE)</f>
        <v>113</v>
      </c>
      <c r="G802" s="2">
        <f>VLOOKUP(A802,[1]Pricing!$A:$H,8,FALSE)</f>
        <v>13.377154000000001</v>
      </c>
      <c r="H802" s="2">
        <f>VLOOKUP(A802,[1]Pricing!$A:$J,10,FALSE)</f>
        <v>16.313602439024393</v>
      </c>
      <c r="I802">
        <f>VLOOKUP(A802,MIN!A:B,2,FALSE)</f>
        <v>25</v>
      </c>
      <c r="J802" t="str">
        <f t="shared" si="29"/>
        <v>NO</v>
      </c>
      <c r="K802">
        <f>VLOOKUP(A802,[1]Pricing!$A:$G,7,FALSE)</f>
        <v>30</v>
      </c>
      <c r="L802" t="s">
        <v>2689</v>
      </c>
      <c r="M802" t="str">
        <f t="shared" si="30"/>
        <v>668-111553-003</v>
      </c>
    </row>
    <row r="803" spans="1:13" x14ac:dyDescent="0.25">
      <c r="A803" t="s">
        <v>220</v>
      </c>
      <c r="B803" s="14" t="str">
        <f>VLOOKUP(A803,[1]Pricing!$A:$R,18,FALSE)</f>
        <v>303W3CSXX69E40X</v>
      </c>
      <c r="C803" t="s">
        <v>2593</v>
      </c>
      <c r="D803" t="str">
        <f>VLOOKUP(A803,[1]AVL!$A:$F,6,FALSE)</f>
        <v>CONN,RCPT,D-SUB,POWER,3P,COMBO,ROHS</v>
      </c>
      <c r="E803" t="str">
        <f>VLOOKUP(A803,[1]Pricing!$A:$F,6,FALSE)</f>
        <v>15 Weeks</v>
      </c>
      <c r="F803">
        <v>17</v>
      </c>
      <c r="G803" s="2">
        <f>VLOOKUP(A803,[1]Pricing!$A:$H,8,FALSE)</f>
        <v>13.377154000000001</v>
      </c>
      <c r="H803" s="2">
        <f>VLOOKUP(A803,[1]Pricing!$A:$J,10,FALSE)</f>
        <v>16.313602439024393</v>
      </c>
      <c r="I803">
        <f>VLOOKUP(A803,MIN!A:B,2,FALSE)</f>
        <v>25</v>
      </c>
      <c r="J803" t="s">
        <v>2744</v>
      </c>
      <c r="K803">
        <f>VLOOKUP(A803,[1]Pricing!$A:$G,7,FALSE)</f>
        <v>30</v>
      </c>
      <c r="L803" t="s">
        <v>2689</v>
      </c>
      <c r="M803" t="str">
        <f t="shared" ref="M803" si="31">A803</f>
        <v>668-111553-003</v>
      </c>
    </row>
    <row r="804" spans="1:13" x14ac:dyDescent="0.25">
      <c r="A804" t="s">
        <v>750</v>
      </c>
      <c r="B804" s="14" t="str">
        <f>VLOOKUP(A804,[1]Pricing!$A:$R,18,FALSE)</f>
        <v>DRV8825PWPR</v>
      </c>
      <c r="C804" t="s">
        <v>2595</v>
      </c>
      <c r="D804" t="str">
        <f>VLOOKUP(A804,[1]AVL!$A:$F,6,FALSE)</f>
        <v>IC,STEPPER MOTOR CNTRLR,2.5A,24V,HTSSOP-</v>
      </c>
      <c r="E804" t="str">
        <f>VLOOKUP(A804,[1]Pricing!$A:$F,6,FALSE)</f>
        <v>3 Weeks</v>
      </c>
      <c r="F804">
        <f>VLOOKUP(B804,[2]Sheet2!$B:$E,4,FALSE)</f>
        <v>100</v>
      </c>
      <c r="G804" s="2">
        <f>VLOOKUP(A804,[1]Pricing!$A:$H,8,FALSE)</f>
        <v>2.9779650000000002</v>
      </c>
      <c r="H804" s="2">
        <f>VLOOKUP(A804,[1]Pricing!$A:$J,10,FALSE)</f>
        <v>3.6316646341463419</v>
      </c>
      <c r="I804">
        <f>VLOOKUP(A804,MIN!A:B,2,FALSE)</f>
        <v>25</v>
      </c>
      <c r="J804" t="str">
        <f t="shared" si="29"/>
        <v>NO</v>
      </c>
      <c r="K804">
        <f>VLOOKUP(A804,[1]Pricing!$A:$G,7,FALSE)</f>
        <v>100</v>
      </c>
      <c r="L804" t="s">
        <v>1960</v>
      </c>
      <c r="M804" t="str">
        <f t="shared" si="30"/>
        <v>32-441255-00</v>
      </c>
    </row>
    <row r="805" spans="1:13" x14ac:dyDescent="0.25">
      <c r="A805" t="s">
        <v>1689</v>
      </c>
      <c r="B805" s="14" t="str">
        <f>VLOOKUP(A805,[1]Pricing!$A:$R,18,FALSE)</f>
        <v>SN74LVC1G32DBVT</v>
      </c>
      <c r="C805" t="s">
        <v>2595</v>
      </c>
      <c r="D805" t="str">
        <f>VLOOKUP(A805,[1]AVL!$A:$F,6,FALSE)</f>
        <v>IC,SMD,OR GATE,2 INPUT,SOT-23-5,ROHS</v>
      </c>
      <c r="E805" t="str">
        <f>VLOOKUP(A805,[1]Pricing!$A:$F,6,FALSE)</f>
        <v>9 Weeks</v>
      </c>
      <c r="F805">
        <f>VLOOKUP(B805,[2]Sheet2!$B:$E,4,FALSE)</f>
        <v>3000</v>
      </c>
      <c r="G805" s="2">
        <f>VLOOKUP(A805,[1]Pricing!$A:$H,8,FALSE)</f>
        <v>6.7369999999999999E-2</v>
      </c>
      <c r="H805" s="2">
        <f>VLOOKUP(A805,[1]Pricing!$A:$J,10,FALSE)</f>
        <v>8.2158536585365857E-2</v>
      </c>
      <c r="I805">
        <f>VLOOKUP(A805,MIN!A:B,2,FALSE)</f>
        <v>15</v>
      </c>
      <c r="J805" t="str">
        <f t="shared" si="29"/>
        <v>NO</v>
      </c>
      <c r="K805">
        <f>VLOOKUP(A805,[1]Pricing!$A:$G,7,FALSE)</f>
        <v>3000</v>
      </c>
      <c r="L805" t="s">
        <v>1960</v>
      </c>
      <c r="M805" t="str">
        <f t="shared" si="30"/>
        <v>630-240544-001</v>
      </c>
    </row>
    <row r="806" spans="1:13" x14ac:dyDescent="0.25">
      <c r="A806" t="s">
        <v>1765</v>
      </c>
      <c r="B806" s="14" t="str">
        <f>VLOOKUP(A806,[1]Pricing!$A:$R,18,FALSE)</f>
        <v>TMP117AIYBGR</v>
      </c>
      <c r="C806" t="s">
        <v>2595</v>
      </c>
      <c r="D806" t="str">
        <f>VLOOKUP(A806,[1]AVL!$A:$F,6,FALSE)</f>
        <v>DIGITAL TEMP SENSOR,SMD,DSBGA6</v>
      </c>
      <c r="E806" t="str">
        <f>VLOOKUP(A806,[1]Pricing!$A:$F,6,FALSE)</f>
        <v>3 Weeks</v>
      </c>
      <c r="F806">
        <f>VLOOKUP(B806,[2]Sheet2!$B:$E,4,FALSE)</f>
        <v>70</v>
      </c>
      <c r="G806" s="2">
        <f>VLOOKUP(A806,[1]Pricing!$A:$H,8,FALSE)</f>
        <v>3.9583650000000001</v>
      </c>
      <c r="H806" s="2">
        <f>VLOOKUP(A806,[1]Pricing!$A:$J,10,FALSE)</f>
        <v>4.827274390243903</v>
      </c>
      <c r="I806">
        <f>VLOOKUP(A806,MIN!A:B,2,FALSE)</f>
        <v>25</v>
      </c>
      <c r="J806" t="str">
        <f t="shared" si="29"/>
        <v>NO</v>
      </c>
      <c r="K806">
        <f>VLOOKUP(A806,[1]Pricing!$A:$G,7,FALSE)</f>
        <v>100</v>
      </c>
      <c r="L806" t="s">
        <v>2689</v>
      </c>
      <c r="M806" t="str">
        <f t="shared" si="30"/>
        <v>630-330902-001</v>
      </c>
    </row>
    <row r="807" spans="1:13" x14ac:dyDescent="0.25">
      <c r="A807" t="s">
        <v>179</v>
      </c>
      <c r="B807" s="14" t="str">
        <f>VLOOKUP(A807,[1]Pricing!$A:$R,18,FALSE)</f>
        <v>282834-3</v>
      </c>
      <c r="C807" t="s">
        <v>2599</v>
      </c>
      <c r="D807" t="str">
        <f>VLOOKUP(A807,[1]AVL!$A:$F,6,FALSE)</f>
        <v>TERM BLK,3 CKT,16-30AWG,2.54MM,10A,THT</v>
      </c>
      <c r="E807" t="str">
        <f>VLOOKUP(A807,[1]Pricing!$A:$F,6,FALSE)</f>
        <v>11 Weeks</v>
      </c>
      <c r="F807">
        <f>VLOOKUP(B807,[2]Sheet2!$B:$E,4,FALSE)</f>
        <v>199</v>
      </c>
      <c r="G807" s="2">
        <f>VLOOKUP(A807,[1]Pricing!$A:$H,8,FALSE)</f>
        <v>1.6236649999999999</v>
      </c>
      <c r="H807" s="2">
        <f>VLOOKUP(A807,[1]Pricing!$A:$J,10,FALSE)</f>
        <v>1.9800792682926829</v>
      </c>
      <c r="I807">
        <f>VLOOKUP(A807,MIN!A:B,2,FALSE)</f>
        <v>15</v>
      </c>
      <c r="J807" t="str">
        <f t="shared" si="29"/>
        <v>NO</v>
      </c>
      <c r="K807">
        <f>VLOOKUP(A807,[1]Pricing!$A:$G,7,FALSE)</f>
        <v>200</v>
      </c>
      <c r="L807" t="s">
        <v>1960</v>
      </c>
      <c r="M807" t="str">
        <f t="shared" si="30"/>
        <v>673-348843-003</v>
      </c>
    </row>
    <row r="808" spans="1:13" x14ac:dyDescent="0.25">
      <c r="A808" t="s">
        <v>183</v>
      </c>
      <c r="B808" s="14" t="str">
        <f>VLOOKUP(A808,[1]Pricing!$A:$R,18,FALSE)</f>
        <v>2920L050DR</v>
      </c>
      <c r="C808" t="s">
        <v>2620</v>
      </c>
      <c r="D808" t="str">
        <f>VLOOKUP(A808,[1]AVL!$A:$F,6,FALSE)</f>
        <v>FUSE,SMD,2920,RESETABLE,60V,0.5A,ROHS</v>
      </c>
      <c r="E808" t="str">
        <f>VLOOKUP(A808,[1]Pricing!$A:$F,6,FALSE)</f>
        <v>18 Weeks</v>
      </c>
      <c r="F808">
        <f>VLOOKUP(B808,[2]Sheet2!$B:$E,4,FALSE)</f>
        <v>911</v>
      </c>
      <c r="G808" s="2">
        <f>VLOOKUP(A808,[1]Pricing!$A:$H,8,FALSE)</f>
        <v>0.28431600000000001</v>
      </c>
      <c r="H808" s="2">
        <f>VLOOKUP(A808,[1]Pricing!$A:$J,10,FALSE)</f>
        <v>0.34672682926829274</v>
      </c>
      <c r="I808">
        <f>VLOOKUP(A808,MIN!A:B,2,FALSE)</f>
        <v>15</v>
      </c>
      <c r="J808" t="str">
        <f t="shared" si="29"/>
        <v>NO</v>
      </c>
      <c r="K808">
        <f>VLOOKUP(A808,[1]Pricing!$A:$G,7,FALSE)</f>
        <v>1500</v>
      </c>
      <c r="L808" t="s">
        <v>2689</v>
      </c>
      <c r="M808" t="str">
        <f t="shared" si="30"/>
        <v>682-117131-002</v>
      </c>
    </row>
    <row r="809" spans="1:13" x14ac:dyDescent="0.25">
      <c r="A809" t="s">
        <v>326</v>
      </c>
      <c r="B809" s="14" t="str">
        <f>VLOOKUP(A809,[1]Pricing!$A:$R,18,FALSE)</f>
        <v>5-1814832-2</v>
      </c>
      <c r="C809" t="s">
        <v>2599</v>
      </c>
      <c r="D809" t="str">
        <f>VLOOKUP(A809,[1]AVL!$A:$F,6,FALSE)</f>
        <v>CONN,SMD,HDR,40PIN,VERT,2ROW,2.54MM</v>
      </c>
      <c r="E809" t="str">
        <f>VLOOKUP(A809,[1]Pricing!$A:$F,6,FALSE)</f>
        <v>11 Weeks</v>
      </c>
      <c r="F809">
        <f>VLOOKUP(B809,[2]Sheet2!$B:$E,4,FALSE)</f>
        <v>350</v>
      </c>
      <c r="G809" s="2">
        <f>VLOOKUP(A809,[1]Pricing!$A:$H,8,FALSE)</f>
        <v>2.678563</v>
      </c>
      <c r="H809" s="2">
        <f>VLOOKUP(A809,[1]Pricing!$A:$J,10,FALSE)</f>
        <v>3.2665402439024391</v>
      </c>
      <c r="I809">
        <f>VLOOKUP(A809,MIN!A:B,2,FALSE)</f>
        <v>15</v>
      </c>
      <c r="J809" t="str">
        <f t="shared" si="29"/>
        <v>NO</v>
      </c>
      <c r="K809">
        <f>VLOOKUP(A809,[1]Pricing!$A:$G,7,FALSE)</f>
        <v>350</v>
      </c>
      <c r="L809" t="s">
        <v>1960</v>
      </c>
      <c r="M809" t="str">
        <f t="shared" si="30"/>
        <v>668-262972-001</v>
      </c>
    </row>
    <row r="810" spans="1:13" x14ac:dyDescent="0.25">
      <c r="A810" t="s">
        <v>744</v>
      </c>
      <c r="B810" s="14" t="str">
        <f>VLOOKUP(A810,[1]Pricing!$A:$R,18,FALSE)</f>
        <v>DG4051EEQ-T1-GE3</v>
      </c>
      <c r="C810" t="s">
        <v>2617</v>
      </c>
      <c r="D810" t="str">
        <f>VLOOKUP(A810,[1]AVL!$A:$F,6,FALSE)</f>
        <v>IC,SMD,ANALOG MUX,1CKT,8CH,78OHM,TSSOP16</v>
      </c>
      <c r="E810" t="str">
        <f>VLOOKUP(A810,[1]Pricing!$A:$F,6,FALSE)</f>
        <v>16 Weeks</v>
      </c>
      <c r="F810">
        <f>VLOOKUP(B810,[2]Sheet2!$B:$E,4,FALSE)</f>
        <v>3000</v>
      </c>
      <c r="G810" s="2">
        <f>VLOOKUP(A810,[1]Pricing!$A:$H,8,FALSE)</f>
        <v>0.69118199999999996</v>
      </c>
      <c r="H810" s="2">
        <f>VLOOKUP(A810,[1]Pricing!$A:$J,10,FALSE)</f>
        <v>0.84290487804878045</v>
      </c>
      <c r="I810">
        <f>VLOOKUP(A810,MIN!A:B,2,FALSE)</f>
        <v>25</v>
      </c>
      <c r="J810" t="str">
        <f t="shared" si="29"/>
        <v>NO</v>
      </c>
      <c r="K810">
        <f>VLOOKUP(A810,[1]Pricing!$A:$G,7,FALSE)</f>
        <v>3000</v>
      </c>
      <c r="L810" t="s">
        <v>1960</v>
      </c>
      <c r="M810" t="str">
        <f t="shared" si="30"/>
        <v>630-A42452-001</v>
      </c>
    </row>
    <row r="811" spans="1:13" x14ac:dyDescent="0.25">
      <c r="A811" t="s">
        <v>1620</v>
      </c>
      <c r="B811" s="14" t="str">
        <f>VLOOKUP(A811,[1]Pricing!$A:$R,18,FALSE)</f>
        <v>SDD-H26H26-2-95-FN</v>
      </c>
      <c r="C811" t="s">
        <v>2725</v>
      </c>
      <c r="D811" t="str">
        <f>VLOOKUP(A811,[1]AVL!$A:$F,6,FALSE)</f>
        <v>CONN,HD DSUB,DP R/A,26P/26P,F/F,ROHS</v>
      </c>
      <c r="E811" t="str">
        <f>VLOOKUP(A811,[1]Pricing!$A:$F,6,FALSE)</f>
        <v>31 Weeks</v>
      </c>
      <c r="F811">
        <f>VLOOKUP(B811,[2]Sheet2!$B:$E,4,FALSE)</f>
        <v>2984</v>
      </c>
      <c r="G811" s="2">
        <f>VLOOKUP(A811,[1]Pricing!$A:$H,8,FALSE)</f>
        <v>11.69</v>
      </c>
      <c r="H811" s="2">
        <f>VLOOKUP(A811,[1]Pricing!$A:$J,10,FALSE)</f>
        <v>14.25609756097561</v>
      </c>
      <c r="I811">
        <f>VLOOKUP(A811,MIN!A:B,2,FALSE)</f>
        <v>15</v>
      </c>
      <c r="J811" t="str">
        <f t="shared" si="29"/>
        <v>NO</v>
      </c>
      <c r="K811">
        <f>VLOOKUP(A811,[1]Pricing!$A:$G,7,FALSE)</f>
        <v>3024</v>
      </c>
      <c r="L811" t="s">
        <v>1960</v>
      </c>
      <c r="M811" t="str">
        <f t="shared" si="30"/>
        <v>668-082689-003</v>
      </c>
    </row>
    <row r="812" spans="1:13" x14ac:dyDescent="0.25">
      <c r="A812" t="s">
        <v>1256</v>
      </c>
      <c r="B812" s="14" t="str">
        <f>VLOOKUP(A812,[1]Pricing!$A:$R,18,FALSE)</f>
        <v>PIC16F1614-E/SL</v>
      </c>
      <c r="C812" t="s">
        <v>2727</v>
      </c>
      <c r="D812" t="str">
        <f>VLOOKUP(A812,[1]AVL!$A:$F,6,FALSE)</f>
        <v>IC,SMD,MCU,8BIT,FLASH,7KB,32MHZ,SOIC-14</v>
      </c>
      <c r="E812" t="str">
        <f>VLOOKUP(A812,[1]Pricing!$A:$F,6,FALSE)</f>
        <v>37 Weeks</v>
      </c>
      <c r="F812">
        <f>VLOOKUP(B812,[2]Sheet2!$B:$E,4,FALSE)</f>
        <v>565</v>
      </c>
      <c r="G812" s="2">
        <f>VLOOKUP(A812,[1]Pricing!$A:$H,8,FALSE)</f>
        <v>1.1132439999999999</v>
      </c>
      <c r="H812" s="2">
        <f>VLOOKUP(A812,[1]Pricing!$A:$J,10,FALSE)</f>
        <v>1.3576146341463413</v>
      </c>
      <c r="I812">
        <f>VLOOKUP(A812,MIN!A:B,2,FALSE)</f>
        <v>15</v>
      </c>
      <c r="J812" t="str">
        <f t="shared" si="29"/>
        <v>NO</v>
      </c>
      <c r="K812">
        <f>VLOOKUP(A812,[1]Pricing!$A:$G,7,FALSE)</f>
        <v>286</v>
      </c>
      <c r="L812" t="s">
        <v>1960</v>
      </c>
      <c r="M812" t="str">
        <f t="shared" si="30"/>
        <v>630-B26253-001</v>
      </c>
    </row>
    <row r="813" spans="1:13" x14ac:dyDescent="0.25">
      <c r="A813" t="s">
        <v>161</v>
      </c>
      <c r="B813" s="14" t="str">
        <f>VLOOKUP(A813,[1]Pricing!$A:$R,18,FALSE)</f>
        <v>24FC512-I/SN</v>
      </c>
      <c r="C813" t="s">
        <v>2727</v>
      </c>
      <c r="D813" t="str">
        <f>VLOOKUP(A813,[1]AVL!$A:$F,6,FALSE)</f>
        <v>IC,SMD,EEPROM,512KBIT,1MHZ,8SOIC</v>
      </c>
      <c r="E813" t="str">
        <f>VLOOKUP(A813,[1]Pricing!$A:$F,6,FALSE)</f>
        <v>3 Weeks</v>
      </c>
      <c r="F813">
        <f>VLOOKUP(B813,[2]Sheet2!$B:$E,4,FALSE)</f>
        <v>40</v>
      </c>
      <c r="G813" s="2">
        <f>VLOOKUP(A813,[1]Pricing!$A:$H,8,FALSE)</f>
        <v>1.636288</v>
      </c>
      <c r="H813" s="2">
        <f>VLOOKUP(A813,[1]Pricing!$A:$J,10,FALSE)</f>
        <v>1.9954731707317075</v>
      </c>
      <c r="I813">
        <f>VLOOKUP(A813,MIN!A:B,2,FALSE)</f>
        <v>25</v>
      </c>
      <c r="J813" t="str">
        <f t="shared" si="29"/>
        <v>NO</v>
      </c>
      <c r="K813">
        <f>VLOOKUP(A813,[1]Pricing!$A:$G,7,FALSE)</f>
        <v>100</v>
      </c>
      <c r="L813" t="s">
        <v>2689</v>
      </c>
      <c r="M813" t="str">
        <f t="shared" si="30"/>
        <v>630-231505-001</v>
      </c>
    </row>
    <row r="814" spans="1:13" x14ac:dyDescent="0.25">
      <c r="A814" t="s">
        <v>1254</v>
      </c>
      <c r="B814" s="14" t="str">
        <f>VLOOKUP(A814,[1]Pricing!$A:$R,18,FALSE)</f>
        <v>PIC12F1612-I/SN</v>
      </c>
      <c r="C814" t="s">
        <v>2727</v>
      </c>
      <c r="D814" t="str">
        <f>VLOOKUP(A814,[1]AVL!$A:$F,6,FALSE)</f>
        <v>IC,SMD,MCU,8 BIT,3.5KB,FLASH,SOIC8</v>
      </c>
      <c r="E814" t="str">
        <f>VLOOKUP(A814,[1]Pricing!$A:$F,6,FALSE)</f>
        <v>3 Weeks</v>
      </c>
      <c r="F814">
        <f>VLOOKUP(B814,[2]Sheet2!$B:$E,4,FALSE)</f>
        <v>100</v>
      </c>
      <c r="G814" s="2">
        <f>VLOOKUP(A814,[1]Pricing!$A:$H,8,FALSE)</f>
        <v>0.81765399999999999</v>
      </c>
      <c r="H814" s="2">
        <f>VLOOKUP(A814,[1]Pricing!$A:$J,10,FALSE)</f>
        <v>0.99713902439024393</v>
      </c>
      <c r="I814">
        <f>VLOOKUP(A814,MIN!A:B,2,FALSE)</f>
        <v>25</v>
      </c>
      <c r="J814" t="str">
        <f t="shared" si="29"/>
        <v>NO</v>
      </c>
      <c r="K814">
        <f>VLOOKUP(A814,[1]Pricing!$A:$G,7,FALSE)</f>
        <v>100</v>
      </c>
      <c r="L814" t="s">
        <v>1960</v>
      </c>
      <c r="M814" t="str">
        <f t="shared" si="30"/>
        <v>630-254852-001</v>
      </c>
    </row>
    <row r="815" spans="1:13" x14ac:dyDescent="0.25">
      <c r="A815" t="s">
        <v>450</v>
      </c>
      <c r="B815" s="14" t="str">
        <f>VLOOKUP(A815,[1]Pricing!$A:$R,18,FALSE)</f>
        <v>93LC56BT-I/OT</v>
      </c>
      <c r="C815" t="s">
        <v>2727</v>
      </c>
      <c r="D815" t="str">
        <f>VLOOKUP(A815,[1]AVL!$A:$F,6,FALSE)</f>
        <v>IC,SMD,EEPROM,2KBIT,3MHZ,SOT-23</v>
      </c>
      <c r="E815" t="str">
        <f>VLOOKUP(A815,[1]Pricing!$A:$F,6,FALSE)</f>
        <v>13 Weeks</v>
      </c>
      <c r="F815">
        <f>VLOOKUP(B815,[2]Sheet2!$B:$E,4,FALSE)</f>
        <v>183</v>
      </c>
      <c r="G815" s="2">
        <f>VLOOKUP(A815,[1]Pricing!$A:$H,8,FALSE)</f>
        <v>0.26642399999999999</v>
      </c>
      <c r="H815" s="2">
        <f>VLOOKUP(A815,[1]Pricing!$A:$J,10,FALSE)</f>
        <v>0.32490731707317072</v>
      </c>
      <c r="I815">
        <f>VLOOKUP(A815,MIN!A:B,2,FALSE)</f>
        <v>15</v>
      </c>
      <c r="J815" t="str">
        <f t="shared" si="29"/>
        <v>NO</v>
      </c>
      <c r="K815">
        <f>VLOOKUP(A815,[1]Pricing!$A:$G,7,FALSE)</f>
        <v>200</v>
      </c>
      <c r="L815" t="s">
        <v>1960</v>
      </c>
      <c r="M815" t="str">
        <f t="shared" si="30"/>
        <v>630-121761-001</v>
      </c>
    </row>
    <row r="816" spans="1:13" x14ac:dyDescent="0.25">
      <c r="A816" t="s">
        <v>1161</v>
      </c>
      <c r="B816" s="14" t="str">
        <f>VLOOKUP(A816,[1]Pricing!$A:$R,18,FALSE)</f>
        <v>MCP23S18-E/SO</v>
      </c>
      <c r="C816" t="s">
        <v>2727</v>
      </c>
      <c r="D816" t="str">
        <f>VLOOKUP(A816,[1]AVL!$A:$F,6,FALSE)</f>
        <v>IC,SMD,I/O EXPANDER,16BIT,W/SPI,SOIC-28</v>
      </c>
      <c r="E816" t="str">
        <f>VLOOKUP(A816,[1]Pricing!$A:$F,6,FALSE)</f>
        <v>7 Weeks</v>
      </c>
      <c r="F816">
        <f>VLOOKUP(B816,[2]Sheet2!$B:$E,4,FALSE)</f>
        <v>216</v>
      </c>
      <c r="G816" s="2">
        <f>VLOOKUP(A816,[1]Pricing!$A:$H,8,FALSE)</f>
        <v>1.605405</v>
      </c>
      <c r="H816" s="2">
        <f>VLOOKUP(A816,[1]Pricing!$A:$J,10,FALSE)</f>
        <v>1.9578109756097561</v>
      </c>
      <c r="I816">
        <f>VLOOKUP(A816,MIN!A:B,2,FALSE)</f>
        <v>25</v>
      </c>
      <c r="J816" t="str">
        <f t="shared" si="29"/>
        <v>NO</v>
      </c>
      <c r="K816">
        <f>VLOOKUP(A816,[1]Pricing!$A:$G,7,FALSE)</f>
        <v>216</v>
      </c>
      <c r="L816" t="s">
        <v>1960</v>
      </c>
      <c r="M816" t="str">
        <f t="shared" si="30"/>
        <v>630-A89170-001</v>
      </c>
    </row>
    <row r="817" spans="1:13" x14ac:dyDescent="0.25">
      <c r="A817" t="s">
        <v>1258</v>
      </c>
      <c r="B817" s="14" t="str">
        <f>VLOOKUP(A817,[1]Pricing!$A:$R,18,FALSE)</f>
        <v>PIC16F18446-I/SO</v>
      </c>
      <c r="C817" t="s">
        <v>2727</v>
      </c>
      <c r="D817" t="str">
        <f>VLOOKUP(A817,[1]AVL!$A:$F,6,FALSE)</f>
        <v>IC,SMD,MCU,8BIT,FLASH,28KB,32MHZ,SOIC-20</v>
      </c>
      <c r="E817" t="str">
        <f>VLOOKUP(A817,[1]Pricing!$A:$F,6,FALSE)</f>
        <v>10 Weeks</v>
      </c>
      <c r="F817">
        <f>VLOOKUP(B817,[2]Sheet2!$B:$E,4,FALSE)</f>
        <v>449</v>
      </c>
      <c r="G817" s="2">
        <f>VLOOKUP(A817,[1]Pricing!$A:$H,8,FALSE)</f>
        <v>1.3848149999999999</v>
      </c>
      <c r="H817" s="2">
        <f>VLOOKUP(A817,[1]Pricing!$A:$J,10,FALSE)</f>
        <v>1.6887987804878049</v>
      </c>
      <c r="I817">
        <f>VLOOKUP(A817,MIN!A:B,2,FALSE)</f>
        <v>15</v>
      </c>
      <c r="J817" t="str">
        <f t="shared" si="29"/>
        <v>NO</v>
      </c>
      <c r="K817">
        <f>VLOOKUP(A817,[1]Pricing!$A:$G,7,FALSE)</f>
        <v>228</v>
      </c>
      <c r="L817" t="s">
        <v>1960</v>
      </c>
      <c r="M817" t="str">
        <f t="shared" si="30"/>
        <v>630-B26275-001</v>
      </c>
    </row>
    <row r="818" spans="1:13" x14ac:dyDescent="0.25">
      <c r="A818" t="s">
        <v>1834</v>
      </c>
      <c r="B818" s="14" t="str">
        <f>VLOOKUP(A818,[1]Pricing!$A:$R,18,FALSE)</f>
        <v>ULN2802A</v>
      </c>
      <c r="C818" t="s">
        <v>2728</v>
      </c>
      <c r="D818" t="str">
        <f>VLOOKUP(A818,[1]AVL!$A:$F,6,FALSE)</f>
        <v>IC  ULN-2802A, ROHS</v>
      </c>
      <c r="E818" t="str">
        <f>VLOOKUP(A818,[1]Pricing!$A:$F,6,FALSE)</f>
        <v>29 Weeks</v>
      </c>
      <c r="F818">
        <f>VLOOKUP(B818,[2]Sheet2!$B:$E,4,FALSE)</f>
        <v>1000</v>
      </c>
      <c r="G818" s="2">
        <f>VLOOKUP(A818,[1]Pricing!$A:$H,8,FALSE)</f>
        <v>1.3093360000000001</v>
      </c>
      <c r="H818" s="2">
        <f>VLOOKUP(A818,[1]Pricing!$A:$J,10,FALSE)</f>
        <v>1.5967512195121953</v>
      </c>
      <c r="I818">
        <f>VLOOKUP(A818,MIN!A:B,2,FALSE)</f>
        <v>25</v>
      </c>
      <c r="J818" t="str">
        <f t="shared" si="29"/>
        <v>NO</v>
      </c>
      <c r="K818">
        <f>VLOOKUP(A818,[1]Pricing!$A:$G,7,FALSE)</f>
        <v>1000</v>
      </c>
      <c r="L818" t="s">
        <v>1960</v>
      </c>
      <c r="M818" t="str">
        <f t="shared" si="30"/>
        <v>631-007891-001</v>
      </c>
    </row>
    <row r="819" spans="1:13" x14ac:dyDescent="0.25">
      <c r="A819" t="s">
        <v>1490</v>
      </c>
      <c r="B819" s="14" t="str">
        <f>VLOOKUP(A819,[1]Pricing!$A:$R,18,FALSE)</f>
        <v>RKEF075</v>
      </c>
      <c r="C819" t="s">
        <v>2620</v>
      </c>
      <c r="D819" t="str">
        <f>VLOOKUP(A819,[1]AVL!$A:$F,6,FALSE)</f>
        <v>FUSE,PPTC,0.75A HOLD CUR,60V,THT</v>
      </c>
      <c r="E819" t="str">
        <f>VLOOKUP(A819,[1]Pricing!$A:$F,6,FALSE)</f>
        <v>23 Weeks</v>
      </c>
      <c r="F819">
        <f>VLOOKUP(B819,[2]Sheet2!$B:$E,4,FALSE)</f>
        <v>500</v>
      </c>
      <c r="G819" s="2">
        <f>VLOOKUP(A819,[1]Pricing!$A:$H,8,FALSE)</f>
        <v>0.23529600000000001</v>
      </c>
      <c r="H819" s="2">
        <f>VLOOKUP(A819,[1]Pricing!$A:$J,10,FALSE)</f>
        <v>0.28694634146341463</v>
      </c>
      <c r="I819">
        <f>VLOOKUP(A819,MIN!A:B,2,FALSE)</f>
        <v>25</v>
      </c>
      <c r="J819" t="str">
        <f t="shared" si="29"/>
        <v>NO</v>
      </c>
      <c r="K819">
        <f>VLOOKUP(A819,[1]Pricing!$A:$G,7,FALSE)</f>
        <v>500</v>
      </c>
      <c r="L819" t="s">
        <v>1960</v>
      </c>
      <c r="M819" t="str">
        <f t="shared" si="30"/>
        <v>670-A11993-075</v>
      </c>
    </row>
    <row r="820" spans="1:13" x14ac:dyDescent="0.25">
      <c r="A820" t="s">
        <v>1488</v>
      </c>
      <c r="B820" s="14" t="str">
        <f>VLOOKUP(A820,[1]Pricing!$A:$R,18,FALSE)</f>
        <v>RKEF050</v>
      </c>
      <c r="C820" t="s">
        <v>2620</v>
      </c>
      <c r="D820" t="str">
        <f>VLOOKUP(A820,[1]AVL!$A:$F,6,FALSE)</f>
        <v>FUSE,PPTC,0.50A HOLD CUR,60V,THT</v>
      </c>
      <c r="E820" t="str">
        <f>VLOOKUP(A820,[1]Pricing!$A:$F,6,FALSE)</f>
        <v>18 Weeks</v>
      </c>
      <c r="F820">
        <f>VLOOKUP(B820,[2]Sheet2!$B:$E,4,FALSE)</f>
        <v>500</v>
      </c>
      <c r="G820" s="2">
        <f>VLOOKUP(A820,[1]Pricing!$A:$H,8,FALSE)</f>
        <v>0.248997</v>
      </c>
      <c r="H820" s="2">
        <f>VLOOKUP(A820,[1]Pricing!$A:$J,10,FALSE)</f>
        <v>0.3036548780487805</v>
      </c>
      <c r="I820">
        <f>VLOOKUP(A820,MIN!A:B,2,FALSE)</f>
        <v>25</v>
      </c>
      <c r="J820" t="str">
        <f t="shared" si="29"/>
        <v>NO</v>
      </c>
      <c r="K820">
        <f>VLOOKUP(A820,[1]Pricing!$A:$G,7,FALSE)</f>
        <v>500</v>
      </c>
      <c r="L820" t="s">
        <v>1960</v>
      </c>
      <c r="M820" t="str">
        <f t="shared" si="30"/>
        <v>670-A11993-050</v>
      </c>
    </row>
    <row r="821" spans="1:13" x14ac:dyDescent="0.25">
      <c r="A821" t="s">
        <v>1840</v>
      </c>
      <c r="B821" s="14" t="str">
        <f>VLOOKUP(A821,[1]Pricing!$A:$R,18,FALSE)</f>
        <v>VLCF5020T-2R2N2R6-3</v>
      </c>
      <c r="C821" t="s">
        <v>2616</v>
      </c>
      <c r="D821" t="str">
        <f>VLOOKUP(A821,[1]AVL!$A:$F,6,FALSE)</f>
        <v>IDCTR,SMD,POWER 2.2UH 2.6A</v>
      </c>
      <c r="E821" t="str">
        <f>VLOOKUP(A821,[1]Pricing!$A:$F,6,FALSE)</f>
        <v>3 Weeks</v>
      </c>
      <c r="F821">
        <f>VLOOKUP(B821,[2]Sheet2!$B:$E,4,FALSE)</f>
        <v>500</v>
      </c>
      <c r="G821" s="2">
        <f>VLOOKUP(A821,[1]Pricing!$A:$H,8,FALSE)</f>
        <v>0.43015100000000001</v>
      </c>
      <c r="H821" s="2">
        <f>VLOOKUP(A821,[1]Pricing!$A:$J,10,FALSE)</f>
        <v>0.52457439024390251</v>
      </c>
      <c r="I821">
        <f>VLOOKUP(A821,MIN!A:B,2,FALSE)</f>
        <v>25</v>
      </c>
      <c r="J821" t="str">
        <f t="shared" si="29"/>
        <v>NO</v>
      </c>
      <c r="K821">
        <f>VLOOKUP(A821,[1]Pricing!$A:$G,7,FALSE)</f>
        <v>500</v>
      </c>
      <c r="L821" t="s">
        <v>1960</v>
      </c>
      <c r="M821" t="str">
        <f t="shared" si="30"/>
        <v>639-121559-001</v>
      </c>
    </row>
    <row r="822" spans="1:13" x14ac:dyDescent="0.25">
      <c r="A822" t="s">
        <v>269</v>
      </c>
      <c r="B822" s="14" t="str">
        <f>VLOOKUP(A822,[1]Pricing!$A:$R,18,FALSE)</f>
        <v>3-794620-6</v>
      </c>
      <c r="C822" t="s">
        <v>2599</v>
      </c>
      <c r="D822" t="str">
        <f>VLOOKUP(A822,[1]AVL!$A:$F,6,FALSE)</f>
        <v>CONN,MATE-N-LOK,MICTRO 6 POS RIGHT ANGLE</v>
      </c>
      <c r="E822" t="str">
        <f>VLOOKUP(A822,[1]Pricing!$A:$F,6,FALSE)</f>
        <v>16 Weeks</v>
      </c>
      <c r="F822">
        <f>VLOOKUP(B822,[2]Sheet2!$B:$E,4,FALSE)</f>
        <v>286</v>
      </c>
      <c r="G822" s="2">
        <f>VLOOKUP(A822,[1]Pricing!$A:$H,8,FALSE)</f>
        <v>1.6176600000000001</v>
      </c>
      <c r="H822" s="2">
        <f>VLOOKUP(A822,[1]Pricing!$A:$J,10,FALSE)</f>
        <v>1.9727560975609759</v>
      </c>
      <c r="I822">
        <f>VLOOKUP(A822,MIN!A:B,2,FALSE)</f>
        <v>15</v>
      </c>
      <c r="J822" t="str">
        <f t="shared" si="29"/>
        <v>NO</v>
      </c>
      <c r="K822">
        <f>VLOOKUP(A822,[1]Pricing!$A:$G,7,FALSE)</f>
        <v>286</v>
      </c>
      <c r="L822" t="s">
        <v>1960</v>
      </c>
      <c r="M822" t="str">
        <f t="shared" si="30"/>
        <v>39-357513-00</v>
      </c>
    </row>
    <row r="823" spans="1:13" x14ac:dyDescent="0.25">
      <c r="A823" t="s">
        <v>394</v>
      </c>
      <c r="B823" s="14" t="str">
        <f>VLOOKUP(A823,[1]Pricing!$A:$R,18,FALSE)</f>
        <v>739-103</v>
      </c>
      <c r="C823" t="s">
        <v>2729</v>
      </c>
      <c r="D823" t="str">
        <f>VLOOKUP(A823,[1]AVL!$A:$F,6,FALSE)</f>
        <v>TERM BLK,3P,5MM PITCH,300V,10A,PCB MT</v>
      </c>
      <c r="E823" t="str">
        <f>VLOOKUP(A823,[1]Pricing!$A:$F,6,FALSE)</f>
        <v>17 Weeks</v>
      </c>
      <c r="F823">
        <f>VLOOKUP(B823,[2]Sheet2!$B:$E,4,FALSE)</f>
        <v>280</v>
      </c>
      <c r="G823" s="2">
        <f>VLOOKUP(A823,[1]Pricing!$A:$H,8,FALSE)</f>
        <v>1.230745</v>
      </c>
      <c r="H823" s="2">
        <f>VLOOKUP(A823,[1]Pricing!$A:$J,10,FALSE)</f>
        <v>1.5009085365853658</v>
      </c>
      <c r="I823">
        <f>VLOOKUP(A823,MIN!A:B,2,FALSE)</f>
        <v>25</v>
      </c>
      <c r="J823" t="str">
        <f t="shared" si="29"/>
        <v>NO</v>
      </c>
      <c r="K823">
        <f>VLOOKUP(A823,[1]Pricing!$A:$G,7,FALSE)</f>
        <v>280</v>
      </c>
      <c r="L823" t="s">
        <v>1960</v>
      </c>
      <c r="M823" t="str">
        <f t="shared" si="30"/>
        <v>673-A81272-003</v>
      </c>
    </row>
    <row r="824" spans="1:13" x14ac:dyDescent="0.25">
      <c r="A824" t="s">
        <v>93</v>
      </c>
      <c r="B824" s="14">
        <f>VLOOKUP(A824,[1]Pricing!$A:$R,18,FALSE)</f>
        <v>1720420601</v>
      </c>
      <c r="C824" t="s">
        <v>2610</v>
      </c>
      <c r="D824" t="str">
        <f>VLOOKUP(A824,[1]AVL!$A:$F,6,FALSE)</f>
        <v>CONN,HDR,VERTICAL,6POS,NO BRD LCK</v>
      </c>
      <c r="E824" t="str">
        <f>VLOOKUP(A824,[1]Pricing!$A:$F,6,FALSE)</f>
        <v>3 Weeks</v>
      </c>
      <c r="F824">
        <f>VLOOKUP(B824,[2]Sheet2!$B:$E,4,FALSE)</f>
        <v>210</v>
      </c>
      <c r="G824" s="2">
        <f>VLOOKUP(A824,[1]Pricing!$A:$H,8,FALSE)</f>
        <v>2.9779650000000002</v>
      </c>
      <c r="H824" s="2">
        <f>VLOOKUP(A824,[1]Pricing!$A:$J,10,FALSE)</f>
        <v>3.6316646341463419</v>
      </c>
      <c r="I824">
        <f>VLOOKUP(A824,MIN!A:B,2,FALSE)</f>
        <v>15</v>
      </c>
      <c r="J824" t="str">
        <f t="shared" si="29"/>
        <v>NO</v>
      </c>
      <c r="K824">
        <f>VLOOKUP(A824,[1]Pricing!$A:$G,7,FALSE)</f>
        <v>210</v>
      </c>
      <c r="L824" t="s">
        <v>1960</v>
      </c>
      <c r="M824" t="str">
        <f t="shared" si="30"/>
        <v>668-311384-007</v>
      </c>
    </row>
    <row r="825" spans="1:13" x14ac:dyDescent="0.25">
      <c r="A825" t="s">
        <v>356</v>
      </c>
      <c r="B825" s="14" t="str">
        <f>VLOOKUP(A825,[1]Pricing!$A:$R,18,FALSE)</f>
        <v>5750638-1</v>
      </c>
      <c r="C825" t="s">
        <v>2599</v>
      </c>
      <c r="D825" t="str">
        <f>VLOOKUP(A825,[1]AVL!$A:$F,6,FALSE)</f>
        <v>CONN,D-SUB,15,M,PCB STRT,BRD LOCK,4-40 I</v>
      </c>
      <c r="E825" t="str">
        <f>VLOOKUP(A825,[1]Pricing!$A:$F,6,FALSE)</f>
        <v>18 Weeks</v>
      </c>
      <c r="F825">
        <f>VLOOKUP(B825,[2]Sheet2!$B:$E,4,FALSE)</f>
        <v>208</v>
      </c>
      <c r="G825" s="2">
        <f>VLOOKUP(A825,[1]Pricing!$A:$H,8,FALSE)</f>
        <v>7.9098920000000001</v>
      </c>
      <c r="H825" s="2">
        <f>VLOOKUP(A825,[1]Pricing!$A:$J,10,FALSE)</f>
        <v>9.6462097560975621</v>
      </c>
      <c r="I825">
        <f>VLOOKUP(A825,MIN!A:B,2,FALSE)</f>
        <v>15</v>
      </c>
      <c r="J825" t="str">
        <f t="shared" si="29"/>
        <v>NO</v>
      </c>
      <c r="K825">
        <f>VLOOKUP(A825,[1]Pricing!$A:$G,7,FALSE)</f>
        <v>208</v>
      </c>
      <c r="L825" t="s">
        <v>1960</v>
      </c>
      <c r="M825" t="str">
        <f t="shared" si="30"/>
        <v>39-164243-15</v>
      </c>
    </row>
    <row r="826" spans="1:13" x14ac:dyDescent="0.25">
      <c r="A826" t="s">
        <v>103</v>
      </c>
      <c r="B826" s="14" t="str">
        <f>VLOOKUP(A826,[1]Pricing!$A:$R,18,FALSE)</f>
        <v>1-770178-1</v>
      </c>
      <c r="C826" t="s">
        <v>2599</v>
      </c>
      <c r="D826" t="str">
        <f>VLOOKUP(A826,[1]AVL!$A:$F,6,FALSE)</f>
        <v>CONN,HDR,PCB,ST,MINI-U M-N-LOK,6P,ROHS</v>
      </c>
      <c r="E826" t="str">
        <f>VLOOKUP(A826,[1]Pricing!$A:$F,6,FALSE)</f>
        <v>29 Weeks</v>
      </c>
      <c r="F826">
        <f>VLOOKUP(B826,[2]Sheet2!$B:$E,4,FALSE)</f>
        <v>123</v>
      </c>
      <c r="G826" s="2">
        <f>VLOOKUP(A826,[1]Pricing!$A:$H,8,FALSE)</f>
        <v>1.39707</v>
      </c>
      <c r="H826" s="2">
        <f>VLOOKUP(A826,[1]Pricing!$A:$J,10,FALSE)</f>
        <v>1.7037439024390246</v>
      </c>
      <c r="I826">
        <f>VLOOKUP(A826,MIN!A:B,2,FALSE)</f>
        <v>25</v>
      </c>
      <c r="J826" t="str">
        <f t="shared" si="29"/>
        <v>NO</v>
      </c>
      <c r="K826">
        <f>VLOOKUP(A826,[1]Pricing!$A:$G,7,FALSE)</f>
        <v>200</v>
      </c>
      <c r="L826" t="s">
        <v>2689</v>
      </c>
      <c r="M826" t="str">
        <f t="shared" si="30"/>
        <v>668-061260-006</v>
      </c>
    </row>
    <row r="827" spans="1:13" x14ac:dyDescent="0.25">
      <c r="A827" t="s">
        <v>199</v>
      </c>
      <c r="B827" s="14" t="str">
        <f>VLOOKUP(A827,[1]Pricing!$A:$R,18,FALSE)</f>
        <v>3005W5SXX69E40X</v>
      </c>
      <c r="C827" t="s">
        <v>2602</v>
      </c>
      <c r="D827" t="str">
        <f>VLOOKUP(A827,[1]AVL!$A:$F,6,FALSE)</f>
        <v>CONN,RCPT,D-SUB,POWER,5P,ROHS</v>
      </c>
      <c r="E827" t="str">
        <f>VLOOKUP(A827,[1]Pricing!$A:$F,6,FALSE)</f>
        <v>10 Weeks</v>
      </c>
      <c r="F827">
        <f>VLOOKUP(B827,[2]Sheet2!$B:$E,4,FALSE)</f>
        <v>140</v>
      </c>
      <c r="G827" s="2">
        <f>VLOOKUP(A827,[1]Pricing!$A:$H,8,FALSE)</f>
        <v>17.022195</v>
      </c>
      <c r="H827" s="2">
        <f>VLOOKUP(A827,[1]Pricing!$A:$J,10,FALSE)</f>
        <v>20.758774390243904</v>
      </c>
      <c r="I827">
        <f>VLOOKUP(A827,MIN!A:B,2,FALSE)</f>
        <v>35</v>
      </c>
      <c r="J827" t="str">
        <f t="shared" si="29"/>
        <v>NO</v>
      </c>
      <c r="K827">
        <f>VLOOKUP(A827,[1]Pricing!$A:$G,7,FALSE)</f>
        <v>140</v>
      </c>
      <c r="L827" t="s">
        <v>1960</v>
      </c>
      <c r="M827" t="str">
        <f t="shared" si="30"/>
        <v>668-111554-005</v>
      </c>
    </row>
    <row r="828" spans="1:13" x14ac:dyDescent="0.25">
      <c r="A828" t="s">
        <v>980</v>
      </c>
      <c r="B828" s="14" t="str">
        <f>VLOOKUP(A828,[1]Pricing!$A:$R,18,FALSE)</f>
        <v>IXTA80N075L2</v>
      </c>
      <c r="C828" t="s">
        <v>2620</v>
      </c>
      <c r="D828" t="str">
        <f>VLOOKUP(A828,[1]AVL!$A:$F,6,FALSE)</f>
        <v>XSTR,FIELD EFT,N-CHAN,80A,75V,TO-263AA</v>
      </c>
      <c r="E828" t="str">
        <f>VLOOKUP(A828,[1]Pricing!$A:$F,6,FALSE)</f>
        <v>47 Weeks</v>
      </c>
      <c r="F828">
        <f>VLOOKUP(B828,[2]Sheet2!$B:$E,4,FALSE)</f>
        <v>45</v>
      </c>
      <c r="G828" s="2">
        <f>VLOOKUP(A828,[1]Pricing!$A:$H,8,FALSE)</f>
        <v>10.678762000000001</v>
      </c>
      <c r="H828" s="2">
        <f>VLOOKUP(A828,[1]Pricing!$A:$J,10,FALSE)</f>
        <v>13.02288048780488</v>
      </c>
      <c r="I828">
        <f>VLOOKUP(A828,MIN!A:B,2,FALSE)</f>
        <v>15</v>
      </c>
      <c r="J828" t="str">
        <f t="shared" si="29"/>
        <v>NO</v>
      </c>
      <c r="K828">
        <f>VLOOKUP(A828,[1]Pricing!$A:$G,7,FALSE)</f>
        <v>60</v>
      </c>
      <c r="L828" t="s">
        <v>2689</v>
      </c>
      <c r="M828" t="str">
        <f t="shared" si="30"/>
        <v>628-A72178-001</v>
      </c>
    </row>
    <row r="829" spans="1:13" x14ac:dyDescent="0.25">
      <c r="A829" t="s">
        <v>734</v>
      </c>
      <c r="B829" s="14" t="str">
        <f>VLOOKUP(A829,[1]Pricing!$A:$R,18,FALSE)</f>
        <v>DAO7W2P300H30LF</v>
      </c>
      <c r="C829" t="s">
        <v>2586</v>
      </c>
      <c r="D829" t="str">
        <f>VLOOKUP(A829,[1]AVL!$A:$F,6,FALSE)</f>
        <v>CONN,COMBO D-SUB,PIN,DA,7W2,30A,THD INSR</v>
      </c>
      <c r="E829" t="str">
        <f>VLOOKUP(A829,[1]Pricing!$A:$F,6,FALSE)</f>
        <v>12 Weeks</v>
      </c>
      <c r="F829">
        <f>VLOOKUP(B829,[2]Sheet2!$B:$E,4,FALSE)</f>
        <v>114</v>
      </c>
      <c r="G829" s="2">
        <f>VLOOKUP(A829,[1]Pricing!$A:$H,8,FALSE)</f>
        <v>7.6838850000000001</v>
      </c>
      <c r="H829" s="2">
        <f>VLOOKUP(A829,[1]Pricing!$A:$J,10,FALSE)</f>
        <v>9.3705914634146357</v>
      </c>
      <c r="I829">
        <f>VLOOKUP(A829,MIN!A:B,2,FALSE)</f>
        <v>25</v>
      </c>
      <c r="J829" t="str">
        <f t="shared" si="29"/>
        <v>NO</v>
      </c>
      <c r="K829">
        <f>VLOOKUP(A829,[1]Pricing!$A:$G,7,FALSE)</f>
        <v>50</v>
      </c>
      <c r="L829" t="s">
        <v>1960</v>
      </c>
      <c r="M829" t="str">
        <f t="shared" si="30"/>
        <v>668-A54180-001</v>
      </c>
    </row>
    <row r="830" spans="1:13" x14ac:dyDescent="0.25">
      <c r="A830" t="s">
        <v>621</v>
      </c>
      <c r="B830" s="14" t="str">
        <f>VLOOKUP(A830,[1]Pricing!$A:$R,18,FALSE)</f>
        <v>CC12H1.5A-TR</v>
      </c>
      <c r="C830" t="s">
        <v>2662</v>
      </c>
      <c r="D830" t="str">
        <f>VLOOKUP(A830,[1]AVL!$A:$F,6,FALSE)</f>
        <v>FUSE,SMD,15A,32VDC,1206</v>
      </c>
      <c r="E830" t="str">
        <f>VLOOKUP(A830,[1]Pricing!$A:$F,6,FALSE)</f>
        <v>20 Weeks</v>
      </c>
      <c r="F830">
        <f>VLOOKUP(B830,[2]Sheet2!$B:$E,4,FALSE)</f>
        <v>3000</v>
      </c>
      <c r="G830" s="2">
        <f>VLOOKUP(A830,[1]Pricing!$A:$H,8,FALSE)</f>
        <v>0.50368100000000005</v>
      </c>
      <c r="H830" s="2">
        <f>VLOOKUP(A830,[1]Pricing!$A:$J,10,FALSE)</f>
        <v>0.61424512195121961</v>
      </c>
      <c r="I830">
        <f>VLOOKUP(A830,MIN!A:B,2,FALSE)</f>
        <v>25</v>
      </c>
      <c r="J830" t="str">
        <f t="shared" si="29"/>
        <v>NO</v>
      </c>
      <c r="K830">
        <f>VLOOKUP(A830,[1]Pricing!$A:$G,7,FALSE)</f>
        <v>3000</v>
      </c>
      <c r="L830" t="s">
        <v>1960</v>
      </c>
      <c r="M830" t="str">
        <f t="shared" si="30"/>
        <v>682-349233-019</v>
      </c>
    </row>
    <row r="831" spans="1:13" x14ac:dyDescent="0.25">
      <c r="A831" t="s">
        <v>619</v>
      </c>
      <c r="B831" s="14" t="str">
        <f>VLOOKUP(A831,[1]Pricing!$A:$R,18,FALSE)</f>
        <v>CC1210MKX5R7BB476</v>
      </c>
      <c r="C831" t="s">
        <v>2580</v>
      </c>
      <c r="D831" t="str">
        <f>VLOOKUP(A831,[1]AVL!$A:$F,6,FALSE)</f>
        <v>CAP,SMD,MLCC,47UF,20%,16VDC,X5R,1210</v>
      </c>
      <c r="E831" t="str">
        <f>VLOOKUP(A831,[1]Pricing!$A:$F,6,FALSE)</f>
        <v>16 Weeks</v>
      </c>
      <c r="F831">
        <f>VLOOKUP(B831,[2]Sheet2!$B:$E,4,FALSE)</f>
        <v>450</v>
      </c>
      <c r="G831" s="2">
        <f>VLOOKUP(A831,[1]Pricing!$A:$H,8,FALSE)</f>
        <v>0.29902200000000001</v>
      </c>
      <c r="H831" s="2">
        <f>VLOOKUP(A831,[1]Pricing!$A:$J,10,FALSE)</f>
        <v>0.36466097560975613</v>
      </c>
      <c r="I831">
        <f>VLOOKUP(A831,MIN!A:B,2,FALSE)</f>
        <v>25</v>
      </c>
      <c r="J831" t="str">
        <f t="shared" si="29"/>
        <v>NO</v>
      </c>
      <c r="K831">
        <f>VLOOKUP(A831,[1]Pricing!$A:$G,7,FALSE)</f>
        <v>500</v>
      </c>
      <c r="L831" t="s">
        <v>1960</v>
      </c>
      <c r="M831" t="str">
        <f t="shared" si="30"/>
        <v>648-A86866-476</v>
      </c>
    </row>
    <row r="832" spans="1:13" x14ac:dyDescent="0.25">
      <c r="A832" t="s">
        <v>871</v>
      </c>
      <c r="B832" s="14" t="str">
        <f>VLOOKUP(A832,[1]Pricing!$A:$R,18,FALSE)</f>
        <v>ERJ-PA3F6801V</v>
      </c>
      <c r="C832" t="s">
        <v>2618</v>
      </c>
      <c r="D832" t="str">
        <f>VLOOKUP(A832,[1]AVL!$A:$F,6,FALSE)</f>
        <v>RES,SMD,6.8K OHM,TOL 1%,0603,0.25W</v>
      </c>
      <c r="E832" t="str">
        <f>VLOOKUP(A832,[1]Pricing!$A:$F,6,FALSE)</f>
        <v>24 Weeks</v>
      </c>
      <c r="F832">
        <f>VLOOKUP(B832,[2]Sheet2!$B:$E,4,FALSE)</f>
        <v>5000</v>
      </c>
      <c r="G832" s="2">
        <f>VLOOKUP(A832,[1]Pricing!$A:$H,8,FALSE)</f>
        <v>1.7156999999999999E-2</v>
      </c>
      <c r="H832" s="2">
        <f>VLOOKUP(A832,[1]Pricing!$A:$J,10,FALSE)</f>
        <v>2.0923170731707318E-2</v>
      </c>
      <c r="I832">
        <f>VLOOKUP(A832,MIN!A:B,2,FALSE)</f>
        <v>25</v>
      </c>
      <c r="J832" t="str">
        <f t="shared" si="29"/>
        <v>NO</v>
      </c>
      <c r="K832">
        <f>VLOOKUP(A832,[1]Pricing!$A:$G,7,FALSE)</f>
        <v>5000</v>
      </c>
      <c r="L832" t="s">
        <v>1960</v>
      </c>
      <c r="M832" t="str">
        <f t="shared" si="30"/>
        <v>615-302942-005</v>
      </c>
    </row>
    <row r="833" spans="1:13" x14ac:dyDescent="0.25">
      <c r="A833" t="s">
        <v>1660</v>
      </c>
      <c r="B833" s="14" t="str">
        <f>VLOOKUP(A833,[1]Pricing!$A:$R,18,FALSE)</f>
        <v>SMF26A</v>
      </c>
      <c r="C833" t="s">
        <v>2620</v>
      </c>
      <c r="D833" t="str">
        <f>VLOOKUP(A833,[1]AVL!$A:$F,6,FALSE)</f>
        <v>DIO,SMD,TVS,UNI-DIR,SMF,26V,ROHS</v>
      </c>
      <c r="E833" t="str">
        <f>VLOOKUP(A833,[1]Pricing!$A:$F,6,FALSE)</f>
        <v>17 Weeks</v>
      </c>
      <c r="F833">
        <f>VLOOKUP(B833,[2]Sheet2!$B:$E,4,FALSE)</f>
        <v>1540</v>
      </c>
      <c r="G833" s="2">
        <f>VLOOKUP(A833,[1]Pricing!$A:$H,8,FALSE)</f>
        <v>5.0944000000000003E-2</v>
      </c>
      <c r="H833" s="2">
        <f>VLOOKUP(A833,[1]Pricing!$A:$J,10,FALSE)</f>
        <v>6.2126829268292688E-2</v>
      </c>
      <c r="I833">
        <f>VLOOKUP(A833,MIN!A:B,2,FALSE)</f>
        <v>100</v>
      </c>
      <c r="J833" t="str">
        <f t="shared" si="29"/>
        <v>NO</v>
      </c>
      <c r="K833">
        <f>VLOOKUP(A833,[1]Pricing!$A:$G,7,FALSE)</f>
        <v>3000</v>
      </c>
      <c r="L833" t="s">
        <v>2689</v>
      </c>
      <c r="M833" t="str">
        <f t="shared" si="30"/>
        <v>609-118138-026</v>
      </c>
    </row>
    <row r="834" spans="1:13" x14ac:dyDescent="0.25">
      <c r="A834" t="s">
        <v>267</v>
      </c>
      <c r="B834" s="14" t="str">
        <f>VLOOKUP(A834,[1]Pricing!$A:$R,18,FALSE)</f>
        <v>35F0121-1SR-10</v>
      </c>
      <c r="C834" t="s">
        <v>2730</v>
      </c>
      <c r="D834" t="str">
        <f>VLOOKUP(A834,[1]AVL!$A:$F,6,FALSE)</f>
        <v>IDCTR,SMD,FERRITE,10A,90 OHM,ROHS</v>
      </c>
      <c r="E834" t="str">
        <f>VLOOKUP(A834,[1]Pricing!$A:$F,6,FALSE)</f>
        <v>19 Weeks</v>
      </c>
      <c r="F834">
        <f>VLOOKUP(B834,[2]Sheet2!$B:$E,4,FALSE)</f>
        <v>2500</v>
      </c>
      <c r="G834" s="2">
        <f>VLOOKUP(A834,[1]Pricing!$A:$H,8,FALSE)</f>
        <v>0.20710999999999999</v>
      </c>
      <c r="H834" s="2">
        <f>VLOOKUP(A834,[1]Pricing!$A:$J,10,FALSE)</f>
        <v>0.25257317073170732</v>
      </c>
      <c r="I834">
        <f>VLOOKUP(A834,MIN!A:B,2,FALSE)</f>
        <v>25</v>
      </c>
      <c r="J834" t="str">
        <f t="shared" si="29"/>
        <v>NO</v>
      </c>
      <c r="K834">
        <f>VLOOKUP(A834,[1]Pricing!$A:$G,7,FALSE)</f>
        <v>2500</v>
      </c>
      <c r="L834" t="s">
        <v>1960</v>
      </c>
      <c r="M834" t="str">
        <f t="shared" si="30"/>
        <v>639-076946-001</v>
      </c>
    </row>
    <row r="835" spans="1:13" x14ac:dyDescent="0.25">
      <c r="A835" t="s">
        <v>710</v>
      </c>
      <c r="B835" s="14" t="str">
        <f>VLOOKUP(A835,[1]Pricing!$A:$R,18,FALSE)</f>
        <v>CRCW25121K10JNEG</v>
      </c>
      <c r="C835" t="s">
        <v>2617</v>
      </c>
      <c r="D835" t="str">
        <f>VLOOKUP(A835,[1]AVL!$A:$F,6,FALSE)</f>
        <v>RES,2512,1.1K,5%,1W</v>
      </c>
      <c r="E835" t="str">
        <f>VLOOKUP(A835,[1]Pricing!$A:$F,6,FALSE)</f>
        <v>13 Weeks</v>
      </c>
      <c r="F835">
        <f>VLOOKUP(B835,[2]Sheet2!$B:$E,4,FALSE)</f>
        <v>2000</v>
      </c>
      <c r="G835" s="2">
        <f>VLOOKUP(A835,[1]Pricing!$A:$H,8,FALSE)</f>
        <v>6.2501000000000001E-2</v>
      </c>
      <c r="H835" s="2">
        <f>VLOOKUP(A835,[1]Pricing!$A:$J,10,FALSE)</f>
        <v>7.622073170731708E-2</v>
      </c>
      <c r="I835">
        <f>VLOOKUP(A835,MIN!A:B,2,FALSE)</f>
        <v>25</v>
      </c>
      <c r="J835" t="str">
        <f t="shared" ref="J835:J900" si="32">IF(F835&lt;=I835,"REORDER","NO")</f>
        <v>NO</v>
      </c>
      <c r="K835">
        <f>VLOOKUP(A835,[1]Pricing!$A:$G,7,FALSE)</f>
        <v>2000</v>
      </c>
      <c r="L835" t="s">
        <v>1960</v>
      </c>
      <c r="M835" t="str">
        <f t="shared" si="30"/>
        <v>615-900298-112</v>
      </c>
    </row>
    <row r="836" spans="1:13" x14ac:dyDescent="0.25">
      <c r="A836" t="s">
        <v>1064</v>
      </c>
      <c r="B836" s="14" t="str">
        <f>VLOOKUP(A836,[1]Pricing!$A:$R,18,FALSE)</f>
        <v>LMK316BJ476ML-T</v>
      </c>
      <c r="C836" t="s">
        <v>2625</v>
      </c>
      <c r="D836" t="str">
        <f>VLOOKUP(A836,[1]AVL!$A:$F,6,FALSE)</f>
        <v>CAP,SMD,1206,CER,X5R,20%,10V,47UF ROHS</v>
      </c>
      <c r="E836" t="str">
        <f>VLOOKUP(A836,[1]Pricing!$A:$F,6,FALSE)</f>
        <v>27 Weeks</v>
      </c>
      <c r="F836">
        <f>VLOOKUP(B836,[2]Sheet2!$B:$E,4,FALSE)</f>
        <v>1960</v>
      </c>
      <c r="G836" s="2">
        <f>VLOOKUP(A836,[1]Pricing!$A:$H,8,FALSE)</f>
        <v>0.164217</v>
      </c>
      <c r="H836" s="2">
        <f>VLOOKUP(A836,[1]Pricing!$A:$J,10,FALSE)</f>
        <v>0.20026463414634149</v>
      </c>
      <c r="I836">
        <f>VLOOKUP(A836,MIN!A:B,2,FALSE)</f>
        <v>15</v>
      </c>
      <c r="J836" t="str">
        <f t="shared" si="32"/>
        <v>NO</v>
      </c>
      <c r="K836">
        <f>VLOOKUP(A836,[1]Pricing!$A:$G,7,FALSE)</f>
        <v>2000</v>
      </c>
      <c r="L836" t="s">
        <v>1960</v>
      </c>
      <c r="M836" t="str">
        <f t="shared" si="30"/>
        <v>648-144339-001</v>
      </c>
    </row>
    <row r="837" spans="1:13" x14ac:dyDescent="0.25">
      <c r="A837" t="s">
        <v>346</v>
      </c>
      <c r="B837" s="14" t="str">
        <f>VLOOKUP(A837,[1]Pricing!$A:$R,18,FALSE)</f>
        <v>564R30GAS10</v>
      </c>
      <c r="C837" t="s">
        <v>2617</v>
      </c>
      <c r="D837" t="str">
        <f>VLOOKUP(A837,[1]AVL!$A:$F,6,FALSE)</f>
        <v>CAP,CER DISC,3KV 20%,10000PF,ROHS</v>
      </c>
      <c r="E837" t="str">
        <f>VLOOKUP(A837,[1]Pricing!$A:$F,6,FALSE)</f>
        <v>3 Weeks</v>
      </c>
      <c r="F837">
        <f>VLOOKUP(B837,[2]Sheet2!$B:$E,4,FALSE)</f>
        <v>400</v>
      </c>
      <c r="G837" s="2">
        <f>VLOOKUP(A837,[1]Pricing!$A:$H,8,FALSE)</f>
        <v>1.801485</v>
      </c>
      <c r="H837" s="2">
        <f>VLOOKUP(A837,[1]Pricing!$A:$J,10,FALSE)</f>
        <v>2.1969329268292683</v>
      </c>
      <c r="I837">
        <f>VLOOKUP(A837,MIN!A:B,2,FALSE)</f>
        <v>75</v>
      </c>
      <c r="J837" t="str">
        <f t="shared" si="32"/>
        <v>NO</v>
      </c>
      <c r="K837">
        <f>VLOOKUP(A837,[1]Pricing!$A:$G,7,FALSE)</f>
        <v>400</v>
      </c>
      <c r="L837" t="s">
        <v>1960</v>
      </c>
      <c r="M837" t="str">
        <f t="shared" si="30"/>
        <v>649-094841-103</v>
      </c>
    </row>
    <row r="838" spans="1:13" x14ac:dyDescent="0.25">
      <c r="A838" t="s">
        <v>171</v>
      </c>
      <c r="B838" s="14" t="str">
        <f>VLOOKUP(A838,[1]Pricing!$A:$R,18,FALSE)</f>
        <v>2-5747707-0</v>
      </c>
      <c r="C838" t="s">
        <v>2599</v>
      </c>
      <c r="D838" t="str">
        <f>VLOOKUP(A838,[1]AVL!$A:$F,6,FALSE)</f>
        <v>CONN,D-SUB,15,F,PCB STRT,BRD LOCK,4-40 I</v>
      </c>
      <c r="E838" t="str">
        <f>VLOOKUP(A838,[1]Pricing!$A:$F,6,FALSE)</f>
        <v>3 Weeks</v>
      </c>
      <c r="F838">
        <f>VLOOKUP(B838,[2]Sheet2!$B:$E,4,FALSE)</f>
        <v>52</v>
      </c>
      <c r="G838" s="2">
        <f>VLOOKUP(A838,[1]Pricing!$A:$H,8,FALSE)</f>
        <v>4.6215400000000004</v>
      </c>
      <c r="H838" s="2">
        <f>VLOOKUP(A838,[1]Pricing!$A:$J,10,FALSE)</f>
        <v>5.6360243902439029</v>
      </c>
      <c r="I838">
        <f>VLOOKUP(A838,MIN!A:B,2,FALSE)</f>
        <v>15</v>
      </c>
      <c r="J838" t="str">
        <f t="shared" si="32"/>
        <v>NO</v>
      </c>
      <c r="K838">
        <f>VLOOKUP(A838,[1]Pricing!$A:$G,7,FALSE)</f>
        <v>50</v>
      </c>
      <c r="L838" t="s">
        <v>1960</v>
      </c>
      <c r="M838" t="str">
        <f t="shared" ref="M838:M903" si="33">A838</f>
        <v>39-164230-15</v>
      </c>
    </row>
    <row r="839" spans="1:13" x14ac:dyDescent="0.25">
      <c r="A839" t="s">
        <v>847</v>
      </c>
      <c r="B839" s="14" t="str">
        <f>VLOOKUP(A839,[1]Pricing!$A:$R,18,FALSE)</f>
        <v>ERJ-1TRQFR56U</v>
      </c>
      <c r="C839" t="s">
        <v>2618</v>
      </c>
      <c r="D839" t="str">
        <f>VLOOKUP(A839,[1]AVL!$A:$F,6,FALSE)</f>
        <v>RES,SMD,1W,+/-1%TOL,0.56OHM,THK FILM</v>
      </c>
      <c r="E839" t="str">
        <f>VLOOKUP(A839,[1]Pricing!$A:$F,6,FALSE)</f>
        <v>3 Weeks</v>
      </c>
      <c r="F839">
        <f>VLOOKUP(B839,[2]Sheet2!$B:$E,4,FALSE)</f>
        <v>4000</v>
      </c>
      <c r="G839" s="2">
        <f>VLOOKUP(A839,[1]Pricing!$A:$H,8,FALSE)</f>
        <v>0.17402100000000001</v>
      </c>
      <c r="H839" s="2">
        <f>VLOOKUP(A839,[1]Pricing!$A:$J,10,FALSE)</f>
        <v>0.21222073170731709</v>
      </c>
      <c r="I839">
        <f>VLOOKUP(A839,MIN!A:B,2,FALSE)</f>
        <v>25</v>
      </c>
      <c r="J839" t="str">
        <f t="shared" si="32"/>
        <v>NO</v>
      </c>
      <c r="K839">
        <f>VLOOKUP(A839,[1]Pricing!$A:$G,7,FALSE)</f>
        <v>4000</v>
      </c>
      <c r="L839" t="s">
        <v>1960</v>
      </c>
      <c r="M839" t="str">
        <f t="shared" si="33"/>
        <v>615-255080-056</v>
      </c>
    </row>
    <row r="840" spans="1:13" x14ac:dyDescent="0.25">
      <c r="A840" t="s">
        <v>1244</v>
      </c>
      <c r="B840" s="14" t="str">
        <f>VLOOKUP(A840,[1]Pricing!$A:$R,18,FALSE)</f>
        <v>PCAN0805E1000BST5</v>
      </c>
      <c r="C840" t="s">
        <v>2617</v>
      </c>
      <c r="D840" t="str">
        <f>VLOOKUP(A840,[1]AVL!$A:$F,6,FALSE)</f>
        <v>RES,SMD,100OHM,±0.1%,1W,±25PPM,0805</v>
      </c>
      <c r="E840" t="str">
        <f>VLOOKUP(A840,[1]Pricing!$A:$F,6,FALSE)</f>
        <v>3 Weeks</v>
      </c>
      <c r="F840">
        <f>VLOOKUP(B840,[2]Sheet2!$B:$E,4,FALSE)</f>
        <v>500</v>
      </c>
      <c r="G840" s="2">
        <f>VLOOKUP(A840,[1]Pricing!$A:$H,8,FALSE)</f>
        <v>1.1699109999999999</v>
      </c>
      <c r="H840" s="2">
        <f>VLOOKUP(A840,[1]Pricing!$A:$J,10,FALSE)</f>
        <v>1.4267207317073172</v>
      </c>
      <c r="I840">
        <f>VLOOKUP(A840,MIN!A:B,2,FALSE)</f>
        <v>25</v>
      </c>
      <c r="J840" t="str">
        <f t="shared" si="32"/>
        <v>NO</v>
      </c>
      <c r="K840">
        <f>VLOOKUP(A840,[1]Pricing!$A:$G,7,FALSE)</f>
        <v>500</v>
      </c>
      <c r="L840" t="s">
        <v>1960</v>
      </c>
      <c r="M840" t="str">
        <f t="shared" si="33"/>
        <v>615-A31517-002</v>
      </c>
    </row>
    <row r="841" spans="1:13" x14ac:dyDescent="0.25">
      <c r="A841" t="s">
        <v>596</v>
      </c>
      <c r="B841" s="14" t="str">
        <f>VLOOKUP(A841,[1]Pricing!$A:$R,18,FALSE)</f>
        <v>CBD3W3F00000/AA</v>
      </c>
      <c r="C841" t="s">
        <v>2579</v>
      </c>
      <c r="D841" t="str">
        <f>VLOOKUP(A841,[1]AVL!$A:$F,6,FALSE)</f>
        <v>CONN,COMBO-D,FEM,3W3,SHELL SIZE 2,ROHS</v>
      </c>
      <c r="E841" t="str">
        <f>VLOOKUP(A841,[1]Pricing!$A:$F,6,FALSE)</f>
        <v>5 Weeks</v>
      </c>
      <c r="F841">
        <f>VLOOKUP(B841,[2]Sheet2!$B:$E,4,FALSE)</f>
        <v>500</v>
      </c>
      <c r="G841" s="2">
        <f>VLOOKUP(A841,[1]Pricing!$A:$H,8,FALSE)</f>
        <v>3.1863000000000001</v>
      </c>
      <c r="H841" s="2">
        <f>VLOOKUP(A841,[1]Pricing!$A:$J,10,FALSE)</f>
        <v>3.8857317073170736</v>
      </c>
      <c r="I841">
        <f>VLOOKUP(A841,MIN!A:B,2,FALSE)</f>
        <v>15</v>
      </c>
      <c r="J841" t="str">
        <f t="shared" si="32"/>
        <v>NO</v>
      </c>
      <c r="K841">
        <f>VLOOKUP(A841,[1]Pricing!$A:$G,7,FALSE)</f>
        <v>480</v>
      </c>
      <c r="L841" t="s">
        <v>1960</v>
      </c>
      <c r="M841" t="str">
        <f t="shared" si="33"/>
        <v>668-A24092-001</v>
      </c>
    </row>
    <row r="842" spans="1:13" x14ac:dyDescent="0.25">
      <c r="A842" t="s">
        <v>1470</v>
      </c>
      <c r="B842" s="14" t="str">
        <f>VLOOKUP(A842,[1]Pricing!$A:$R,18,FALSE)</f>
        <v>RK73H1ETTP1600F</v>
      </c>
      <c r="C842" t="s">
        <v>2655</v>
      </c>
      <c r="D842" t="str">
        <f>VLOOKUP(A842,[1]AVL!$A:$F,6,FALSE)</f>
        <v>RES,SMD,1/10W,1%,0402</v>
      </c>
      <c r="E842" t="str">
        <f>VLOOKUP(A842,[1]Pricing!$A:$F,6,FALSE)</f>
        <v>9 Weeks</v>
      </c>
      <c r="F842">
        <f>VLOOKUP(B842,[2]Sheet2!$B:$E,4,FALSE)</f>
        <v>20000</v>
      </c>
      <c r="G842" s="2">
        <f>VLOOKUP(A842,[1]Pricing!$A:$H,8,FALSE)</f>
        <v>6.0000000000000001E-3</v>
      </c>
      <c r="H842" s="2">
        <f>VLOOKUP(A842,[1]Pricing!$A:$J,10,FALSE)</f>
        <v>7.3170731707317077E-3</v>
      </c>
      <c r="I842">
        <f>VLOOKUP(A842,MIN!A:B,2,FALSE)</f>
        <v>15</v>
      </c>
      <c r="J842" t="str">
        <f t="shared" si="32"/>
        <v>NO</v>
      </c>
      <c r="K842">
        <f>VLOOKUP(A842,[1]Pricing!$A:$G,7,FALSE)</f>
        <v>10000</v>
      </c>
      <c r="L842" t="s">
        <v>1960</v>
      </c>
      <c r="M842" t="str">
        <f t="shared" si="33"/>
        <v>615-121726-161</v>
      </c>
    </row>
    <row r="843" spans="1:13" x14ac:dyDescent="0.25">
      <c r="A843" t="s">
        <v>799</v>
      </c>
      <c r="B843" s="14" t="str">
        <f>VLOOKUP(A843,[1]Pricing!$A:$R,18,FALSE)</f>
        <v>ERA-2AEB5230X</v>
      </c>
      <c r="C843" t="s">
        <v>2580</v>
      </c>
      <c r="D843" t="str">
        <f>VLOOKUP(A843,[1]AVL!$A:$F,6,FALSE)</f>
        <v>RES,SMD,0402,523OHM,0.1%,1/16W,ROHS</v>
      </c>
      <c r="E843" t="str">
        <f>VLOOKUP(A843,[1]Pricing!$A:$F,6,FALSE)</f>
        <v>23 Weeks</v>
      </c>
      <c r="F843">
        <f>VLOOKUP(B843,[2]Sheet2!$B:$E,4,FALSE)</f>
        <v>17129</v>
      </c>
      <c r="G843" s="2">
        <f>VLOOKUP(A843,[1]Pricing!$A:$H,8,FALSE)</f>
        <v>4.1116E-2</v>
      </c>
      <c r="H843" s="2">
        <f>VLOOKUP(A843,[1]Pricing!$A:$J,10,FALSE)</f>
        <v>5.0141463414634151E-2</v>
      </c>
      <c r="I843">
        <f>VLOOKUP(A843,MIN!A:B,2,FALSE)</f>
        <v>25</v>
      </c>
      <c r="J843" t="str">
        <f t="shared" si="32"/>
        <v>NO</v>
      </c>
      <c r="K843">
        <f>VLOOKUP(A843,[1]Pricing!$A:$G,7,FALSE)</f>
        <v>10000</v>
      </c>
      <c r="L843" t="s">
        <v>1960</v>
      </c>
      <c r="M843" t="str">
        <f t="shared" si="33"/>
        <v>615-A00422-523</v>
      </c>
    </row>
    <row r="844" spans="1:13" x14ac:dyDescent="0.25">
      <c r="A844" t="s">
        <v>825</v>
      </c>
      <c r="B844" s="14" t="str">
        <f>VLOOKUP(A844,[1]Pricing!$A:$R,18,FALSE)</f>
        <v>RT0805BRD075K36L</v>
      </c>
      <c r="C844" t="s">
        <v>2580</v>
      </c>
      <c r="D844" t="str">
        <f>VLOOKUP(A844,[1]AVL!$A:$F,6,FALSE)</f>
        <v>RES,SMD,0805,RG,MF,0.1%,1/10W,5.36K</v>
      </c>
      <c r="E844" t="str">
        <f>VLOOKUP(A844,[1]Pricing!$A:$F,6,FALSE)</f>
        <v>26 Weeks</v>
      </c>
      <c r="F844">
        <f>VLOOKUP(B844,[2]Sheet2!$B:$E,4,FALSE)</f>
        <v>5000</v>
      </c>
      <c r="G844" s="2">
        <f>VLOOKUP(A844,[1]Pricing!$A:$H,8,FALSE)</f>
        <v>5.1263000000000003E-2</v>
      </c>
      <c r="H844" s="2">
        <f>VLOOKUP(A844,[1]Pricing!$A:$J,10,FALSE)</f>
        <v>6.2515853658536596E-2</v>
      </c>
      <c r="I844">
        <f>VLOOKUP(A844,MIN!A:B,2,FALSE)</f>
        <v>15</v>
      </c>
      <c r="J844" t="str">
        <f t="shared" si="32"/>
        <v>NO</v>
      </c>
      <c r="K844">
        <f>VLOOKUP(A844,[1]Pricing!$A:$G,7,FALSE)</f>
        <v>5000</v>
      </c>
      <c r="L844" t="s">
        <v>1960</v>
      </c>
      <c r="M844" t="str">
        <f t="shared" si="33"/>
        <v>615-064170-536</v>
      </c>
    </row>
    <row r="845" spans="1:13" x14ac:dyDescent="0.25">
      <c r="A845" t="s">
        <v>147</v>
      </c>
      <c r="B845" s="14" t="str">
        <f>VLOOKUP(A845,[1]Pricing!$A:$R,18,FALSE)</f>
        <v>1SMB5914BT3G</v>
      </c>
      <c r="C845" t="s">
        <v>2623</v>
      </c>
      <c r="D845" t="str">
        <f>VLOOKUP(A845,[1]AVL!$A:$F,6,FALSE)</f>
        <v>DIODE,SMD,ZENER,3.6V,3W,SMB</v>
      </c>
      <c r="E845" t="str">
        <f>VLOOKUP(A845,[1]Pricing!$A:$F,6,FALSE)</f>
        <v>32 Weeks</v>
      </c>
      <c r="F845">
        <f>VLOOKUP(B845,[2]Sheet2!$B:$E,4,FALSE)</f>
        <v>4970</v>
      </c>
      <c r="G845" s="2">
        <f>VLOOKUP(A845,[1]Pricing!$A:$H,8,FALSE)</f>
        <v>7.2304999999999994E-2</v>
      </c>
      <c r="H845" s="2">
        <f>VLOOKUP(A845,[1]Pricing!$A:$J,10,FALSE)</f>
        <v>8.8176829268292678E-2</v>
      </c>
      <c r="I845">
        <f>VLOOKUP(A845,MIN!A:B,2,FALSE)</f>
        <v>30</v>
      </c>
      <c r="J845" t="str">
        <f t="shared" si="32"/>
        <v>NO</v>
      </c>
      <c r="K845">
        <f>VLOOKUP(A845,[1]Pricing!$A:$G,7,FALSE)</f>
        <v>2500</v>
      </c>
      <c r="L845" t="s">
        <v>1960</v>
      </c>
      <c r="M845" t="str">
        <f t="shared" si="33"/>
        <v>609-273843-001</v>
      </c>
    </row>
    <row r="846" spans="1:13" x14ac:dyDescent="0.25">
      <c r="A846" t="s">
        <v>501</v>
      </c>
      <c r="B846" s="14" t="str">
        <f>VLOOKUP(A846,[1]Pricing!$A:$R,18,FALSE)</f>
        <v>AFBR-1539Z</v>
      </c>
      <c r="C846" t="s">
        <v>2698</v>
      </c>
      <c r="D846" t="str">
        <f>VLOOKUP(A846,[1]AVL!$A:$F,6,FALSE)</f>
        <v>TRANSMITTER,FIBRE OPTIC CONN,685NM,10MBD</v>
      </c>
      <c r="E846" t="str">
        <f>VLOOKUP(A846,[1]Pricing!$A:$F,6,FALSE)</f>
        <v>31 Weeks</v>
      </c>
      <c r="F846">
        <f>VLOOKUP(B846,[2]Sheet2!$B:$E,4,FALSE)</f>
        <v>200</v>
      </c>
      <c r="G846" s="2">
        <f>VLOOKUP(A846,[1]Pricing!$A:$H,8,FALSE)</f>
        <v>11.838329999999999</v>
      </c>
      <c r="H846" s="2">
        <f>VLOOKUP(A846,[1]Pricing!$A:$J,10,FALSE)</f>
        <v>14.436987804878049</v>
      </c>
      <c r="I846">
        <f>VLOOKUP(A846,MIN!A:B,2,FALSE)</f>
        <v>25</v>
      </c>
      <c r="J846" t="str">
        <f t="shared" si="32"/>
        <v>NO</v>
      </c>
      <c r="K846">
        <f>VLOOKUP(A846,[1]Pricing!$A:$G,7,FALSE)</f>
        <v>200</v>
      </c>
      <c r="L846" t="s">
        <v>1960</v>
      </c>
      <c r="M846" t="str">
        <f t="shared" si="33"/>
        <v>668-244809-001</v>
      </c>
    </row>
    <row r="847" spans="1:13" x14ac:dyDescent="0.25">
      <c r="A847" t="s">
        <v>1918</v>
      </c>
      <c r="B847" s="14" t="str">
        <f>VLOOKUP(A847,[1]Pricing!$A:$R,18,FALSE)</f>
        <v>MT40A512M16TB-062E:R</v>
      </c>
      <c r="C847" t="s">
        <v>2571</v>
      </c>
      <c r="D847" t="str">
        <f>VLOOKUP(A847,[1]AVL!$A:$F,6,FALSE)</f>
        <v>IC,SMD,512 MEGX16,SDRAM-DDR4,96 PIN,FBGA</v>
      </c>
      <c r="E847" t="str">
        <f>VLOOKUP(A847,[1]Pricing!$A:$F,6,FALSE)</f>
        <v>3 Weeks</v>
      </c>
      <c r="F847">
        <v>0</v>
      </c>
      <c r="G847" s="2">
        <f>VLOOKUP(A847,[1]Pricing!$A:$H,8,FALSE)</f>
        <v>8.2108500000000006</v>
      </c>
      <c r="H847" s="2">
        <f>VLOOKUP(A847,[1]Pricing!$A:$J,10,FALSE)</f>
        <v>10.013231707317075</v>
      </c>
      <c r="I847">
        <f>VLOOKUP(A847,MIN!A:B,2,FALSE)</f>
        <v>25</v>
      </c>
      <c r="J847" t="str">
        <f t="shared" si="32"/>
        <v>REORDER</v>
      </c>
      <c r="K847">
        <f>VLOOKUP(A847,[1]Pricing!$A:$G,7,FALSE)</f>
        <v>50</v>
      </c>
      <c r="M847" t="str">
        <f t="shared" si="33"/>
        <v>630-B35278-001</v>
      </c>
    </row>
    <row r="848" spans="1:13" x14ac:dyDescent="0.25">
      <c r="A848" t="s">
        <v>1077</v>
      </c>
      <c r="B848" s="14" t="str">
        <f>VLOOKUP(A848,[1]Pricing!$A:$R,18,FALSE)</f>
        <v>LSL29K-H1J2-1-Z</v>
      </c>
      <c r="C848" t="s">
        <v>2705</v>
      </c>
      <c r="D848" t="str">
        <f>VLOOKUP(A848,[1]AVL!$A:$F,6,FALSE)</f>
        <v>LED,SMD,1.8V,7.1MCD,630NM,RED,0603</v>
      </c>
      <c r="E848" t="str">
        <f>VLOOKUP(A848,[1]Pricing!$A:$F,6,FALSE)</f>
        <v>15 Weeks</v>
      </c>
      <c r="F848">
        <f>VLOOKUP(B848,[2]Sheet2!$B:$E,4,FALSE)</f>
        <v>5000</v>
      </c>
      <c r="G848" s="2">
        <f>VLOOKUP(A848,[1]Pricing!$A:$H,8,FALSE)</f>
        <v>8.6104E-2</v>
      </c>
      <c r="H848" s="2">
        <f>VLOOKUP(A848,[1]Pricing!$A:$J,10,FALSE)</f>
        <v>0.10500487804878049</v>
      </c>
      <c r="I848">
        <f>VLOOKUP(A848,MIN!A:B,2,FALSE)</f>
        <v>15</v>
      </c>
      <c r="J848" t="str">
        <f t="shared" si="32"/>
        <v>NO</v>
      </c>
      <c r="K848">
        <f>VLOOKUP(A848,[1]Pricing!$A:$G,7,FALSE)</f>
        <v>5000</v>
      </c>
      <c r="L848" t="s">
        <v>1960</v>
      </c>
      <c r="M848" t="str">
        <f t="shared" si="33"/>
        <v>664-A42466-001</v>
      </c>
    </row>
    <row r="849" spans="1:13" x14ac:dyDescent="0.25">
      <c r="A849" t="s">
        <v>1216</v>
      </c>
      <c r="B849" s="14" t="str">
        <f>VLOOKUP(A849,[1]Pricing!$A:$R,18,FALSE)</f>
        <v>NTTFS015N04CTAG</v>
      </c>
      <c r="C849" t="s">
        <v>2623</v>
      </c>
      <c r="D849" t="str">
        <f>VLOOKUP(A849,[1]AVL!$A:$F,6,FALSE)</f>
        <v>XSTR,SMD,FIELD EFT,N-CHAN,40V,27A,WDFN8</v>
      </c>
      <c r="E849" t="str">
        <f>VLOOKUP(A849,[1]Pricing!$A:$F,6,FALSE)</f>
        <v>19 Weeks</v>
      </c>
      <c r="F849">
        <f>VLOOKUP(B849,[2]Sheet2!$B:$E,4,FALSE)</f>
        <v>1270</v>
      </c>
      <c r="G849" s="2">
        <f>VLOOKUP(A849,[1]Pricing!$A:$H,8,FALSE)</f>
        <v>0.18872700000000001</v>
      </c>
      <c r="H849" s="2">
        <f>VLOOKUP(A849,[1]Pricing!$A:$J,10,FALSE)</f>
        <v>0.23015487804878051</v>
      </c>
      <c r="I849">
        <f>VLOOKUP(A849,MIN!A:B,2,FALSE)</f>
        <v>15</v>
      </c>
      <c r="J849" t="str">
        <f t="shared" si="32"/>
        <v>NO</v>
      </c>
      <c r="K849">
        <f>VLOOKUP(A849,[1]Pricing!$A:$G,7,FALSE)</f>
        <v>1500</v>
      </c>
      <c r="L849" t="s">
        <v>1960</v>
      </c>
      <c r="M849" t="str">
        <f t="shared" si="33"/>
        <v>626-A72008-001</v>
      </c>
    </row>
    <row r="850" spans="1:13" x14ac:dyDescent="0.25">
      <c r="A850" t="s">
        <v>1738</v>
      </c>
      <c r="B850" s="14" t="str">
        <f>VLOOKUP(A850,[1]Pricing!$A:$R,18,FALSE)</f>
        <v>TDE1798DP</v>
      </c>
      <c r="C850" t="s">
        <v>2731</v>
      </c>
      <c r="D850" t="str">
        <f>VLOOKUP(A850,[1]AVL!$A:$F,6,FALSE)</f>
        <v>IC,INDUSTRIAL DRIVER,0.5A PWR SW,6V-35V</v>
      </c>
      <c r="E850" t="str">
        <f>VLOOKUP(A850,[1]Pricing!$A:$F,6,FALSE)</f>
        <v>19 Weeks</v>
      </c>
      <c r="F850">
        <f>VLOOKUP(B850,[2]Sheet2!$B:$E,4,FALSE)</f>
        <v>200</v>
      </c>
      <c r="G850" s="2">
        <f>VLOOKUP(A850,[1]Pricing!$A:$H,8,FALSE)</f>
        <v>5.83338</v>
      </c>
      <c r="H850" s="2">
        <f>VLOOKUP(A850,[1]Pricing!$A:$J,10,FALSE)</f>
        <v>7.1138780487804887</v>
      </c>
      <c r="I850">
        <f>VLOOKUP(A850,MIN!A:B,2,FALSE)</f>
        <v>25</v>
      </c>
      <c r="J850" t="str">
        <f t="shared" si="32"/>
        <v>NO</v>
      </c>
      <c r="K850">
        <f>VLOOKUP(A850,[1]Pricing!$A:$G,7,FALSE)</f>
        <v>200</v>
      </c>
      <c r="L850" t="s">
        <v>1960</v>
      </c>
      <c r="M850" t="str">
        <f t="shared" si="33"/>
        <v>32-10010-00</v>
      </c>
    </row>
    <row r="851" spans="1:13" x14ac:dyDescent="0.25">
      <c r="A851" t="s">
        <v>399</v>
      </c>
      <c r="B851" s="14" t="str">
        <f>VLOOKUP(A851,[1]Pricing!$A:$R,18,FALSE)</f>
        <v>7466004R</v>
      </c>
      <c r="C851" t="s">
        <v>2701</v>
      </c>
      <c r="D851" t="str">
        <f>VLOOKUP(A851,[1]AVL!$A:$F,6,FALSE)</f>
        <v>TERM,SMD,PCB,WIRE TO BD,M4 THD,50A,BRS</v>
      </c>
      <c r="E851" t="str">
        <f>VLOOKUP(A851,[1]Pricing!$A:$F,6,FALSE)</f>
        <v>27 Weeks</v>
      </c>
      <c r="F851">
        <f>VLOOKUP(B851,[2]Sheet2!$B:$E,4,FALSE)</f>
        <v>387</v>
      </c>
      <c r="G851" s="2">
        <f>VLOOKUP(A851,[1]Pricing!$A:$H,8,FALSE)</f>
        <v>1.811755</v>
      </c>
      <c r="H851" s="2">
        <f>VLOOKUP(A851,[1]Pricing!$A:$J,10,FALSE)</f>
        <v>2.2094573170731708</v>
      </c>
      <c r="I851">
        <f>VLOOKUP(A851,MIN!A:B,2,FALSE)</f>
        <v>200</v>
      </c>
      <c r="J851" t="str">
        <f t="shared" si="32"/>
        <v>NO</v>
      </c>
      <c r="K851">
        <f>VLOOKUP(A851,[1]Pricing!$A:$G,7,FALSE)</f>
        <v>500</v>
      </c>
      <c r="L851" t="s">
        <v>1960</v>
      </c>
      <c r="M851" t="str">
        <f t="shared" si="33"/>
        <v>674-B39244-406</v>
      </c>
    </row>
    <row r="852" spans="1:13" x14ac:dyDescent="0.25">
      <c r="A852" t="s">
        <v>936</v>
      </c>
      <c r="B852" s="14" t="str">
        <f>VLOOKUP(A852,[1]Pricing!$A:$R,18,FALSE)</f>
        <v>GRM32ER71H106KA12L</v>
      </c>
      <c r="C852" t="s">
        <v>2581</v>
      </c>
      <c r="D852" t="str">
        <f>VLOOKUP(A852,[1]AVL!$A:$F,6,FALSE)</f>
        <v>CAP,SMD,1210,CER,50V,10%,X7R,10UF,ROHS</v>
      </c>
      <c r="E852" t="str">
        <f>VLOOKUP(A852,[1]Pricing!$A:$F,6,FALSE)</f>
        <v>18 Weeks</v>
      </c>
      <c r="F852">
        <f>VLOOKUP(B852,[2]Sheet2!$B:$E,4,FALSE)</f>
        <v>754</v>
      </c>
      <c r="G852" s="2">
        <f>VLOOKUP(A852,[1]Pricing!$A:$H,8,FALSE)</f>
        <v>0.09</v>
      </c>
      <c r="H852" s="2">
        <f>VLOOKUP(A852,[1]Pricing!$A:$J,10,FALSE)</f>
        <v>0.10975609756097561</v>
      </c>
      <c r="I852">
        <f>VLOOKUP(A852,MIN!A:B,2,FALSE)</f>
        <v>15</v>
      </c>
      <c r="J852" t="str">
        <f t="shared" si="32"/>
        <v>NO</v>
      </c>
      <c r="K852">
        <f>VLOOKUP(A852,[1]Pricing!$A:$G,7,FALSE)</f>
        <v>1000</v>
      </c>
      <c r="L852" t="s">
        <v>1960</v>
      </c>
      <c r="M852" t="str">
        <f t="shared" si="33"/>
        <v>648-185803-001</v>
      </c>
    </row>
    <row r="853" spans="1:13" x14ac:dyDescent="0.25">
      <c r="A853" t="s">
        <v>1289</v>
      </c>
      <c r="B853" s="14" t="str">
        <f>VLOOKUP(A853,[1]Pricing!$A:$R,18,FALSE)</f>
        <v>RBR3MM40A</v>
      </c>
      <c r="C853" t="s">
        <v>2630</v>
      </c>
      <c r="D853" t="str">
        <f>VLOOKUP(A853,[1]AVL!$A:$F,6,FALSE)</f>
        <v>DIO,SMD,SCHOTTKY BARR,40V,3A,SOD-123FL</v>
      </c>
      <c r="E853" t="str">
        <f>VLOOKUP(A853,[1]Pricing!$A:$F,6,FALSE)</f>
        <v>21 Weeks</v>
      </c>
      <c r="F853">
        <f>VLOOKUP(B853,[2]Sheet2!$B:$E,4,FALSE)</f>
        <v>2892</v>
      </c>
      <c r="G853" s="2">
        <f>VLOOKUP(A853,[1]Pricing!$A:$H,8,FALSE)</f>
        <v>0.12925300000000001</v>
      </c>
      <c r="H853" s="2">
        <f>VLOOKUP(A853,[1]Pricing!$A:$J,10,FALSE)</f>
        <v>0.15762560975609757</v>
      </c>
      <c r="I853">
        <f>VLOOKUP(A853,MIN!A:B,2,FALSE)</f>
        <v>25</v>
      </c>
      <c r="J853" t="str">
        <f t="shared" si="32"/>
        <v>NO</v>
      </c>
      <c r="K853">
        <f>VLOOKUP(A853,[1]Pricing!$A:$G,7,FALSE)</f>
        <v>3000</v>
      </c>
      <c r="L853" t="s">
        <v>1960</v>
      </c>
      <c r="M853" t="str">
        <f t="shared" si="33"/>
        <v>609-A99417-001</v>
      </c>
    </row>
    <row r="854" spans="1:13" x14ac:dyDescent="0.25">
      <c r="A854" t="s">
        <v>1208</v>
      </c>
      <c r="B854" s="14" t="str">
        <f>VLOOKUP(A854,[1]Pricing!$A:$R,18,FALSE)</f>
        <v>NC7WZ14L6X-L22175</v>
      </c>
      <c r="C854" t="s">
        <v>2732</v>
      </c>
      <c r="D854" t="str">
        <f>VLOOKUP(A854,[1]AVL!$A:$F,6,FALSE)</f>
        <v>IC,SMD,INVTR,DUAL,SCHMITT TRIG,1.0MM</v>
      </c>
      <c r="E854" t="str">
        <f>VLOOKUP(A854,[1]Pricing!$A:$F,6,FALSE)</f>
        <v>EOL/3 Weeks</v>
      </c>
      <c r="F854">
        <f>VLOOKUP(B854,[2]Sheet2!$B:$E,4,FALSE)</f>
        <v>5000</v>
      </c>
      <c r="G854" s="2">
        <f>VLOOKUP(A854,[1]Pricing!$A:$H,8,FALSE)</f>
        <v>0.13700000000000001</v>
      </c>
      <c r="H854" s="2">
        <f>VLOOKUP(A854,[1]Pricing!$A:$J,10,FALSE)</f>
        <v>0.16707317073170733</v>
      </c>
      <c r="I854">
        <f>VLOOKUP(A854,MIN!A:B,2,FALSE)</f>
        <v>15</v>
      </c>
      <c r="J854" t="str">
        <f t="shared" si="32"/>
        <v>NO</v>
      </c>
      <c r="K854">
        <f>VLOOKUP(A854,[1]Pricing!$A:$G,7,FALSE)</f>
        <v>5000</v>
      </c>
      <c r="L854" t="s">
        <v>1960</v>
      </c>
      <c r="M854" t="str">
        <f t="shared" si="33"/>
        <v>630-089762-001</v>
      </c>
    </row>
    <row r="855" spans="1:13" x14ac:dyDescent="0.25">
      <c r="A855" t="s">
        <v>948</v>
      </c>
      <c r="B855" s="14" t="str">
        <f>VLOOKUP(A855,[1]Pricing!$A:$R,18,FALSE)</f>
        <v>HSMH-C110</v>
      </c>
      <c r="C855" t="s">
        <v>2598</v>
      </c>
      <c r="D855" t="str">
        <f>VLOOKUP(A855,[1]AVL!$A:$F,6,FALSE)</f>
        <v>LED,SMD,RT,HSM-C110,RED,ROHS</v>
      </c>
      <c r="E855" t="str">
        <f>VLOOKUP(A855,[1]Pricing!$A:$F,6,FALSE)</f>
        <v>3 Weeks</v>
      </c>
      <c r="F855">
        <f>VLOOKUP(B855,[2]Sheet2!$B:$E,4,FALSE)</f>
        <v>3000</v>
      </c>
      <c r="G855" s="2">
        <f>VLOOKUP(A855,[1]Pricing!$A:$H,8,FALSE)</f>
        <v>0.16789399999999999</v>
      </c>
      <c r="H855" s="2">
        <f>VLOOKUP(A855,[1]Pricing!$A:$J,10,FALSE)</f>
        <v>0.20474878048780487</v>
      </c>
      <c r="I855">
        <f>VLOOKUP(A855,MIN!A:B,2,FALSE)</f>
        <v>15</v>
      </c>
      <c r="J855" t="str">
        <f t="shared" si="32"/>
        <v>NO</v>
      </c>
      <c r="K855">
        <f>VLOOKUP(A855,[1]Pricing!$A:$G,7,FALSE)</f>
        <v>3000</v>
      </c>
      <c r="L855" t="s">
        <v>1960</v>
      </c>
      <c r="M855" t="str">
        <f t="shared" si="33"/>
        <v>664-039171-001</v>
      </c>
    </row>
    <row r="856" spans="1:13" x14ac:dyDescent="0.25">
      <c r="A856" t="s">
        <v>1101</v>
      </c>
      <c r="B856" s="14" t="str">
        <f>VLOOKUP(A856,[1]Pricing!$A:$R,18,FALSE)</f>
        <v>LTC6752ISC6-1#TRPBF</v>
      </c>
      <c r="C856" t="s">
        <v>2603</v>
      </c>
      <c r="D856" t="str">
        <f>VLOOKUP(A856,[1]AVL!$A:$F,6,FALSE)</f>
        <v>IC,SMD,COMPARATOR,280MHZ,2.9NS,SC70-6</v>
      </c>
      <c r="E856" t="str">
        <f>VLOOKUP(A856,[1]Pricing!$A:$F,6,FALSE)</f>
        <v>29 Weeks</v>
      </c>
      <c r="F856">
        <f>VLOOKUP(B856,[2]Sheet2!$B:$E,4,FALSE)</f>
        <v>500</v>
      </c>
      <c r="G856" s="2">
        <f>VLOOKUP(A856,[1]Pricing!$A:$H,8,FALSE)</f>
        <v>3.3365459999999998</v>
      </c>
      <c r="H856" s="2">
        <f>VLOOKUP(A856,[1]Pricing!$A:$J,10,FALSE)</f>
        <v>4.0689585365853658</v>
      </c>
      <c r="I856">
        <f>VLOOKUP(A856,MIN!A:B,2,FALSE)</f>
        <v>30</v>
      </c>
      <c r="J856" t="str">
        <f t="shared" si="32"/>
        <v>NO</v>
      </c>
      <c r="K856">
        <f>VLOOKUP(A856,[1]Pricing!$A:$G,7,FALSE)</f>
        <v>500</v>
      </c>
      <c r="L856" t="s">
        <v>1960</v>
      </c>
      <c r="M856" t="str">
        <f t="shared" si="33"/>
        <v>630-345765-001</v>
      </c>
    </row>
    <row r="857" spans="1:13" x14ac:dyDescent="0.25">
      <c r="A857" t="s">
        <v>1087</v>
      </c>
      <c r="B857" s="14" t="str">
        <f>VLOOKUP(A857,[1]Pricing!$A:$R,18,FALSE)</f>
        <v>LT6654AHS6-3.3#TRMPBF</v>
      </c>
      <c r="C857" t="s">
        <v>2603</v>
      </c>
      <c r="D857" t="str">
        <f>VLOOKUP(A857,[1]AVL!$A:$F,6,FALSE)</f>
        <v>IC,SMD,V REF,3.3VOUT,TSOT-23-6</v>
      </c>
      <c r="E857" t="str">
        <f>VLOOKUP(A857,[1]Pricing!$A:$F,6,FALSE)</f>
        <v>14 Weeks</v>
      </c>
      <c r="F857">
        <f>VLOOKUP(B857,[2]Sheet2!$B:$E,4,FALSE)</f>
        <v>499</v>
      </c>
      <c r="G857" s="2">
        <f>VLOOKUP(A857,[1]Pricing!$A:$H,8,FALSE)</f>
        <v>4.9353579999999999</v>
      </c>
      <c r="H857" s="2">
        <f>VLOOKUP(A857,[1]Pricing!$A:$J,10,FALSE)</f>
        <v>6.0187292682926836</v>
      </c>
      <c r="I857">
        <f>VLOOKUP(A857,MIN!A:B,2,FALSE)</f>
        <v>15</v>
      </c>
      <c r="J857" t="str">
        <f t="shared" si="32"/>
        <v>NO</v>
      </c>
      <c r="K857">
        <f>VLOOKUP(A857,[1]Pricing!$A:$G,7,FALSE)</f>
        <v>500</v>
      </c>
      <c r="L857" t="s">
        <v>1960</v>
      </c>
      <c r="M857" t="str">
        <f t="shared" si="33"/>
        <v>630-B28359-001</v>
      </c>
    </row>
    <row r="858" spans="1:13" x14ac:dyDescent="0.25">
      <c r="A858" t="s">
        <v>1089</v>
      </c>
      <c r="B858" s="14" t="str">
        <f>VLOOKUP(A858,[1]Pricing!$A:$R,18,FALSE)</f>
        <v>LT8645SHV-2#PBF</v>
      </c>
      <c r="C858" t="s">
        <v>2603</v>
      </c>
      <c r="D858" t="str">
        <f>VLOOKUP(A858,[1]AVL!$A:$F,6,FALSE)</f>
        <v>IC,SMD,REG,BUCK,ADJ,8A,65V OUT,32-LQFN</v>
      </c>
      <c r="E858" t="str">
        <f>VLOOKUP(A858,[1]Pricing!$A:$F,6,FALSE)</f>
        <v>13 Weeks</v>
      </c>
      <c r="F858">
        <f>VLOOKUP(B858,[2]Sheet2!$B:$E,4,FALSE)</f>
        <v>330</v>
      </c>
      <c r="G858" s="2">
        <f>VLOOKUP(A858,[1]Pricing!$A:$H,8,FALSE)</f>
        <v>9.6324299999999994</v>
      </c>
      <c r="H858" s="2">
        <f>VLOOKUP(A858,[1]Pricing!$A:$J,10,FALSE)</f>
        <v>11.746865853658537</v>
      </c>
      <c r="I858">
        <f>VLOOKUP(A858,MIN!A:B,2,FALSE)</f>
        <v>25</v>
      </c>
      <c r="J858" t="str">
        <f t="shared" si="32"/>
        <v>NO</v>
      </c>
      <c r="K858">
        <f>VLOOKUP(A858,[1]Pricing!$A:$G,7,FALSE)</f>
        <v>490</v>
      </c>
      <c r="L858" t="s">
        <v>1960</v>
      </c>
      <c r="M858" t="str">
        <f t="shared" si="33"/>
        <v>630-311294-002</v>
      </c>
    </row>
    <row r="859" spans="1:13" x14ac:dyDescent="0.25">
      <c r="A859" t="s">
        <v>1130</v>
      </c>
      <c r="B859" s="14" t="str">
        <f>VLOOKUP(A859,[1]Pricing!$A:$R,18,FALSE)</f>
        <v>MAX232ACSE+T</v>
      </c>
      <c r="C859" t="s">
        <v>2575</v>
      </c>
      <c r="D859" t="str">
        <f>VLOOKUP(A859,[1]AVL!$A:$F,6,FALSE)</f>
        <v>IC,SMD,XCVR,CMOS-RS232,BI-DIR,SOIC-16</v>
      </c>
      <c r="E859" t="str">
        <f>VLOOKUP(A859,[1]Pricing!$A:$F,6,FALSE)</f>
        <v>20 Weeks</v>
      </c>
      <c r="F859">
        <f>VLOOKUP(B859,[2]Sheet2!$B:$E,4,FALSE)</f>
        <v>199</v>
      </c>
      <c r="G859" s="2">
        <f>VLOOKUP(A859,[1]Pricing!$A:$H,8,FALSE)</f>
        <v>6.2868149999999998</v>
      </c>
      <c r="H859" s="2">
        <f>VLOOKUP(A859,[1]Pricing!$A:$J,10,FALSE)</f>
        <v>7.6668475609756097</v>
      </c>
      <c r="I859">
        <f>VLOOKUP(A859,MIN!A:B,2,FALSE)</f>
        <v>25</v>
      </c>
      <c r="J859" t="str">
        <f t="shared" si="32"/>
        <v>NO</v>
      </c>
      <c r="K859">
        <f>VLOOKUP(A859,[1]Pricing!$A:$G,7,FALSE)</f>
        <v>200</v>
      </c>
      <c r="L859" t="s">
        <v>1960</v>
      </c>
      <c r="M859" t="str">
        <f t="shared" si="33"/>
        <v>630-320785-001</v>
      </c>
    </row>
    <row r="860" spans="1:13" x14ac:dyDescent="0.25">
      <c r="A860" t="s">
        <v>1096</v>
      </c>
      <c r="B860" s="14" t="str">
        <f>VLOOKUP(A860,[1]Pricing!$A:$R,18,FALSE)</f>
        <v>LTC2666IUH-16#PBF</v>
      </c>
      <c r="C860" t="s">
        <v>2603</v>
      </c>
      <c r="D860" t="str">
        <f>VLOOKUP(A860,[1]AVL!$A:$F,6,FALSE)</f>
        <v>IC,SMD,DAC,16-BIT,8-CHAN,32-QFN</v>
      </c>
      <c r="E860" t="str">
        <f>VLOOKUP(A860,[1]Pricing!$A:$F,6,FALSE)</f>
        <v>13 Weeks</v>
      </c>
      <c r="F860">
        <f>VLOOKUP(B860,[2]Sheet2!$B:$E,4,FALSE)</f>
        <v>73</v>
      </c>
      <c r="G860" s="2">
        <f>VLOOKUP(A860,[1]Pricing!$A:$H,8,FALSE)</f>
        <v>54.597349999999999</v>
      </c>
      <c r="H860" s="2">
        <f>VLOOKUP(A860,[1]Pricing!$A:$J,10,FALSE)</f>
        <v>66.58213414634146</v>
      </c>
      <c r="I860">
        <f>VLOOKUP(A860,MIN!A:B,2,FALSE)</f>
        <v>25</v>
      </c>
      <c r="J860" t="str">
        <f t="shared" si="32"/>
        <v>NO</v>
      </c>
      <c r="K860">
        <f>VLOOKUP(A860,[1]Pricing!$A:$G,7,FALSE)</f>
        <v>73</v>
      </c>
      <c r="L860" t="s">
        <v>1960</v>
      </c>
      <c r="M860" t="str">
        <f t="shared" si="33"/>
        <v>630-A61432-001</v>
      </c>
    </row>
    <row r="861" spans="1:13" x14ac:dyDescent="0.25">
      <c r="A861" t="s">
        <v>489</v>
      </c>
      <c r="B861" s="14" t="str">
        <f>VLOOKUP(A861,[1]Pricing!$A:$R,18,FALSE)</f>
        <v>AD9518-4ABCPZ</v>
      </c>
      <c r="C861" t="s">
        <v>2603</v>
      </c>
      <c r="D861" t="str">
        <f>VLOOKUP(A861,[1]AVL!$A:$F,6,FALSE)</f>
        <v>IC,SMD,CLK GEN,6-OUT,1.6GHZ VCO,LFCSP-48</v>
      </c>
      <c r="E861" t="str">
        <f>VLOOKUP(A861,[1]Pricing!$A:$F,6,FALSE)</f>
        <v>3 Weeks</v>
      </c>
      <c r="F861">
        <f>VLOOKUP(B861,[2]Sheet2!$B:$E,4,FALSE)</f>
        <v>89</v>
      </c>
      <c r="G861" s="2">
        <f>VLOOKUP(A861,[1]Pricing!$A:$H,8,FALSE)</f>
        <v>13.218548999999999</v>
      </c>
      <c r="H861" s="2">
        <f>VLOOKUP(A861,[1]Pricing!$A:$J,10,FALSE)</f>
        <v>16.120181707317073</v>
      </c>
      <c r="I861">
        <f>VLOOKUP(A861,MIN!A:B,2,FALSE)</f>
        <v>25</v>
      </c>
      <c r="J861" t="str">
        <f t="shared" si="32"/>
        <v>NO</v>
      </c>
      <c r="K861">
        <f>VLOOKUP(A861,[1]Pricing!$A:$G,7,FALSE)</f>
        <v>100</v>
      </c>
      <c r="L861" t="s">
        <v>2689</v>
      </c>
      <c r="M861" t="str">
        <f t="shared" si="33"/>
        <v>630-225105-001</v>
      </c>
    </row>
    <row r="862" spans="1:13" x14ac:dyDescent="0.25">
      <c r="A862" t="s">
        <v>484</v>
      </c>
      <c r="B862" s="14" t="str">
        <f>VLOOKUP(A862,[1]Pricing!$A:$R,18,FALSE)</f>
        <v>AD8510ARMZ</v>
      </c>
      <c r="C862" t="s">
        <v>2603</v>
      </c>
      <c r="D862" t="str">
        <f>VLOOKUP(A862,[1]AVL!$A:$F,6,FALSE)</f>
        <v>IC,SMD,JFET OPAMP,AD8510,ROHS</v>
      </c>
      <c r="E862" t="str">
        <f>VLOOKUP(A862,[1]Pricing!$A:$F,6,FALSE)</f>
        <v>14 Weeks</v>
      </c>
      <c r="F862">
        <f>VLOOKUP(B862,[2]Sheet2!$B:$E,4,FALSE)</f>
        <v>138</v>
      </c>
      <c r="G862" s="2">
        <f>VLOOKUP(A862,[1]Pricing!$A:$H,8,FALSE)</f>
        <v>2.9044349999999999</v>
      </c>
      <c r="H862" s="2">
        <f>VLOOKUP(A862,[1]Pricing!$A:$J,10,FALSE)</f>
        <v>3.5419939024390246</v>
      </c>
      <c r="I862">
        <f>VLOOKUP(A862,MIN!A:B,2,FALSE)</f>
        <v>25</v>
      </c>
      <c r="J862" t="str">
        <f t="shared" si="32"/>
        <v>NO</v>
      </c>
      <c r="K862">
        <f>VLOOKUP(A862,[1]Pricing!$A:$G,7,FALSE)</f>
        <v>200</v>
      </c>
      <c r="L862" t="s">
        <v>2689</v>
      </c>
      <c r="M862" t="str">
        <f t="shared" si="33"/>
        <v>630-129906-001</v>
      </c>
    </row>
    <row r="863" spans="1:13" x14ac:dyDescent="0.25">
      <c r="A863" t="s">
        <v>491</v>
      </c>
      <c r="B863" s="14" t="str">
        <f>VLOOKUP(A863,[1]Pricing!$A:$R,18,FALSE)</f>
        <v>ADA4817-1ACPZ-R7</v>
      </c>
      <c r="C863" t="s">
        <v>2603</v>
      </c>
      <c r="D863" t="str">
        <f>VLOOKUP(A863,[1]AVL!$A:$F,6,FALSE)</f>
        <v>IC,SMD,OPAMP,1 CKT,870V/US,LFCSP-8</v>
      </c>
      <c r="E863" t="str">
        <f>VLOOKUP(A863,[1]Pricing!$A:$F,6,FALSE)</f>
        <v>3 Weeks</v>
      </c>
      <c r="F863">
        <f>VLOOKUP(B863,[2]Sheet2!$B:$E,4,FALSE)</f>
        <v>60</v>
      </c>
      <c r="G863" s="2">
        <f>VLOOKUP(A863,[1]Pricing!$A:$H,8,FALSE)</f>
        <v>7.1691750000000001</v>
      </c>
      <c r="H863" s="2">
        <f>VLOOKUP(A863,[1]Pricing!$A:$J,10,FALSE)</f>
        <v>8.7428963414634158</v>
      </c>
      <c r="I863">
        <f>VLOOKUP(A863,MIN!A:B,2,FALSE)</f>
        <v>15</v>
      </c>
      <c r="J863" t="str">
        <f t="shared" si="32"/>
        <v>NO</v>
      </c>
      <c r="K863">
        <f>VLOOKUP(A863,[1]Pricing!$A:$G,7,FALSE)</f>
        <v>60</v>
      </c>
      <c r="L863" t="s">
        <v>1960</v>
      </c>
      <c r="M863" t="str">
        <f t="shared" si="33"/>
        <v>630-A42310-001</v>
      </c>
    </row>
    <row r="864" spans="1:13" x14ac:dyDescent="0.25">
      <c r="A864" t="s">
        <v>493</v>
      </c>
      <c r="B864" s="14" t="str">
        <f>VLOOKUP(A864,[1]Pricing!$A:$R,18,FALSE)</f>
        <v>ADG1419BRMZ</v>
      </c>
      <c r="C864" t="s">
        <v>2603</v>
      </c>
      <c r="D864" t="str">
        <f>VLOOKUP(A864,[1]AVL!$A:$F,6,FALSE)</f>
        <v>IC,SMD,ANALOG SW,SPDT,MSOP,ADG1419BRMZ</v>
      </c>
      <c r="E864" t="str">
        <f>VLOOKUP(A864,[1]Pricing!$A:$F,6,FALSE)</f>
        <v>13 Weeks</v>
      </c>
      <c r="F864">
        <f>VLOOKUP(B864,[2]Sheet2!$B:$E,4,FALSE)</f>
        <v>170</v>
      </c>
      <c r="G864" s="2">
        <f>VLOOKUP(A864,[1]Pricing!$A:$H,8,FALSE)</f>
        <v>4.0164540000000004</v>
      </c>
      <c r="H864" s="2">
        <f>VLOOKUP(A864,[1]Pricing!$A:$J,10,FALSE)</f>
        <v>4.8981146341463422</v>
      </c>
      <c r="I864">
        <f>VLOOKUP(A864,MIN!A:B,2,FALSE)</f>
        <v>15</v>
      </c>
      <c r="J864" t="str">
        <f t="shared" si="32"/>
        <v>NO</v>
      </c>
      <c r="K864">
        <f>VLOOKUP(A864,[1]Pricing!$A:$G,7,FALSE)</f>
        <v>200</v>
      </c>
      <c r="L864" t="s">
        <v>2689</v>
      </c>
      <c r="M864" t="str">
        <f t="shared" si="33"/>
        <v>630-119465-001</v>
      </c>
    </row>
    <row r="865" spans="1:13" x14ac:dyDescent="0.25">
      <c r="A865" t="s">
        <v>1079</v>
      </c>
      <c r="B865" s="14" t="str">
        <f>VLOOKUP(A865,[1]Pricing!$A:$R,18,FALSE)</f>
        <v>LT1491ACS#PBF</v>
      </c>
      <c r="C865" t="s">
        <v>2603</v>
      </c>
      <c r="D865" t="str">
        <f>VLOOKUP(A865,[1]AVL!$A:$F,6,FALSE)</f>
        <v>IC,SMD, QUAD MPOWER RTR I/O OP-AMP,ROHS</v>
      </c>
      <c r="E865" t="str">
        <f>VLOOKUP(A865,[1]Pricing!$A:$F,6,FALSE)</f>
        <v>13 Weeks</v>
      </c>
      <c r="F865">
        <f>VLOOKUP(B865,[2]Sheet2!$B:$E,4,FALSE)</f>
        <v>13</v>
      </c>
      <c r="G865" s="2">
        <f>VLOOKUP(A865,[1]Pricing!$A:$H,8,FALSE)</f>
        <v>9.3750750000000007</v>
      </c>
      <c r="H865" s="2">
        <f>VLOOKUP(A865,[1]Pricing!$A:$J,10,FALSE)</f>
        <v>11.433018292682929</v>
      </c>
      <c r="I865">
        <f>VLOOKUP(A865,MIN!A:B,2,FALSE)</f>
        <v>15</v>
      </c>
      <c r="J865" t="str">
        <f t="shared" si="32"/>
        <v>REORDER</v>
      </c>
      <c r="K865">
        <f>VLOOKUP(A865,[1]Pricing!$A:$G,7,FALSE)</f>
        <v>60</v>
      </c>
      <c r="L865" t="s">
        <v>2689</v>
      </c>
      <c r="M865" t="str">
        <f t="shared" si="33"/>
        <v>630-210849-001</v>
      </c>
    </row>
    <row r="866" spans="1:13" x14ac:dyDescent="0.25">
      <c r="A866" t="s">
        <v>1082</v>
      </c>
      <c r="B866" s="14" t="str">
        <f>VLOOKUP(A866,[1]Pricing!$A:$R,18,FALSE)</f>
        <v>LT3065EDD#PBF</v>
      </c>
      <c r="C866" t="s">
        <v>2605</v>
      </c>
      <c r="D866" t="str">
        <f>VLOOKUP(A866,[1]AVL!$A:$F,6,FALSE)</f>
        <v>IC,SMD,VOLT REG,POS ADJ,500MA,DFN10</v>
      </c>
      <c r="E866" t="str">
        <f>VLOOKUP(A866,[1]Pricing!$A:$F,6,FALSE)</f>
        <v>3 Weeks</v>
      </c>
      <c r="F866">
        <f>VLOOKUP(B866,[2]Sheet2!$B:$E,4,FALSE)</f>
        <v>100</v>
      </c>
      <c r="G866" s="2">
        <f>VLOOKUP(A866,[1]Pricing!$A:$H,8,FALSE)</f>
        <v>3.8235600000000001</v>
      </c>
      <c r="H866" s="2">
        <f>VLOOKUP(A866,[1]Pricing!$A:$J,10,FALSE)</f>
        <v>4.6628780487804882</v>
      </c>
      <c r="I866">
        <f>VLOOKUP(A866,MIN!A:B,2,FALSE)</f>
        <v>25</v>
      </c>
      <c r="J866" t="str">
        <f t="shared" si="32"/>
        <v>NO</v>
      </c>
      <c r="K866">
        <f>VLOOKUP(A866,[1]Pricing!$A:$G,7,FALSE)</f>
        <v>100</v>
      </c>
      <c r="L866" t="s">
        <v>1960</v>
      </c>
      <c r="M866" t="str">
        <f t="shared" si="33"/>
        <v>630-269922-001</v>
      </c>
    </row>
    <row r="867" spans="1:13" x14ac:dyDescent="0.25">
      <c r="A867" t="s">
        <v>1086</v>
      </c>
      <c r="B867" s="14" t="str">
        <f>VLOOKUP(A867,[1]Pricing!$A:$R,18,FALSE)</f>
        <v>LT3741EFE#PBF</v>
      </c>
      <c r="C867" t="s">
        <v>2603</v>
      </c>
      <c r="D867" t="str">
        <f>VLOOKUP(A867,[1]AVL!$A:$F,6,FALSE)</f>
        <v>IC,SMD,DC-DC CONT,STEP DN,6-36V,TSSOP-20</v>
      </c>
      <c r="E867" t="str">
        <f>VLOOKUP(A867,[1]Pricing!$A:$F,6,FALSE)</f>
        <v>3 Weeks</v>
      </c>
      <c r="F867">
        <f>VLOOKUP(B867,[2]Sheet2!$B:$E,4,FALSE)</f>
        <v>24</v>
      </c>
      <c r="G867" s="2">
        <f>VLOOKUP(A867,[1]Pricing!$A:$H,8,FALSE)</f>
        <v>9.9265500000000007</v>
      </c>
      <c r="H867" s="2">
        <f>VLOOKUP(A867,[1]Pricing!$A:$J,10,FALSE)</f>
        <v>12.105548780487807</v>
      </c>
      <c r="I867">
        <f>VLOOKUP(A867,MIN!A:B,2,FALSE)</f>
        <v>15</v>
      </c>
      <c r="J867" t="str">
        <f t="shared" si="32"/>
        <v>NO</v>
      </c>
      <c r="K867">
        <f>VLOOKUP(A867,[1]Pricing!$A:$G,7,FALSE)</f>
        <v>60</v>
      </c>
      <c r="L867" t="s">
        <v>2689</v>
      </c>
      <c r="M867" t="str">
        <f t="shared" si="33"/>
        <v>630-A20797-001</v>
      </c>
    </row>
    <row r="868" spans="1:13" x14ac:dyDescent="0.25">
      <c r="A868" t="s">
        <v>1097</v>
      </c>
      <c r="B868" s="14" t="str">
        <f>VLOOKUP(A868,[1]Pricing!$A:$R,18,FALSE)</f>
        <v>LTC3260IDE#PBF</v>
      </c>
      <c r="C868" t="s">
        <v>2733</v>
      </c>
      <c r="D868" t="str">
        <f>VLOOKUP(A868,[1]AVL!$A:$F,6,FALSE)</f>
        <v>IC,DUAL PWR SPLY,CH PMP,100MA,DFN,125C</v>
      </c>
      <c r="E868" t="str">
        <f>VLOOKUP(A868,[1]Pricing!$A:$F,6,FALSE)</f>
        <v>3 Weeks</v>
      </c>
      <c r="F868">
        <f>VLOOKUP(B868,[2]Sheet2!$B:$E,4,FALSE)</f>
        <v>81</v>
      </c>
      <c r="G868" s="2">
        <f>VLOOKUP(A868,[1]Pricing!$A:$H,8,FALSE)</f>
        <v>8.0515349999999994</v>
      </c>
      <c r="H868" s="2">
        <f>VLOOKUP(A868,[1]Pricing!$A:$J,10,FALSE)</f>
        <v>9.81894512195122</v>
      </c>
      <c r="I868">
        <f>VLOOKUP(A868,MIN!A:B,2,FALSE)</f>
        <v>25</v>
      </c>
      <c r="J868" t="str">
        <f t="shared" si="32"/>
        <v>NO</v>
      </c>
      <c r="K868">
        <f>VLOOKUP(A868,[1]Pricing!$A:$G,7,FALSE)</f>
        <v>91</v>
      </c>
      <c r="L868" t="s">
        <v>1960</v>
      </c>
      <c r="M868" t="str">
        <f t="shared" si="33"/>
        <v>630-213514-002</v>
      </c>
    </row>
    <row r="869" spans="1:13" x14ac:dyDescent="0.25">
      <c r="A869" t="s">
        <v>1099</v>
      </c>
      <c r="B869" s="14" t="str">
        <f>VLOOKUP(A869,[1]Pricing!$A:$R,18,FALSE)</f>
        <v>LTC4231IMS-2#PBF</v>
      </c>
      <c r="C869" t="s">
        <v>2734</v>
      </c>
      <c r="D869" t="str">
        <f>VLOOKUP(A869,[1]AVL!$A:$F,6,FALSE)</f>
        <v>IC,SMD,LOW V CONT,2.7-36V,4UA,MSOP-12</v>
      </c>
      <c r="E869" t="str">
        <f>VLOOKUP(A869,[1]Pricing!$A:$F,6,FALSE)</f>
        <v>13 Weeks</v>
      </c>
      <c r="F869">
        <f>VLOOKUP(B869,[2]Sheet2!$B:$E,4,FALSE)</f>
        <v>9</v>
      </c>
      <c r="G869" s="2">
        <f>VLOOKUP(A869,[1]Pricing!$A:$H,8,FALSE)</f>
        <v>6.45</v>
      </c>
      <c r="H869" s="2">
        <f>VLOOKUP(A869,[1]Pricing!$A:$J,10,FALSE)</f>
        <v>7.8658536585365857</v>
      </c>
      <c r="I869">
        <f>VLOOKUP(A869,MIN!A:B,2,FALSE)</f>
        <v>25</v>
      </c>
      <c r="J869" t="s">
        <v>2744</v>
      </c>
      <c r="K869">
        <f>VLOOKUP(A869,[1]Pricing!$A:$G,7,FALSE)</f>
        <v>222</v>
      </c>
      <c r="L869" t="s">
        <v>1960</v>
      </c>
      <c r="M869" t="str">
        <f t="shared" si="33"/>
        <v>630-A87473-001</v>
      </c>
    </row>
    <row r="870" spans="1:13" x14ac:dyDescent="0.25">
      <c r="A870" t="s">
        <v>1099</v>
      </c>
      <c r="B870" s="14" t="str">
        <f>VLOOKUP(A870,[1]Pricing!$A:$R,18,FALSE)</f>
        <v>LTC4231IMS-2#PBF</v>
      </c>
      <c r="C870" t="s">
        <v>2734</v>
      </c>
      <c r="D870" t="str">
        <f>VLOOKUP(A870,[1]AVL!$A:$F,6,FALSE)</f>
        <v>IC,SMD,LOW V CONT,2.7-36V,4UA,MSOP-12</v>
      </c>
      <c r="E870" t="str">
        <f>VLOOKUP(A870,[1]Pricing!$A:$F,6,FALSE)</f>
        <v>13 Weeks</v>
      </c>
      <c r="F870">
        <v>259</v>
      </c>
      <c r="G870" s="2">
        <f>VLOOKUP(A870,[1]Pricing!$A:$H,8,FALSE)</f>
        <v>6.45</v>
      </c>
      <c r="H870" s="2">
        <f>VLOOKUP(A870,[1]Pricing!$A:$J,10,FALSE)</f>
        <v>7.8658536585365857</v>
      </c>
      <c r="I870">
        <f>VLOOKUP(A870,MIN!A:B,2,FALSE)</f>
        <v>25</v>
      </c>
      <c r="J870" t="str">
        <f t="shared" ref="J870" si="34">IF(F870&lt;=I870,"REORDER","NO")</f>
        <v>NO</v>
      </c>
      <c r="K870">
        <f>VLOOKUP(A870,[1]Pricing!$A:$G,7,FALSE)</f>
        <v>222</v>
      </c>
      <c r="L870" t="s">
        <v>2689</v>
      </c>
      <c r="M870" t="str">
        <f t="shared" ref="M870" si="35">A870</f>
        <v>630-A87473-001</v>
      </c>
    </row>
    <row r="871" spans="1:13" x14ac:dyDescent="0.25">
      <c r="A871" t="s">
        <v>1110</v>
      </c>
      <c r="B871" s="14" t="str">
        <f>VLOOKUP(A871,[1]Pricing!$A:$R,18,FALSE)</f>
        <v>LTM8074EY#PBF</v>
      </c>
      <c r="C871" t="s">
        <v>2603</v>
      </c>
      <c r="D871" t="str">
        <f>VLOOKUP(A871,[1]AVL!$A:$F,6,FALSE)</f>
        <v>PS,DC-DC UMODULE,3.2-40VIN,1.2A,25-BGA</v>
      </c>
      <c r="E871" t="str">
        <f>VLOOKUP(A871,[1]Pricing!$A:$F,6,FALSE)</f>
        <v>3 Weeks</v>
      </c>
      <c r="F871">
        <v>0</v>
      </c>
      <c r="G871" s="2">
        <f>VLOOKUP(A871,[1]Pricing!$A:$H,8,FALSE)</f>
        <v>7.970199</v>
      </c>
      <c r="H871" s="2">
        <f>VLOOKUP(A871,[1]Pricing!$A:$J,10,FALSE)</f>
        <v>9.7197548780487804</v>
      </c>
      <c r="I871">
        <f>VLOOKUP(A871,MIN!A:B,2,FALSE)</f>
        <v>25</v>
      </c>
      <c r="J871" t="str">
        <f t="shared" si="32"/>
        <v>REORDER</v>
      </c>
      <c r="K871">
        <f>VLOOKUP(A871,[1]Pricing!$A:$G,7,FALSE)</f>
        <v>80</v>
      </c>
      <c r="M871" t="str">
        <f t="shared" si="33"/>
        <v>660-345770-001</v>
      </c>
    </row>
    <row r="872" spans="1:13" x14ac:dyDescent="0.25">
      <c r="A872" t="s">
        <v>1127</v>
      </c>
      <c r="B872" s="14" t="str">
        <f>VLOOKUP(A872,[1]Pricing!$A:$R,18,FALSE)</f>
        <v>MAX16029TG+</v>
      </c>
      <c r="C872" t="s">
        <v>2575</v>
      </c>
      <c r="D872" t="str">
        <f>VLOOKUP(A872,[1]AVL!$A:$F,6,FALSE)</f>
        <v>IC,SMD,QUAD-V MONITOR,2.2-28V,24-TQFN</v>
      </c>
      <c r="E872" t="str">
        <f>VLOOKUP(A872,[1]Pricing!$A:$F,6,FALSE)</f>
        <v>12 Weeks</v>
      </c>
      <c r="F872">
        <v>0</v>
      </c>
      <c r="G872" s="2">
        <f>VLOOKUP(A872,[1]Pricing!$A:$H,8,FALSE)</f>
        <v>7.3186859999999996</v>
      </c>
      <c r="H872" s="2">
        <f>VLOOKUP(A872,[1]Pricing!$A:$J,10,FALSE)</f>
        <v>8.9252268292682935</v>
      </c>
      <c r="I872">
        <f>VLOOKUP(A872,MIN!A:B,2,FALSE)</f>
        <v>25</v>
      </c>
      <c r="J872" t="str">
        <f t="shared" si="32"/>
        <v>REORDER</v>
      </c>
      <c r="K872">
        <f>VLOOKUP(A872,[1]Pricing!$A:$G,7,FALSE)</f>
        <v>75</v>
      </c>
      <c r="M872" t="str">
        <f t="shared" si="33"/>
        <v>630-345769-001</v>
      </c>
    </row>
    <row r="873" spans="1:13" x14ac:dyDescent="0.25">
      <c r="A873" t="s">
        <v>1134</v>
      </c>
      <c r="B873" s="14" t="str">
        <f>VLOOKUP(A873,[1]Pricing!$A:$R,18,FALSE)</f>
        <v>MAX5901NNETT+T</v>
      </c>
      <c r="C873" t="s">
        <v>2575</v>
      </c>
      <c r="D873" t="str">
        <f>VLOOKUP(A873,[1]AVL!$A:$F,6,FALSE)</f>
        <v>IC,SMD,HOT-SWAP CONTROLLER,6TDFN</v>
      </c>
      <c r="E873" t="str">
        <f>VLOOKUP(A873,[1]Pricing!$A:$F,6,FALSE)</f>
        <v>3 Weeks</v>
      </c>
      <c r="F873">
        <f>VLOOKUP(B873,[2]Sheet2!$B:$E,4,FALSE)</f>
        <v>77</v>
      </c>
      <c r="G873" s="2">
        <f>VLOOKUP(A873,[1]Pricing!$A:$H,8,FALSE)</f>
        <v>4.1717250000000003</v>
      </c>
      <c r="H873" s="2">
        <f>VLOOKUP(A873,[1]Pricing!$A:$J,10,FALSE)</f>
        <v>5.0874695121951223</v>
      </c>
      <c r="I873">
        <f>VLOOKUP(A873,MIN!A:B,2,FALSE)</f>
        <v>25</v>
      </c>
      <c r="J873" t="str">
        <f t="shared" si="32"/>
        <v>NO</v>
      </c>
      <c r="K873">
        <f>VLOOKUP(A873,[1]Pricing!$A:$G,7,FALSE)</f>
        <v>100</v>
      </c>
      <c r="L873" t="s">
        <v>2689</v>
      </c>
      <c r="M873" t="str">
        <f t="shared" si="33"/>
        <v>630-323466-001</v>
      </c>
    </row>
    <row r="874" spans="1:13" x14ac:dyDescent="0.25">
      <c r="A874" t="s">
        <v>1132</v>
      </c>
      <c r="B874" s="14" t="str">
        <f>VLOOKUP(A874,[1]Pricing!$A:$R,18,FALSE)</f>
        <v>MAX4995BAUT+T</v>
      </c>
      <c r="C874" t="s">
        <v>2575</v>
      </c>
      <c r="D874" t="str">
        <f>VLOOKUP(A874,[1]AVL!$A:$F,6,FALSE)</f>
        <v>IC,SMD,CURR LIMIT SWITCH,SOT23-6</v>
      </c>
      <c r="E874" t="str">
        <f>VLOOKUP(A874,[1]Pricing!$A:$F,6,FALSE)</f>
        <v>3 Weeks</v>
      </c>
      <c r="F874">
        <f>VLOOKUP(B874,[2]Sheet2!$B:$E,4,FALSE)</f>
        <v>100</v>
      </c>
      <c r="G874" s="2">
        <f>VLOOKUP(A874,[1]Pricing!$A:$H,8,FALSE)</f>
        <v>4.1299349999999997</v>
      </c>
      <c r="H874" s="2">
        <f>VLOOKUP(A874,[1]Pricing!$A:$J,10,FALSE)</f>
        <v>5.0365060975609754</v>
      </c>
      <c r="I874">
        <f>VLOOKUP(A874,MIN!A:B,2,FALSE)</f>
        <v>25</v>
      </c>
      <c r="J874" t="str">
        <f t="shared" si="32"/>
        <v>NO</v>
      </c>
      <c r="K874">
        <f>VLOOKUP(A874,[1]Pricing!$A:$G,7,FALSE)</f>
        <v>100</v>
      </c>
      <c r="L874" t="s">
        <v>1960</v>
      </c>
      <c r="M874" t="str">
        <f t="shared" si="33"/>
        <v>630-255637-001</v>
      </c>
    </row>
    <row r="875" spans="1:13" x14ac:dyDescent="0.25">
      <c r="A875" t="s">
        <v>1139</v>
      </c>
      <c r="B875" s="14" t="str">
        <f>VLOOKUP(A875,[1]Pricing!$A:$R,18,FALSE)</f>
        <v>MAX5903NNEUT+</v>
      </c>
      <c r="C875" t="s">
        <v>2575</v>
      </c>
      <c r="D875" t="str">
        <f>VLOOKUP(A875,[1]AVL!$A:$F,6,FALSE)</f>
        <v>IC,SMD,HOT SWAP CNTLR,POS 72V,ROHS</v>
      </c>
      <c r="E875" t="str">
        <f>VLOOKUP(A875,[1]Pricing!$A:$F,6,FALSE)</f>
        <v>3 Weeks</v>
      </c>
      <c r="F875">
        <f>VLOOKUP(B875,[2]Sheet2!$B:$E,4,FALSE)</f>
        <v>70</v>
      </c>
      <c r="G875" s="2">
        <f>VLOOKUP(A875,[1]Pricing!$A:$H,8,FALSE)</f>
        <v>4.5872919999999997</v>
      </c>
      <c r="H875" s="2">
        <f>VLOOKUP(A875,[1]Pricing!$A:$J,10,FALSE)</f>
        <v>5.5942585365853654</v>
      </c>
      <c r="I875">
        <f>VLOOKUP(A875,MIN!A:B,2,FALSE)</f>
        <v>25</v>
      </c>
      <c r="J875" t="str">
        <f t="shared" si="32"/>
        <v>NO</v>
      </c>
      <c r="K875">
        <f>VLOOKUP(A875,[1]Pricing!$A:$G,7,FALSE)</f>
        <v>100</v>
      </c>
      <c r="L875" t="s">
        <v>2689</v>
      </c>
      <c r="M875" t="str">
        <f t="shared" si="33"/>
        <v>630-042919-001</v>
      </c>
    </row>
    <row r="876" spans="1:13" x14ac:dyDescent="0.25">
      <c r="A876" t="s">
        <v>1141</v>
      </c>
      <c r="B876" s="14" t="str">
        <f>VLOOKUP(A876,[1]Pricing!$A:$R,18,FALSE)</f>
        <v>MAX5976AETE+</v>
      </c>
      <c r="C876" t="s">
        <v>2735</v>
      </c>
      <c r="D876" t="str">
        <f>VLOOKUP(A876,[1]AVL!$A:$F,6,FALSE)</f>
        <v>IC,SMD,HOT SWAP,+18V,7A,ROHS</v>
      </c>
      <c r="E876" t="str">
        <f>VLOOKUP(A876,[1]Pricing!$A:$F,6,FALSE)</f>
        <v>27 Weeks</v>
      </c>
      <c r="F876">
        <f>VLOOKUP(B876,[2]Sheet2!$B:$E,4,FALSE)</f>
        <v>160</v>
      </c>
      <c r="G876" s="2">
        <f>VLOOKUP(A876,[1]Pricing!$A:$H,8,FALSE)</f>
        <v>4.4853300000000003</v>
      </c>
      <c r="H876" s="2">
        <f>VLOOKUP(A876,[1]Pricing!$A:$J,10,FALSE)</f>
        <v>5.4699146341463418</v>
      </c>
      <c r="I876">
        <f>VLOOKUP(A876,MIN!A:B,2,FALSE)</f>
        <v>15</v>
      </c>
      <c r="J876" t="str">
        <f t="shared" si="32"/>
        <v>NO</v>
      </c>
      <c r="K876">
        <f>VLOOKUP(A876,[1]Pricing!$A:$G,7,FALSE)</f>
        <v>200</v>
      </c>
      <c r="L876" t="s">
        <v>2689</v>
      </c>
      <c r="M876" t="str">
        <f t="shared" si="33"/>
        <v>630-140331-001</v>
      </c>
    </row>
    <row r="877" spans="1:13" x14ac:dyDescent="0.25">
      <c r="A877" t="s">
        <v>1143</v>
      </c>
      <c r="B877" s="14" t="str">
        <f>VLOOKUP(A877,[1]Pricing!$A:$R,18,FALSE)</f>
        <v>MAX6612MXK+T</v>
      </c>
      <c r="C877" t="s">
        <v>2575</v>
      </c>
      <c r="D877" t="str">
        <f>VLOOKUP(A877,[1]AVL!$A:$F,6,FALSE)</f>
        <v>IC,SMD,TEMP SNSR,-55 TO 150 DEG C,SC70-5</v>
      </c>
      <c r="E877" t="str">
        <f>VLOOKUP(A877,[1]Pricing!$A:$F,6,FALSE)</f>
        <v>28 Weeks</v>
      </c>
      <c r="F877">
        <f>VLOOKUP(B877,[2]Sheet2!$B:$E,4,FALSE)</f>
        <v>200</v>
      </c>
      <c r="G877" s="2">
        <f>VLOOKUP(A877,[1]Pricing!$A:$H,8,FALSE)</f>
        <v>1.074641</v>
      </c>
      <c r="H877" s="2">
        <f>VLOOKUP(A877,[1]Pricing!$A:$J,10,FALSE)</f>
        <v>1.3105378048780487</v>
      </c>
      <c r="I877">
        <f>VLOOKUP(A877,MIN!A:B,2,FALSE)</f>
        <v>15</v>
      </c>
      <c r="J877" t="str">
        <f t="shared" si="32"/>
        <v>NO</v>
      </c>
      <c r="K877">
        <f>VLOOKUP(A877,[1]Pricing!$A:$G,7,FALSE)</f>
        <v>200</v>
      </c>
      <c r="L877" t="s">
        <v>1960</v>
      </c>
      <c r="M877" t="str">
        <f t="shared" si="33"/>
        <v>630-A94155-001</v>
      </c>
    </row>
    <row r="878" spans="1:13" x14ac:dyDescent="0.25">
      <c r="A878" t="s">
        <v>1145</v>
      </c>
      <c r="B878" s="14" t="str">
        <f>VLOOKUP(A878,[1]Pricing!$A:$R,18,FALSE)</f>
        <v>MAX6665ASA40+</v>
      </c>
      <c r="C878" t="s">
        <v>2575</v>
      </c>
      <c r="D878" t="str">
        <f>VLOOKUP(A878,[1]AVL!$A:$F,6,FALSE)</f>
        <v>IC,SMD,FAN CNTLR/DRVR</v>
      </c>
      <c r="E878" t="str">
        <f>VLOOKUP(A878,[1]Pricing!$A:$F,6,FALSE)</f>
        <v>3 Weeks</v>
      </c>
      <c r="F878">
        <f>VLOOKUP(B878,[2]Sheet2!$B:$E,4,FALSE)</f>
        <v>60</v>
      </c>
      <c r="G878" s="2">
        <f>VLOOKUP(A878,[1]Pricing!$A:$H,8,FALSE)</f>
        <v>3.4926750000000002</v>
      </c>
      <c r="H878" s="2">
        <f>VLOOKUP(A878,[1]Pricing!$A:$J,10,FALSE)</f>
        <v>4.2593597560975613</v>
      </c>
      <c r="I878">
        <f>VLOOKUP(A878,MIN!A:B,2,FALSE)</f>
        <v>15</v>
      </c>
      <c r="J878" t="str">
        <f t="shared" si="32"/>
        <v>NO</v>
      </c>
      <c r="K878">
        <f>VLOOKUP(A878,[1]Pricing!$A:$G,7,FALSE)</f>
        <v>60</v>
      </c>
      <c r="L878" t="s">
        <v>1960</v>
      </c>
      <c r="M878" t="str">
        <f t="shared" si="33"/>
        <v>630-043000-001</v>
      </c>
    </row>
    <row r="879" spans="1:13" x14ac:dyDescent="0.25">
      <c r="A879" t="s">
        <v>1147</v>
      </c>
      <c r="B879" s="14" t="str">
        <f>VLOOKUP(A879,[1]Pricing!$A:$R,18,FALSE)</f>
        <v>MAX6818EAP+T</v>
      </c>
      <c r="C879" t="s">
        <v>2575</v>
      </c>
      <c r="D879" t="str">
        <f>VLOOKUP(A879,[1]AVL!$A:$F,6,FALSE)</f>
        <v>IC,SMD,SW DEBOUNCER,CMOS,2.7-5.5V,SSOP20</v>
      </c>
      <c r="E879" t="str">
        <f>VLOOKUP(A879,[1]Pricing!$A:$F,6,FALSE)</f>
        <v>3 Weeks</v>
      </c>
      <c r="F879">
        <f>VLOOKUP(B879,[2]Sheet2!$B:$E,4,FALSE)</f>
        <v>106</v>
      </c>
      <c r="G879" s="2">
        <f>VLOOKUP(A879,[1]Pricing!$A:$H,8,FALSE)</f>
        <v>7.2211360000000004</v>
      </c>
      <c r="H879" s="2">
        <f>VLOOKUP(A879,[1]Pricing!$A:$J,10,FALSE)</f>
        <v>8.806263414634147</v>
      </c>
      <c r="I879">
        <f>VLOOKUP(A879,MIN!A:B,2,FALSE)</f>
        <v>15</v>
      </c>
      <c r="J879" t="str">
        <f t="shared" si="32"/>
        <v>NO</v>
      </c>
      <c r="K879">
        <f>VLOOKUP(A879,[1]Pricing!$A:$G,7,FALSE)</f>
        <v>60</v>
      </c>
      <c r="L879" t="s">
        <v>1960</v>
      </c>
      <c r="M879" t="str">
        <f t="shared" si="33"/>
        <v>630-B27066-001</v>
      </c>
    </row>
    <row r="880" spans="1:13" x14ac:dyDescent="0.25">
      <c r="A880" t="s">
        <v>1147</v>
      </c>
      <c r="B880" s="14" t="str">
        <f>VLOOKUP(A880,[1]Pricing!$A:$R,18,FALSE)</f>
        <v>MAX6818EAP+T</v>
      </c>
      <c r="C880" t="s">
        <v>2575</v>
      </c>
      <c r="D880" t="str">
        <f>VLOOKUP(A880,[1]AVL!$A:$F,6,FALSE)</f>
        <v>IC,SMD,SW DEBOUNCER,CMOS,2.7-5.5V,SSOP20</v>
      </c>
      <c r="E880" t="str">
        <f>VLOOKUP(A880,[1]Pricing!$A:$F,6,FALSE)</f>
        <v>3 Weeks</v>
      </c>
      <c r="F880">
        <v>7</v>
      </c>
      <c r="G880" s="2">
        <f>VLOOKUP(A880,[1]Pricing!$A:$H,8,FALSE)</f>
        <v>7.2211360000000004</v>
      </c>
      <c r="H880" s="2">
        <f>VLOOKUP(A880,[1]Pricing!$A:$J,10,FALSE)</f>
        <v>8.806263414634147</v>
      </c>
      <c r="I880">
        <f>VLOOKUP(A880,MIN!A:B,2,FALSE)</f>
        <v>15</v>
      </c>
      <c r="J880" t="s">
        <v>2744</v>
      </c>
      <c r="K880">
        <f>VLOOKUP(A880,[1]Pricing!$A:$G,7,FALSE)</f>
        <v>60</v>
      </c>
      <c r="L880" t="s">
        <v>1960</v>
      </c>
      <c r="M880" t="str">
        <f t="shared" ref="M880" si="36">A880</f>
        <v>630-B27066-001</v>
      </c>
    </row>
    <row r="881" spans="1:13" x14ac:dyDescent="0.25">
      <c r="A881" t="s">
        <v>1137</v>
      </c>
      <c r="B881" s="14" t="str">
        <f>VLOOKUP(A881,[1]Pricing!$A:$R,18,FALSE)</f>
        <v>MAX5903ACEUT+</v>
      </c>
      <c r="C881" t="s">
        <v>2575</v>
      </c>
      <c r="D881" t="str">
        <f>VLOOKUP(A881,[1]AVL!$A:$F,6,FALSE)</f>
        <v>IC,SMD,HOT SWAP CNTLR,POS 72V,ROHS</v>
      </c>
      <c r="E881" t="str">
        <f>VLOOKUP(A881,[1]Pricing!$A:$F,6,FALSE)</f>
        <v>3 Weeks</v>
      </c>
      <c r="F881">
        <f>VLOOKUP(B881,[2]Sheet2!$B:$E,4,FALSE)</f>
        <v>60</v>
      </c>
      <c r="G881" s="2">
        <f>VLOOKUP(A881,[1]Pricing!$A:$H,8,FALSE)</f>
        <v>5.1961199999999996</v>
      </c>
      <c r="H881" s="2">
        <f>VLOOKUP(A881,[1]Pricing!$A:$J,10,FALSE)</f>
        <v>6.3367317073170728</v>
      </c>
      <c r="I881">
        <f>VLOOKUP(A881,MIN!A:B,2,FALSE)</f>
        <v>15</v>
      </c>
      <c r="J881" t="str">
        <f t="shared" si="32"/>
        <v>NO</v>
      </c>
      <c r="K881">
        <f>VLOOKUP(A881,[1]Pricing!$A:$G,7,FALSE)</f>
        <v>60</v>
      </c>
      <c r="L881" t="s">
        <v>1960</v>
      </c>
      <c r="M881" t="str">
        <f t="shared" si="33"/>
        <v>630-042919-004</v>
      </c>
    </row>
    <row r="882" spans="1:13" x14ac:dyDescent="0.25">
      <c r="A882" t="s">
        <v>1149</v>
      </c>
      <c r="B882" s="14" t="str">
        <f>VLOOKUP(A882,[1]Pricing!$A:$R,18,FALSE)</f>
        <v>MAX7317ATE+T</v>
      </c>
      <c r="C882" t="s">
        <v>2575</v>
      </c>
      <c r="D882" t="str">
        <f>VLOOKUP(A882,[1]AVL!$A:$F,6,FALSE)</f>
        <v>IC,SMD,I/O EXPANDER,10PORT,16PIN,TQFN-EP</v>
      </c>
      <c r="E882" t="str">
        <f>VLOOKUP(A882,[1]Pricing!$A:$F,6,FALSE)</f>
        <v>3 Weeks</v>
      </c>
      <c r="F882">
        <f>VLOOKUP(B882,[2]Sheet2!$B:$E,4,FALSE)</f>
        <v>56</v>
      </c>
      <c r="G882" s="2">
        <f>VLOOKUP(A882,[1]Pricing!$A:$H,8,FALSE)</f>
        <v>2.7261860000000002</v>
      </c>
      <c r="H882" s="2">
        <f>VLOOKUP(A882,[1]Pricing!$A:$J,10,FALSE)</f>
        <v>3.3246170731707321</v>
      </c>
      <c r="I882">
        <f>VLOOKUP(A882,MIN!A:B,2,FALSE)</f>
        <v>15</v>
      </c>
      <c r="J882" t="str">
        <f t="shared" si="32"/>
        <v>NO</v>
      </c>
      <c r="K882">
        <f>VLOOKUP(A882,[1]Pricing!$A:$G,7,FALSE)</f>
        <v>60</v>
      </c>
      <c r="L882" t="s">
        <v>1960</v>
      </c>
      <c r="M882" t="str">
        <f t="shared" si="33"/>
        <v>630-A95543-001</v>
      </c>
    </row>
    <row r="883" spans="1:13" x14ac:dyDescent="0.25">
      <c r="A883" t="s">
        <v>1864</v>
      </c>
      <c r="B883" s="14" t="str">
        <f>VLOOKUP(A883,[1]Pricing!$A:$R,18,FALSE)</f>
        <v>Y14870R00500B9R</v>
      </c>
      <c r="C883" t="s">
        <v>2736</v>
      </c>
      <c r="D883" t="str">
        <f>VLOOKUP(A883,[1]AVL!$A:$F,6,FALSE)</f>
        <v>RES,SMD,CUR SNS,0.005 OHM,0.1%,1W,2512</v>
      </c>
      <c r="E883" t="str">
        <f>VLOOKUP(A883,[1]Pricing!$A:$F,6,FALSE)</f>
        <v>78 Weeks</v>
      </c>
      <c r="F883">
        <f>VLOOKUP(B883,[2]Sheet2!$B:$E,4,FALSE)</f>
        <v>14</v>
      </c>
      <c r="G883" s="2">
        <f>VLOOKUP(A883,[1]Pricing!$A:$H,8,FALSE)</f>
        <v>15.58836</v>
      </c>
      <c r="H883" s="2">
        <f>VLOOKUP(A883,[1]Pricing!$A:$J,10,FALSE)</f>
        <v>19.01019512195122</v>
      </c>
      <c r="I883">
        <f>VLOOKUP(A883,MIN!A:B,2,FALSE)</f>
        <v>15</v>
      </c>
      <c r="J883" t="str">
        <f t="shared" si="32"/>
        <v>REORDER</v>
      </c>
      <c r="K883">
        <f>VLOOKUP(A883,[1]Pricing!$A:$G,7,FALSE)</f>
        <v>50</v>
      </c>
      <c r="L883" t="s">
        <v>2689</v>
      </c>
      <c r="M883" t="str">
        <f t="shared" si="33"/>
        <v>615-217661-003</v>
      </c>
    </row>
    <row r="884" spans="1:13" x14ac:dyDescent="0.25">
      <c r="A884" t="s">
        <v>1091</v>
      </c>
      <c r="B884" s="14" t="str">
        <f>VLOOKUP(A884,[1]Pricing!$A:$R,18,FALSE)</f>
        <v>LTC1859CG#PBF</v>
      </c>
      <c r="C884" t="s">
        <v>2734</v>
      </c>
      <c r="D884" t="str">
        <f>VLOOKUP(A884,[1]AVL!$A:$F,6,FALSE)</f>
        <v>IC,SMD,ADC,8CH,16BIT,100KSPS,28-SSOP</v>
      </c>
      <c r="E884" t="str">
        <f>VLOOKUP(A884,[1]Pricing!$A:$F,6,FALSE)</f>
        <v>43 Weeks</v>
      </c>
      <c r="F884">
        <f>VLOOKUP(B884,[2]Sheet2!$B:$E,4,FALSE)</f>
        <v>63</v>
      </c>
      <c r="G884" s="2">
        <f>VLOOKUP(A884,[1]Pricing!$A:$H,8,FALSE)</f>
        <v>35.870384999999999</v>
      </c>
      <c r="H884" s="2">
        <f>VLOOKUP(A884,[1]Pricing!$A:$J,10,FALSE)</f>
        <v>43.744371951219513</v>
      </c>
      <c r="I884">
        <f>VLOOKUP(A884,MIN!A:B,2,FALSE)</f>
        <v>25</v>
      </c>
      <c r="J884" t="str">
        <f t="shared" si="32"/>
        <v>NO</v>
      </c>
      <c r="K884">
        <f>VLOOKUP(A884,[1]Pricing!$A:$G,7,FALSE)</f>
        <v>94</v>
      </c>
      <c r="L884" t="s">
        <v>2689</v>
      </c>
      <c r="M884" t="str">
        <f t="shared" si="33"/>
        <v>630-271124-001</v>
      </c>
    </row>
    <row r="885" spans="1:13" x14ac:dyDescent="0.25">
      <c r="A885" t="s">
        <v>1093</v>
      </c>
      <c r="B885" s="14" t="str">
        <f>VLOOKUP(A885,[1]Pricing!$A:$R,18,FALSE)</f>
        <v>LTC2666CUH-16#PBF</v>
      </c>
      <c r="C885" t="s">
        <v>2603</v>
      </c>
      <c r="D885" t="str">
        <f>VLOOKUP(A885,[1]AVL!$A:$F,6,FALSE)</f>
        <v>IC,SMD,DAC,16-BIT,8CHAN,QFN32,0-70DEG C</v>
      </c>
      <c r="E885" t="str">
        <f>VLOOKUP(A885,[1]Pricing!$A:$F,6,FALSE)</f>
        <v>16 Weeks</v>
      </c>
      <c r="F885">
        <f>VLOOKUP(B885,[2]Sheet2!$B:$E,4,FALSE)</f>
        <v>60</v>
      </c>
      <c r="G885" s="2">
        <f>VLOOKUP(A885,[1]Pricing!$A:$H,8,FALSE)</f>
        <v>40.674345000000002</v>
      </c>
      <c r="H885" s="2">
        <f>VLOOKUP(A885,[1]Pricing!$A:$J,10,FALSE)</f>
        <v>49.602859756097565</v>
      </c>
      <c r="I885">
        <f>VLOOKUP(A885,MIN!A:B,2,FALSE)</f>
        <v>15</v>
      </c>
      <c r="J885" t="str">
        <f t="shared" si="32"/>
        <v>NO</v>
      </c>
      <c r="K885">
        <f>VLOOKUP(A885,[1]Pricing!$A:$G,7,FALSE)</f>
        <v>60</v>
      </c>
      <c r="L885" t="s">
        <v>1960</v>
      </c>
      <c r="M885" t="str">
        <f t="shared" si="33"/>
        <v>630-248785-001</v>
      </c>
    </row>
    <row r="886" spans="1:13" x14ac:dyDescent="0.25">
      <c r="A886" t="s">
        <v>479</v>
      </c>
      <c r="B886" s="14" t="str">
        <f>VLOOKUP(A886,[1]Pricing!$A:$R,18,FALSE)</f>
        <v>AD5689RARUZ</v>
      </c>
      <c r="C886" t="s">
        <v>2603</v>
      </c>
      <c r="D886" t="str">
        <f>VLOOKUP(A886,[1]AVL!$A:$F,6,FALSE)</f>
        <v>IC,SMD,DAC,16BIT,SRL</v>
      </c>
      <c r="E886" t="str">
        <f>VLOOKUP(A886,[1]Pricing!$A:$F,6,FALSE)</f>
        <v>3 Weeks</v>
      </c>
      <c r="F886">
        <f>VLOOKUP(B886,[2]Sheet2!$B:$E,4,FALSE)</f>
        <v>96</v>
      </c>
      <c r="G886" s="2">
        <f>VLOOKUP(A886,[1]Pricing!$A:$H,8,FALSE)</f>
        <v>6.0294600000000003</v>
      </c>
      <c r="H886" s="2">
        <f>VLOOKUP(A886,[1]Pricing!$A:$J,10,FALSE)</f>
        <v>7.3530000000000006</v>
      </c>
      <c r="I886">
        <f>VLOOKUP(A886,MIN!A:B,2,FALSE)</f>
        <v>25</v>
      </c>
      <c r="J886" t="str">
        <f t="shared" si="32"/>
        <v>NO</v>
      </c>
      <c r="K886">
        <f>VLOOKUP(A886,[1]Pricing!$A:$G,7,FALSE)</f>
        <v>96</v>
      </c>
      <c r="L886" t="s">
        <v>1960</v>
      </c>
      <c r="M886" t="str">
        <f t="shared" si="33"/>
        <v>630-315158-001</v>
      </c>
    </row>
    <row r="887" spans="1:13" x14ac:dyDescent="0.25">
      <c r="A887" t="s">
        <v>482</v>
      </c>
      <c r="B887" s="14" t="str">
        <f>VLOOKUP(A887,[1]Pricing!$A:$R,18,FALSE)</f>
        <v>AD587JRZ</v>
      </c>
      <c r="C887" t="s">
        <v>2603</v>
      </c>
      <c r="D887" t="str">
        <f>VLOOKUP(A887,[1]AVL!$A:$F,6,FALSE)</f>
        <v>IC,AD587 VREF 10V SO8,ROHS</v>
      </c>
      <c r="E887" t="str">
        <f>VLOOKUP(A887,[1]Pricing!$A:$F,6,FALSE)</f>
        <v>3 Weeks</v>
      </c>
      <c r="F887">
        <f>VLOOKUP(B887,[2]Sheet2!$B:$E,4,FALSE)</f>
        <v>60</v>
      </c>
      <c r="G887" s="2">
        <f>VLOOKUP(A887,[1]Pricing!$A:$H,8,FALSE)</f>
        <v>10.330965000000001</v>
      </c>
      <c r="H887" s="2">
        <f>VLOOKUP(A887,[1]Pricing!$A:$J,10,FALSE)</f>
        <v>12.59873780487805</v>
      </c>
      <c r="I887">
        <f>VLOOKUP(A887,MIN!A:B,2,FALSE)</f>
        <v>15</v>
      </c>
      <c r="J887" t="str">
        <f t="shared" si="32"/>
        <v>NO</v>
      </c>
      <c r="K887">
        <f>VLOOKUP(A887,[1]Pricing!$A:$G,7,FALSE)</f>
        <v>60</v>
      </c>
      <c r="L887" t="s">
        <v>1960</v>
      </c>
      <c r="M887" t="str">
        <f t="shared" si="33"/>
        <v>630-098364-001</v>
      </c>
    </row>
    <row r="888" spans="1:13" x14ac:dyDescent="0.25">
      <c r="A888" t="s">
        <v>82</v>
      </c>
      <c r="B888" s="14" t="str">
        <f>VLOOKUP(A888,[1]Pricing!$A:$R,18,FALSE)</f>
        <v>164A17369X</v>
      </c>
      <c r="C888" t="s">
        <v>2592</v>
      </c>
      <c r="D888" t="str">
        <f>VLOOKUP(A888,[1]AVL!$A:$F,6,FALSE)</f>
        <v>CONN,RCPT,D-SUB,H DENSITY,26POSN,3A,60V</v>
      </c>
      <c r="E888" t="str">
        <f>VLOOKUP(A888,[1]Pricing!$A:$F,6,FALSE)</f>
        <v>29 Weeks</v>
      </c>
      <c r="F888">
        <f>VLOOKUP(B888,[2]Sheet2!$B:$E,4,FALSE)</f>
        <v>37</v>
      </c>
      <c r="G888" s="2">
        <f>VLOOKUP(A888,[1]Pricing!$A:$H,8,FALSE)</f>
        <v>13.200106</v>
      </c>
      <c r="H888" s="2">
        <f>VLOOKUP(A888,[1]Pricing!$A:$J,10,FALSE)</f>
        <v>16.097690243902441</v>
      </c>
      <c r="I888">
        <f>VLOOKUP(A888,MIN!A:B,2,FALSE)</f>
        <v>25</v>
      </c>
      <c r="J888" t="str">
        <f t="shared" si="32"/>
        <v>NO</v>
      </c>
      <c r="K888">
        <f>VLOOKUP(A888,[1]Pricing!$A:$G,7,FALSE)</f>
        <v>50</v>
      </c>
      <c r="L888" t="s">
        <v>2689</v>
      </c>
      <c r="M888" t="str">
        <f t="shared" si="33"/>
        <v>668-A51501-026</v>
      </c>
    </row>
    <row r="889" spans="1:13" x14ac:dyDescent="0.25">
      <c r="A889" t="s">
        <v>452</v>
      </c>
      <c r="B889" s="14">
        <f>VLOOKUP(A889,[1]Pricing!$A:$R,18,FALSE)</f>
        <v>9551156612741</v>
      </c>
      <c r="C889" t="s">
        <v>2570</v>
      </c>
      <c r="D889" t="str">
        <f>VLOOKUP(A889,[1]AVL!$A:$F,6,FALSE)</f>
        <v>CONN,RCPT,D-SUB,SIZE 1,9POSN,5A,STR,SMD</v>
      </c>
      <c r="E889" t="str">
        <f>VLOOKUP(A889,[1]Pricing!$A:$F,6,FALSE)</f>
        <v>3 Weeks</v>
      </c>
      <c r="F889" s="18">
        <v>139</v>
      </c>
      <c r="G889" s="2">
        <f>VLOOKUP(A889,[1]Pricing!$A:$H,8,FALSE)</f>
        <v>4.2390049999999997</v>
      </c>
      <c r="H889" s="2">
        <f>VLOOKUP(A889,[1]Pricing!$A:$J,10,FALSE)</f>
        <v>5.1695182926829268</v>
      </c>
      <c r="I889">
        <f>VLOOKUP(A889,MIN!A:B,2,FALSE)</f>
        <v>15</v>
      </c>
      <c r="J889" t="str">
        <f t="shared" si="32"/>
        <v>NO</v>
      </c>
      <c r="K889">
        <f>VLOOKUP(A889,[1]Pricing!$A:$G,7,FALSE)</f>
        <v>140</v>
      </c>
      <c r="L889" t="s">
        <v>1960</v>
      </c>
      <c r="M889" t="str">
        <f t="shared" si="33"/>
        <v>668-A09548-009</v>
      </c>
    </row>
    <row r="890" spans="1:13" x14ac:dyDescent="0.25">
      <c r="A890" t="s">
        <v>455</v>
      </c>
      <c r="B890" s="14">
        <f>VLOOKUP(A890,[1]Pricing!$A:$R,18,FALSE)</f>
        <v>9553156612741</v>
      </c>
      <c r="C890" t="s">
        <v>2570</v>
      </c>
      <c r="D890" t="str">
        <f>VLOOKUP(A890,[1]AVL!$A:$F,6,FALSE)</f>
        <v>CONN,RCPT,D-SUB,SIZE 3,25POSN,5A,STR,SMD</v>
      </c>
      <c r="E890" t="str">
        <f>VLOOKUP(A890,[1]Pricing!$A:$F,6,FALSE)</f>
        <v>3 Weeks</v>
      </c>
      <c r="F890" s="18">
        <v>139</v>
      </c>
      <c r="G890" s="2">
        <f>VLOOKUP(A890,[1]Pricing!$A:$H,8,FALSE)</f>
        <v>6.3644999999999996</v>
      </c>
      <c r="H890" s="2">
        <f>VLOOKUP(A890,[1]Pricing!$A:$J,10,FALSE)</f>
        <v>7.7615853658536587</v>
      </c>
      <c r="I890">
        <f>VLOOKUP(A890,MIN!A:B,2,FALSE)</f>
        <v>15</v>
      </c>
      <c r="J890" t="str">
        <f t="shared" si="32"/>
        <v>NO</v>
      </c>
      <c r="K890">
        <f>VLOOKUP(A890,[1]Pricing!$A:$G,7,FALSE)</f>
        <v>140</v>
      </c>
      <c r="L890" t="s">
        <v>1960</v>
      </c>
      <c r="M890" t="str">
        <f t="shared" si="33"/>
        <v>668-A09548-025</v>
      </c>
    </row>
    <row r="891" spans="1:13" x14ac:dyDescent="0.25">
      <c r="A891" t="s">
        <v>439</v>
      </c>
      <c r="B891" s="14">
        <f>VLOOKUP(A891,[1]Pricing!$A:$R,18,FALSE)</f>
        <v>865060653010</v>
      </c>
      <c r="C891" t="s">
        <v>2701</v>
      </c>
      <c r="D891" t="str">
        <f>VLOOKUP(A891,[1]AVL!$A:$F,6,FALSE)</f>
        <v>CAP,SMD,ELCTLT,AL,100UF,20%,50VDC</v>
      </c>
      <c r="E891" t="str">
        <f>VLOOKUP(A891,[1]Pricing!$A:$F,6,FALSE)</f>
        <v>3 Weeks</v>
      </c>
      <c r="F891" s="18">
        <v>500</v>
      </c>
      <c r="G891" s="2">
        <f>VLOOKUP(A891,[1]Pricing!$A:$H,8,FALSE)</f>
        <v>0.39300000000000002</v>
      </c>
      <c r="H891" s="2">
        <f>VLOOKUP(A891,[1]Pricing!$A:$J,10,FALSE)</f>
        <v>0.47926829268292687</v>
      </c>
      <c r="I891">
        <f>VLOOKUP(A891,MIN!A:B,2,FALSE)</f>
        <v>25</v>
      </c>
      <c r="J891" t="str">
        <f t="shared" si="32"/>
        <v>NO</v>
      </c>
      <c r="K891">
        <f>VLOOKUP(A891,[1]Pricing!$A:$G,7,FALSE)</f>
        <v>500</v>
      </c>
      <c r="L891" t="s">
        <v>1960</v>
      </c>
      <c r="M891" t="str">
        <f t="shared" si="33"/>
        <v>648-B09166-001</v>
      </c>
    </row>
    <row r="892" spans="1:13" x14ac:dyDescent="0.25">
      <c r="A892" t="s">
        <v>899</v>
      </c>
      <c r="B892" s="14" t="str">
        <f>VLOOKUP(A892,[1]Pricing!$A:$R,18,FALSE)</f>
        <v>FT2232HL-REEL</v>
      </c>
      <c r="C892" t="s">
        <v>2737</v>
      </c>
      <c r="D892" t="str">
        <f>VLOOKUP(A892,[1]AVL!$A:$F,6,FALSE)</f>
        <v>IC,SMD,USB,HS,DUAL UART/FIFO,64-LQFP</v>
      </c>
      <c r="E892" t="str">
        <f>VLOOKUP(A892,[1]Pricing!$A:$F,6,FALSE)</f>
        <v>3 Weeks</v>
      </c>
      <c r="F892">
        <f>VLOOKUP(B892,[2]Sheet2!$B:$E,4,FALSE)</f>
        <v>1000</v>
      </c>
      <c r="G892" s="2">
        <f>VLOOKUP(A892,[1]Pricing!$A:$H,8,FALSE)</f>
        <v>4.4375</v>
      </c>
      <c r="H892" s="2">
        <f>VLOOKUP(A892,[1]Pricing!$A:$J,10,FALSE)</f>
        <v>5.411585365853659</v>
      </c>
      <c r="I892">
        <f>VLOOKUP(A892,MIN!A:B,2,FALSE)</f>
        <v>15</v>
      </c>
      <c r="J892" t="str">
        <f t="shared" si="32"/>
        <v>NO</v>
      </c>
      <c r="K892">
        <f>VLOOKUP(A892,[1]Pricing!$A:$G,7,FALSE)</f>
        <v>1000</v>
      </c>
      <c r="L892" t="s">
        <v>1960</v>
      </c>
      <c r="M892" t="str">
        <f t="shared" si="33"/>
        <v>630-121758-001</v>
      </c>
    </row>
    <row r="893" spans="1:13" x14ac:dyDescent="0.25">
      <c r="A893" t="s">
        <v>165</v>
      </c>
      <c r="B893" s="14" t="str">
        <f>VLOOKUP(A893,[1]Pricing!$A:$R,18,FALSE)</f>
        <v>251R15S101JV4E</v>
      </c>
      <c r="C893" t="s">
        <v>2723</v>
      </c>
      <c r="D893" t="str">
        <f>VLOOKUP(A893,[1]AVL!$A:$F,6,FALSE)</f>
        <v>CAP,SMD,0805,NPO,5%,250V,100PF ROHS</v>
      </c>
      <c r="E893" t="str">
        <f>VLOOKUP(A893,[1]Pricing!$A:$F,6,FALSE)</f>
        <v>13 Weeks</v>
      </c>
      <c r="F893">
        <f>VLOOKUP(B893,[2]Sheet2!$B:$E,4,FALSE)</f>
        <v>4000</v>
      </c>
      <c r="G893" s="2">
        <f>VLOOKUP(A893,[1]Pricing!$A:$H,8,FALSE)</f>
        <v>0.105393</v>
      </c>
      <c r="H893" s="2">
        <f>VLOOKUP(A893,[1]Pricing!$A:$J,10,FALSE)</f>
        <v>0.12852804878048782</v>
      </c>
      <c r="I893">
        <f>VLOOKUP(A893,MIN!A:B,2,FALSE)</f>
        <v>15</v>
      </c>
      <c r="J893" t="str">
        <f t="shared" si="32"/>
        <v>NO</v>
      </c>
      <c r="K893">
        <f>VLOOKUP(A893,[1]Pricing!$A:$G,7,FALSE)</f>
        <v>4000</v>
      </c>
      <c r="L893" t="s">
        <v>1960</v>
      </c>
      <c r="M893" t="str">
        <f t="shared" si="33"/>
        <v>648-082038-101</v>
      </c>
    </row>
    <row r="894" spans="1:13" x14ac:dyDescent="0.25">
      <c r="A894" t="s">
        <v>167</v>
      </c>
      <c r="B894" s="14" t="str">
        <f>VLOOKUP(A894,[1]Pricing!$A:$R,18,FALSE)</f>
        <v>251R15S300JV4E</v>
      </c>
      <c r="C894" t="s">
        <v>2723</v>
      </c>
      <c r="D894" t="str">
        <f>VLOOKUP(A894,[1]AVL!$A:$F,6,FALSE)</f>
        <v>CAP,SMD,0805,NPO,5%,250V,30PF,ROHS</v>
      </c>
      <c r="E894" t="str">
        <f>VLOOKUP(A894,[1]Pricing!$A:$F,6,FALSE)</f>
        <v>18 Weeks</v>
      </c>
      <c r="F894">
        <f>VLOOKUP(B894,[2]Sheet2!$B:$E,4,FALSE)</f>
        <v>4000</v>
      </c>
      <c r="G894" s="2">
        <f>VLOOKUP(A894,[1]Pricing!$A:$H,8,FALSE)</f>
        <v>0.105393</v>
      </c>
      <c r="H894" s="2">
        <f>VLOOKUP(A894,[1]Pricing!$A:$J,10,FALSE)</f>
        <v>0.12852804878048782</v>
      </c>
      <c r="I894">
        <f>VLOOKUP(A894,MIN!A:B,2,FALSE)</f>
        <v>15</v>
      </c>
      <c r="J894" t="str">
        <f t="shared" si="32"/>
        <v>NO</v>
      </c>
      <c r="K894">
        <f>VLOOKUP(A894,[1]Pricing!$A:$G,7,FALSE)</f>
        <v>4000</v>
      </c>
      <c r="L894" t="s">
        <v>1960</v>
      </c>
      <c r="M894" t="str">
        <f t="shared" si="33"/>
        <v>648-082038-300</v>
      </c>
    </row>
    <row r="895" spans="1:13" x14ac:dyDescent="0.25">
      <c r="A895" t="s">
        <v>954</v>
      </c>
      <c r="B895" s="14" t="str">
        <f>VLOOKUP(A895,[1]Pricing!$A:$R,18,FALSE)</f>
        <v>IAUC100N04S6L014ATMA1</v>
      </c>
      <c r="C895" t="s">
        <v>2572</v>
      </c>
      <c r="D895" t="str">
        <f>VLOOKUP(A895,[1]AVL!$A:$F,6,FALSE)</f>
        <v>XSTR,SMD,MOSFET,N-CHAN,40V,100A,TDSON-8</v>
      </c>
      <c r="E895" t="str">
        <f>VLOOKUP(A895,[1]Pricing!$A:$F,6,FALSE)</f>
        <v>21 Weeks</v>
      </c>
      <c r="F895">
        <f>VLOOKUP(B895,[2]Sheet2!$B:$E,4,FALSE)</f>
        <v>4705</v>
      </c>
      <c r="G895" s="2">
        <f>VLOOKUP(A895,[1]Pricing!$A:$H,8,FALSE)</f>
        <v>0.57108300000000001</v>
      </c>
      <c r="H895" s="2">
        <f>VLOOKUP(A895,[1]Pricing!$A:$J,10,FALSE)</f>
        <v>0.69644268292682932</v>
      </c>
      <c r="I895">
        <f>VLOOKUP(A895,MIN!A:B,2,FALSE)</f>
        <v>25</v>
      </c>
      <c r="J895" t="str">
        <f t="shared" si="32"/>
        <v>NO</v>
      </c>
      <c r="K895">
        <f>VLOOKUP(A895,[1]Pricing!$A:$G,7,FALSE)</f>
        <v>5000</v>
      </c>
      <c r="L895" t="s">
        <v>1960</v>
      </c>
      <c r="M895" t="str">
        <f t="shared" si="33"/>
        <v>626-A73827-001</v>
      </c>
    </row>
    <row r="896" spans="1:13" x14ac:dyDescent="0.25">
      <c r="A896" t="s">
        <v>1464</v>
      </c>
      <c r="B896" s="14" t="str">
        <f>VLOOKUP(A896,[1]Pricing!$A:$R,18,FALSE)</f>
        <v>RK73B3ATTE332J</v>
      </c>
      <c r="C896" t="s">
        <v>2667</v>
      </c>
      <c r="D896" t="str">
        <f>VLOOKUP(A896,[1]AVL!$A:$F,6,FALSE)</f>
        <v>RES,SMD,2512,TF,5%,1W,ROHS,3.3K OHM</v>
      </c>
      <c r="E896" t="str">
        <f>VLOOKUP(A896,[1]Pricing!$A:$F,6,FALSE)</f>
        <v>21 Weeks</v>
      </c>
      <c r="F896">
        <f>VLOOKUP(B896,[2]Sheet2!$B:$E,4,FALSE)</f>
        <v>3900</v>
      </c>
      <c r="G896" s="2">
        <f>VLOOKUP(A896,[1]Pricing!$A:$H,8,FALSE)</f>
        <v>5.6372999999999999E-2</v>
      </c>
      <c r="H896" s="2">
        <f>VLOOKUP(A896,[1]Pricing!$A:$J,10,FALSE)</f>
        <v>6.8747560975609759E-2</v>
      </c>
      <c r="I896">
        <f>VLOOKUP(A896,MIN!A:B,2,FALSE)</f>
        <v>15</v>
      </c>
      <c r="J896" t="str">
        <f t="shared" si="32"/>
        <v>NO</v>
      </c>
      <c r="K896">
        <f>VLOOKUP(A896,[1]Pricing!$A:$G,7,FALSE)</f>
        <v>4000</v>
      </c>
      <c r="L896" t="s">
        <v>1960</v>
      </c>
      <c r="M896" t="str">
        <f t="shared" si="33"/>
        <v>615-053814-332</v>
      </c>
    </row>
    <row r="897" spans="1:13" x14ac:dyDescent="0.25">
      <c r="A897" t="s">
        <v>288</v>
      </c>
      <c r="B897" s="14" t="str">
        <f>VLOOKUP(A897,[1]Pricing!$A:$R,18,FALSE)</f>
        <v>4AA24-N20-I10-M-K0065-Q4</v>
      </c>
      <c r="C897" t="s">
        <v>2670</v>
      </c>
      <c r="D897" t="str">
        <f>VLOOKUP(A897,[1]AVL!$A:$F,6,FALSE)</f>
        <v>PS,DC-DC CONV,HV,24V,4KV,ADJ</v>
      </c>
      <c r="E897" t="str">
        <f>VLOOKUP(A897,[1]Pricing!$A:$F,6,FALSE)</f>
        <v>23 Weeks</v>
      </c>
      <c r="F897">
        <f>VLOOKUP(B897,[2]Sheet2!$B:$E,4,FALSE)</f>
        <v>51</v>
      </c>
      <c r="G897" s="2">
        <f>VLOOKUP(A897,[1]Pricing!$A:$H,8,FALSE)</f>
        <v>879.29</v>
      </c>
      <c r="H897" s="2">
        <f>VLOOKUP(A897,[1]Pricing!$A:$J,10,FALSE)</f>
        <v>1072.3048780487804</v>
      </c>
      <c r="I897">
        <f>VLOOKUP(A897,MIN!A:B,2,FALSE)</f>
        <v>25</v>
      </c>
      <c r="J897" t="str">
        <f t="shared" si="32"/>
        <v>NO</v>
      </c>
      <c r="K897">
        <f>VLOOKUP(A897,[1]Pricing!$A:$G,7,FALSE)</f>
        <v>51</v>
      </c>
      <c r="L897" t="s">
        <v>2689</v>
      </c>
      <c r="M897" t="str">
        <f t="shared" si="33"/>
        <v>660-A23835-001</v>
      </c>
    </row>
    <row r="898" spans="1:13" x14ac:dyDescent="0.25">
      <c r="A898" t="s">
        <v>996</v>
      </c>
      <c r="B898" s="14" t="str">
        <f>VLOOKUP(A898,[1]Pricing!$A:$R,18,FALSE)</f>
        <v>K42XHT-C37S/S-A4N</v>
      </c>
      <c r="C898" t="s">
        <v>2725</v>
      </c>
      <c r="D898" t="str">
        <f>VLOOKUP(A898,[1]AVL!$A:$F,6,FALSE)</f>
        <v>CONN,DSUB,F-F,37PIN,30V,2A,HTM,DUAL PORT</v>
      </c>
      <c r="E898" t="str">
        <f>VLOOKUP(A898,[1]Pricing!$A:$F,6,FALSE)</f>
        <v>27 Weeks</v>
      </c>
      <c r="F898">
        <f>VLOOKUP(B898,[2]Sheet2!$B:$E,4,FALSE)</f>
        <v>1005</v>
      </c>
      <c r="G898" s="2">
        <f>VLOOKUP(A898,[1]Pricing!$A:$H,8,FALSE)</f>
        <v>18.690000000000001</v>
      </c>
      <c r="H898" s="2">
        <f>VLOOKUP(A898,[1]Pricing!$A:$J,10,FALSE)</f>
        <v>22.792682926829272</v>
      </c>
      <c r="I898">
        <f>VLOOKUP(A898,MIN!A:B,2,FALSE)</f>
        <v>15</v>
      </c>
      <c r="J898" t="str">
        <f t="shared" si="32"/>
        <v>NO</v>
      </c>
      <c r="K898">
        <f>VLOOKUP(A898,[1]Pricing!$A:$G,7,FALSE)</f>
        <v>1008</v>
      </c>
      <c r="L898" t="s">
        <v>1960</v>
      </c>
      <c r="M898" t="str">
        <f t="shared" si="33"/>
        <v>668-313612-037</v>
      </c>
    </row>
    <row r="899" spans="1:13" x14ac:dyDescent="0.25">
      <c r="A899" t="s">
        <v>412</v>
      </c>
      <c r="B899" s="14" t="str">
        <f>VLOOKUP(A899,[1]Pricing!$A:$R,18,FALSE)</f>
        <v>74HC85D,653</v>
      </c>
      <c r="C899" t="s">
        <v>2595</v>
      </c>
      <c r="D899" t="str">
        <f>VLOOKUP(A899,[1]AVL!$A:$F,6,FALSE)</f>
        <v>IC,SMD,74HC85 4-BIT COMP SO16,ROHS</v>
      </c>
      <c r="E899" t="str">
        <f>VLOOKUP(A899,[1]Pricing!$A:$F,6,FALSE)</f>
        <v>9 Weeks</v>
      </c>
      <c r="F899">
        <f>VLOOKUP(B899,[2]Sheet2!$B:$E,4,FALSE)</f>
        <v>2495</v>
      </c>
      <c r="G899" s="2">
        <f>VLOOKUP(A899,[1]Pricing!$A:$H,8,FALSE)</f>
        <v>0.19256000000000001</v>
      </c>
      <c r="H899" s="2">
        <f>VLOOKUP(A899,[1]Pricing!$A:$J,10,FALSE)</f>
        <v>0.23482926829268294</v>
      </c>
      <c r="I899">
        <f>VLOOKUP(A899,MIN!A:B,2,FALSE)</f>
        <v>15</v>
      </c>
      <c r="J899" t="str">
        <f t="shared" si="32"/>
        <v>NO</v>
      </c>
      <c r="K899">
        <f>VLOOKUP(A899,[1]Pricing!$A:$G,7,FALSE)</f>
        <v>2500</v>
      </c>
      <c r="L899" t="s">
        <v>1960</v>
      </c>
      <c r="M899" t="str">
        <f t="shared" si="33"/>
        <v>630-099034-085</v>
      </c>
    </row>
    <row r="900" spans="1:13" x14ac:dyDescent="0.25">
      <c r="A900" t="s">
        <v>974</v>
      </c>
      <c r="B900" s="14" t="str">
        <f>VLOOKUP(A900,[1]Pricing!$A:$R,18,FALSE)</f>
        <v>IRF1310NSTRLPBF</v>
      </c>
      <c r="C900" t="s">
        <v>2572</v>
      </c>
      <c r="D900" t="str">
        <f>VLOOKUP(A900,[1]AVL!$A:$F,6,FALSE)</f>
        <v>XSTR,FIELD EFT,PWR MOSFET,N-CH</v>
      </c>
      <c r="E900" t="str">
        <f>VLOOKUP(A900,[1]Pricing!$A:$F,6,FALSE)</f>
        <v>13 Weeks</v>
      </c>
      <c r="F900">
        <f>VLOOKUP(B900,[2]Sheet2!$B:$E,4,FALSE)</f>
        <v>751</v>
      </c>
      <c r="G900" s="2">
        <f>VLOOKUP(A900,[1]Pricing!$A:$H,8,FALSE)</f>
        <v>0.94486099999999995</v>
      </c>
      <c r="H900" s="2">
        <f>VLOOKUP(A900,[1]Pricing!$A:$J,10,FALSE)</f>
        <v>1.1522695121951219</v>
      </c>
      <c r="I900">
        <f>VLOOKUP(A900,MIN!A:B,2,FALSE)</f>
        <v>25</v>
      </c>
      <c r="J900" t="str">
        <f t="shared" si="32"/>
        <v>NO</v>
      </c>
      <c r="K900">
        <f>VLOOKUP(A900,[1]Pricing!$A:$G,7,FALSE)</f>
        <v>800</v>
      </c>
      <c r="L900" t="s">
        <v>1960</v>
      </c>
      <c r="M900" t="str">
        <f t="shared" si="33"/>
        <v>628-072604-001</v>
      </c>
    </row>
    <row r="901" spans="1:13" x14ac:dyDescent="0.25">
      <c r="A901" t="s">
        <v>1218</v>
      </c>
      <c r="B901" s="14" t="str">
        <f>VLOOKUP(A901,[1]Pricing!$A:$R,18,FALSE)</f>
        <v>OP284ESZ-REEL7</v>
      </c>
      <c r="C901" t="s">
        <v>2603</v>
      </c>
      <c r="D901" t="str">
        <f>VLOOKUP(A901,[1]AVL!$A:$F,6,FALSE)</f>
        <v>IC,OPAMP,PRCN,DUAL,4MHZ,SOIC8,RAIL-RAIL</v>
      </c>
      <c r="E901" t="str">
        <f>VLOOKUP(A901,[1]Pricing!$A:$F,6,FALSE)</f>
        <v>13 Weeks</v>
      </c>
      <c r="F901">
        <f>VLOOKUP(B901,[2]Sheet2!$B:$E,4,FALSE)</f>
        <v>100</v>
      </c>
      <c r="G901" s="2">
        <f>VLOOKUP(A901,[1]Pricing!$A:$H,8,FALSE)</f>
        <v>8.6152650000000008</v>
      </c>
      <c r="H901" s="2">
        <f>VLOOKUP(A901,[1]Pricing!$A:$J,10,FALSE)</f>
        <v>10.506420731707319</v>
      </c>
      <c r="I901">
        <f>VLOOKUP(A901,MIN!A:B,2,FALSE)</f>
        <v>25</v>
      </c>
      <c r="J901" t="str">
        <f t="shared" ref="J901:J946" si="37">IF(F901&lt;=I901,"REORDER","NO")</f>
        <v>NO</v>
      </c>
      <c r="K901">
        <f>VLOOKUP(A901,[1]Pricing!$A:$G,7,FALSE)</f>
        <v>100</v>
      </c>
      <c r="L901" t="s">
        <v>1960</v>
      </c>
      <c r="M901" t="str">
        <f t="shared" si="33"/>
        <v>630-344253-002</v>
      </c>
    </row>
    <row r="902" spans="1:13" x14ac:dyDescent="0.25">
      <c r="A902" t="s">
        <v>1238</v>
      </c>
      <c r="B902" s="14" t="str">
        <f>VLOOKUP(A902,[1]Pricing!$A:$R,18,FALSE)</f>
        <v>PATT0603E2002BGT1</v>
      </c>
      <c r="C902" t="s">
        <v>2617</v>
      </c>
      <c r="D902" t="str">
        <f>VLOOKUP(A902,[1]AVL!$A:$F,6,FALSE)</f>
        <v>RES,0603,THIN FILM,0.1%,25 PPM,0.15W,20K</v>
      </c>
      <c r="E902" t="str">
        <f>VLOOKUP(A902,[1]Pricing!$A:$F,6,FALSE)</f>
        <v>70 Weeks</v>
      </c>
      <c r="F902">
        <f>VLOOKUP(B902,[2]Sheet2!$B:$E,4,FALSE)</f>
        <v>883</v>
      </c>
      <c r="G902" s="2">
        <f>VLOOKUP(A902,[1]Pricing!$A:$H,8,FALSE)</f>
        <v>0.52348499999999998</v>
      </c>
      <c r="H902" s="2">
        <f>VLOOKUP(A902,[1]Pricing!$A:$J,10,FALSE)</f>
        <v>0.63839634146341462</v>
      </c>
      <c r="I902">
        <f>VLOOKUP(A902,MIN!A:B,2,FALSE)</f>
        <v>15</v>
      </c>
      <c r="J902" t="str">
        <f t="shared" si="37"/>
        <v>NO</v>
      </c>
      <c r="K902">
        <f>VLOOKUP(A902,[1]Pricing!$A:$G,7,FALSE)</f>
        <v>1000</v>
      </c>
      <c r="L902" t="s">
        <v>1960</v>
      </c>
      <c r="M902" t="str">
        <f t="shared" si="33"/>
        <v>615-224835-014</v>
      </c>
    </row>
    <row r="903" spans="1:13" x14ac:dyDescent="0.25">
      <c r="A903" t="s">
        <v>1240</v>
      </c>
      <c r="B903" s="14" t="str">
        <f>VLOOKUP(A903,[1]Pricing!$A:$R,18,FALSE)</f>
        <v>PATT0603E49R9BGT1</v>
      </c>
      <c r="C903" t="s">
        <v>2617</v>
      </c>
      <c r="D903" t="str">
        <f>VLOOKUP(A903,[1]AVL!$A:$F,6,FALSE)</f>
        <v>RES,0603,THIN FILM,0.1%,0.15W,49.9</v>
      </c>
      <c r="E903" t="str">
        <f>VLOOKUP(A903,[1]Pricing!$A:$F,6,FALSE)</f>
        <v>70 Weeks</v>
      </c>
      <c r="F903">
        <v>778</v>
      </c>
      <c r="G903" s="2">
        <f>VLOOKUP(A903,[1]Pricing!$A:$H,8,FALSE)</f>
        <v>0.52348499999999998</v>
      </c>
      <c r="H903" s="2">
        <f>VLOOKUP(A903,[1]Pricing!$A:$J,10,FALSE)</f>
        <v>0.63839634146341462</v>
      </c>
      <c r="I903">
        <f>VLOOKUP(A903,MIN!A:B,2,FALSE)</f>
        <v>25</v>
      </c>
      <c r="J903" t="str">
        <f t="shared" si="37"/>
        <v>NO</v>
      </c>
      <c r="K903">
        <f>VLOOKUP(A903,[1]Pricing!$A:$G,7,FALSE)</f>
        <v>1000</v>
      </c>
      <c r="L903" t="s">
        <v>1960</v>
      </c>
      <c r="M903" t="str">
        <f t="shared" si="33"/>
        <v>615-224835-006</v>
      </c>
    </row>
    <row r="904" spans="1:13" x14ac:dyDescent="0.25">
      <c r="A904" t="s">
        <v>1260</v>
      </c>
      <c r="B904" s="14" t="str">
        <f>VLOOKUP(A904,[1]Pricing!$A:$R,18,FALSE)</f>
        <v>PLT0805Z2502AST5</v>
      </c>
      <c r="C904" t="s">
        <v>2617</v>
      </c>
      <c r="D904" t="str">
        <f>VLOOKUP(A904,[1]AVL!$A:$F,6,FALSE)</f>
        <v>RES,0805,TF,0.25W,0.05%,25K ROHS</v>
      </c>
      <c r="E904" t="str">
        <f>VLOOKUP(A904,[1]Pricing!$A:$F,6,FALSE)</f>
        <v>129 Weeks</v>
      </c>
      <c r="F904">
        <f>VLOOKUP(B904,[2]Sheet2!$B:$E,4,FALSE)</f>
        <v>200</v>
      </c>
      <c r="G904" s="2">
        <f>VLOOKUP(A904,[1]Pricing!$A:$H,8,FALSE)</f>
        <v>2.3774700000000002</v>
      </c>
      <c r="H904" s="2">
        <f>VLOOKUP(A904,[1]Pricing!$A:$J,10,FALSE)</f>
        <v>2.8993536585365858</v>
      </c>
      <c r="I904">
        <f>VLOOKUP(A904,MIN!A:B,2,FALSE)</f>
        <v>15</v>
      </c>
      <c r="J904" t="str">
        <f t="shared" si="37"/>
        <v>NO</v>
      </c>
      <c r="K904">
        <f>VLOOKUP(A904,[1]Pricing!$A:$G,7,FALSE)</f>
        <v>500</v>
      </c>
      <c r="L904" t="s">
        <v>2689</v>
      </c>
      <c r="M904" t="str">
        <f t="shared" ref="M904:M946" si="38">A904</f>
        <v>615-162505-007</v>
      </c>
    </row>
    <row r="905" spans="1:13" x14ac:dyDescent="0.25">
      <c r="A905" t="s">
        <v>1272</v>
      </c>
      <c r="B905" s="14" t="str">
        <f>VLOOKUP(A905,[1]Pricing!$A:$R,18,FALSE)</f>
        <v>PNM0402E2502BST1</v>
      </c>
      <c r="C905" t="s">
        <v>2617</v>
      </c>
      <c r="D905" t="str">
        <f>VLOOKUP(A905,[1]AVL!$A:$F,6,FALSE)</f>
        <v>RES,SMD,THIN FILM,25KOHM,0.1%,.05W,0402</v>
      </c>
      <c r="E905" t="str">
        <f>VLOOKUP(A905,[1]Pricing!$A:$F,6,FALSE)</f>
        <v>70 Weeks</v>
      </c>
      <c r="F905">
        <f>VLOOKUP(B905,[2]Sheet2!$B:$E,4,FALSE)</f>
        <v>4349</v>
      </c>
      <c r="G905" s="2">
        <f>VLOOKUP(A905,[1]Pricing!$A:$H,8,FALSE)</f>
        <v>0.40603299999999998</v>
      </c>
      <c r="H905" s="2">
        <f>VLOOKUP(A905,[1]Pricing!$A:$J,10,FALSE)</f>
        <v>0.4951621951219512</v>
      </c>
      <c r="I905">
        <f>VLOOKUP(A905,MIN!A:B,2,FALSE)</f>
        <v>15</v>
      </c>
      <c r="J905" t="str">
        <f t="shared" si="37"/>
        <v>NO</v>
      </c>
      <c r="K905">
        <f>VLOOKUP(A905,[1]Pricing!$A:$G,7,FALSE)</f>
        <v>5000</v>
      </c>
      <c r="L905" t="s">
        <v>2689</v>
      </c>
      <c r="M905" t="str">
        <f t="shared" si="38"/>
        <v>615-B19099-001</v>
      </c>
    </row>
    <row r="906" spans="1:13" x14ac:dyDescent="0.25">
      <c r="A906" t="s">
        <v>1272</v>
      </c>
      <c r="B906" s="14" t="str">
        <f>VLOOKUP(A906,[1]Pricing!$A:$R,18,FALSE)</f>
        <v>PNM0402E2502BST1</v>
      </c>
      <c r="C906" t="s">
        <v>2617</v>
      </c>
      <c r="D906" t="str">
        <f>VLOOKUP(A906,[1]AVL!$A:$F,6,FALSE)</f>
        <v>RES,SMD,THIN FILM,25KOHM,0.1%,.05W,0402</v>
      </c>
      <c r="E906" t="str">
        <f>VLOOKUP(A906,[1]Pricing!$A:$F,6,FALSE)</f>
        <v>70 Weeks</v>
      </c>
      <c r="F906">
        <v>464</v>
      </c>
      <c r="G906" s="2">
        <f>VLOOKUP(A906,[1]Pricing!$A:$H,8,FALSE)</f>
        <v>0.40603299999999998</v>
      </c>
      <c r="H906" s="2">
        <f>VLOOKUP(A906,[1]Pricing!$A:$J,10,FALSE)</f>
        <v>0.4951621951219512</v>
      </c>
      <c r="I906">
        <f>VLOOKUP(A906,MIN!A:B,2,FALSE)</f>
        <v>15</v>
      </c>
      <c r="J906" t="str">
        <f t="shared" ref="J906" si="39">IF(F906&lt;=I906,"REORDER","NO")</f>
        <v>NO</v>
      </c>
      <c r="K906">
        <f>VLOOKUP(A906,[1]Pricing!$A:$G,7,FALSE)</f>
        <v>5000</v>
      </c>
      <c r="L906" t="s">
        <v>2689</v>
      </c>
      <c r="M906" t="str">
        <f t="shared" ref="M906" si="40">A906</f>
        <v>615-B19099-001</v>
      </c>
    </row>
    <row r="907" spans="1:13" x14ac:dyDescent="0.25">
      <c r="A907" t="s">
        <v>90</v>
      </c>
      <c r="B907" s="14">
        <f>VLOOKUP(A907,[1]Pricing!$A:$R,18,FALSE)</f>
        <v>1720420301</v>
      </c>
      <c r="C907" t="s">
        <v>2610</v>
      </c>
      <c r="D907" t="str">
        <f>VLOOKUP(A907,[1]AVL!$A:$F,6,FALSE)</f>
        <v>CONN,HDR,VERTICAL,3POS,NO BRD LCK</v>
      </c>
      <c r="E907" t="str">
        <f>VLOOKUP(A907,[1]Pricing!$A:$F,6,FALSE)</f>
        <v>3 Weeks</v>
      </c>
      <c r="F907">
        <f>VLOOKUP(B907,[2]Sheet2!$B:$E,4,FALSE)</f>
        <v>385</v>
      </c>
      <c r="G907" s="2">
        <f>VLOOKUP(A907,[1]Pricing!$A:$H,8,FALSE)</f>
        <v>1.1911860000000001</v>
      </c>
      <c r="H907" s="2">
        <f>VLOOKUP(A907,[1]Pricing!$A:$J,10,FALSE)</f>
        <v>1.4526658536585368</v>
      </c>
      <c r="I907">
        <f>VLOOKUP(A907,MIN!A:B,2,FALSE)</f>
        <v>15</v>
      </c>
      <c r="J907" t="str">
        <f t="shared" si="37"/>
        <v>NO</v>
      </c>
      <c r="K907">
        <f>VLOOKUP(A907,[1]Pricing!$A:$G,7,FALSE)</f>
        <v>385</v>
      </c>
      <c r="L907" t="s">
        <v>1960</v>
      </c>
      <c r="M907" t="str">
        <f t="shared" si="38"/>
        <v>668-311384-008</v>
      </c>
    </row>
    <row r="908" spans="1:13" x14ac:dyDescent="0.25">
      <c r="A908" t="s">
        <v>1105</v>
      </c>
      <c r="B908" s="14" t="str">
        <f>VLOOKUP(A908,[1]Pricing!$A:$R,18,FALSE)</f>
        <v>LTM4632EV#PBF</v>
      </c>
      <c r="C908" t="s">
        <v>2603</v>
      </c>
      <c r="D908" t="str">
        <f>VLOOKUP(A908,[1]AVL!$A:$F,6,FALSE)</f>
        <v>PS,UMODULE,0.6-2.5V,±3A,DDR-QDR4,25-LGA</v>
      </c>
      <c r="E908" t="str">
        <f>VLOOKUP(A908,[1]Pricing!$A:$F,6,FALSE)</f>
        <v>14 Weeks</v>
      </c>
      <c r="F908">
        <v>80</v>
      </c>
      <c r="G908" s="2">
        <f>VLOOKUP(A908,[1]Pricing!$A:$H,8,FALSE)</f>
        <v>12.0099</v>
      </c>
      <c r="H908" s="2">
        <f>VLOOKUP(A908,[1]Pricing!$A:$J,10,FALSE)</f>
        <v>14.646219512195122</v>
      </c>
      <c r="I908">
        <f>VLOOKUP(A908,MIN!A:B,2,FALSE)</f>
        <v>25</v>
      </c>
      <c r="J908" t="str">
        <f t="shared" si="37"/>
        <v>NO</v>
      </c>
      <c r="K908">
        <f>VLOOKUP(A908,[1]Pricing!$A:$G,7,FALSE)</f>
        <v>80</v>
      </c>
      <c r="L908" t="s">
        <v>1960</v>
      </c>
      <c r="M908" t="str">
        <f t="shared" si="38"/>
        <v>660-345766-001</v>
      </c>
    </row>
    <row r="909" spans="1:13" x14ac:dyDescent="0.25">
      <c r="A909" t="s">
        <v>291</v>
      </c>
      <c r="B909" s="14">
        <f>VLOOKUP(A909,[1]Pricing!$A:$R,18,FALSE)</f>
        <v>5000</v>
      </c>
      <c r="C909" t="s">
        <v>2642</v>
      </c>
      <c r="D909" t="str">
        <f>VLOOKUP(A909,[1]AVL!$A:$F,6,FALSE)</f>
        <v>TP,PCB,MINIATURE LOOP,RED</v>
      </c>
      <c r="E909" t="str">
        <f>VLOOKUP(A909,[1]Pricing!$A:$F,6,FALSE)</f>
        <v>3 Weeks</v>
      </c>
      <c r="F909">
        <f>VLOOKUP(B909,[2]Sheet2!$B:$E,4,FALSE)</f>
        <v>100</v>
      </c>
      <c r="G909" s="2">
        <f>VLOOKUP(A909,[1]Pricing!$A:$H,8,FALSE)</f>
        <v>0.295346</v>
      </c>
      <c r="H909" s="2">
        <f>VLOOKUP(A909,[1]Pricing!$A:$J,10,FALSE)</f>
        <v>0.36017804878048781</v>
      </c>
      <c r="I909">
        <f>VLOOKUP(A909,MIN!A:B,2,FALSE)</f>
        <v>25</v>
      </c>
      <c r="J909" t="str">
        <f t="shared" si="37"/>
        <v>NO</v>
      </c>
      <c r="K909">
        <f>VLOOKUP(A909,[1]Pricing!$A:$G,7,FALSE)</f>
        <v>100</v>
      </c>
      <c r="L909" t="s">
        <v>1960</v>
      </c>
      <c r="M909" t="str">
        <f t="shared" si="38"/>
        <v>671-219755-001</v>
      </c>
    </row>
    <row r="910" spans="1:13" x14ac:dyDescent="0.25">
      <c r="A910" t="s">
        <v>1413</v>
      </c>
      <c r="B910" s="14" t="str">
        <f>VLOOKUP(A910,[1]Pricing!$A:$R,18,FALSE)</f>
        <v>RC1206FR-0775KL</v>
      </c>
      <c r="C910" t="s">
        <v>2617</v>
      </c>
      <c r="D910" t="str">
        <f>VLOOKUP(A910,[1]AVL!$A:$F,6,FALSE)</f>
        <v>RES,SMD,1206,75.0K,1%,1/4W,ROHS</v>
      </c>
      <c r="E910" t="str">
        <f>VLOOKUP(A910,[1]Pricing!$A:$F,6,FALSE)</f>
        <v>31 Weeks</v>
      </c>
      <c r="F910">
        <f>VLOOKUP(B910,[2]Sheet2!$B:$E,4,FALSE)</f>
        <v>4935</v>
      </c>
      <c r="G910" s="2">
        <f>VLOOKUP(A910,[1]Pricing!$A:$H,8,FALSE)</f>
        <v>7.3530000000000002E-3</v>
      </c>
      <c r="H910" s="2">
        <f>VLOOKUP(A910,[1]Pricing!$A:$J,10,FALSE)</f>
        <v>8.9670731707317073E-3</v>
      </c>
      <c r="I910">
        <f>VLOOKUP(A910,MIN!A:B,2,FALSE)</f>
        <v>25</v>
      </c>
      <c r="J910" t="str">
        <f t="shared" si="37"/>
        <v>NO</v>
      </c>
      <c r="K910">
        <f>VLOOKUP(A910,[1]Pricing!$A:$G,7,FALSE)</f>
        <v>5000</v>
      </c>
      <c r="L910" t="s">
        <v>1960</v>
      </c>
      <c r="M910" t="str">
        <f t="shared" si="38"/>
        <v>615-116029-750</v>
      </c>
    </row>
    <row r="911" spans="1:13" x14ac:dyDescent="0.25">
      <c r="A911" t="s">
        <v>1297</v>
      </c>
      <c r="B911" s="14" t="str">
        <f>VLOOKUP(A911,[1]Pricing!$A:$R,18,FALSE)</f>
        <v>RC0402FR-0711K8L</v>
      </c>
      <c r="C911" t="s">
        <v>2580</v>
      </c>
      <c r="D911" t="str">
        <f>VLOOKUP(A911,[1]AVL!$A:$F,6,FALSE)</f>
        <v>RES,0402,THKF,1/16W,1%,11.8K,ROHS</v>
      </c>
      <c r="E911" t="str">
        <f>VLOOKUP(A911,[1]Pricing!$A:$F,6,FALSE)</f>
        <v>23 Weeks</v>
      </c>
      <c r="F911">
        <f>VLOOKUP(B911,[2]Sheet2!$B:$E,4,FALSE)</f>
        <v>10000</v>
      </c>
      <c r="G911" s="2">
        <f>VLOOKUP(A911,[1]Pricing!$A:$H,8,FALSE)</f>
        <v>2.4510000000000001E-3</v>
      </c>
      <c r="H911" s="2">
        <f>VLOOKUP(A911,[1]Pricing!$A:$J,10,FALSE)</f>
        <v>2.9890243902439026E-3</v>
      </c>
      <c r="I911">
        <f>VLOOKUP(A911,MIN!A:B,2,FALSE)</f>
        <v>25</v>
      </c>
      <c r="J911" t="str">
        <f t="shared" si="37"/>
        <v>NO</v>
      </c>
      <c r="K911">
        <f>VLOOKUP(A911,[1]Pricing!$A:$G,7,FALSE)</f>
        <v>10000</v>
      </c>
      <c r="L911" t="s">
        <v>1960</v>
      </c>
      <c r="M911" t="str">
        <f t="shared" si="38"/>
        <v>615-123462-118</v>
      </c>
    </row>
    <row r="912" spans="1:13" x14ac:dyDescent="0.25">
      <c r="A912" t="s">
        <v>805</v>
      </c>
      <c r="B912" s="14" t="str">
        <f>VLOOKUP(A912,[1]Pricing!$A:$R,18,FALSE)</f>
        <v>ERA3VPB1502V</v>
      </c>
      <c r="C912" t="s">
        <v>2618</v>
      </c>
      <c r="D912" t="str">
        <f>VLOOKUP(A912,[1]AVL!$A:$F,6,FALSE)</f>
        <v>RES,SMD,THIN FILM,15KOHM,15PPM,±.1%,0603</v>
      </c>
      <c r="E912" t="str">
        <f>VLOOKUP(A912,[1]Pricing!$A:$F,6,FALSE)</f>
        <v>41 Weeks</v>
      </c>
      <c r="F912">
        <f>VLOOKUP(B912,[2]Sheet2!$B:$E,4,FALSE)</f>
        <v>5000</v>
      </c>
      <c r="G912" s="2">
        <f>VLOOKUP(A912,[1]Pricing!$A:$H,8,FALSE)</f>
        <v>0.14583499999999999</v>
      </c>
      <c r="H912" s="2">
        <f>VLOOKUP(A912,[1]Pricing!$A:$J,10,FALSE)</f>
        <v>0.17784756097560975</v>
      </c>
      <c r="I912">
        <f>VLOOKUP(A912,MIN!A:B,2,FALSE)</f>
        <v>15</v>
      </c>
      <c r="J912" t="str">
        <f t="shared" si="37"/>
        <v>NO</v>
      </c>
      <c r="K912">
        <f>VLOOKUP(A912,[1]Pricing!$A:$G,7,FALSE)</f>
        <v>3000</v>
      </c>
      <c r="L912" t="s">
        <v>1960</v>
      </c>
      <c r="M912" t="str">
        <f t="shared" si="38"/>
        <v>615-A13386-001</v>
      </c>
    </row>
    <row r="913" spans="1:13" x14ac:dyDescent="0.25">
      <c r="A913" t="s">
        <v>1252</v>
      </c>
      <c r="B913" s="14" t="str">
        <f>VLOOKUP(A913,[1]Pricing!$A:$R,18,FALSE)</f>
        <v>PGA204AU</v>
      </c>
      <c r="C913" t="s">
        <v>2595</v>
      </c>
      <c r="D913" t="str">
        <f>VLOOKUP(A913,[1]AVL!$A:$F,6,FALSE)</f>
        <v>IC,SMD,INST AMP,PROG GAIN,PGA204AU</v>
      </c>
      <c r="E913" t="str">
        <f>VLOOKUP(A913,[1]Pricing!$A:$F,6,FALSE)</f>
        <v>21 Weeks</v>
      </c>
      <c r="F913">
        <f>VLOOKUP(B913,[2]Sheet2!$B:$E,4,FALSE)</f>
        <v>190</v>
      </c>
      <c r="G913" s="2">
        <f>VLOOKUP(A913,[1]Pricing!$A:$H,8,FALSE)</f>
        <v>15.015537</v>
      </c>
      <c r="H913" s="2">
        <f>VLOOKUP(A913,[1]Pricing!$A:$J,10,FALSE)</f>
        <v>18.31163048780488</v>
      </c>
      <c r="I913">
        <f>VLOOKUP(A913,MIN!A:B,2,FALSE)</f>
        <v>15</v>
      </c>
      <c r="J913" t="str">
        <f t="shared" si="37"/>
        <v>NO</v>
      </c>
      <c r="K913">
        <f>VLOOKUP(A913,[1]Pricing!$A:$G,7,FALSE)</f>
        <v>200</v>
      </c>
      <c r="L913" t="s">
        <v>1960</v>
      </c>
      <c r="M913" t="str">
        <f t="shared" si="38"/>
        <v>630-108123-001</v>
      </c>
    </row>
    <row r="914" spans="1:13" x14ac:dyDescent="0.25">
      <c r="A914" t="s">
        <v>629</v>
      </c>
      <c r="B914" s="14" t="str">
        <f>VLOOKUP(A914,[1]Pricing!$A:$R,18,FALSE)</f>
        <v>CD74HCT368M</v>
      </c>
      <c r="C914" t="s">
        <v>2595</v>
      </c>
      <c r="D914" t="str">
        <f>VLOOKUP(A914,[1]AVL!$A:$F,6,FALSE)</f>
        <v>IC,SMD,BFR,INVERTING,4.5-5.5V,SOIC-16</v>
      </c>
      <c r="E914" t="str">
        <f>VLOOKUP(A914,[1]Pricing!$A:$F,6,FALSE)</f>
        <v>3 Weeks</v>
      </c>
      <c r="F914">
        <f>VLOOKUP(B914,[2]Sheet2!$B:$E,4,FALSE)</f>
        <v>2500</v>
      </c>
      <c r="G914" s="2">
        <f>VLOOKUP(A914,[1]Pricing!$A:$H,8,FALSE)</f>
        <v>0.32720900000000003</v>
      </c>
      <c r="H914" s="2">
        <f>VLOOKUP(A914,[1]Pricing!$A:$J,10,FALSE)</f>
        <v>0.39903536585365862</v>
      </c>
      <c r="I914">
        <f>VLOOKUP(A914,MIN!A:B,2,FALSE)</f>
        <v>25</v>
      </c>
      <c r="J914" t="str">
        <f t="shared" si="37"/>
        <v>NO</v>
      </c>
      <c r="K914">
        <f>VLOOKUP(A914,[1]Pricing!$A:$G,7,FALSE)</f>
        <v>2500</v>
      </c>
      <c r="L914" t="s">
        <v>1960</v>
      </c>
      <c r="M914" t="str">
        <f t="shared" si="38"/>
        <v>630-B14838-001</v>
      </c>
    </row>
    <row r="915" spans="1:13" x14ac:dyDescent="0.25">
      <c r="A915" t="s">
        <v>1232</v>
      </c>
      <c r="B915" s="14" t="str">
        <f>VLOOKUP(A915,[1]Pricing!$A:$R,18,FALSE)</f>
        <v>OPA691IDBVT</v>
      </c>
      <c r="C915" t="s">
        <v>2692</v>
      </c>
      <c r="D915" t="str">
        <f>VLOOKUP(A915,[1]AVL!$A:$F,6,FALSE)</f>
        <v>IC,SMD,OPAMP,CFA,1CKT,280MHZ,SOT23-6</v>
      </c>
      <c r="E915" t="str">
        <f>VLOOKUP(A915,[1]Pricing!$A:$F,6,FALSE)</f>
        <v>15 Weeks</v>
      </c>
      <c r="F915">
        <f>VLOOKUP(B915,[2]Sheet2!$B:$E,4,FALSE)</f>
        <v>210</v>
      </c>
      <c r="G915" s="2">
        <f>VLOOKUP(A915,[1]Pricing!$A:$H,8,FALSE)</f>
        <v>3.2720850000000001</v>
      </c>
      <c r="H915" s="2">
        <f>VLOOKUP(A915,[1]Pricing!$A:$J,10,FALSE)</f>
        <v>3.9903475609756103</v>
      </c>
      <c r="I915">
        <f>VLOOKUP(A915,MIN!A:B,2,FALSE)</f>
        <v>15</v>
      </c>
      <c r="J915" t="str">
        <f t="shared" si="37"/>
        <v>NO</v>
      </c>
      <c r="K915">
        <f>VLOOKUP(A915,[1]Pricing!$A:$G,7,FALSE)</f>
        <v>250</v>
      </c>
      <c r="L915" t="s">
        <v>2689</v>
      </c>
      <c r="M915" t="str">
        <f t="shared" si="38"/>
        <v>630-A57202-001</v>
      </c>
    </row>
    <row r="916" spans="1:13" x14ac:dyDescent="0.25">
      <c r="A916" t="s">
        <v>1699</v>
      </c>
      <c r="B916" s="14" t="str">
        <f>VLOOKUP(A916,[1]Pricing!$A:$R,18,FALSE)</f>
        <v>SN74LVC2G14DCK</v>
      </c>
      <c r="C916" t="s">
        <v>2595</v>
      </c>
      <c r="D916" t="str">
        <f>VLOOKUP(A916,[1]AVL!$A:$F,6,FALSE)</f>
        <v>IC,SMD,DUAL SCHMITT INV</v>
      </c>
      <c r="E916" t="str">
        <f>VLOOKUP(A916,[1]Pricing!$A:$F,6,FALSE)</f>
        <v>9 Weeks</v>
      </c>
      <c r="F916">
        <f>VLOOKUP(B916,[2]Sheet2!$B:$E,4,FALSE)</f>
        <v>2955</v>
      </c>
      <c r="G916" s="2">
        <f>VLOOKUP(A916,[1]Pricing!$A:$H,8,FALSE)</f>
        <v>7.7206999999999998E-2</v>
      </c>
      <c r="H916" s="2">
        <f>VLOOKUP(A916,[1]Pricing!$A:$J,10,FALSE)</f>
        <v>9.4154878048780491E-2</v>
      </c>
      <c r="I916">
        <f>VLOOKUP(A916,MIN!A:B,2,FALSE)</f>
        <v>25</v>
      </c>
      <c r="J916" t="str">
        <f t="shared" si="37"/>
        <v>NO</v>
      </c>
      <c r="K916">
        <f>VLOOKUP(A916,[1]Pricing!$A:$G,7,FALSE)</f>
        <v>3000</v>
      </c>
      <c r="L916" t="s">
        <v>1960</v>
      </c>
      <c r="M916" t="str">
        <f t="shared" si="38"/>
        <v>630-135494-001</v>
      </c>
    </row>
    <row r="917" spans="1:13" x14ac:dyDescent="0.25">
      <c r="A917" t="s">
        <v>1826</v>
      </c>
      <c r="B917" s="14" t="str">
        <f>VLOOKUP(A917,[1]Pricing!$A:$R,18,FALSE)</f>
        <v>UCC27423MDREP</v>
      </c>
      <c r="C917" t="s">
        <v>2595</v>
      </c>
      <c r="D917" t="str">
        <f>VLOOKUP(A917,[1]AVL!$A:$F,6,FALSE)</f>
        <v>IC,SMD,GATE DRIVER,MOSFET,DUAL,4A,SOIC-8</v>
      </c>
      <c r="E917" t="str">
        <f>VLOOKUP(A917,[1]Pricing!$A:$F,6,FALSE)</f>
        <v>3 Weeks</v>
      </c>
      <c r="F917">
        <f>VLOOKUP(B917,[2]Sheet2!$B:$E,4,FALSE)</f>
        <v>100</v>
      </c>
      <c r="G917" s="2">
        <f>VLOOKUP(A917,[1]Pricing!$A:$H,8,FALSE)</f>
        <v>9.4486050000000006</v>
      </c>
      <c r="H917" s="2">
        <f>VLOOKUP(A917,[1]Pricing!$A:$J,10,FALSE)</f>
        <v>11.522689024390246</v>
      </c>
      <c r="I917">
        <f>VLOOKUP(A917,MIN!A:B,2,FALSE)</f>
        <v>25</v>
      </c>
      <c r="J917" t="str">
        <f t="shared" si="37"/>
        <v>NO</v>
      </c>
      <c r="K917">
        <f>VLOOKUP(A917,[1]Pricing!$A:$G,7,FALSE)</f>
        <v>100</v>
      </c>
      <c r="L917" t="s">
        <v>1960</v>
      </c>
      <c r="M917" t="str">
        <f t="shared" si="38"/>
        <v>630-A99428-001</v>
      </c>
    </row>
    <row r="918" spans="1:13" x14ac:dyDescent="0.25">
      <c r="A918" t="s">
        <v>1405</v>
      </c>
      <c r="B918" s="14" t="str">
        <f>VLOOKUP(A918,[1]Pricing!$A:$R,18,FALSE)</f>
        <v>RC1206FR-07301RL</v>
      </c>
      <c r="C918" t="s">
        <v>2738</v>
      </c>
      <c r="D918" t="str">
        <f>VLOOKUP(A918,[1]AVL!$A:$F,6,FALSE)</f>
        <v>RES,1206,301 OHM,1%,1/4W,ROHS</v>
      </c>
      <c r="E918" t="str">
        <f>VLOOKUP(A918,[1]Pricing!$A:$F,6,FALSE)</f>
        <v>19 Weeks</v>
      </c>
      <c r="F918">
        <f>VLOOKUP(B918,[2]Sheet2!$B:$E,4,FALSE)</f>
        <v>5000</v>
      </c>
      <c r="G918" s="2">
        <f>VLOOKUP(A918,[1]Pricing!$A:$H,8,FALSE)</f>
        <v>5.4780000000000002E-3</v>
      </c>
      <c r="H918" s="2">
        <f>VLOOKUP(A918,[1]Pricing!$A:$J,10,FALSE)</f>
        <v>6.6804878048780493E-3</v>
      </c>
      <c r="I918">
        <f>VLOOKUP(A918,MIN!A:B,2,FALSE)</f>
        <v>25</v>
      </c>
      <c r="J918" t="str">
        <f t="shared" si="37"/>
        <v>NO</v>
      </c>
      <c r="K918">
        <f>VLOOKUP(A918,[1]Pricing!$A:$G,7,FALSE)</f>
        <v>5000</v>
      </c>
      <c r="L918" t="s">
        <v>1960</v>
      </c>
      <c r="M918" t="str">
        <f t="shared" si="38"/>
        <v>615-116027-301</v>
      </c>
    </row>
    <row r="919" spans="1:13" x14ac:dyDescent="0.25">
      <c r="A919" t="s">
        <v>1177</v>
      </c>
      <c r="B919" s="14" t="str">
        <f>VLOOKUP(A919,[1]Pricing!$A:$R,18,FALSE)</f>
        <v>MMBZ5236BLT1G</v>
      </c>
      <c r="C919" t="s">
        <v>2623</v>
      </c>
      <c r="D919" t="str">
        <f>VLOOKUP(A919,[1]AVL!$A:$F,6,FALSE)</f>
        <v>DIO,SMD,ZENER,225MW,MMBZ,7.5V ROHS</v>
      </c>
      <c r="E919" t="str">
        <f>VLOOKUP(A919,[1]Pricing!$A:$F,6,FALSE)</f>
        <v>29 Weeks</v>
      </c>
      <c r="F919">
        <f>VLOOKUP(B919,[2]Sheet2!$B:$E,4,FALSE)</f>
        <v>190</v>
      </c>
      <c r="G919" s="2">
        <f>VLOOKUP(A919,[1]Pricing!$A:$H,8,FALSE)</f>
        <v>4.4117999999999997E-2</v>
      </c>
      <c r="H919" s="2">
        <f>VLOOKUP(A919,[1]Pricing!$A:$J,10,FALSE)</f>
        <v>5.3802439024390247E-2</v>
      </c>
      <c r="I919">
        <f>VLOOKUP(A919,MIN!A:B,2,FALSE)</f>
        <v>25</v>
      </c>
      <c r="J919" t="str">
        <f t="shared" si="37"/>
        <v>NO</v>
      </c>
      <c r="K919">
        <f>VLOOKUP(A919,[1]Pricing!$A:$G,7,FALSE)</f>
        <v>200</v>
      </c>
      <c r="L919" t="s">
        <v>1960</v>
      </c>
      <c r="M919" t="str">
        <f t="shared" si="38"/>
        <v>609-004010-075</v>
      </c>
    </row>
    <row r="920" spans="1:13" x14ac:dyDescent="0.25">
      <c r="A920" t="s">
        <v>1687</v>
      </c>
      <c r="B920" s="14" t="str">
        <f>VLOOKUP(A920,[1]Pricing!$A:$R,18,FALSE)</f>
        <v>SN74LVC1G14DCK</v>
      </c>
      <c r="C920" t="s">
        <v>2595</v>
      </c>
      <c r="D920" t="str">
        <f>VLOOKUP(A920,[1]AVL!$A:$F,6,FALSE)</f>
        <v>IC,SMD,SINGLE SCHMITT INV</v>
      </c>
      <c r="E920" t="str">
        <f>VLOOKUP(A920,[1]Pricing!$A:$F,6,FALSE)</f>
        <v>12 Weeks</v>
      </c>
      <c r="F920">
        <f>VLOOKUP(B920,[2]Sheet2!$B:$E,4,FALSE)</f>
        <v>2948</v>
      </c>
      <c r="G920" s="2">
        <f>VLOOKUP(A920,[1]Pricing!$A:$H,8,FALSE)</f>
        <v>3.0637999999999999E-2</v>
      </c>
      <c r="H920" s="2">
        <f>VLOOKUP(A920,[1]Pricing!$A:$J,10,FALSE)</f>
        <v>3.7363414634146344E-2</v>
      </c>
      <c r="I920">
        <f>VLOOKUP(A920,MIN!A:B,2,FALSE)</f>
        <v>25</v>
      </c>
      <c r="J920" t="str">
        <f t="shared" si="37"/>
        <v>NO</v>
      </c>
      <c r="K920">
        <f>VLOOKUP(A920,[1]Pricing!$A:$G,7,FALSE)</f>
        <v>3000</v>
      </c>
      <c r="L920" t="s">
        <v>1960</v>
      </c>
      <c r="M920" t="str">
        <f t="shared" si="38"/>
        <v>630-135493-001</v>
      </c>
    </row>
    <row r="921" spans="1:13" x14ac:dyDescent="0.25">
      <c r="A921" t="s">
        <v>1050</v>
      </c>
      <c r="B921" s="14" t="str">
        <f>VLOOKUP(A921,[1]Pricing!$A:$R,18,FALSE)</f>
        <v>LM7321MAX/NOPB</v>
      </c>
      <c r="C921" t="s">
        <v>2595</v>
      </c>
      <c r="D921" t="str">
        <f>VLOOKUP(A921,[1]AVL!$A:$F,6,FALSE)</f>
        <v>IC,SMD,OPAMP,GP,20MHZ,RRO,8SOIC</v>
      </c>
      <c r="E921" t="str">
        <f>VLOOKUP(A921,[1]Pricing!$A:$F,6,FALSE)</f>
        <v>23 Weeks</v>
      </c>
      <c r="F921">
        <f>VLOOKUP(B921,[2]Sheet2!$B:$E,4,FALSE)</f>
        <v>200</v>
      </c>
      <c r="G921" s="2">
        <f>VLOOKUP(A921,[1]Pricing!$A:$H,8,FALSE)</f>
        <v>1.9328590000000001</v>
      </c>
      <c r="H921" s="2">
        <f>VLOOKUP(A921,[1]Pricing!$A:$J,10,FALSE)</f>
        <v>2.3571451219512198</v>
      </c>
      <c r="I921">
        <f>VLOOKUP(A921,MIN!A:B,2,FALSE)</f>
        <v>15</v>
      </c>
      <c r="J921" t="str">
        <f t="shared" si="37"/>
        <v>NO</v>
      </c>
      <c r="K921">
        <f>VLOOKUP(A921,[1]Pricing!$A:$G,7,FALSE)</f>
        <v>200</v>
      </c>
      <c r="L921" t="s">
        <v>1960</v>
      </c>
      <c r="M921" t="str">
        <f t="shared" si="38"/>
        <v>630-219764-001</v>
      </c>
    </row>
    <row r="922" spans="1:13" x14ac:dyDescent="0.25">
      <c r="A922" t="s">
        <v>1721</v>
      </c>
      <c r="B922" s="14" t="str">
        <f>VLOOKUP(A922,[1]Pricing!$A:$R,18,FALSE)</f>
        <v>STPS0540ZY</v>
      </c>
      <c r="C922" t="s">
        <v>2731</v>
      </c>
      <c r="D922" t="str">
        <f>VLOOKUP(A922,[1]AVL!$A:$F,6,FALSE)</f>
        <v>DIO,SMD,SCHOTTKY,40V,0.5A,SOD-123</v>
      </c>
      <c r="E922" t="str">
        <f>VLOOKUP(A922,[1]Pricing!$A:$F,6,FALSE)</f>
        <v>28 Weeks</v>
      </c>
      <c r="F922">
        <f>VLOOKUP(B922,[2]Sheet2!$B:$E,4,FALSE)</f>
        <v>6000</v>
      </c>
      <c r="G922" s="2">
        <f>VLOOKUP(A922,[1]Pricing!$A:$H,8,FALSE)</f>
        <v>7.4705999999999995E-2</v>
      </c>
      <c r="H922" s="2">
        <f>VLOOKUP(A922,[1]Pricing!$A:$J,10,FALSE)</f>
        <v>9.110487804878048E-2</v>
      </c>
      <c r="I922">
        <f>VLOOKUP(A922,MIN!A:B,2,FALSE)</f>
        <v>25</v>
      </c>
      <c r="J922" t="str">
        <f t="shared" si="37"/>
        <v>NO</v>
      </c>
      <c r="K922">
        <f>VLOOKUP(A922,[1]Pricing!$A:$G,7,FALSE)</f>
        <v>3000</v>
      </c>
      <c r="L922" t="s">
        <v>1960</v>
      </c>
      <c r="M922" t="str">
        <f t="shared" si="38"/>
        <v>609-A97224-001</v>
      </c>
    </row>
    <row r="923" spans="1:13" x14ac:dyDescent="0.25">
      <c r="A923" t="s">
        <v>1701</v>
      </c>
      <c r="B923" s="14" t="str">
        <f>VLOOKUP(A923,[1]Pricing!$A:$R,18,FALSE)</f>
        <v>SN74LVC2G17DBVR</v>
      </c>
      <c r="C923" t="s">
        <v>2595</v>
      </c>
      <c r="D923" t="str">
        <f>VLOOKUP(A923,[1]AVL!$A:$F,6,FALSE)</f>
        <v>IC,SMD,BFR,NON-INVERTING,2 CHAN,SOT23-6</v>
      </c>
      <c r="E923" t="str">
        <f>VLOOKUP(A923,[1]Pricing!$A:$F,6,FALSE)</f>
        <v>9 Weeks</v>
      </c>
      <c r="F923">
        <f>VLOOKUP(B923,[2]Sheet2!$B:$E,4,FALSE)</f>
        <v>200</v>
      </c>
      <c r="G923" s="2">
        <f>VLOOKUP(A923,[1]Pricing!$A:$H,8,FALSE)</f>
        <v>0.116423</v>
      </c>
      <c r="H923" s="2">
        <f>VLOOKUP(A923,[1]Pricing!$A:$J,10,FALSE)</f>
        <v>0.14197926829268293</v>
      </c>
      <c r="I923">
        <f>VLOOKUP(A923,MIN!A:B,2,FALSE)</f>
        <v>25</v>
      </c>
      <c r="J923" t="str">
        <f t="shared" si="37"/>
        <v>NO</v>
      </c>
      <c r="K923">
        <f>VLOOKUP(A923,[1]Pricing!$A:$G,7,FALSE)</f>
        <v>200</v>
      </c>
      <c r="L923" t="s">
        <v>1960</v>
      </c>
      <c r="M923" t="str">
        <f t="shared" si="38"/>
        <v>630-A74812-001</v>
      </c>
    </row>
    <row r="924" spans="1:13" x14ac:dyDescent="0.25">
      <c r="A924" t="s">
        <v>1520</v>
      </c>
      <c r="B924" s="14" t="str">
        <f>VLOOKUP(A924,[1]Pricing!$A:$R,18,FALSE)</f>
        <v>RT0402BRD0712KL</v>
      </c>
      <c r="C924" t="s">
        <v>2580</v>
      </c>
      <c r="D924" t="str">
        <f>VLOOKUP(A924,[1]AVL!$A:$F,6,FALSE)</f>
        <v>RES,SMD,12.0KOHM,0.1%,1/16W,0402</v>
      </c>
      <c r="E924" t="str">
        <f>VLOOKUP(A924,[1]Pricing!$A:$F,6,FALSE)</f>
        <v>21 Weeks</v>
      </c>
      <c r="F924">
        <f>VLOOKUP(B924,[2]Sheet2!$B:$E,4,FALSE)</f>
        <v>9799</v>
      </c>
      <c r="G924" s="2">
        <f>VLOOKUP(A924,[1]Pricing!$A:$H,8,FALSE)</f>
        <v>4.2255000000000001E-2</v>
      </c>
      <c r="H924" s="2">
        <f>VLOOKUP(A924,[1]Pricing!$A:$J,10,FALSE)</f>
        <v>5.1530487804878053E-2</v>
      </c>
      <c r="I924">
        <f>VLOOKUP(A924,MIN!A:B,2,FALSE)</f>
        <v>15</v>
      </c>
      <c r="J924" t="str">
        <f t="shared" si="37"/>
        <v>NO</v>
      </c>
      <c r="K924">
        <f>VLOOKUP(A924,[1]Pricing!$A:$G,7,FALSE)</f>
        <v>10000</v>
      </c>
      <c r="L924" t="s">
        <v>1960</v>
      </c>
      <c r="M924" t="str">
        <f t="shared" si="38"/>
        <v>615-A00424-120</v>
      </c>
    </row>
    <row r="925" spans="1:13" x14ac:dyDescent="0.25">
      <c r="A925" t="s">
        <v>1371</v>
      </c>
      <c r="B925" s="14" t="str">
        <f>VLOOKUP(A925,[1]Pricing!$A:$R,18,FALSE)</f>
        <v>RC0805FR-0730K1L</v>
      </c>
      <c r="C925" t="s">
        <v>2580</v>
      </c>
      <c r="D925" t="str">
        <f>VLOOKUP(A925,[1]AVL!$A:$F,6,FALSE)</f>
        <v>RES,0805,30.1K,1%,1/10W,ROHS</v>
      </c>
      <c r="E925" t="str">
        <f>VLOOKUP(A925,[1]Pricing!$A:$F,6,FALSE)</f>
        <v>23 Weeks</v>
      </c>
      <c r="F925">
        <f>VLOOKUP(B925,[2]Sheet2!$B:$E,4,FALSE)</f>
        <v>5000</v>
      </c>
      <c r="G925" s="2">
        <f>VLOOKUP(A925,[1]Pricing!$A:$H,8,FALSE)</f>
        <v>9.4800000000000006E-3</v>
      </c>
      <c r="H925" s="2">
        <f>VLOOKUP(A925,[1]Pricing!$A:$J,10,FALSE)</f>
        <v>1.1560975609756099E-2</v>
      </c>
      <c r="I925">
        <f>VLOOKUP(A925,MIN!A:B,2,FALSE)</f>
        <v>15</v>
      </c>
      <c r="J925" t="str">
        <f t="shared" si="37"/>
        <v>NO</v>
      </c>
      <c r="K925">
        <f>VLOOKUP(A925,[1]Pricing!$A:$G,7,FALSE)</f>
        <v>5000</v>
      </c>
      <c r="L925" t="s">
        <v>1960</v>
      </c>
      <c r="M925" t="str">
        <f t="shared" si="38"/>
        <v>615-901302-301</v>
      </c>
    </row>
    <row r="926" spans="1:13" x14ac:dyDescent="0.25">
      <c r="A926" t="s">
        <v>1365</v>
      </c>
      <c r="B926" s="14" t="str">
        <f>VLOOKUP(A926,[1]Pricing!$A:$R,18,FALSE)</f>
        <v>RC0805FR-071K27L</v>
      </c>
      <c r="C926" t="s">
        <v>2580</v>
      </c>
      <c r="D926" t="str">
        <f>VLOOKUP(A926,[1]AVL!$A:$F,6,FALSE)</f>
        <v>RES,SMD,0805,1.27K,1%,1/10W,ROHS</v>
      </c>
      <c r="E926" t="str">
        <f>VLOOKUP(A926,[1]Pricing!$A:$F,6,FALSE)</f>
        <v>31 Weeks</v>
      </c>
      <c r="F926">
        <f>VLOOKUP(B926,[2]Sheet2!$B:$E,4,FALSE)</f>
        <v>50000</v>
      </c>
      <c r="G926" s="2">
        <f>VLOOKUP(A926,[1]Pricing!$A:$H,8,FALSE)</f>
        <v>6.6179999999999998E-3</v>
      </c>
      <c r="H926" s="2">
        <f>VLOOKUP(A926,[1]Pricing!$A:$J,10,FALSE)</f>
        <v>8.0707317073170741E-3</v>
      </c>
      <c r="I926">
        <f>VLOOKUP(A926,MIN!A:B,2,FALSE)</f>
        <v>15</v>
      </c>
      <c r="J926" t="str">
        <f t="shared" si="37"/>
        <v>NO</v>
      </c>
      <c r="K926">
        <f>VLOOKUP(A926,[1]Pricing!$A:$G,7,FALSE)</f>
        <v>50000</v>
      </c>
      <c r="L926" t="s">
        <v>1960</v>
      </c>
      <c r="M926" t="str">
        <f t="shared" si="38"/>
        <v>615-901301-127</v>
      </c>
    </row>
    <row r="927" spans="1:13" x14ac:dyDescent="0.25">
      <c r="A927" t="s">
        <v>648</v>
      </c>
      <c r="B927" s="14" t="str">
        <f>VLOOKUP(A927,[1]Pricing!$A:$R,18,FALSE)</f>
        <v>CL10B103KA8NNNC</v>
      </c>
      <c r="C927" t="s">
        <v>2636</v>
      </c>
      <c r="D927" t="str">
        <f>VLOOKUP(A927,[1]AVL!$A:$F,6,FALSE)</f>
        <v>CAP,SMD,CER,0.01UF,±10% TOL,25VDC,0603</v>
      </c>
      <c r="E927" t="str">
        <f>VLOOKUP(A927,[1]Pricing!$A:$F,6,FALSE)</f>
        <v>4 Weeks</v>
      </c>
      <c r="F927">
        <f>VLOOKUP(B927,[2]Sheet2!$B:$E,4,FALSE)</f>
        <v>4000</v>
      </c>
      <c r="G927" s="2">
        <f>VLOOKUP(A927,[1]Pricing!$A:$H,8,FALSE)</f>
        <v>2.2000000000000001E-3</v>
      </c>
      <c r="H927" s="2">
        <f>VLOOKUP(A927,[1]Pricing!$A:$J,10,FALSE)</f>
        <v>2.6829268292682929E-3</v>
      </c>
      <c r="I927">
        <f>VLOOKUP(A927,MIN!A:B,2,FALSE)</f>
        <v>25</v>
      </c>
      <c r="J927" t="str">
        <f t="shared" si="37"/>
        <v>NO</v>
      </c>
      <c r="K927">
        <f>VLOOKUP(A927,[1]Pricing!$A:$G,7,FALSE)</f>
        <v>4000</v>
      </c>
      <c r="L927" t="s">
        <v>1960</v>
      </c>
      <c r="M927" t="str">
        <f t="shared" si="38"/>
        <v>648-346027-103</v>
      </c>
    </row>
    <row r="928" spans="1:13" x14ac:dyDescent="0.25">
      <c r="A928" t="s">
        <v>197</v>
      </c>
      <c r="B928" s="14" t="str">
        <f>VLOOKUP(A928,[1]Pricing!$A:$R,18,FALSE)</f>
        <v>3005W5PXX49E40X</v>
      </c>
      <c r="C928" t="s">
        <v>2592</v>
      </c>
      <c r="D928" t="str">
        <f>VLOOKUP(A928,[1]AVL!$A:$F,6,FALSE)</f>
        <v>CONN,PLUG,DSUB,5 PIN,20 AMP</v>
      </c>
      <c r="E928" t="str">
        <f>VLOOKUP(A928,[1]Pricing!$A:$F,6,FALSE)</f>
        <v>29 Weeks</v>
      </c>
      <c r="F928">
        <f>VLOOKUP(B928,[2]Sheet2!$B:$E,4,FALSE)</f>
        <v>60</v>
      </c>
      <c r="G928" s="2">
        <f>VLOOKUP(A928,[1]Pricing!$A:$H,8,FALSE)</f>
        <v>15.877174</v>
      </c>
      <c r="H928" s="2">
        <f>VLOOKUP(A928,[1]Pricing!$A:$J,10,FALSE)</f>
        <v>19.362407317073171</v>
      </c>
      <c r="I928">
        <f>VLOOKUP(A928,MIN!A:B,2,FALSE)</f>
        <v>15</v>
      </c>
      <c r="J928" t="str">
        <f t="shared" si="37"/>
        <v>NO</v>
      </c>
      <c r="K928">
        <f>VLOOKUP(A928,[1]Pricing!$A:$G,7,FALSE)</f>
        <v>30</v>
      </c>
      <c r="L928" t="s">
        <v>1960</v>
      </c>
      <c r="M928" t="str">
        <f t="shared" si="38"/>
        <v>668-109164-001</v>
      </c>
    </row>
    <row r="929" spans="1:13" x14ac:dyDescent="0.25">
      <c r="A929" t="s">
        <v>1042</v>
      </c>
      <c r="B929" s="14" t="str">
        <f>VLOOKUP(A929,[1]Pricing!$A:$R,18,FALSE)</f>
        <v>LM339MX/NOPB</v>
      </c>
      <c r="C929" t="s">
        <v>2594</v>
      </c>
      <c r="D929" t="str">
        <f>VLOOKUP(A929,[1]AVL!$A:$F,6,FALSE)</f>
        <v>IC,LM339,QUAD COMP,SO14,ROHS</v>
      </c>
      <c r="E929" t="str">
        <f>VLOOKUP(A929,[1]Pricing!$A:$F,6,FALSE)</f>
        <v>19 Weeks</v>
      </c>
      <c r="F929">
        <f>VLOOKUP(B929,[2]Sheet2!$B:$E,4,FALSE)</f>
        <v>2494</v>
      </c>
      <c r="G929" s="2">
        <f>VLOOKUP(A929,[1]Pricing!$A:$H,8,FALSE)</f>
        <v>0.48218</v>
      </c>
      <c r="H929" s="2">
        <f>VLOOKUP(A929,[1]Pricing!$A:$J,10,FALSE)</f>
        <v>0.58802439024390252</v>
      </c>
      <c r="I929">
        <f>VLOOKUP(A929,MIN!A:B,2,FALSE)</f>
        <v>25</v>
      </c>
      <c r="J929" t="str">
        <f t="shared" si="37"/>
        <v>NO</v>
      </c>
      <c r="K929">
        <f>VLOOKUP(A929,[1]Pricing!$A:$G,7,FALSE)</f>
        <v>2500</v>
      </c>
      <c r="L929" t="s">
        <v>1960</v>
      </c>
      <c r="M929" t="str">
        <f t="shared" si="38"/>
        <v>630-900405-001</v>
      </c>
    </row>
    <row r="930" spans="1:13" x14ac:dyDescent="0.25">
      <c r="A930" t="s">
        <v>1236</v>
      </c>
      <c r="B930" s="14" t="str">
        <f>VLOOKUP(A930,[1]Pricing!$A:$R,18,FALSE)</f>
        <v>PATT0603E2001BGT1</v>
      </c>
      <c r="C930" t="s">
        <v>2617</v>
      </c>
      <c r="D930" t="str">
        <f>VLOOKUP(A930,[1]AVL!$A:$F,6,FALSE)</f>
        <v>RES,0603,THIN FILM,0.1%,25 PPM,0.15W,2K</v>
      </c>
      <c r="E930" t="str">
        <f>VLOOKUP(A930,[1]Pricing!$A:$F,6,FALSE)</f>
        <v>70 Weeks</v>
      </c>
      <c r="F930">
        <v>0</v>
      </c>
      <c r="G930" s="2">
        <f>VLOOKUP(A930,[1]Pricing!$A:$H,8,FALSE)</f>
        <v>0.52348499999999998</v>
      </c>
      <c r="H930" s="2">
        <f>VLOOKUP(A930,[1]Pricing!$A:$J,10,FALSE)</f>
        <v>0.63839634146341462</v>
      </c>
      <c r="I930">
        <f>VLOOKUP(A930,MIN!A:B,2,FALSE)</f>
        <v>25</v>
      </c>
      <c r="J930" t="str">
        <f t="shared" si="37"/>
        <v>REORDER</v>
      </c>
      <c r="K930">
        <f>VLOOKUP(A930,[1]Pricing!$A:$G,7,FALSE)</f>
        <v>1000</v>
      </c>
      <c r="M930" t="str">
        <f t="shared" si="38"/>
        <v>615-224835-001</v>
      </c>
    </row>
    <row r="931" spans="1:13" x14ac:dyDescent="0.25">
      <c r="A931" t="s">
        <v>633</v>
      </c>
      <c r="B931" s="14" t="str">
        <f>VLOOKUP(A931,[1]Pricing!$A:$R,18,FALSE)</f>
        <v>CF1/2CT52R471J</v>
      </c>
      <c r="C931" t="s">
        <v>2667</v>
      </c>
      <c r="D931" t="str">
        <f>VLOOKUP(A931,[1]AVL!$A:$F,6,FALSE)</f>
        <v>RES 1/2W 5% 470 CF, ROHS</v>
      </c>
      <c r="E931" t="str">
        <f>VLOOKUP(A931,[1]Pricing!$A:$F,6,FALSE)</f>
        <v>3 Weeks</v>
      </c>
      <c r="F931">
        <f>VLOOKUP(B931,[2]Sheet2!$B:$E,4,FALSE)</f>
        <v>4000</v>
      </c>
      <c r="G931" s="2">
        <f>VLOOKUP(A931,[1]Pricing!$A:$H,8,FALSE)</f>
        <v>0.15160000000000001</v>
      </c>
      <c r="H931" s="2">
        <f>VLOOKUP(A931,[1]Pricing!$A:$J,10,FALSE)</f>
        <v>0.18487804878048783</v>
      </c>
      <c r="I931">
        <f>VLOOKUP(A931,MIN!A:B,2,FALSE)</f>
        <v>25</v>
      </c>
      <c r="J931" t="str">
        <f t="shared" si="37"/>
        <v>NO</v>
      </c>
      <c r="K931">
        <f>VLOOKUP(A931,[1]Pricing!$A:$G,7,FALSE)</f>
        <v>4000</v>
      </c>
      <c r="L931" t="s">
        <v>1960</v>
      </c>
      <c r="M931" t="str">
        <f t="shared" si="38"/>
        <v>619-000387-471</v>
      </c>
    </row>
    <row r="932" spans="1:13" x14ac:dyDescent="0.25">
      <c r="A932" t="s">
        <v>285</v>
      </c>
      <c r="B932" s="14" t="str">
        <f>VLOOKUP(A932,[1]Pricing!$A:$R,18,FALSE)</f>
        <v>4750-2-28</v>
      </c>
      <c r="C932" t="s">
        <v>2739</v>
      </c>
      <c r="D932" t="str">
        <f>VLOOKUP(A932,[1]AVL!$A:$F,6,FALSE)</f>
        <v>JACK SCRW,1/4L,3/16H</v>
      </c>
      <c r="E932" t="str">
        <f>VLOOKUP(A932,[1]Pricing!$A:$F,6,FALSE)</f>
        <v>12 Weeks</v>
      </c>
      <c r="F932">
        <f>VLOOKUP(B932,[2]Sheet2!$B:$E,4,FALSE)</f>
        <v>35</v>
      </c>
      <c r="G932" s="2">
        <f>VLOOKUP(A932,[1]Pricing!$A:$H,8,FALSE)</f>
        <v>0.38</v>
      </c>
      <c r="H932" s="2">
        <f>VLOOKUP(A932,[1]Pricing!$A:$J,10,FALSE)</f>
        <v>0.46341463414634149</v>
      </c>
      <c r="I932">
        <f>VLOOKUP(A932,MIN!A:B,2,FALSE)</f>
        <v>25</v>
      </c>
      <c r="J932" t="str">
        <f t="shared" si="37"/>
        <v>NO</v>
      </c>
      <c r="K932">
        <f>VLOOKUP(A932,[1]Pricing!$A:$G,7,FALSE)</f>
        <v>100</v>
      </c>
      <c r="L932" t="s">
        <v>2689</v>
      </c>
      <c r="M932" t="str">
        <f t="shared" si="38"/>
        <v>20-056427-00</v>
      </c>
    </row>
    <row r="933" spans="1:13" x14ac:dyDescent="0.25">
      <c r="A933" t="s">
        <v>1108</v>
      </c>
      <c r="B933" s="14" t="str">
        <f>VLOOKUP(A933,[1]Pricing!$A:$R,18,FALSE)</f>
        <v>LTM8055EY#PBF</v>
      </c>
      <c r="C933" t="s">
        <v>2734</v>
      </c>
      <c r="D933" t="str">
        <f>VLOOKUP(A933,[1]AVL!$A:$F,6,FALSE)</f>
        <v>PS,36VIN,8.5V BUCK-BOOST UMODULE,ROHS</v>
      </c>
      <c r="E933" t="str">
        <f>VLOOKUP(A933,[1]Pricing!$A:$F,6,FALSE)</f>
        <v>16 Weeks</v>
      </c>
      <c r="F933">
        <f>VLOOKUP(B933,[2]Sheet2!$B:$E,4,FALSE)</f>
        <v>60</v>
      </c>
      <c r="G933" s="2">
        <f>VLOOKUP(A933,[1]Pricing!$A:$H,8,FALSE)</f>
        <v>39.706200000000003</v>
      </c>
      <c r="H933" s="2">
        <f>VLOOKUP(A933,[1]Pricing!$A:$J,10,FALSE)</f>
        <v>48.422195121951226</v>
      </c>
      <c r="I933">
        <f>VLOOKUP(A933,MIN!A:B,2,FALSE)</f>
        <v>15</v>
      </c>
      <c r="J933" t="str">
        <f t="shared" si="37"/>
        <v>NO</v>
      </c>
      <c r="K933">
        <f>VLOOKUP(A933,[1]Pricing!$A:$G,7,FALSE)</f>
        <v>60</v>
      </c>
      <c r="L933" t="s">
        <v>1960</v>
      </c>
      <c r="M933" t="str">
        <f t="shared" si="38"/>
        <v>660-229191-001</v>
      </c>
    </row>
    <row r="934" spans="1:13" x14ac:dyDescent="0.25">
      <c r="A934" t="s">
        <v>778</v>
      </c>
      <c r="B934" s="14" t="str">
        <f>VLOOKUP(A934,[1]Pricing!$A:$R,18,FALSE)</f>
        <v>ER1641-101KM</v>
      </c>
      <c r="C934" t="s">
        <v>2740</v>
      </c>
      <c r="D934" t="str">
        <f>VLOOKUP(A934,[1]AVL!$A:$F,6,FALSE)</f>
        <v>IDCTR,RF,.1UH,.025OHM,10%TOL</v>
      </c>
      <c r="E934" t="str">
        <f>VLOOKUP(A934,[1]Pricing!$A:$F,6,FALSE)</f>
        <v>16 Weeks</v>
      </c>
      <c r="F934">
        <f>VLOOKUP(B934,[2]Sheet2!$B:$E,4,FALSE)</f>
        <v>60</v>
      </c>
      <c r="G934" s="2">
        <f>VLOOKUP(A934,[1]Pricing!$A:$H,8,FALSE)</f>
        <v>16.254052000000001</v>
      </c>
      <c r="H934" s="2">
        <f>VLOOKUP(A934,[1]Pricing!$A:$J,10,FALSE)</f>
        <v>19.822014634146345</v>
      </c>
      <c r="I934">
        <f>VLOOKUP(A934,MIN!A:B,2,FALSE)</f>
        <v>15</v>
      </c>
      <c r="J934" t="str">
        <f t="shared" si="37"/>
        <v>NO</v>
      </c>
      <c r="K934">
        <f>VLOOKUP(A934,[1]Pricing!$A:$G,7,FALSE)</f>
        <v>60</v>
      </c>
      <c r="L934" t="s">
        <v>2689</v>
      </c>
      <c r="M934" t="str">
        <f t="shared" si="38"/>
        <v>641-B10665-001</v>
      </c>
    </row>
    <row r="935" spans="1:13" x14ac:dyDescent="0.25">
      <c r="A935" t="s">
        <v>222</v>
      </c>
      <c r="B935" s="14" t="str">
        <f>VLOOKUP(A935,[1]Pricing!$A:$R,18,FALSE)</f>
        <v>3048-B-632-B-16</v>
      </c>
      <c r="C935" t="s">
        <v>2739</v>
      </c>
      <c r="D935" t="str">
        <f>VLOOKUP(A935,[1]AVL!$A:$F,6,FALSE)</f>
        <v>STDF,RND,SWAGE1/4 5/16" 6-32,0.105",ROHS</v>
      </c>
      <c r="E935" t="str">
        <f>VLOOKUP(A935,[1]Pricing!$A:$F,6,FALSE)</f>
        <v>TBD</v>
      </c>
      <c r="F935">
        <f>VLOOKUP(B935,[2]Sheet2!$B:$E,4,FALSE)</f>
        <v>174</v>
      </c>
      <c r="G935" s="2">
        <f>VLOOKUP(A935,[1]Pricing!$A:$H,8,FALSE)</f>
        <v>0.57799999999999996</v>
      </c>
      <c r="H935" s="2">
        <f>VLOOKUP(A935,[1]Pricing!$A:$J,10,FALSE)</f>
        <v>0.70487804878048776</v>
      </c>
      <c r="I935">
        <f>VLOOKUP(A935,MIN!A:B,2,FALSE)</f>
        <v>15</v>
      </c>
      <c r="J935" t="str">
        <f t="shared" si="37"/>
        <v>NO</v>
      </c>
      <c r="K935">
        <f>VLOOKUP(A935,[1]Pricing!$A:$G,7,FALSE)</f>
        <v>200</v>
      </c>
      <c r="L935" t="s">
        <v>1960</v>
      </c>
      <c r="M935" t="str">
        <f t="shared" si="38"/>
        <v>723-308078-031</v>
      </c>
    </row>
    <row r="936" spans="1:13" x14ac:dyDescent="0.25">
      <c r="A936" t="s">
        <v>1658</v>
      </c>
      <c r="B936" s="14" t="str">
        <f>VLOOKUP(A936,[1]Pricing!$A:$R,18,FALSE)</f>
        <v>SMF150</v>
      </c>
      <c r="C936" t="s">
        <v>2741</v>
      </c>
      <c r="D936" t="str">
        <f>VLOOKUP(A936,[1]AVL!$A:$F,6,FALSE)</f>
        <v>DIO,SMD,RECT,35V,10MA,15KV REV V</v>
      </c>
      <c r="E936" t="str">
        <f>VLOOKUP(A936,[1]Pricing!$A:$F,6,FALSE)</f>
        <v>3 Weeks</v>
      </c>
      <c r="F936">
        <f>VLOOKUP(B936,[2]Sheet2!$B:$E,4,FALSE)</f>
        <v>70</v>
      </c>
      <c r="G936" s="2">
        <f>VLOOKUP(A936,[1]Pricing!$A:$H,8,FALSE)</f>
        <v>11.49</v>
      </c>
      <c r="H936" s="2">
        <f>VLOOKUP(A936,[1]Pricing!$A:$J,10,FALSE)</f>
        <v>14.012195121951221</v>
      </c>
      <c r="I936">
        <f>VLOOKUP(A936,MIN!A:B,2,FALSE)</f>
        <v>25</v>
      </c>
      <c r="J936" t="str">
        <f t="shared" si="37"/>
        <v>NO</v>
      </c>
      <c r="K936">
        <f>VLOOKUP(A936,[1]Pricing!$A:$G,7,FALSE)</f>
        <v>50</v>
      </c>
      <c r="L936" t="s">
        <v>2689</v>
      </c>
      <c r="M936" t="str">
        <f t="shared" si="38"/>
        <v>609-326174-001</v>
      </c>
    </row>
    <row r="937" spans="1:13" x14ac:dyDescent="0.25">
      <c r="A937" t="s">
        <v>277</v>
      </c>
      <c r="B937" s="14" t="str">
        <f>VLOOKUP(A937,[1]Pricing!$A:$R,18,FALSE)</f>
        <v>43045-1200</v>
      </c>
      <c r="C937" t="s">
        <v>2610</v>
      </c>
      <c r="D937" t="str">
        <f>VLOOKUP(A937,[1]AVL!$A:$F,6,FALSE)</f>
        <v>CONN,HDR,RTANG,2 ROWS,12 CKT,PCB MT</v>
      </c>
      <c r="E937" t="str">
        <f>VLOOKUP(A937,[1]Pricing!$A:$F,6,FALSE)</f>
        <v>10 Weeks</v>
      </c>
      <c r="F937">
        <f>VLOOKUP(B937,[2]Sheet2!$B:$E,4,FALSE)</f>
        <v>1008</v>
      </c>
      <c r="G937" s="2">
        <f>VLOOKUP(A937,[1]Pricing!$A:$H,8,FALSE)</f>
        <v>1.94017</v>
      </c>
      <c r="H937" s="2">
        <f>VLOOKUP(A937,[1]Pricing!$A:$J,10,FALSE)</f>
        <v>2.3660609756097561</v>
      </c>
      <c r="I937">
        <f>VLOOKUP(A937,MIN!A:B,2,FALSE)</f>
        <v>15</v>
      </c>
      <c r="J937" t="str">
        <f t="shared" si="37"/>
        <v>NO</v>
      </c>
      <c r="K937">
        <f>VLOOKUP(A937,[1]Pricing!$A:$G,7,FALSE)</f>
        <v>1000</v>
      </c>
      <c r="L937" t="s">
        <v>1960</v>
      </c>
      <c r="M937" t="str">
        <f t="shared" si="38"/>
        <v>668-293080-012</v>
      </c>
    </row>
    <row r="938" spans="1:13" x14ac:dyDescent="0.25">
      <c r="A938" t="s">
        <v>137</v>
      </c>
      <c r="B938" s="14" t="str">
        <f>VLOOKUP(A938,[1]Pricing!$A:$R,18,FALSE)</f>
        <v>1812L200THPR</v>
      </c>
      <c r="C938" t="s">
        <v>2620</v>
      </c>
      <c r="D938" t="str">
        <f>VLOOKUP(A938,[1]AVL!$A:$F,6,FALSE)</f>
        <v>FUSE,SMD,1812,8V,2.0A,ROHS</v>
      </c>
      <c r="E938" t="str">
        <f>VLOOKUP(A938,[1]Pricing!$A:$F,6,FALSE)</f>
        <v>18 Weeks</v>
      </c>
      <c r="F938">
        <f>VLOOKUP(B938,[2]Sheet2!$B:$E,4,FALSE)</f>
        <v>2000</v>
      </c>
      <c r="G938" s="2">
        <f>VLOOKUP(A938,[1]Pricing!$A:$H,8,FALSE)</f>
        <v>0.23180300000000001</v>
      </c>
      <c r="H938" s="2">
        <f>VLOOKUP(A938,[1]Pricing!$A:$J,10,FALSE)</f>
        <v>0.28268658536585367</v>
      </c>
      <c r="I938">
        <f>VLOOKUP(A938,MIN!A:B,2,FALSE)</f>
        <v>15</v>
      </c>
      <c r="J938" t="str">
        <f t="shared" si="37"/>
        <v>NO</v>
      </c>
      <c r="K938">
        <f>VLOOKUP(A938,[1]Pricing!$A:$G,7,FALSE)</f>
        <v>2000</v>
      </c>
      <c r="L938" t="s">
        <v>1960</v>
      </c>
      <c r="M938" t="str">
        <f t="shared" si="38"/>
        <v>682-020656-012</v>
      </c>
    </row>
    <row r="939" spans="1:13" x14ac:dyDescent="0.25">
      <c r="A939" t="s">
        <v>889</v>
      </c>
      <c r="B939" s="14" t="str">
        <f>VLOOKUP(A939,[1]Pricing!$A:$R,18,FALSE)</f>
        <v>FDD8447L</v>
      </c>
      <c r="C939" t="s">
        <v>2623</v>
      </c>
      <c r="D939" t="str">
        <f>VLOOKUP(A939,[1]AVL!$A:$F,6,FALSE)</f>
        <v>XSTR,SMD,FIELD EFT,N-CHAN,40V,50A,TO-252</v>
      </c>
      <c r="E939" t="str">
        <f>VLOOKUP(A939,[1]Pricing!$A:$F,6,FALSE)</f>
        <v>6 Weeks</v>
      </c>
      <c r="F939">
        <f>VLOOKUP(B939,[2]Sheet2!$B:$E,4,FALSE)</f>
        <v>2484</v>
      </c>
      <c r="G939" s="2">
        <f>VLOOKUP(A939,[1]Pricing!$A:$H,8,FALSE)</f>
        <v>0.42099999999999999</v>
      </c>
      <c r="H939" s="2">
        <f>VLOOKUP(A939,[1]Pricing!$A:$J,10,FALSE)</f>
        <v>0.51341463414634148</v>
      </c>
      <c r="I939">
        <f>VLOOKUP(A939,MIN!A:B,2,FALSE)</f>
        <v>25</v>
      </c>
      <c r="J939" t="str">
        <f t="shared" si="37"/>
        <v>NO</v>
      </c>
      <c r="K939">
        <f>VLOOKUP(A939,[1]Pricing!$A:$G,7,FALSE)</f>
        <v>2500</v>
      </c>
      <c r="L939" t="s">
        <v>2689</v>
      </c>
      <c r="M939" t="str">
        <f t="shared" si="38"/>
        <v>626-B55941-001</v>
      </c>
    </row>
    <row r="940" spans="1:13" x14ac:dyDescent="0.25">
      <c r="A940" t="s">
        <v>688</v>
      </c>
      <c r="B940" s="14" t="str">
        <f>VLOOKUP(A940,[1]Pricing!$A:$R,18,FALSE)</f>
        <v>CRCW12061K91FKEA</v>
      </c>
      <c r="C940" t="s">
        <v>2617</v>
      </c>
      <c r="D940" t="str">
        <f>VLOOKUP(A940,[1]AVL!$A:$F,6,FALSE)</f>
        <v>RES,SMD,1206,1.91K,1%,1/4W,ROHS</v>
      </c>
      <c r="E940" t="str">
        <f>VLOOKUP(A940,[1]Pricing!$A:$F,6,FALSE)</f>
        <v>6 Weeks</v>
      </c>
      <c r="F940">
        <f>VLOOKUP(B940,[2]Sheet2!$B:$E,4,FALSE)</f>
        <v>5000</v>
      </c>
      <c r="G940" s="2">
        <f>VLOOKUP(A940,[1]Pricing!$A:$H,8,FALSE)</f>
        <v>1.205E-2</v>
      </c>
      <c r="H940" s="2">
        <f>VLOOKUP(A940,[1]Pricing!$A:$J,10,FALSE)</f>
        <v>1.4695121951219513E-2</v>
      </c>
      <c r="I940">
        <f>VLOOKUP(A940,MIN!A:B,2,FALSE)</f>
        <v>250</v>
      </c>
      <c r="J940" t="str">
        <f t="shared" si="37"/>
        <v>NO</v>
      </c>
      <c r="K940">
        <f>VLOOKUP(A940,[1]Pricing!$A:$G,7,FALSE)</f>
        <v>5000</v>
      </c>
      <c r="L940" t="s">
        <v>1960</v>
      </c>
      <c r="M940" t="str">
        <f t="shared" si="38"/>
        <v>615-116028-191</v>
      </c>
    </row>
    <row r="941" spans="1:13" x14ac:dyDescent="0.25">
      <c r="A941" t="s">
        <v>693</v>
      </c>
      <c r="B941" s="14" t="str">
        <f>VLOOKUP(A941,[1]Pricing!$A:$R,18,FALSE)</f>
        <v>CRCW12062K49FKEA</v>
      </c>
      <c r="C941" t="s">
        <v>2617</v>
      </c>
      <c r="D941" t="str">
        <f>VLOOKUP(A941,[1]AVL!$A:$F,6,FALSE)</f>
        <v>RES,SMD,1206,2.49K,1%,1/4W,ROHS</v>
      </c>
      <c r="E941" t="str">
        <f>VLOOKUP(A941,[1]Pricing!$A:$F,6,FALSE)</f>
        <v>6 Weeks</v>
      </c>
      <c r="F941">
        <f>VLOOKUP(B941,[2]Sheet2!$B:$E,4,FALSE)</f>
        <v>5000</v>
      </c>
      <c r="G941" s="2">
        <f>VLOOKUP(A941,[1]Pricing!$A:$H,8,FALSE)</f>
        <v>1.205E-2</v>
      </c>
      <c r="H941" s="2">
        <f>VLOOKUP(A941,[1]Pricing!$A:$J,10,FALSE)</f>
        <v>1.4695121951219513E-2</v>
      </c>
      <c r="I941">
        <f>VLOOKUP(A941,MIN!A:B,2,FALSE)</f>
        <v>250</v>
      </c>
      <c r="J941" t="str">
        <f t="shared" si="37"/>
        <v>NO</v>
      </c>
      <c r="K941">
        <f>VLOOKUP(A941,[1]Pricing!$A:$G,7,FALSE)</f>
        <v>5000</v>
      </c>
      <c r="L941" t="s">
        <v>2689</v>
      </c>
      <c r="M941" t="str">
        <f t="shared" si="38"/>
        <v>615-116028-249</v>
      </c>
    </row>
    <row r="942" spans="1:13" x14ac:dyDescent="0.25">
      <c r="A942" t="s">
        <v>1860</v>
      </c>
      <c r="B942" s="14" t="str">
        <f>VLOOKUP(A942,[1]Pricing!$A:$R,18,FALSE)</f>
        <v>XCZU3CG-1SFVC784E</v>
      </c>
      <c r="C942" t="s">
        <v>2606</v>
      </c>
      <c r="D942" t="str">
        <f>VLOOKUP(A942,[1]AVL!$A:$F,6,FALSE)</f>
        <v>IC,SMD,DUAL-ARM,CORTEX-A53,1.8MB,SFVC784</v>
      </c>
      <c r="E942" t="str">
        <f>VLOOKUP(A942,[1]Pricing!$A:$F,6,FALSE)</f>
        <v>26 Weeks</v>
      </c>
      <c r="F942">
        <f>VLOOKUP(B942,[2]Sheet2!$B:$E,4,FALSE)</f>
        <v>50</v>
      </c>
      <c r="G942" s="2">
        <f>VLOOKUP(A942,[1]Pricing!$A:$H,8,FALSE)</f>
        <v>472.72437000000002</v>
      </c>
      <c r="H942" s="2">
        <f>VLOOKUP(A942,[1]Pricing!$A:$J,10,FALSE)</f>
        <v>576.4931341463415</v>
      </c>
      <c r="I942">
        <f>VLOOKUP(A942,MIN!A:B,2,FALSE)</f>
        <v>25</v>
      </c>
      <c r="J942" t="str">
        <f t="shared" si="37"/>
        <v>NO</v>
      </c>
      <c r="K942">
        <f>VLOOKUP(A942,[1]Pricing!$A:$G,7,FALSE)</f>
        <v>50</v>
      </c>
      <c r="L942" t="s">
        <v>1960</v>
      </c>
      <c r="M942" t="str">
        <f t="shared" si="38"/>
        <v>630-337692-002</v>
      </c>
    </row>
    <row r="943" spans="1:13" x14ac:dyDescent="0.25">
      <c r="A943" t="s">
        <v>237</v>
      </c>
      <c r="B943" s="14" t="str">
        <f>VLOOKUP(A943,[1]Pricing!$A:$R,18,FALSE)</f>
        <v>3296W-1-505LF</v>
      </c>
      <c r="C943" t="s">
        <v>2648</v>
      </c>
      <c r="D943" t="str">
        <f>VLOOKUP(A943,[1]AVL!$A:$F,6,FALSE)</f>
        <v>POT TRIM,5MEG,25T,PCMT,ROHS</v>
      </c>
      <c r="E943" t="str">
        <f>VLOOKUP(A943,[1]Pricing!$A:$F,6,FALSE)</f>
        <v>10 Weeks</v>
      </c>
      <c r="F943">
        <f>VLOOKUP(B943,[2]Sheet2!$B:$E,4,FALSE)</f>
        <v>1998</v>
      </c>
      <c r="G943" s="2">
        <f>VLOOKUP(A943,[1]Pricing!$A:$H,8,FALSE)</f>
        <v>1.0747640000000001</v>
      </c>
      <c r="H943" s="2">
        <f>VLOOKUP(A943,[1]Pricing!$A:$J,10,FALSE)</f>
        <v>1.3106878048780488</v>
      </c>
      <c r="I943">
        <f>VLOOKUP(A943,MIN!A:B,2,FALSE)</f>
        <v>15</v>
      </c>
      <c r="J943" t="str">
        <f t="shared" si="37"/>
        <v>NO</v>
      </c>
      <c r="K943">
        <f>VLOOKUP(A943,[1]Pricing!$A:$G,7,FALSE)</f>
        <v>2000</v>
      </c>
      <c r="L943" t="s">
        <v>1960</v>
      </c>
      <c r="M943" t="str">
        <f t="shared" si="38"/>
        <v>621-095110-505</v>
      </c>
    </row>
    <row r="944" spans="1:13" x14ac:dyDescent="0.25">
      <c r="A944" t="s">
        <v>407</v>
      </c>
      <c r="B944" s="14" t="str">
        <f>VLOOKUP(A944,[1]Pricing!$A:$R,18,FALSE)</f>
        <v>747-LF2104NTR</v>
      </c>
      <c r="C944" t="s">
        <v>2620</v>
      </c>
      <c r="D944" t="str">
        <f>VLOOKUP(A944,[1]AVL!$A:$F,6,FALSE)</f>
        <v>IC,SMD,GATE DRIVER,2CHAN,10-20V,SOIC-8</v>
      </c>
      <c r="E944" t="str">
        <f>VLOOKUP(A944,[1]Pricing!$A:$F,6,FALSE)</f>
        <v>27 Weeks</v>
      </c>
      <c r="F944">
        <f>VLOOKUP(B944,[2]Sheet2!$B:$E,4,FALSE)</f>
        <v>145</v>
      </c>
      <c r="G944" s="2">
        <f>VLOOKUP(A944,[1]Pricing!$A:$H,8,FALSE)</f>
        <v>0.843144</v>
      </c>
      <c r="H944" s="2">
        <f>VLOOKUP(A944,[1]Pricing!$A:$J,10,FALSE)</f>
        <v>1.0282243902439026</v>
      </c>
      <c r="I944">
        <f>VLOOKUP(A944,MIN!A:B,2,FALSE)</f>
        <v>15</v>
      </c>
      <c r="J944" t="str">
        <f t="shared" si="37"/>
        <v>NO</v>
      </c>
      <c r="K944">
        <f>VLOOKUP(A944,[1]Pricing!$A:$G,7,FALSE)</f>
        <v>200</v>
      </c>
      <c r="L944" t="s">
        <v>1960</v>
      </c>
      <c r="M944" t="str">
        <f t="shared" si="38"/>
        <v>630-B10043-001</v>
      </c>
    </row>
    <row r="945" spans="1:13" x14ac:dyDescent="0.25">
      <c r="A945" t="s">
        <v>895</v>
      </c>
      <c r="B945" s="14" t="str">
        <f>VLOOKUP(A945,[1]Pricing!$A:$R,18,FALSE)</f>
        <v>FDMS86152</v>
      </c>
      <c r="C945" t="s">
        <v>2623</v>
      </c>
      <c r="D945" t="str">
        <f>VLOOKUP(A945,[1]AVL!$A:$F,6,FALSE)</f>
        <v>XSTR,SMD,FIELD EFT,N CHAN,100V,45A</v>
      </c>
      <c r="E945" t="str">
        <f>VLOOKUP(A945,[1]Pricing!$A:$F,6,FALSE)</f>
        <v>3 Weeks</v>
      </c>
      <c r="F945">
        <f>VLOOKUP(B945,[2]Sheet2!$B:$E,4,FALSE)</f>
        <v>60</v>
      </c>
      <c r="G945" s="2">
        <f>VLOOKUP(A945,[1]Pricing!$A:$H,8,FALSE)</f>
        <v>3.7255199999999999</v>
      </c>
      <c r="H945" s="2">
        <f>VLOOKUP(A945,[1]Pricing!$A:$J,10,FALSE)</f>
        <v>4.5433170731707317</v>
      </c>
      <c r="I945">
        <f>VLOOKUP(A945,MIN!A:B,2,FALSE)</f>
        <v>15</v>
      </c>
      <c r="J945" t="str">
        <f t="shared" si="37"/>
        <v>NO</v>
      </c>
      <c r="K945">
        <f>VLOOKUP(A945,[1]Pricing!$A:$G,7,FALSE)</f>
        <v>60</v>
      </c>
      <c r="L945" t="s">
        <v>1960</v>
      </c>
      <c r="M945" t="str">
        <f t="shared" si="38"/>
        <v>626-291284-001</v>
      </c>
    </row>
    <row r="946" spans="1:13" x14ac:dyDescent="0.25">
      <c r="A946" t="s">
        <v>1709</v>
      </c>
      <c r="B946" s="14" t="str">
        <f>VLOOKUP(A946,[1]Pricing!$A:$R,18,FALSE)</f>
        <v>SS23</v>
      </c>
      <c r="C946" t="s">
        <v>2623</v>
      </c>
      <c r="D946" t="str">
        <f>VLOOKUP(A946,[1]AVL!$A:$F,6,FALSE)</f>
        <v>DIO,SMD,SCHOTTKY,30V,2A</v>
      </c>
      <c r="E946" t="str">
        <f>VLOOKUP(A946,[1]Pricing!$A:$F,6,FALSE)</f>
        <v>11 Weeks</v>
      </c>
      <c r="F946">
        <f>VLOOKUP(B946,[2]Sheet2!$B:$E,4,FALSE)</f>
        <v>750</v>
      </c>
      <c r="G946" s="2">
        <f>VLOOKUP(A946,[1]Pricing!$A:$H,8,FALSE)</f>
        <v>0.14599999999999999</v>
      </c>
      <c r="H946" s="2">
        <f>VLOOKUP(A946,[1]Pricing!$A:$J,10,FALSE)</f>
        <v>0.17804878048780487</v>
      </c>
      <c r="I946">
        <f>VLOOKUP(A946,MIN!A:B,2,FALSE)</f>
        <v>15</v>
      </c>
      <c r="J946" t="str">
        <f t="shared" si="37"/>
        <v>NO</v>
      </c>
      <c r="K946">
        <f>VLOOKUP(A946,[1]Pricing!$A:$G,7,FALSE)</f>
        <v>750</v>
      </c>
      <c r="L946" t="s">
        <v>1960</v>
      </c>
      <c r="M946" t="str">
        <f t="shared" si="38"/>
        <v>609-066834-030</v>
      </c>
    </row>
  </sheetData>
  <autoFilter ref="A1:M946" xr:uid="{725E6000-B6E3-4095-91DE-FF82B931280F}"/>
  <conditionalFormatting sqref="A1:A1048576">
    <cfRule type="duplicateValues" dxfId="18" priority="3"/>
  </conditionalFormatting>
  <conditionalFormatting sqref="B1:B1048576">
    <cfRule type="duplicateValues" dxfId="17" priority="1"/>
  </conditionalFormatting>
  <conditionalFormatting sqref="D1:D946">
    <cfRule type="cellIs" dxfId="16" priority="5" operator="equal">
      <formula>0</formula>
    </cfRule>
  </conditionalFormatting>
  <conditionalFormatting sqref="J1:J1048576">
    <cfRule type="containsText" dxfId="15" priority="2" operator="containsText" text="REORDER">
      <formula>NOT(ISERROR(SEARCH("REORDER",J1)))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B17B-29AE-4ED4-9A79-031DAFE1CE6D}">
  <dimension ref="A1:K46"/>
  <sheetViews>
    <sheetView workbookViewId="0">
      <selection activeCell="I20" sqref="I20"/>
    </sheetView>
  </sheetViews>
  <sheetFormatPr defaultRowHeight="15" x14ac:dyDescent="0.25"/>
  <cols>
    <col min="1" max="1" width="16.5703125" customWidth="1"/>
    <col min="2" max="2" width="20.28515625" bestFit="1" customWidth="1"/>
    <col min="3" max="3" width="38.140625" bestFit="1" customWidth="1"/>
    <col min="4" max="4" width="41.42578125" bestFit="1" customWidth="1"/>
    <col min="5" max="5" width="13.85546875" bestFit="1" customWidth="1"/>
    <col min="6" max="6" width="14.140625" customWidth="1"/>
    <col min="7" max="7" width="8.85546875" customWidth="1"/>
    <col min="8" max="8" width="15.85546875" bestFit="1" customWidth="1"/>
    <col min="9" max="9" width="14.42578125" customWidth="1"/>
    <col min="10" max="10" width="13.42578125" bestFit="1" customWidth="1"/>
    <col min="11" max="11" width="14.42578125" customWidth="1"/>
  </cols>
  <sheetData>
    <row r="1" spans="1:11" x14ac:dyDescent="0.25">
      <c r="A1" s="1" t="s">
        <v>0</v>
      </c>
      <c r="B1" s="13" t="s">
        <v>1</v>
      </c>
      <c r="C1" s="1" t="s">
        <v>2</v>
      </c>
      <c r="D1" s="1" t="s">
        <v>3</v>
      </c>
      <c r="E1" s="1" t="s">
        <v>4</v>
      </c>
      <c r="F1" s="1" t="s">
        <v>1962</v>
      </c>
      <c r="G1" s="1" t="s">
        <v>1956</v>
      </c>
      <c r="H1" s="16" t="s">
        <v>1963</v>
      </c>
      <c r="I1" s="16" t="s">
        <v>1964</v>
      </c>
      <c r="J1" s="16" t="s">
        <v>1965</v>
      </c>
      <c r="K1" s="16" t="s">
        <v>1958</v>
      </c>
    </row>
    <row r="2" spans="1:11" x14ac:dyDescent="0.25">
      <c r="A2" t="s">
        <v>623</v>
      </c>
      <c r="B2" s="14" t="s">
        <v>624</v>
      </c>
      <c r="C2" t="s">
        <v>625</v>
      </c>
      <c r="D2" t="s">
        <v>626</v>
      </c>
      <c r="E2">
        <v>16</v>
      </c>
      <c r="F2" s="2">
        <f>VLOOKUP(A2,[1]Pricing!$A:$H,8,FALSE)</f>
        <v>36.416713000000001</v>
      </c>
      <c r="G2">
        <v>50</v>
      </c>
      <c r="H2" t="str">
        <f>VLOOKUP(A2,[1]Pricing!$A:$T,20,FALSE)</f>
        <v>Digikey</v>
      </c>
      <c r="I2" s="17">
        <f>VLOOKUP(A2,[1]Pricing!$A:$U,21,FALSE)</f>
        <v>39.964399999999998</v>
      </c>
      <c r="J2">
        <f>VLOOKUP(A2,[1]Pricing!$A:$V,22,FALSE)</f>
        <v>50</v>
      </c>
      <c r="K2" t="str">
        <f>VLOOKUP(A2,[1]Pricing!$A:$AF,32,FALSE)</f>
        <v>DM</v>
      </c>
    </row>
    <row r="3" spans="1:11" x14ac:dyDescent="0.25">
      <c r="A3" t="s">
        <v>42</v>
      </c>
      <c r="B3" s="14" t="s">
        <v>43</v>
      </c>
      <c r="C3" t="s">
        <v>44</v>
      </c>
      <c r="D3" t="s">
        <v>45</v>
      </c>
      <c r="E3">
        <v>0</v>
      </c>
      <c r="F3" s="2">
        <f>VLOOKUP(A3,[1]Pricing!$A:$H,8,FALSE)</f>
        <v>4.4000000000000004</v>
      </c>
      <c r="G3">
        <v>216</v>
      </c>
      <c r="H3" t="str">
        <f>VLOOKUP(A3,[1]Pricing!$A:$T,20,FALSE)</f>
        <v>Mouser</v>
      </c>
      <c r="I3" s="15">
        <f>VLOOKUP(A3,[1]Pricing!$A:$U,21,FALSE)</f>
        <v>4.32</v>
      </c>
      <c r="J3">
        <f>VLOOKUP(A3,[1]Pricing!$A:$V,22,FALSE)</f>
        <v>216</v>
      </c>
      <c r="K3" t="str">
        <f>VLOOKUP(A3,[1]Pricing!$A:$AF,32,FALSE)</f>
        <v>ES</v>
      </c>
    </row>
    <row r="4" spans="1:11" x14ac:dyDescent="0.25">
      <c r="A4" t="s">
        <v>79</v>
      </c>
      <c r="B4" s="14" t="s">
        <v>80</v>
      </c>
      <c r="C4" t="s">
        <v>58</v>
      </c>
      <c r="D4" t="s">
        <v>81</v>
      </c>
      <c r="E4">
        <v>13</v>
      </c>
      <c r="F4" s="2">
        <f>VLOOKUP(A4,[1]Pricing!$A:$H,8,FALSE)</f>
        <v>9.9044910000000002</v>
      </c>
      <c r="G4">
        <v>50</v>
      </c>
      <c r="H4" t="str">
        <f>VLOOKUP(A4,[1]Pricing!$A:$T,20,FALSE)</f>
        <v>Mouser</v>
      </c>
      <c r="I4" s="17">
        <f>VLOOKUP(A4,[1]Pricing!$A:$U,21,FALSE)</f>
        <v>10.06</v>
      </c>
      <c r="J4">
        <f>VLOOKUP(A4,[1]Pricing!$A:$V,22,FALSE)</f>
        <v>50</v>
      </c>
      <c r="K4" t="str">
        <f>VLOOKUP(A4,[1]Pricing!$A:$AF,32,FALSE)</f>
        <v>ES</v>
      </c>
    </row>
    <row r="5" spans="1:11" x14ac:dyDescent="0.25">
      <c r="A5" t="s">
        <v>1680</v>
      </c>
      <c r="B5" s="14" t="s">
        <v>1681</v>
      </c>
      <c r="C5" t="s">
        <v>411</v>
      </c>
      <c r="D5" t="s">
        <v>1682</v>
      </c>
      <c r="E5">
        <v>0</v>
      </c>
      <c r="F5" s="2">
        <f>VLOOKUP(A5,[1]Pricing!$A:$H,8,FALSE)</f>
        <v>0.19975699999999999</v>
      </c>
      <c r="G5">
        <v>200</v>
      </c>
      <c r="H5" t="str">
        <f>VLOOKUP(A5,[1]Pricing!$A:$T,20,FALSE)</f>
        <v>TI Store</v>
      </c>
      <c r="I5" s="15">
        <f>VLOOKUP(A5,[1]Pricing!$A:$U,21,FALSE)</f>
        <v>0.17</v>
      </c>
      <c r="J5">
        <f>VLOOKUP(A5,[1]Pricing!$A:$V,22,FALSE)</f>
        <v>200</v>
      </c>
      <c r="K5" t="str">
        <f>VLOOKUP(A5,[1]Pricing!$A:$AF,32,FALSE)</f>
        <v>Jake Harris</v>
      </c>
    </row>
    <row r="6" spans="1:11" x14ac:dyDescent="0.25">
      <c r="A6" t="s">
        <v>173</v>
      </c>
      <c r="B6" s="14" t="s">
        <v>174</v>
      </c>
      <c r="C6" t="s">
        <v>175</v>
      </c>
      <c r="D6" t="s">
        <v>176</v>
      </c>
      <c r="E6">
        <v>5</v>
      </c>
      <c r="F6" s="2">
        <f>VLOOKUP(A6,[1]Pricing!$A:$H,8,FALSE)</f>
        <v>28.076205000000002</v>
      </c>
      <c r="G6">
        <v>50</v>
      </c>
      <c r="H6" t="str">
        <f>VLOOKUP(A6,[1]Pricing!$A:$T,20,FALSE)</f>
        <v>Waldom</v>
      </c>
      <c r="I6" s="15">
        <f>VLOOKUP(A6,[1]Pricing!$A:$U,21,FALSE)</f>
        <v>7.64</v>
      </c>
      <c r="J6">
        <f>VLOOKUP(A6,[1]Pricing!$A:$V,22,FALSE)</f>
        <v>50</v>
      </c>
      <c r="K6" t="str">
        <f>VLOOKUP(A6,[1]Pricing!$A:$AF,32,FALSE)</f>
        <v>JH</v>
      </c>
    </row>
    <row r="7" spans="1:11" x14ac:dyDescent="0.25">
      <c r="A7" t="s">
        <v>643</v>
      </c>
      <c r="B7" s="14" t="s">
        <v>644</v>
      </c>
      <c r="C7" t="s">
        <v>518</v>
      </c>
      <c r="D7" t="s">
        <v>645</v>
      </c>
      <c r="E7">
        <v>0</v>
      </c>
      <c r="F7" s="2">
        <f>VLOOKUP(A7,[1]Pricing!$A:$H,8,FALSE)</f>
        <v>62.160668999999999</v>
      </c>
      <c r="G7">
        <v>100</v>
      </c>
      <c r="H7" t="str">
        <f>VLOOKUP(A7,[1]Pricing!$A:$T,20,FALSE)</f>
        <v>Digikey</v>
      </c>
      <c r="I7" s="15">
        <f>VLOOKUP(A7,[1]Pricing!$A:$U,21,FALSE)</f>
        <v>48.0565</v>
      </c>
      <c r="J7">
        <f>VLOOKUP(A7,[1]Pricing!$A:$V,22,FALSE)</f>
        <v>100</v>
      </c>
      <c r="K7" t="str">
        <f>VLOOKUP(A7,[1]Pricing!$A:$AF,32,FALSE)</f>
        <v>JH</v>
      </c>
    </row>
    <row r="8" spans="1:11" x14ac:dyDescent="0.25">
      <c r="A8" t="s">
        <v>921</v>
      </c>
      <c r="B8" s="14" t="s">
        <v>922</v>
      </c>
      <c r="C8" t="s">
        <v>518</v>
      </c>
      <c r="D8" t="s">
        <v>923</v>
      </c>
      <c r="E8">
        <v>10</v>
      </c>
      <c r="F8" s="2">
        <f>VLOOKUP(A8,[1]Pricing!$A:$H,8,FALSE)</f>
        <v>34.578462999999999</v>
      </c>
      <c r="G8">
        <v>55</v>
      </c>
      <c r="H8" t="str">
        <f>VLOOKUP(A8,[1]Pricing!$A:$T,20,FALSE)</f>
        <v>Mouser</v>
      </c>
      <c r="I8" s="15">
        <f>VLOOKUP(A8,[1]Pricing!$A:$U,21,FALSE)</f>
        <v>30.68</v>
      </c>
      <c r="J8">
        <f>VLOOKUP(A8,[1]Pricing!$A:$V,22,FALSE)</f>
        <v>55</v>
      </c>
      <c r="K8" t="str">
        <f>VLOOKUP(A8,[1]Pricing!$A:$AF,32,FALSE)</f>
        <v>JH</v>
      </c>
    </row>
    <row r="9" spans="1:11" x14ac:dyDescent="0.25">
      <c r="A9" t="s">
        <v>1604</v>
      </c>
      <c r="B9" s="14" t="s">
        <v>1605</v>
      </c>
      <c r="C9" t="s">
        <v>716</v>
      </c>
      <c r="D9" t="s">
        <v>1606</v>
      </c>
      <c r="E9">
        <v>0</v>
      </c>
      <c r="F9" s="2">
        <f>VLOOKUP(A9,[1]Pricing!$A:$H,8,FALSE)</f>
        <v>7.462682</v>
      </c>
      <c r="G9">
        <v>100</v>
      </c>
      <c r="H9" t="str">
        <f>VLOOKUP(A9,[1]Pricing!$A:$T,20,FALSE)</f>
        <v>Flip Electronics</v>
      </c>
      <c r="I9" s="15">
        <f>VLOOKUP(A9,[1]Pricing!$A:$U,21,FALSE)</f>
        <v>5.12</v>
      </c>
      <c r="J9">
        <f>VLOOKUP(A9,[1]Pricing!$A:$V,22,FALSE)</f>
        <v>100</v>
      </c>
      <c r="K9" t="str">
        <f>VLOOKUP(A9,[1]Pricing!$A:$AF,32,FALSE)</f>
        <v>JH</v>
      </c>
    </row>
    <row r="10" spans="1:11" x14ac:dyDescent="0.25">
      <c r="A10" t="s">
        <v>211</v>
      </c>
      <c r="B10" s="14" t="s">
        <v>212</v>
      </c>
      <c r="C10" t="s">
        <v>58</v>
      </c>
      <c r="D10" t="s">
        <v>213</v>
      </c>
      <c r="E10">
        <v>24</v>
      </c>
      <c r="F10" s="2">
        <f>VLOOKUP(A10,[1]Pricing!$A:$H,8,FALSE)</f>
        <v>8.92164</v>
      </c>
      <c r="G10">
        <v>50</v>
      </c>
      <c r="H10" t="str">
        <f>VLOOKUP(A10,[1]Pricing!$A:$T,20,FALSE)</f>
        <v>Astute Ltd</v>
      </c>
      <c r="I10" s="15">
        <f>VLOOKUP(A10,[1]Pricing!$A:$U,21,FALSE)</f>
        <v>7.36</v>
      </c>
      <c r="J10">
        <f>VLOOKUP(A10,[1]Pricing!$A:$V,22,FALSE)</f>
        <v>50</v>
      </c>
      <c r="K10" t="str">
        <f>VLOOKUP(A10,[1]Pricing!$A:$AF,32,FALSE)</f>
        <v>JH</v>
      </c>
    </row>
    <row r="11" spans="1:11" x14ac:dyDescent="0.25">
      <c r="A11" t="s">
        <v>378</v>
      </c>
      <c r="B11" s="14">
        <v>65100516121</v>
      </c>
      <c r="C11" t="s">
        <v>379</v>
      </c>
      <c r="D11" t="s">
        <v>380</v>
      </c>
      <c r="E11">
        <v>0</v>
      </c>
      <c r="F11" s="2">
        <f>VLOOKUP(A11,[1]Pricing!$A:$H,8,FALSE)</f>
        <v>1.1482939999999999</v>
      </c>
      <c r="G11">
        <v>60</v>
      </c>
      <c r="H11" t="str">
        <f>VLOOKUP(A11,[1]Pricing!$A:$T,20,FALSE)</f>
        <v>Digikey</v>
      </c>
      <c r="I11" s="17">
        <f>VLOOKUP(A11,[1]Pricing!$A:$U,21,FALSE)</f>
        <v>1.17</v>
      </c>
      <c r="J11">
        <f>VLOOKUP(A11,[1]Pricing!$A:$V,22,FALSE)</f>
        <v>60</v>
      </c>
      <c r="K11" t="str">
        <f>VLOOKUP(A11,[1]Pricing!$A:$AF,32,FALSE)</f>
        <v>JH</v>
      </c>
    </row>
    <row r="12" spans="1:11" x14ac:dyDescent="0.25">
      <c r="A12" t="s">
        <v>298</v>
      </c>
      <c r="B12" s="14" t="s">
        <v>299</v>
      </c>
      <c r="C12" t="s">
        <v>53</v>
      </c>
      <c r="D12" t="s">
        <v>300</v>
      </c>
      <c r="E12">
        <v>24</v>
      </c>
      <c r="F12" s="2">
        <f>VLOOKUP(A12,[1]Pricing!$A:$H,8,FALSE)</f>
        <v>1.885799</v>
      </c>
      <c r="G12">
        <v>100</v>
      </c>
      <c r="H12" t="str">
        <f>VLOOKUP(A12,[1]Pricing!$A:$T,20,FALSE)</f>
        <v>TTI</v>
      </c>
      <c r="I12" s="15">
        <f>VLOOKUP(A12,[1]Pricing!$A:$U,21,FALSE)</f>
        <v>1.7</v>
      </c>
      <c r="J12">
        <f>VLOOKUP(A12,[1]Pricing!$A:$V,22,FALSE)</f>
        <v>100</v>
      </c>
      <c r="K12" t="str">
        <f>VLOOKUP(A12,[1]Pricing!$A:$AF,32,FALSE)</f>
        <v>Stephanie Hill</v>
      </c>
    </row>
    <row r="13" spans="1:11" x14ac:dyDescent="0.25">
      <c r="A13" t="s">
        <v>152</v>
      </c>
      <c r="B13" s="14" t="s">
        <v>153</v>
      </c>
      <c r="C13" t="s">
        <v>102</v>
      </c>
      <c r="D13" t="s">
        <v>154</v>
      </c>
      <c r="E13">
        <v>2</v>
      </c>
      <c r="F13" s="2">
        <f>VLOOKUP(A13,[1]Pricing!$A:$H,8,FALSE)</f>
        <v>0.39100000000000001</v>
      </c>
      <c r="G13">
        <v>2000</v>
      </c>
      <c r="H13" t="str">
        <f>VLOOKUP(A13,[1]Pricing!$A:$T,20,FALSE)</f>
        <v>Future</v>
      </c>
      <c r="I13" s="15">
        <f>VLOOKUP(A13,[1]Pricing!$A:$U,21,FALSE)</f>
        <v>0.245</v>
      </c>
      <c r="J13">
        <f>VLOOKUP(A13,[1]Pricing!$A:$V,22,FALSE)</f>
        <v>2000</v>
      </c>
      <c r="K13" t="str">
        <f>VLOOKUP(A13,[1]Pricing!$A:$AF,32,FALSE)</f>
        <v>Stephanie Hill</v>
      </c>
    </row>
    <row r="14" spans="1:11" x14ac:dyDescent="0.25">
      <c r="A14" t="s">
        <v>315</v>
      </c>
      <c r="B14" s="14" t="s">
        <v>316</v>
      </c>
      <c r="C14" t="s">
        <v>102</v>
      </c>
      <c r="D14" t="s">
        <v>317</v>
      </c>
      <c r="E14">
        <v>25</v>
      </c>
      <c r="F14" s="2">
        <f>VLOOKUP(A14,[1]Pricing!$A:$H,8,FALSE)</f>
        <v>1.2236130000000001</v>
      </c>
      <c r="G14">
        <v>52</v>
      </c>
      <c r="H14" t="str">
        <f>VLOOKUP(A14,[1]Pricing!$A:$T,20,FALSE)</f>
        <v>Future</v>
      </c>
      <c r="I14" s="15">
        <f>VLOOKUP(A14,[1]Pricing!$A:$U,21,FALSE)</f>
        <v>0.49</v>
      </c>
      <c r="J14">
        <f>VLOOKUP(A14,[1]Pricing!$A:$V,22,FALSE)</f>
        <v>52</v>
      </c>
      <c r="K14" t="str">
        <f>VLOOKUP(A14,[1]Pricing!$A:$AF,32,FALSE)</f>
        <v>Stephanie Hill</v>
      </c>
    </row>
    <row r="15" spans="1:11" x14ac:dyDescent="0.25">
      <c r="A15" t="s">
        <v>486</v>
      </c>
      <c r="B15" s="14" t="s">
        <v>487</v>
      </c>
      <c r="C15" t="s">
        <v>481</v>
      </c>
      <c r="D15" t="s">
        <v>488</v>
      </c>
      <c r="E15">
        <v>11</v>
      </c>
      <c r="F15" s="2">
        <f>VLOOKUP(A15,[1]Pricing!$A:$H,8,FALSE)</f>
        <v>216.47232</v>
      </c>
      <c r="G15">
        <v>100</v>
      </c>
      <c r="H15" t="str">
        <f>VLOOKUP(A15,[1]Pricing!$A:$T,20,FALSE)</f>
        <v>Lituoxin</v>
      </c>
      <c r="I15" s="15">
        <f>VLOOKUP(A15,[1]Pricing!$A:$U,21,FALSE)</f>
        <v>78.5</v>
      </c>
      <c r="J15">
        <f>VLOOKUP(A15,[1]Pricing!$A:$V,22,FALSE)</f>
        <v>100</v>
      </c>
      <c r="K15" t="str">
        <f>VLOOKUP(A15,[1]Pricing!$A:$AF,32,FALSE)</f>
        <v>TX</v>
      </c>
    </row>
    <row r="16" spans="1:11" x14ac:dyDescent="0.25">
      <c r="A16" t="s">
        <v>1105</v>
      </c>
      <c r="B16" s="14" t="s">
        <v>1106</v>
      </c>
      <c r="C16" t="s">
        <v>481</v>
      </c>
      <c r="D16" t="s">
        <v>1107</v>
      </c>
      <c r="E16">
        <v>0</v>
      </c>
      <c r="F16" s="2">
        <f>VLOOKUP(A16,[1]Pricing!$A:$H,8,FALSE)</f>
        <v>12.0099</v>
      </c>
      <c r="G16">
        <v>80</v>
      </c>
      <c r="H16" t="str">
        <f>VLOOKUP(A16,[1]Pricing!$A:$T,20,FALSE)</f>
        <v>Firststop</v>
      </c>
      <c r="I16" s="15">
        <f>VLOOKUP(A16,[1]Pricing!$A:$U,21,FALSE)</f>
        <v>7.94</v>
      </c>
      <c r="J16">
        <f>VLOOKUP(A16,[1]Pricing!$A:$V,22,FALSE)</f>
        <v>80</v>
      </c>
      <c r="K16" t="str">
        <f>VLOOKUP(A16,[1]Pricing!$A:$AF,32,FALSE)</f>
        <v>TX</v>
      </c>
    </row>
    <row r="17" spans="1:11" x14ac:dyDescent="0.25">
      <c r="A17" t="s">
        <v>1096</v>
      </c>
      <c r="B17" t="s">
        <v>1111</v>
      </c>
      <c r="C17" t="s">
        <v>481</v>
      </c>
      <c r="D17" t="s">
        <v>1095</v>
      </c>
      <c r="E17">
        <v>0</v>
      </c>
      <c r="F17" s="2">
        <f>VLOOKUP(A17,[1]Pricing!$A:$H,8,FALSE)</f>
        <v>54.597349999999999</v>
      </c>
      <c r="G17">
        <v>73</v>
      </c>
      <c r="H17" t="str">
        <f>VLOOKUP(A17,[1]Pricing!$A:$T,20,FALSE)</f>
        <v>Keming</v>
      </c>
      <c r="I17" s="15">
        <f>VLOOKUP(A17,[1]Pricing!$A:$U,21,FALSE)</f>
        <v>28.56</v>
      </c>
      <c r="J17">
        <f>VLOOKUP(A17,[1]Pricing!$A:$V,22,FALSE)</f>
        <v>73</v>
      </c>
      <c r="K17" t="str">
        <f>VLOOKUP(A17,[1]Pricing!$A:$AF,32,FALSE)</f>
        <v>TX</v>
      </c>
    </row>
    <row r="18" spans="1:11" x14ac:dyDescent="0.25">
      <c r="A18" t="s">
        <v>1127</v>
      </c>
      <c r="B18" s="14" t="s">
        <v>1128</v>
      </c>
      <c r="C18" t="s">
        <v>1126</v>
      </c>
      <c r="D18" t="s">
        <v>1129</v>
      </c>
      <c r="E18">
        <v>0</v>
      </c>
      <c r="F18" s="2">
        <f>VLOOKUP(A18,[1]Pricing!$A:$H,8,FALSE)</f>
        <v>7.3186859999999996</v>
      </c>
      <c r="G18">
        <v>75</v>
      </c>
      <c r="H18" t="str">
        <f>VLOOKUP(A18,[1]Pricing!$A:$T,20,FALSE)</f>
        <v>Mouser via IC360</v>
      </c>
      <c r="I18" s="17">
        <f>VLOOKUP(A18,[1]Pricing!$A:$U,21,FALSE)</f>
        <v>7.8760000000000003</v>
      </c>
      <c r="J18">
        <f>VLOOKUP(A18,[1]Pricing!$A:$V,22,FALSE)</f>
        <v>75</v>
      </c>
      <c r="K18" t="str">
        <f>VLOOKUP(A18,[1]Pricing!$A:$AF,32,FALSE)</f>
        <v>TX</v>
      </c>
    </row>
    <row r="19" spans="1:11" x14ac:dyDescent="0.25">
      <c r="A19" s="1" t="s">
        <v>0</v>
      </c>
      <c r="B19" s="13" t="s">
        <v>1</v>
      </c>
      <c r="C19" s="1" t="s">
        <v>2</v>
      </c>
      <c r="D19" s="1" t="s">
        <v>3</v>
      </c>
      <c r="E19" s="1" t="s">
        <v>4</v>
      </c>
      <c r="F19" s="3" t="s">
        <v>2742</v>
      </c>
      <c r="G19" s="3" t="s">
        <v>2743</v>
      </c>
      <c r="H19" s="10" t="s">
        <v>1954</v>
      </c>
      <c r="I19" s="10" t="s">
        <v>1955</v>
      </c>
      <c r="J19" s="10" t="s">
        <v>1956</v>
      </c>
    </row>
    <row r="20" spans="1:11" x14ac:dyDescent="0.25">
      <c r="A20" t="s">
        <v>211</v>
      </c>
      <c r="B20" s="14" t="s">
        <v>212</v>
      </c>
      <c r="C20" t="s">
        <v>2592</v>
      </c>
      <c r="D20" t="s">
        <v>213</v>
      </c>
      <c r="E20">
        <v>0</v>
      </c>
      <c r="F20" s="2">
        <v>8.92164</v>
      </c>
      <c r="G20" s="2">
        <v>10.880048780487806</v>
      </c>
      <c r="H20">
        <v>25</v>
      </c>
      <c r="I20" t="s">
        <v>2745</v>
      </c>
      <c r="J20">
        <v>50</v>
      </c>
    </row>
    <row r="21" spans="1:11" x14ac:dyDescent="0.25">
      <c r="A21" t="s">
        <v>486</v>
      </c>
      <c r="B21" s="14" t="s">
        <v>487</v>
      </c>
      <c r="C21" t="s">
        <v>2603</v>
      </c>
      <c r="D21" t="s">
        <v>2746</v>
      </c>
      <c r="E21">
        <v>11</v>
      </c>
      <c r="F21" s="2">
        <v>216.47232</v>
      </c>
      <c r="G21" s="2">
        <v>263.99063414634145</v>
      </c>
      <c r="H21">
        <v>25</v>
      </c>
      <c r="I21" t="s">
        <v>2745</v>
      </c>
      <c r="J21">
        <v>100</v>
      </c>
    </row>
    <row r="22" spans="1:11" x14ac:dyDescent="0.25">
      <c r="A22" t="s">
        <v>152</v>
      </c>
      <c r="B22" s="14" t="s">
        <v>153</v>
      </c>
      <c r="C22" t="s">
        <v>2615</v>
      </c>
      <c r="D22" t="s">
        <v>154</v>
      </c>
      <c r="E22">
        <v>2</v>
      </c>
      <c r="F22" s="2">
        <v>0.39100000000000001</v>
      </c>
      <c r="G22" s="2">
        <v>0.47682926829268296</v>
      </c>
      <c r="H22">
        <v>50</v>
      </c>
      <c r="I22" t="s">
        <v>2745</v>
      </c>
      <c r="J22">
        <v>2000</v>
      </c>
    </row>
    <row r="23" spans="1:11" x14ac:dyDescent="0.25">
      <c r="A23" t="s">
        <v>378</v>
      </c>
      <c r="B23" s="14">
        <v>65100516121</v>
      </c>
      <c r="C23" t="s">
        <v>2646</v>
      </c>
      <c r="D23" t="s">
        <v>2747</v>
      </c>
      <c r="E23">
        <v>0</v>
      </c>
      <c r="F23" s="2">
        <v>1.1482939999999999</v>
      </c>
      <c r="G23" s="2">
        <v>1.4003585365853659</v>
      </c>
      <c r="H23">
        <v>15</v>
      </c>
      <c r="I23" t="s">
        <v>2745</v>
      </c>
      <c r="J23">
        <v>60</v>
      </c>
    </row>
    <row r="24" spans="1:11" x14ac:dyDescent="0.25">
      <c r="A24" t="s">
        <v>315</v>
      </c>
      <c r="B24" s="14" t="s">
        <v>316</v>
      </c>
      <c r="C24" t="s">
        <v>2599</v>
      </c>
      <c r="D24" t="s">
        <v>317</v>
      </c>
      <c r="E24">
        <v>0</v>
      </c>
      <c r="F24" s="2">
        <v>1.2236130000000001</v>
      </c>
      <c r="G24" s="2">
        <v>1.4922109756097564</v>
      </c>
      <c r="H24">
        <v>25</v>
      </c>
      <c r="I24" t="s">
        <v>2745</v>
      </c>
      <c r="J24">
        <v>52</v>
      </c>
    </row>
    <row r="25" spans="1:11" x14ac:dyDescent="0.25">
      <c r="A25" t="s">
        <v>643</v>
      </c>
      <c r="B25" s="14" t="s">
        <v>644</v>
      </c>
      <c r="C25" t="s">
        <v>2608</v>
      </c>
      <c r="D25" t="s">
        <v>645</v>
      </c>
      <c r="E25">
        <v>0</v>
      </c>
      <c r="F25" s="2">
        <v>62.160668999999999</v>
      </c>
      <c r="G25" s="2">
        <v>75.805693902439032</v>
      </c>
      <c r="H25">
        <v>25</v>
      </c>
      <c r="I25" t="s">
        <v>2745</v>
      </c>
      <c r="J25">
        <v>100</v>
      </c>
    </row>
    <row r="26" spans="1:11" x14ac:dyDescent="0.25">
      <c r="A26" t="s">
        <v>921</v>
      </c>
      <c r="B26" s="14" t="s">
        <v>922</v>
      </c>
      <c r="C26" t="s">
        <v>2608</v>
      </c>
      <c r="D26" t="s">
        <v>923</v>
      </c>
      <c r="E26">
        <v>10</v>
      </c>
      <c r="F26" s="2">
        <v>34.578462999999999</v>
      </c>
      <c r="G26" s="2">
        <v>42.168857317073176</v>
      </c>
      <c r="H26">
        <v>25</v>
      </c>
      <c r="I26" t="s">
        <v>2745</v>
      </c>
      <c r="J26">
        <v>55</v>
      </c>
    </row>
    <row r="27" spans="1:11" x14ac:dyDescent="0.25">
      <c r="A27" t="s">
        <v>169</v>
      </c>
      <c r="B27" s="14" t="s">
        <v>170</v>
      </c>
      <c r="C27" t="s">
        <v>2599</v>
      </c>
      <c r="D27" t="s">
        <v>2748</v>
      </c>
      <c r="E27">
        <v>8</v>
      </c>
      <c r="F27" s="2">
        <v>5.4044549999999996</v>
      </c>
      <c r="G27" s="2">
        <v>6.5907987804878045</v>
      </c>
      <c r="H27">
        <v>25</v>
      </c>
      <c r="I27" t="s">
        <v>2745</v>
      </c>
      <c r="J27">
        <v>51</v>
      </c>
    </row>
    <row r="28" spans="1:11" x14ac:dyDescent="0.25">
      <c r="A28" t="s">
        <v>602</v>
      </c>
      <c r="B28" s="14" t="s">
        <v>603</v>
      </c>
      <c r="C28" t="s">
        <v>2684</v>
      </c>
      <c r="D28" t="s">
        <v>604</v>
      </c>
      <c r="E28">
        <v>0</v>
      </c>
      <c r="F28" s="2">
        <v>22.716602999999999</v>
      </c>
      <c r="G28" s="2">
        <v>27.703174390243902</v>
      </c>
      <c r="H28">
        <v>15</v>
      </c>
      <c r="I28" t="s">
        <v>2745</v>
      </c>
      <c r="J28">
        <v>50</v>
      </c>
    </row>
    <row r="29" spans="1:11" x14ac:dyDescent="0.25">
      <c r="A29" t="s">
        <v>1583</v>
      </c>
      <c r="B29" s="14" t="s">
        <v>1584</v>
      </c>
      <c r="C29" t="s">
        <v>2689</v>
      </c>
      <c r="D29" t="s">
        <v>1585</v>
      </c>
      <c r="E29">
        <v>18</v>
      </c>
      <c r="F29" s="2">
        <v>0.45833699999999999</v>
      </c>
      <c r="G29" s="2">
        <v>0.55894756097560983</v>
      </c>
      <c r="H29">
        <v>25</v>
      </c>
      <c r="I29" t="s">
        <v>2745</v>
      </c>
      <c r="J29">
        <v>250</v>
      </c>
    </row>
    <row r="30" spans="1:11" x14ac:dyDescent="0.25">
      <c r="A30" t="s">
        <v>298</v>
      </c>
      <c r="B30" s="14" t="s">
        <v>299</v>
      </c>
      <c r="C30" t="s">
        <v>2610</v>
      </c>
      <c r="D30" t="s">
        <v>2749</v>
      </c>
      <c r="E30">
        <v>24</v>
      </c>
      <c r="F30" s="2">
        <v>1.885799</v>
      </c>
      <c r="G30" s="2">
        <v>2.2997548780487804</v>
      </c>
      <c r="H30">
        <v>25</v>
      </c>
      <c r="I30" t="s">
        <v>2745</v>
      </c>
      <c r="J30">
        <v>100</v>
      </c>
    </row>
    <row r="31" spans="1:11" x14ac:dyDescent="0.25">
      <c r="A31" t="s">
        <v>1070</v>
      </c>
      <c r="B31" s="14" t="s">
        <v>1071</v>
      </c>
      <c r="C31" t="s">
        <v>2595</v>
      </c>
      <c r="D31" t="s">
        <v>1072</v>
      </c>
      <c r="E31">
        <v>9</v>
      </c>
      <c r="F31" s="2">
        <v>10.02459</v>
      </c>
      <c r="G31" s="2">
        <v>12.225109756097561</v>
      </c>
      <c r="H31">
        <v>15</v>
      </c>
      <c r="I31" t="s">
        <v>2745</v>
      </c>
      <c r="J31">
        <v>250</v>
      </c>
    </row>
    <row r="32" spans="1:11" x14ac:dyDescent="0.25">
      <c r="A32" t="s">
        <v>1680</v>
      </c>
      <c r="B32" s="14" t="s">
        <v>1681</v>
      </c>
      <c r="C32" t="s">
        <v>2595</v>
      </c>
      <c r="D32" t="s">
        <v>1682</v>
      </c>
      <c r="E32">
        <v>0</v>
      </c>
      <c r="F32" s="2">
        <v>0.19975699999999999</v>
      </c>
      <c r="G32" s="2">
        <v>0.24360609756097562</v>
      </c>
      <c r="H32">
        <v>25</v>
      </c>
      <c r="I32" t="s">
        <v>2745</v>
      </c>
      <c r="J32">
        <v>200</v>
      </c>
    </row>
    <row r="33" spans="1:10" x14ac:dyDescent="0.25">
      <c r="A33" t="s">
        <v>1604</v>
      </c>
      <c r="B33" s="14" t="s">
        <v>1605</v>
      </c>
      <c r="C33" t="s">
        <v>2695</v>
      </c>
      <c r="D33" t="s">
        <v>2750</v>
      </c>
      <c r="E33">
        <v>21</v>
      </c>
      <c r="F33" s="2">
        <v>7.462682</v>
      </c>
      <c r="G33" s="2">
        <v>9.1008317073170737</v>
      </c>
      <c r="H33">
        <v>25</v>
      </c>
      <c r="I33" t="s">
        <v>2745</v>
      </c>
      <c r="J33">
        <v>100</v>
      </c>
    </row>
    <row r="34" spans="1:10" x14ac:dyDescent="0.25">
      <c r="A34" t="s">
        <v>79</v>
      </c>
      <c r="B34" s="14" t="s">
        <v>80</v>
      </c>
      <c r="C34" t="s">
        <v>2592</v>
      </c>
      <c r="D34" t="s">
        <v>81</v>
      </c>
      <c r="E34">
        <v>0</v>
      </c>
      <c r="F34" s="2">
        <v>9.9044910000000002</v>
      </c>
      <c r="G34" s="2">
        <v>12.078647560975611</v>
      </c>
      <c r="H34">
        <v>25</v>
      </c>
      <c r="I34" t="s">
        <v>2745</v>
      </c>
      <c r="J34">
        <v>50</v>
      </c>
    </row>
    <row r="35" spans="1:10" x14ac:dyDescent="0.25">
      <c r="A35" t="s">
        <v>729</v>
      </c>
      <c r="B35" s="14" t="s">
        <v>730</v>
      </c>
      <c r="C35" t="s">
        <v>2697</v>
      </c>
      <c r="D35" t="s">
        <v>731</v>
      </c>
      <c r="E35">
        <v>18</v>
      </c>
      <c r="F35" s="2">
        <v>21.213405000000002</v>
      </c>
      <c r="G35" s="2">
        <v>25.870006097560978</v>
      </c>
      <c r="H35">
        <v>25</v>
      </c>
      <c r="I35" t="s">
        <v>2745</v>
      </c>
      <c r="J35">
        <v>50</v>
      </c>
    </row>
    <row r="36" spans="1:10" x14ac:dyDescent="0.25">
      <c r="A36" t="s">
        <v>1248</v>
      </c>
      <c r="B36" s="14" t="s">
        <v>1249</v>
      </c>
      <c r="C36" t="s">
        <v>2699</v>
      </c>
      <c r="D36" t="s">
        <v>2751</v>
      </c>
      <c r="E36">
        <v>1</v>
      </c>
      <c r="F36" s="2">
        <v>3.084584</v>
      </c>
      <c r="G36" s="2">
        <v>3.7616878048780489</v>
      </c>
      <c r="H36">
        <v>15</v>
      </c>
      <c r="I36" t="s">
        <v>2745</v>
      </c>
      <c r="J36">
        <v>228</v>
      </c>
    </row>
    <row r="37" spans="1:10" x14ac:dyDescent="0.25">
      <c r="A37" t="s">
        <v>623</v>
      </c>
      <c r="B37" s="14" t="s">
        <v>624</v>
      </c>
      <c r="C37" t="s">
        <v>2704</v>
      </c>
      <c r="D37" t="s">
        <v>626</v>
      </c>
      <c r="E37">
        <v>16</v>
      </c>
      <c r="F37" s="2">
        <v>36.416713000000001</v>
      </c>
      <c r="G37" s="2">
        <v>44.410625609756103</v>
      </c>
      <c r="H37">
        <v>25</v>
      </c>
      <c r="I37" t="s">
        <v>2745</v>
      </c>
      <c r="J37">
        <v>50</v>
      </c>
    </row>
    <row r="38" spans="1:10" x14ac:dyDescent="0.25">
      <c r="A38" t="s">
        <v>1185</v>
      </c>
      <c r="B38" s="14" t="s">
        <v>1186</v>
      </c>
      <c r="C38" t="s">
        <v>2640</v>
      </c>
      <c r="D38" t="s">
        <v>1187</v>
      </c>
      <c r="E38">
        <v>18</v>
      </c>
      <c r="F38" s="2">
        <v>24.929500000000001</v>
      </c>
      <c r="G38" s="2">
        <v>30.401829268292687</v>
      </c>
      <c r="H38">
        <v>25</v>
      </c>
      <c r="I38" t="s">
        <v>2745</v>
      </c>
      <c r="J38">
        <v>60</v>
      </c>
    </row>
    <row r="39" spans="1:10" x14ac:dyDescent="0.25">
      <c r="A39" t="s">
        <v>1579</v>
      </c>
      <c r="B39" s="14" t="s">
        <v>1580</v>
      </c>
      <c r="C39" t="s">
        <v>2599</v>
      </c>
      <c r="D39" t="s">
        <v>2752</v>
      </c>
      <c r="E39">
        <v>18</v>
      </c>
      <c r="F39" s="2">
        <v>5.0667070000000001</v>
      </c>
      <c r="G39" s="2">
        <v>6.1789109756097567</v>
      </c>
      <c r="H39">
        <v>25</v>
      </c>
      <c r="I39" t="s">
        <v>2745</v>
      </c>
      <c r="J39">
        <v>60</v>
      </c>
    </row>
    <row r="40" spans="1:10" x14ac:dyDescent="0.25">
      <c r="A40" t="s">
        <v>173</v>
      </c>
      <c r="B40" s="14" t="s">
        <v>174</v>
      </c>
      <c r="C40" t="s">
        <v>2697</v>
      </c>
      <c r="D40" t="s">
        <v>176</v>
      </c>
      <c r="E40">
        <v>5</v>
      </c>
      <c r="F40" s="2">
        <v>28.076205000000002</v>
      </c>
      <c r="G40" s="2">
        <v>34.239274390243907</v>
      </c>
      <c r="H40">
        <v>25</v>
      </c>
      <c r="I40" t="s">
        <v>2745</v>
      </c>
      <c r="J40">
        <v>50</v>
      </c>
    </row>
    <row r="41" spans="1:10" x14ac:dyDescent="0.25">
      <c r="A41" t="s">
        <v>1918</v>
      </c>
      <c r="B41" s="14" t="s">
        <v>2104</v>
      </c>
      <c r="C41" t="s">
        <v>2571</v>
      </c>
      <c r="D41" t="s">
        <v>2753</v>
      </c>
      <c r="E41">
        <v>0</v>
      </c>
      <c r="F41" s="2">
        <v>8.2108500000000006</v>
      </c>
      <c r="G41" s="2">
        <v>10.013231707317075</v>
      </c>
      <c r="H41">
        <v>25</v>
      </c>
      <c r="I41" t="s">
        <v>2745</v>
      </c>
      <c r="J41">
        <v>50</v>
      </c>
    </row>
    <row r="42" spans="1:10" x14ac:dyDescent="0.25">
      <c r="A42" t="s">
        <v>1079</v>
      </c>
      <c r="B42" s="14" t="s">
        <v>1080</v>
      </c>
      <c r="C42" t="s">
        <v>2603</v>
      </c>
      <c r="D42" t="s">
        <v>1081</v>
      </c>
      <c r="E42">
        <v>13</v>
      </c>
      <c r="F42" s="2">
        <v>9.3750750000000007</v>
      </c>
      <c r="G42" s="2">
        <v>11.433018292682929</v>
      </c>
      <c r="H42">
        <v>15</v>
      </c>
      <c r="I42" t="s">
        <v>2745</v>
      </c>
      <c r="J42">
        <v>60</v>
      </c>
    </row>
    <row r="43" spans="1:10" x14ac:dyDescent="0.25">
      <c r="A43" t="s">
        <v>1110</v>
      </c>
      <c r="B43" s="14" t="s">
        <v>1111</v>
      </c>
      <c r="C43" t="s">
        <v>2603</v>
      </c>
      <c r="D43" t="s">
        <v>2754</v>
      </c>
      <c r="E43">
        <v>0</v>
      </c>
      <c r="F43" s="2">
        <v>7.970199</v>
      </c>
      <c r="G43" s="2">
        <v>9.7197548780487804</v>
      </c>
      <c r="H43">
        <v>25</v>
      </c>
      <c r="I43" t="s">
        <v>2745</v>
      </c>
      <c r="J43">
        <v>80</v>
      </c>
    </row>
    <row r="44" spans="1:10" x14ac:dyDescent="0.25">
      <c r="A44" t="s">
        <v>1127</v>
      </c>
      <c r="B44" s="14" t="s">
        <v>1128</v>
      </c>
      <c r="C44" t="s">
        <v>2575</v>
      </c>
      <c r="D44" t="s">
        <v>1129</v>
      </c>
      <c r="E44">
        <v>0</v>
      </c>
      <c r="F44" s="2">
        <v>7.3186859999999996</v>
      </c>
      <c r="G44" s="2">
        <v>8.9252268292682935</v>
      </c>
      <c r="H44">
        <v>25</v>
      </c>
      <c r="I44" t="s">
        <v>2745</v>
      </c>
      <c r="J44">
        <v>75</v>
      </c>
    </row>
    <row r="45" spans="1:10" x14ac:dyDescent="0.25">
      <c r="A45" t="s">
        <v>1864</v>
      </c>
      <c r="B45" s="14" t="s">
        <v>1865</v>
      </c>
      <c r="C45" t="s">
        <v>2736</v>
      </c>
      <c r="D45" t="s">
        <v>1866</v>
      </c>
      <c r="E45">
        <v>14</v>
      </c>
      <c r="F45" s="2">
        <v>15.58836</v>
      </c>
      <c r="G45" s="2">
        <v>19.01019512195122</v>
      </c>
      <c r="H45">
        <v>15</v>
      </c>
      <c r="I45" t="s">
        <v>2745</v>
      </c>
      <c r="J45">
        <v>50</v>
      </c>
    </row>
    <row r="46" spans="1:10" x14ac:dyDescent="0.25">
      <c r="A46" t="s">
        <v>1236</v>
      </c>
      <c r="B46" s="14" t="s">
        <v>1237</v>
      </c>
      <c r="C46" t="s">
        <v>2617</v>
      </c>
      <c r="D46" t="s">
        <v>2755</v>
      </c>
      <c r="E46">
        <v>0</v>
      </c>
      <c r="F46" s="2">
        <v>0.52348499999999998</v>
      </c>
      <c r="G46" s="2">
        <v>0.63839634146341462</v>
      </c>
      <c r="H46">
        <v>25</v>
      </c>
      <c r="I46" t="s">
        <v>2745</v>
      </c>
      <c r="J46">
        <v>1000</v>
      </c>
    </row>
  </sheetData>
  <autoFilter ref="A1:K18" xr:uid="{4B69B17B-29AE-4ED4-9A79-031DAFE1CE6D}">
    <sortState xmlns:xlrd2="http://schemas.microsoft.com/office/spreadsheetml/2017/richdata2" ref="A2:K18">
      <sortCondition ref="K1:K18"/>
    </sortState>
  </autoFilter>
  <conditionalFormatting sqref="A1:A18">
    <cfRule type="duplicateValues" dxfId="14" priority="42"/>
  </conditionalFormatting>
  <conditionalFormatting sqref="A19:A46">
    <cfRule type="duplicateValues" dxfId="13" priority="3"/>
  </conditionalFormatting>
  <conditionalFormatting sqref="B1:B18">
    <cfRule type="duplicateValues" dxfId="12" priority="44"/>
  </conditionalFormatting>
  <conditionalFormatting sqref="B19:B46">
    <cfRule type="duplicateValues" dxfId="11" priority="1"/>
  </conditionalFormatting>
  <conditionalFormatting sqref="B47:B1048576">
    <cfRule type="duplicateValues" dxfId="10" priority="9"/>
  </conditionalFormatting>
  <conditionalFormatting sqref="D1:D46">
    <cfRule type="cellIs" dxfId="9" priority="4" operator="equal">
      <formula>0</formula>
    </cfRule>
  </conditionalFormatting>
  <conditionalFormatting sqref="I19:I46">
    <cfRule type="containsText" dxfId="8" priority="2" operator="containsText" text="REORDER">
      <formula>NOT(ISERROR(SEARCH("REORDER",I19)))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BC33E-278F-4A22-A0C5-AF185972F1C1}">
  <sheetPr filterMode="1"/>
  <dimension ref="A1:Q1631"/>
  <sheetViews>
    <sheetView topLeftCell="A112" workbookViewId="0">
      <selection activeCell="D18" sqref="D18"/>
    </sheetView>
  </sheetViews>
  <sheetFormatPr defaultRowHeight="15" x14ac:dyDescent="0.25"/>
  <cols>
    <col min="2" max="2" width="24.7109375" bestFit="1" customWidth="1"/>
    <col min="3" max="3" width="11" bestFit="1" customWidth="1"/>
    <col min="4" max="4" width="17.85546875" bestFit="1" customWidth="1"/>
    <col min="5" max="5" width="10.42578125" bestFit="1" customWidth="1"/>
    <col min="6" max="6" width="11.85546875" bestFit="1" customWidth="1"/>
    <col min="7" max="7" width="14.5703125" customWidth="1"/>
    <col min="8" max="8" width="28.140625" bestFit="1" customWidth="1"/>
    <col min="10" max="10" width="13.85546875" bestFit="1" customWidth="1"/>
    <col min="11" max="11" width="11.7109375" bestFit="1" customWidth="1"/>
    <col min="12" max="12" width="24.7109375" bestFit="1" customWidth="1"/>
    <col min="13" max="13" width="12.5703125" customWidth="1"/>
    <col min="14" max="14" width="28.5703125" bestFit="1" customWidth="1"/>
  </cols>
  <sheetData>
    <row r="1" spans="1:17" x14ac:dyDescent="0.25">
      <c r="A1" t="s">
        <v>2564</v>
      </c>
      <c r="B1" t="s">
        <v>1966</v>
      </c>
      <c r="C1" t="s">
        <v>1967</v>
      </c>
      <c r="D1" t="s">
        <v>2565</v>
      </c>
      <c r="E1" t="s">
        <v>2566</v>
      </c>
      <c r="F1" t="s">
        <v>2568</v>
      </c>
      <c r="G1" t="s">
        <v>2567</v>
      </c>
      <c r="H1" t="s">
        <v>1</v>
      </c>
      <c r="I1" t="s">
        <v>1959</v>
      </c>
      <c r="J1" t="s">
        <v>1961</v>
      </c>
      <c r="K1" t="s">
        <v>2569</v>
      </c>
      <c r="L1" t="s">
        <v>1968</v>
      </c>
      <c r="M1" t="s">
        <v>1969</v>
      </c>
      <c r="N1" t="s">
        <v>1970</v>
      </c>
      <c r="O1" t="s">
        <v>1971</v>
      </c>
      <c r="P1" t="s">
        <v>1972</v>
      </c>
      <c r="Q1" t="s">
        <v>1973</v>
      </c>
    </row>
    <row r="2" spans="1:17" x14ac:dyDescent="0.25">
      <c r="A2" t="s">
        <v>1974</v>
      </c>
      <c r="B2" t="s">
        <v>1975</v>
      </c>
      <c r="C2" t="s">
        <v>1976</v>
      </c>
      <c r="D2" s="11">
        <v>78802</v>
      </c>
      <c r="E2" s="12">
        <v>45657</v>
      </c>
      <c r="F2" s="12">
        <v>45663</v>
      </c>
      <c r="G2" t="s">
        <v>1977</v>
      </c>
      <c r="H2" t="s">
        <v>144</v>
      </c>
      <c r="I2">
        <v>30</v>
      </c>
      <c r="J2">
        <v>0.67200000000000004</v>
      </c>
      <c r="M2">
        <v>6.1700000000000001E-3</v>
      </c>
      <c r="N2">
        <v>0.18509999999999999</v>
      </c>
      <c r="O2">
        <v>0.4849</v>
      </c>
      <c r="P2">
        <v>72.373099999999994</v>
      </c>
      <c r="Q2" t="s">
        <v>1978</v>
      </c>
    </row>
    <row r="3" spans="1:17" x14ac:dyDescent="0.25">
      <c r="A3" t="s">
        <v>1974</v>
      </c>
      <c r="B3" t="s">
        <v>1975</v>
      </c>
      <c r="C3" t="s">
        <v>1976</v>
      </c>
      <c r="D3" s="11">
        <v>78802</v>
      </c>
      <c r="E3" s="12">
        <v>45657</v>
      </c>
      <c r="F3" s="12">
        <v>45663</v>
      </c>
      <c r="G3" t="s">
        <v>1977</v>
      </c>
      <c r="H3" t="s">
        <v>18</v>
      </c>
      <c r="I3">
        <v>100</v>
      </c>
      <c r="J3">
        <v>11.51</v>
      </c>
      <c r="M3">
        <v>0.09</v>
      </c>
      <c r="N3">
        <v>9</v>
      </c>
      <c r="O3">
        <v>2.5099999999999998</v>
      </c>
      <c r="P3">
        <v>21.807099999999998</v>
      </c>
      <c r="Q3" t="s">
        <v>1979</v>
      </c>
    </row>
    <row r="4" spans="1:17" x14ac:dyDescent="0.25">
      <c r="A4" t="s">
        <v>1974</v>
      </c>
      <c r="B4" t="s">
        <v>1975</v>
      </c>
      <c r="C4" t="s">
        <v>1976</v>
      </c>
      <c r="D4" s="11">
        <v>78802</v>
      </c>
      <c r="E4" s="12">
        <v>45657</v>
      </c>
      <c r="F4" s="12">
        <v>45663</v>
      </c>
      <c r="G4" t="s">
        <v>1977</v>
      </c>
      <c r="H4" t="s">
        <v>445</v>
      </c>
      <c r="I4">
        <v>3</v>
      </c>
      <c r="J4">
        <v>33.051299999999998</v>
      </c>
      <c r="M4">
        <v>7.1539999999999999</v>
      </c>
      <c r="N4">
        <v>21.462</v>
      </c>
      <c r="O4">
        <v>11.587999999999999</v>
      </c>
      <c r="P4">
        <v>35.061999999999998</v>
      </c>
      <c r="Q4" t="s">
        <v>1980</v>
      </c>
    </row>
    <row r="5" spans="1:17" x14ac:dyDescent="0.25">
      <c r="A5" t="s">
        <v>1974</v>
      </c>
      <c r="B5" t="s">
        <v>1975</v>
      </c>
      <c r="C5" t="s">
        <v>1976</v>
      </c>
      <c r="D5" s="11">
        <v>78802</v>
      </c>
      <c r="E5" s="12">
        <v>45657</v>
      </c>
      <c r="F5" s="12">
        <v>45663</v>
      </c>
      <c r="G5" t="s">
        <v>1977</v>
      </c>
      <c r="H5" t="s">
        <v>316</v>
      </c>
      <c r="I5">
        <v>10</v>
      </c>
      <c r="J5">
        <v>14.922000000000001</v>
      </c>
      <c r="M5">
        <v>0.49</v>
      </c>
      <c r="N5">
        <v>4.9000000000000004</v>
      </c>
      <c r="O5">
        <v>10.02</v>
      </c>
      <c r="P5">
        <v>67.158100000000005</v>
      </c>
      <c r="Q5" t="s">
        <v>1981</v>
      </c>
    </row>
    <row r="6" spans="1:17" x14ac:dyDescent="0.25">
      <c r="A6" t="s">
        <v>1974</v>
      </c>
      <c r="B6" t="s">
        <v>1975</v>
      </c>
      <c r="C6" t="s">
        <v>1976</v>
      </c>
      <c r="D6" s="11">
        <v>78804</v>
      </c>
      <c r="E6" s="12">
        <v>45657</v>
      </c>
      <c r="F6" s="12">
        <v>45663</v>
      </c>
      <c r="G6" t="s">
        <v>1982</v>
      </c>
      <c r="H6" t="s">
        <v>1781</v>
      </c>
      <c r="I6">
        <v>170</v>
      </c>
      <c r="J6">
        <v>52.343000000000004</v>
      </c>
      <c r="M6">
        <v>0.13</v>
      </c>
      <c r="N6">
        <v>22.1</v>
      </c>
      <c r="O6">
        <v>30.24</v>
      </c>
      <c r="P6">
        <v>57.776000000000003</v>
      </c>
      <c r="Q6" t="s">
        <v>1983</v>
      </c>
    </row>
    <row r="7" spans="1:17" x14ac:dyDescent="0.25">
      <c r="A7" t="s">
        <v>1974</v>
      </c>
      <c r="B7" t="s">
        <v>1975</v>
      </c>
      <c r="C7" t="s">
        <v>1976</v>
      </c>
      <c r="D7" s="11">
        <v>78804</v>
      </c>
      <c r="E7" s="12">
        <v>45657</v>
      </c>
      <c r="F7" s="12">
        <v>45663</v>
      </c>
      <c r="G7" t="s">
        <v>1982</v>
      </c>
      <c r="H7" t="s">
        <v>517</v>
      </c>
      <c r="I7">
        <v>11</v>
      </c>
      <c r="J7">
        <v>143.5181</v>
      </c>
      <c r="M7">
        <v>10.52</v>
      </c>
      <c r="N7">
        <v>115.72</v>
      </c>
      <c r="O7">
        <v>27.8</v>
      </c>
      <c r="P7">
        <v>19.370100000000001</v>
      </c>
      <c r="Q7" t="s">
        <v>1984</v>
      </c>
    </row>
    <row r="8" spans="1:17" x14ac:dyDescent="0.25">
      <c r="A8" t="s">
        <v>1974</v>
      </c>
      <c r="B8" t="s">
        <v>1975</v>
      </c>
      <c r="C8" t="s">
        <v>1976</v>
      </c>
      <c r="D8" s="11">
        <v>78811</v>
      </c>
      <c r="E8" s="12">
        <v>45660</v>
      </c>
      <c r="F8" s="12">
        <v>45663</v>
      </c>
      <c r="G8" t="s">
        <v>1985</v>
      </c>
      <c r="H8" t="s">
        <v>23</v>
      </c>
      <c r="I8">
        <v>30</v>
      </c>
      <c r="J8">
        <v>8.6969999999999992</v>
      </c>
      <c r="M8">
        <v>0.373</v>
      </c>
      <c r="N8">
        <v>11.19</v>
      </c>
      <c r="O8">
        <v>-2.4900000000000002</v>
      </c>
      <c r="P8">
        <v>-28.6206</v>
      </c>
      <c r="Q8" t="s">
        <v>1986</v>
      </c>
    </row>
    <row r="9" spans="1:17" x14ac:dyDescent="0.25">
      <c r="A9" t="s">
        <v>1974</v>
      </c>
      <c r="B9" t="s">
        <v>1975</v>
      </c>
      <c r="C9" t="s">
        <v>1976</v>
      </c>
      <c r="D9" s="11">
        <v>78811</v>
      </c>
      <c r="E9" s="12">
        <v>45660</v>
      </c>
      <c r="F9" s="12">
        <v>45663</v>
      </c>
      <c r="G9" t="s">
        <v>1985</v>
      </c>
      <c r="H9" t="s">
        <v>25</v>
      </c>
      <c r="I9">
        <v>50</v>
      </c>
      <c r="J9">
        <v>11.725</v>
      </c>
      <c r="M9">
        <v>0.18</v>
      </c>
      <c r="N9">
        <v>9</v>
      </c>
      <c r="O9">
        <v>2.73</v>
      </c>
      <c r="P9">
        <v>23.273599999999998</v>
      </c>
      <c r="Q9" t="s">
        <v>1987</v>
      </c>
    </row>
    <row r="10" spans="1:17" x14ac:dyDescent="0.25">
      <c r="A10" t="s">
        <v>1974</v>
      </c>
      <c r="B10" t="s">
        <v>1975</v>
      </c>
      <c r="C10" t="s">
        <v>1976</v>
      </c>
      <c r="D10" s="11">
        <v>78811</v>
      </c>
      <c r="E10" s="12">
        <v>45660</v>
      </c>
      <c r="F10" s="12">
        <v>45663</v>
      </c>
      <c r="G10" t="s">
        <v>1985</v>
      </c>
      <c r="H10" t="s">
        <v>665</v>
      </c>
      <c r="I10">
        <v>30</v>
      </c>
      <c r="J10">
        <v>25.736999999999998</v>
      </c>
      <c r="M10">
        <v>0.69699999999999995</v>
      </c>
      <c r="N10">
        <v>20.91</v>
      </c>
      <c r="O10">
        <v>4.83</v>
      </c>
      <c r="P10">
        <v>18.764500000000002</v>
      </c>
      <c r="Q10" t="s">
        <v>1988</v>
      </c>
    </row>
    <row r="11" spans="1:17" x14ac:dyDescent="0.25">
      <c r="A11" t="s">
        <v>1974</v>
      </c>
      <c r="B11" t="s">
        <v>1975</v>
      </c>
      <c r="C11" t="s">
        <v>1976</v>
      </c>
      <c r="D11" s="11">
        <v>78811</v>
      </c>
      <c r="E11" s="12">
        <v>45660</v>
      </c>
      <c r="F11" s="12">
        <v>45663</v>
      </c>
      <c r="G11" t="s">
        <v>1985</v>
      </c>
      <c r="H11" t="s">
        <v>104</v>
      </c>
      <c r="I11">
        <v>10</v>
      </c>
      <c r="J11">
        <v>17.036999999999999</v>
      </c>
      <c r="M11">
        <v>1.2330000000000001</v>
      </c>
      <c r="N11">
        <v>12.33</v>
      </c>
      <c r="O11">
        <v>4.71</v>
      </c>
      <c r="P11">
        <v>27.640799999999999</v>
      </c>
      <c r="Q11" t="s">
        <v>1989</v>
      </c>
    </row>
    <row r="12" spans="1:17" x14ac:dyDescent="0.25">
      <c r="A12" t="s">
        <v>1974</v>
      </c>
      <c r="B12" t="s">
        <v>1975</v>
      </c>
      <c r="C12" t="s">
        <v>1976</v>
      </c>
      <c r="D12" s="11">
        <v>78811</v>
      </c>
      <c r="E12" s="12">
        <v>45660</v>
      </c>
      <c r="F12" s="12">
        <v>45663</v>
      </c>
      <c r="G12" t="s">
        <v>1985</v>
      </c>
      <c r="H12" t="s">
        <v>106</v>
      </c>
      <c r="I12">
        <v>35</v>
      </c>
      <c r="J12">
        <v>55.447000000000003</v>
      </c>
      <c r="M12">
        <v>2.1040000000000001</v>
      </c>
      <c r="N12">
        <v>73.64</v>
      </c>
      <c r="O12">
        <v>-18.190000000000001</v>
      </c>
      <c r="P12">
        <v>-32.804299999999998</v>
      </c>
      <c r="Q12" t="s">
        <v>1990</v>
      </c>
    </row>
    <row r="13" spans="1:17" x14ac:dyDescent="0.25">
      <c r="A13" t="s">
        <v>1974</v>
      </c>
      <c r="B13" t="s">
        <v>1975</v>
      </c>
      <c r="C13" t="s">
        <v>1976</v>
      </c>
      <c r="D13" s="11">
        <v>78811</v>
      </c>
      <c r="E13" s="12">
        <v>45660</v>
      </c>
      <c r="F13" s="12">
        <v>45663</v>
      </c>
      <c r="G13" t="s">
        <v>1985</v>
      </c>
      <c r="H13" t="s">
        <v>1584</v>
      </c>
      <c r="I13">
        <v>30</v>
      </c>
      <c r="J13">
        <v>16.766999999999999</v>
      </c>
      <c r="M13">
        <v>0.29499999999999998</v>
      </c>
      <c r="N13">
        <v>8.85</v>
      </c>
      <c r="O13">
        <v>7.92</v>
      </c>
      <c r="P13">
        <v>47.2271</v>
      </c>
      <c r="Q13" t="s">
        <v>1991</v>
      </c>
    </row>
    <row r="14" spans="1:17" x14ac:dyDescent="0.25">
      <c r="A14" t="s">
        <v>1974</v>
      </c>
      <c r="B14" t="s">
        <v>1975</v>
      </c>
      <c r="C14" t="s">
        <v>1976</v>
      </c>
      <c r="D14" s="11">
        <v>78811</v>
      </c>
      <c r="E14" s="12">
        <v>45660</v>
      </c>
      <c r="F14" s="12">
        <v>45663</v>
      </c>
      <c r="G14" t="s">
        <v>1985</v>
      </c>
      <c r="H14" t="s">
        <v>186</v>
      </c>
      <c r="I14">
        <v>100</v>
      </c>
      <c r="J14">
        <v>31.09</v>
      </c>
      <c r="M14">
        <v>0.14188999999999999</v>
      </c>
      <c r="N14">
        <v>14.189</v>
      </c>
      <c r="O14">
        <v>16.901</v>
      </c>
      <c r="P14">
        <v>54.361499999999999</v>
      </c>
      <c r="Q14" t="s">
        <v>1992</v>
      </c>
    </row>
    <row r="15" spans="1:17" x14ac:dyDescent="0.25">
      <c r="A15" t="s">
        <v>1974</v>
      </c>
      <c r="B15" t="s">
        <v>1975</v>
      </c>
      <c r="C15" t="s">
        <v>1976</v>
      </c>
      <c r="D15" s="11">
        <v>78816</v>
      </c>
      <c r="E15" s="12">
        <v>45663</v>
      </c>
      <c r="F15" s="12">
        <v>45664</v>
      </c>
      <c r="G15" t="s">
        <v>1993</v>
      </c>
      <c r="H15" t="s">
        <v>1567</v>
      </c>
      <c r="I15">
        <v>200</v>
      </c>
      <c r="J15">
        <v>9.06</v>
      </c>
      <c r="M15">
        <v>4.2999999999999997E-2</v>
      </c>
      <c r="N15">
        <v>8.6</v>
      </c>
      <c r="O15">
        <v>0.46</v>
      </c>
      <c r="P15">
        <v>5.0772000000000004</v>
      </c>
      <c r="Q15" t="s">
        <v>1994</v>
      </c>
    </row>
    <row r="16" spans="1:17" x14ac:dyDescent="0.25">
      <c r="A16" t="s">
        <v>1974</v>
      </c>
      <c r="B16" t="s">
        <v>1975</v>
      </c>
      <c r="C16" t="s">
        <v>1976</v>
      </c>
      <c r="D16" s="11">
        <v>78816</v>
      </c>
      <c r="E16" s="12">
        <v>45663</v>
      </c>
      <c r="F16" s="12">
        <v>45664</v>
      </c>
      <c r="G16" t="s">
        <v>1993</v>
      </c>
      <c r="H16" t="s">
        <v>1071</v>
      </c>
      <c r="I16">
        <v>7</v>
      </c>
      <c r="J16">
        <v>85.575699999999998</v>
      </c>
      <c r="M16">
        <v>8.766</v>
      </c>
      <c r="N16">
        <v>61.362000000000002</v>
      </c>
      <c r="O16">
        <v>24.218</v>
      </c>
      <c r="P16">
        <v>28.2986</v>
      </c>
      <c r="Q16" t="s">
        <v>1995</v>
      </c>
    </row>
    <row r="17" spans="1:17" x14ac:dyDescent="0.25">
      <c r="A17" t="s">
        <v>1974</v>
      </c>
      <c r="B17" t="s">
        <v>1975</v>
      </c>
      <c r="C17" t="s">
        <v>1976</v>
      </c>
      <c r="D17" s="11">
        <v>78816</v>
      </c>
      <c r="E17" s="12">
        <v>45663</v>
      </c>
      <c r="F17" s="12">
        <v>45664</v>
      </c>
      <c r="G17" t="s">
        <v>1993</v>
      </c>
      <c r="H17" t="s">
        <v>500</v>
      </c>
      <c r="I17">
        <v>6</v>
      </c>
      <c r="J17">
        <v>93.706199999999995</v>
      </c>
      <c r="M17">
        <v>11.603</v>
      </c>
      <c r="N17">
        <v>69.617999999999995</v>
      </c>
      <c r="O17">
        <v>24.091999999999999</v>
      </c>
      <c r="P17">
        <v>25.709099999999999</v>
      </c>
      <c r="Q17" t="s">
        <v>1996</v>
      </c>
    </row>
    <row r="18" spans="1:17" x14ac:dyDescent="0.25">
      <c r="A18" t="s">
        <v>1974</v>
      </c>
      <c r="B18" t="s">
        <v>1975</v>
      </c>
      <c r="C18" t="s">
        <v>1976</v>
      </c>
      <c r="D18" s="11">
        <v>78816</v>
      </c>
      <c r="E18" s="12">
        <v>45663</v>
      </c>
      <c r="F18" s="12">
        <v>45664</v>
      </c>
      <c r="G18" t="s">
        <v>1993</v>
      </c>
      <c r="H18" t="s">
        <v>1997</v>
      </c>
      <c r="I18">
        <v>11</v>
      </c>
      <c r="J18">
        <v>224.23609999999999</v>
      </c>
      <c r="M18">
        <v>12.88</v>
      </c>
      <c r="N18">
        <v>141.68</v>
      </c>
      <c r="O18">
        <v>82.56</v>
      </c>
      <c r="P18">
        <v>36.817599999999999</v>
      </c>
      <c r="Q18" t="s">
        <v>1998</v>
      </c>
    </row>
    <row r="19" spans="1:17" x14ac:dyDescent="0.25">
      <c r="A19" t="s">
        <v>1974</v>
      </c>
      <c r="B19" t="s">
        <v>1975</v>
      </c>
      <c r="C19" t="s">
        <v>1976</v>
      </c>
      <c r="D19" s="11">
        <v>78816</v>
      </c>
      <c r="E19" s="12">
        <v>45663</v>
      </c>
      <c r="F19" s="12">
        <v>45664</v>
      </c>
      <c r="G19" t="s">
        <v>1993</v>
      </c>
      <c r="H19" t="s">
        <v>210</v>
      </c>
      <c r="I19">
        <v>6</v>
      </c>
      <c r="J19">
        <v>65.37</v>
      </c>
      <c r="M19">
        <v>9.1199999999999992</v>
      </c>
      <c r="N19">
        <v>54.72</v>
      </c>
      <c r="O19">
        <v>10.65</v>
      </c>
      <c r="P19">
        <v>16.291799999999999</v>
      </c>
      <c r="Q19" t="s">
        <v>1999</v>
      </c>
    </row>
    <row r="20" spans="1:17" x14ac:dyDescent="0.25">
      <c r="A20" t="s">
        <v>1974</v>
      </c>
      <c r="B20" t="s">
        <v>1975</v>
      </c>
      <c r="C20" t="s">
        <v>1976</v>
      </c>
      <c r="D20" s="11">
        <v>78842</v>
      </c>
      <c r="E20" s="12">
        <v>45664</v>
      </c>
      <c r="F20" s="12">
        <v>45665</v>
      </c>
      <c r="G20" t="s">
        <v>2000</v>
      </c>
      <c r="H20" t="s">
        <v>144</v>
      </c>
      <c r="I20">
        <v>30</v>
      </c>
      <c r="J20">
        <v>0.67200000000000004</v>
      </c>
      <c r="M20">
        <v>6.1700000000000001E-3</v>
      </c>
      <c r="N20">
        <v>0.18509999999999999</v>
      </c>
      <c r="O20">
        <v>0.4849</v>
      </c>
      <c r="P20">
        <v>72.373099999999994</v>
      </c>
      <c r="Q20" t="s">
        <v>1978</v>
      </c>
    </row>
    <row r="21" spans="1:17" x14ac:dyDescent="0.25">
      <c r="A21" t="s">
        <v>1974</v>
      </c>
      <c r="B21" t="s">
        <v>1975</v>
      </c>
      <c r="C21" t="s">
        <v>1976</v>
      </c>
      <c r="D21" s="11">
        <v>78842</v>
      </c>
      <c r="E21" s="12">
        <v>45664</v>
      </c>
      <c r="F21" s="12">
        <v>45665</v>
      </c>
      <c r="G21" t="s">
        <v>2000</v>
      </c>
      <c r="H21" t="s">
        <v>1388</v>
      </c>
      <c r="I21">
        <v>100</v>
      </c>
      <c r="J21">
        <v>1.05</v>
      </c>
      <c r="M21">
        <v>3.0899999999999999E-3</v>
      </c>
      <c r="N21">
        <v>0.309</v>
      </c>
      <c r="O21">
        <v>0.74099999999999999</v>
      </c>
      <c r="P21">
        <v>70.571399999999997</v>
      </c>
      <c r="Q21" t="s">
        <v>2001</v>
      </c>
    </row>
    <row r="22" spans="1:17" x14ac:dyDescent="0.25">
      <c r="A22" t="s">
        <v>1974</v>
      </c>
      <c r="B22" t="s">
        <v>1975</v>
      </c>
      <c r="C22" t="s">
        <v>1976</v>
      </c>
      <c r="D22" s="11">
        <v>78842</v>
      </c>
      <c r="E22" s="12">
        <v>45664</v>
      </c>
      <c r="F22" s="12">
        <v>45665</v>
      </c>
      <c r="G22" t="s">
        <v>2000</v>
      </c>
      <c r="H22" t="s">
        <v>1057</v>
      </c>
      <c r="I22">
        <v>25</v>
      </c>
      <c r="J22">
        <v>46.6</v>
      </c>
      <c r="M22">
        <v>0.83599999999999997</v>
      </c>
      <c r="N22">
        <v>20.9</v>
      </c>
      <c r="O22">
        <v>25.7</v>
      </c>
      <c r="P22">
        <v>55.150199999999998</v>
      </c>
      <c r="Q22" t="s">
        <v>2002</v>
      </c>
    </row>
    <row r="23" spans="1:17" x14ac:dyDescent="0.25">
      <c r="A23" t="s">
        <v>1974</v>
      </c>
      <c r="B23" t="s">
        <v>1975</v>
      </c>
      <c r="C23" t="s">
        <v>1976</v>
      </c>
      <c r="D23" s="11">
        <v>78842</v>
      </c>
      <c r="E23" s="12">
        <v>45664</v>
      </c>
      <c r="F23" s="12">
        <v>45665</v>
      </c>
      <c r="G23" t="s">
        <v>2000</v>
      </c>
      <c r="H23" t="s">
        <v>533</v>
      </c>
      <c r="I23">
        <v>100</v>
      </c>
      <c r="J23">
        <v>2.54</v>
      </c>
      <c r="M23">
        <v>1.38E-2</v>
      </c>
      <c r="N23">
        <v>1.38</v>
      </c>
      <c r="O23">
        <v>1.1599999999999999</v>
      </c>
      <c r="P23">
        <v>45.669199999999996</v>
      </c>
      <c r="Q23" t="s">
        <v>2003</v>
      </c>
    </row>
    <row r="24" spans="1:17" x14ac:dyDescent="0.25">
      <c r="A24" t="s">
        <v>1974</v>
      </c>
      <c r="B24" t="s">
        <v>1975</v>
      </c>
      <c r="C24" t="s">
        <v>1976</v>
      </c>
      <c r="D24" s="11">
        <v>78921</v>
      </c>
      <c r="E24" s="12">
        <v>45670</v>
      </c>
      <c r="F24" s="12">
        <v>45671</v>
      </c>
      <c r="G24" t="s">
        <v>2004</v>
      </c>
      <c r="H24" t="s">
        <v>1271</v>
      </c>
      <c r="I24">
        <v>100</v>
      </c>
      <c r="J24">
        <v>16.59</v>
      </c>
      <c r="M24">
        <v>0.13600000000000001</v>
      </c>
      <c r="N24">
        <v>13.6</v>
      </c>
      <c r="O24">
        <v>2.99</v>
      </c>
      <c r="P24">
        <v>18.0229</v>
      </c>
      <c r="Q24" t="s">
        <v>2005</v>
      </c>
    </row>
    <row r="25" spans="1:17" x14ac:dyDescent="0.25">
      <c r="A25" t="s">
        <v>1974</v>
      </c>
      <c r="B25" t="s">
        <v>1975</v>
      </c>
      <c r="C25" t="s">
        <v>1976</v>
      </c>
      <c r="D25" s="11">
        <v>78921</v>
      </c>
      <c r="E25" s="12">
        <v>45670</v>
      </c>
      <c r="F25" s="12">
        <v>45671</v>
      </c>
      <c r="G25" t="s">
        <v>2004</v>
      </c>
      <c r="H25" t="s">
        <v>983</v>
      </c>
      <c r="I25">
        <v>50</v>
      </c>
      <c r="J25">
        <v>498.42</v>
      </c>
      <c r="M25">
        <v>6.06</v>
      </c>
      <c r="N25">
        <v>303</v>
      </c>
      <c r="O25">
        <v>195.42</v>
      </c>
      <c r="P25">
        <v>39.207799999999999</v>
      </c>
      <c r="Q25" t="s">
        <v>2006</v>
      </c>
    </row>
    <row r="26" spans="1:17" x14ac:dyDescent="0.25">
      <c r="A26" t="s">
        <v>1974</v>
      </c>
      <c r="B26" t="s">
        <v>1975</v>
      </c>
      <c r="C26" t="s">
        <v>1976</v>
      </c>
      <c r="D26" s="11">
        <v>78921</v>
      </c>
      <c r="E26" s="12">
        <v>45670</v>
      </c>
      <c r="F26" s="12">
        <v>45671</v>
      </c>
      <c r="G26" t="s">
        <v>2004</v>
      </c>
      <c r="H26" t="s">
        <v>1039</v>
      </c>
      <c r="I26">
        <v>30</v>
      </c>
      <c r="J26">
        <v>33.6</v>
      </c>
      <c r="M26">
        <v>0.72099999999999997</v>
      </c>
      <c r="N26">
        <v>21.63</v>
      </c>
      <c r="O26">
        <v>11.97</v>
      </c>
      <c r="P26">
        <v>35.625</v>
      </c>
      <c r="Q26" t="s">
        <v>2007</v>
      </c>
    </row>
    <row r="27" spans="1:17" x14ac:dyDescent="0.25">
      <c r="A27" t="s">
        <v>1974</v>
      </c>
      <c r="B27" t="s">
        <v>1975</v>
      </c>
      <c r="C27" t="s">
        <v>1976</v>
      </c>
      <c r="D27" s="11">
        <v>78921</v>
      </c>
      <c r="E27" s="12">
        <v>45670</v>
      </c>
      <c r="F27" s="12">
        <v>45671</v>
      </c>
      <c r="G27" t="s">
        <v>2004</v>
      </c>
      <c r="H27" t="s">
        <v>1100</v>
      </c>
      <c r="I27">
        <v>50</v>
      </c>
      <c r="J27">
        <v>339.11500000000001</v>
      </c>
      <c r="M27">
        <v>6.2039999999999997</v>
      </c>
      <c r="N27">
        <v>310.2</v>
      </c>
      <c r="O27">
        <v>28.92</v>
      </c>
      <c r="P27">
        <v>8.5279000000000007</v>
      </c>
      <c r="Q27" t="s">
        <v>2008</v>
      </c>
    </row>
    <row r="28" spans="1:17" x14ac:dyDescent="0.25">
      <c r="A28" t="s">
        <v>1974</v>
      </c>
      <c r="B28" t="s">
        <v>1975</v>
      </c>
      <c r="C28" t="s">
        <v>1976</v>
      </c>
      <c r="D28" s="11">
        <v>78921</v>
      </c>
      <c r="E28" s="12">
        <v>45670</v>
      </c>
      <c r="F28" s="12">
        <v>45671</v>
      </c>
      <c r="G28" t="s">
        <v>2004</v>
      </c>
      <c r="H28" t="s">
        <v>229</v>
      </c>
      <c r="I28">
        <v>50</v>
      </c>
      <c r="J28">
        <v>175.83</v>
      </c>
      <c r="M28">
        <v>2.2999999999999998</v>
      </c>
      <c r="N28">
        <v>115</v>
      </c>
      <c r="O28">
        <v>60.83</v>
      </c>
      <c r="P28">
        <v>34.5959</v>
      </c>
      <c r="Q28" t="s">
        <v>2009</v>
      </c>
    </row>
    <row r="29" spans="1:17" x14ac:dyDescent="0.25">
      <c r="A29" t="s">
        <v>1974</v>
      </c>
      <c r="B29" t="s">
        <v>1975</v>
      </c>
      <c r="C29" t="s">
        <v>1976</v>
      </c>
      <c r="D29" s="11">
        <v>78921</v>
      </c>
      <c r="E29" s="12">
        <v>45670</v>
      </c>
      <c r="F29" s="12">
        <v>45671</v>
      </c>
      <c r="G29" t="s">
        <v>2004</v>
      </c>
      <c r="H29" t="s">
        <v>212</v>
      </c>
      <c r="I29">
        <v>14</v>
      </c>
      <c r="J29">
        <v>152.32</v>
      </c>
      <c r="M29">
        <v>7.36</v>
      </c>
      <c r="N29">
        <v>103.04</v>
      </c>
      <c r="O29">
        <v>49.28</v>
      </c>
      <c r="P29">
        <v>32.352899999999998</v>
      </c>
      <c r="Q29" t="s">
        <v>2010</v>
      </c>
    </row>
    <row r="30" spans="1:17" x14ac:dyDescent="0.25">
      <c r="A30" t="s">
        <v>1974</v>
      </c>
      <c r="B30" t="s">
        <v>1975</v>
      </c>
      <c r="C30" t="s">
        <v>1976</v>
      </c>
      <c r="D30" s="11">
        <v>78921</v>
      </c>
      <c r="E30" s="12">
        <v>45670</v>
      </c>
      <c r="F30" s="12">
        <v>45671</v>
      </c>
      <c r="G30" t="s">
        <v>2004</v>
      </c>
      <c r="H30" t="s">
        <v>730</v>
      </c>
      <c r="I30">
        <v>16</v>
      </c>
      <c r="J30">
        <v>413.92</v>
      </c>
      <c r="M30">
        <v>17.86</v>
      </c>
      <c r="N30">
        <v>285.76</v>
      </c>
      <c r="O30">
        <v>128.16</v>
      </c>
      <c r="P30">
        <v>30.962499999999999</v>
      </c>
      <c r="Q30" t="s">
        <v>2011</v>
      </c>
    </row>
    <row r="31" spans="1:17" x14ac:dyDescent="0.25">
      <c r="A31" t="s">
        <v>1974</v>
      </c>
      <c r="B31" t="s">
        <v>1975</v>
      </c>
      <c r="C31" t="s">
        <v>1976</v>
      </c>
      <c r="D31" s="11">
        <v>78921</v>
      </c>
      <c r="E31" s="12">
        <v>45670</v>
      </c>
      <c r="F31" s="12">
        <v>45671</v>
      </c>
      <c r="G31" t="s">
        <v>2004</v>
      </c>
      <c r="H31" t="s">
        <v>80</v>
      </c>
      <c r="I31">
        <v>28</v>
      </c>
      <c r="J31">
        <v>338.20080000000002</v>
      </c>
      <c r="M31">
        <v>10.06</v>
      </c>
      <c r="N31">
        <v>281.68</v>
      </c>
      <c r="O31">
        <v>56.52</v>
      </c>
      <c r="P31">
        <v>16.712</v>
      </c>
      <c r="Q31" t="s">
        <v>2012</v>
      </c>
    </row>
    <row r="32" spans="1:17" x14ac:dyDescent="0.25">
      <c r="A32" t="s">
        <v>1974</v>
      </c>
      <c r="B32" t="s">
        <v>1975</v>
      </c>
      <c r="C32" t="s">
        <v>1976</v>
      </c>
      <c r="D32" s="11">
        <v>78921</v>
      </c>
      <c r="E32" s="12">
        <v>45670</v>
      </c>
      <c r="F32" s="12">
        <v>45671</v>
      </c>
      <c r="G32" t="s">
        <v>2004</v>
      </c>
      <c r="H32" t="s">
        <v>83</v>
      </c>
      <c r="I32">
        <v>24</v>
      </c>
      <c r="J32">
        <v>386.34480000000002</v>
      </c>
      <c r="M32">
        <v>11.39</v>
      </c>
      <c r="N32">
        <v>273.36</v>
      </c>
      <c r="O32">
        <v>112.98</v>
      </c>
      <c r="P32">
        <v>29.243600000000001</v>
      </c>
      <c r="Q32" t="s">
        <v>2013</v>
      </c>
    </row>
    <row r="33" spans="1:17" x14ac:dyDescent="0.25">
      <c r="A33" t="s">
        <v>1974</v>
      </c>
      <c r="B33" t="s">
        <v>1975</v>
      </c>
      <c r="C33" t="s">
        <v>1976</v>
      </c>
      <c r="D33" s="11">
        <v>78921</v>
      </c>
      <c r="E33" s="12">
        <v>45670</v>
      </c>
      <c r="F33" s="12">
        <v>45671</v>
      </c>
      <c r="G33" t="s">
        <v>2004</v>
      </c>
      <c r="H33" t="s">
        <v>85</v>
      </c>
      <c r="I33">
        <v>16</v>
      </c>
      <c r="J33">
        <v>339.64</v>
      </c>
      <c r="M33">
        <v>9.2799999999999994</v>
      </c>
      <c r="N33">
        <v>148.47999999999999</v>
      </c>
      <c r="O33">
        <v>191.16</v>
      </c>
      <c r="P33">
        <v>56.283099999999997</v>
      </c>
      <c r="Q33" t="s">
        <v>2014</v>
      </c>
    </row>
    <row r="34" spans="1:17" x14ac:dyDescent="0.25">
      <c r="A34" t="s">
        <v>1974</v>
      </c>
      <c r="B34" t="s">
        <v>1975</v>
      </c>
      <c r="C34" t="s">
        <v>1976</v>
      </c>
      <c r="D34" s="11">
        <v>78921</v>
      </c>
      <c r="E34" s="12">
        <v>45670</v>
      </c>
      <c r="F34" s="12">
        <v>45671</v>
      </c>
      <c r="G34" t="s">
        <v>2004</v>
      </c>
      <c r="H34" t="s">
        <v>1584</v>
      </c>
      <c r="I34">
        <v>60</v>
      </c>
      <c r="J34">
        <v>33.533999999999999</v>
      </c>
      <c r="M34">
        <v>0.29499999999999998</v>
      </c>
      <c r="N34">
        <v>17.7</v>
      </c>
      <c r="O34">
        <v>15.83</v>
      </c>
      <c r="P34">
        <v>47.211399999999998</v>
      </c>
      <c r="Q34" t="s">
        <v>2015</v>
      </c>
    </row>
    <row r="35" spans="1:17" x14ac:dyDescent="0.25">
      <c r="A35" t="s">
        <v>1974</v>
      </c>
      <c r="B35" t="s">
        <v>1975</v>
      </c>
      <c r="C35" t="s">
        <v>1976</v>
      </c>
      <c r="D35" s="11">
        <v>78934</v>
      </c>
      <c r="E35" s="12">
        <v>45670</v>
      </c>
      <c r="F35" s="12">
        <v>45671</v>
      </c>
      <c r="G35" t="s">
        <v>2016</v>
      </c>
      <c r="H35" t="s">
        <v>1071</v>
      </c>
      <c r="I35">
        <v>17</v>
      </c>
      <c r="J35">
        <v>207.82669999999999</v>
      </c>
      <c r="M35">
        <v>8.766</v>
      </c>
      <c r="N35">
        <v>149.02199999999999</v>
      </c>
      <c r="O35">
        <v>58.808</v>
      </c>
      <c r="P35">
        <v>28.296199999999999</v>
      </c>
      <c r="Q35" t="s">
        <v>1995</v>
      </c>
    </row>
    <row r="36" spans="1:17" x14ac:dyDescent="0.25">
      <c r="A36" t="s">
        <v>1974</v>
      </c>
      <c r="B36" t="s">
        <v>1975</v>
      </c>
      <c r="C36" t="s">
        <v>1976</v>
      </c>
      <c r="D36" s="11">
        <v>78934</v>
      </c>
      <c r="E36" s="12">
        <v>45670</v>
      </c>
      <c r="F36" s="12">
        <v>45671</v>
      </c>
      <c r="G36" t="s">
        <v>2016</v>
      </c>
      <c r="H36" t="s">
        <v>500</v>
      </c>
      <c r="I36">
        <v>9</v>
      </c>
      <c r="J36">
        <v>140.55930000000001</v>
      </c>
      <c r="M36">
        <v>11.603</v>
      </c>
      <c r="N36">
        <v>104.42700000000001</v>
      </c>
      <c r="O36">
        <v>36.133000000000003</v>
      </c>
      <c r="P36">
        <v>25.706399999999999</v>
      </c>
      <c r="Q36" t="s">
        <v>1996</v>
      </c>
    </row>
    <row r="37" spans="1:17" x14ac:dyDescent="0.25">
      <c r="A37" t="s">
        <v>1974</v>
      </c>
      <c r="B37" t="s">
        <v>1975</v>
      </c>
      <c r="C37" t="s">
        <v>1976</v>
      </c>
      <c r="D37" s="11">
        <v>79024</v>
      </c>
      <c r="E37" s="12">
        <v>45679</v>
      </c>
      <c r="F37" s="12">
        <v>45681</v>
      </c>
      <c r="G37" t="s">
        <v>2017</v>
      </c>
      <c r="H37" t="s">
        <v>1781</v>
      </c>
      <c r="I37">
        <v>175</v>
      </c>
      <c r="J37">
        <v>53.8825</v>
      </c>
      <c r="M37">
        <v>0.13</v>
      </c>
      <c r="N37">
        <v>22.75</v>
      </c>
      <c r="O37">
        <v>31.13</v>
      </c>
      <c r="P37">
        <v>57.776499999999999</v>
      </c>
      <c r="Q37" t="s">
        <v>1983</v>
      </c>
    </row>
    <row r="38" spans="1:17" x14ac:dyDescent="0.25">
      <c r="A38" t="s">
        <v>1974</v>
      </c>
      <c r="B38" t="s">
        <v>1975</v>
      </c>
      <c r="C38" t="s">
        <v>1976</v>
      </c>
      <c r="D38" s="11">
        <v>79083</v>
      </c>
      <c r="E38" s="12">
        <v>45684</v>
      </c>
      <c r="F38" s="12">
        <v>45685</v>
      </c>
      <c r="G38" t="s">
        <v>2018</v>
      </c>
      <c r="H38" t="s">
        <v>25</v>
      </c>
      <c r="I38">
        <v>35</v>
      </c>
      <c r="J38">
        <v>8.2074999999999996</v>
      </c>
      <c r="M38">
        <v>0.18</v>
      </c>
      <c r="N38">
        <v>6.3</v>
      </c>
      <c r="O38">
        <v>1.91</v>
      </c>
      <c r="P38">
        <v>23.264299999999999</v>
      </c>
      <c r="Q38" t="s">
        <v>1987</v>
      </c>
    </row>
    <row r="39" spans="1:17" x14ac:dyDescent="0.25">
      <c r="A39" t="s">
        <v>1974</v>
      </c>
      <c r="B39" t="s">
        <v>1975</v>
      </c>
      <c r="C39" t="s">
        <v>1976</v>
      </c>
      <c r="D39" s="11">
        <v>79083</v>
      </c>
      <c r="E39" s="12">
        <v>45684</v>
      </c>
      <c r="F39" s="12">
        <v>45685</v>
      </c>
      <c r="G39" t="s">
        <v>2018</v>
      </c>
      <c r="H39" t="s">
        <v>1388</v>
      </c>
      <c r="I39">
        <v>100</v>
      </c>
      <c r="J39">
        <v>1.05</v>
      </c>
      <c r="M39">
        <v>3.0899999999999999E-3</v>
      </c>
      <c r="N39">
        <v>0.309</v>
      </c>
      <c r="O39">
        <v>0.74099999999999999</v>
      </c>
      <c r="P39">
        <v>70.571399999999997</v>
      </c>
      <c r="Q39" t="s">
        <v>2001</v>
      </c>
    </row>
    <row r="40" spans="1:17" x14ac:dyDescent="0.25">
      <c r="A40" t="s">
        <v>1974</v>
      </c>
      <c r="B40" t="s">
        <v>1975</v>
      </c>
      <c r="C40" t="s">
        <v>1976</v>
      </c>
      <c r="D40" s="11">
        <v>79083</v>
      </c>
      <c r="E40" s="12">
        <v>45684</v>
      </c>
      <c r="F40" s="12">
        <v>45685</v>
      </c>
      <c r="G40" t="s">
        <v>2018</v>
      </c>
      <c r="H40" t="s">
        <v>665</v>
      </c>
      <c r="I40">
        <v>20</v>
      </c>
      <c r="J40">
        <v>17.158000000000001</v>
      </c>
      <c r="M40">
        <v>0.69699999999999995</v>
      </c>
      <c r="N40">
        <v>13.94</v>
      </c>
      <c r="O40">
        <v>3.22</v>
      </c>
      <c r="P40">
        <v>18.764500000000002</v>
      </c>
      <c r="Q40" t="s">
        <v>1988</v>
      </c>
    </row>
    <row r="41" spans="1:17" x14ac:dyDescent="0.25">
      <c r="A41" t="s">
        <v>1974</v>
      </c>
      <c r="B41" t="s">
        <v>1975</v>
      </c>
      <c r="C41" t="s">
        <v>1976</v>
      </c>
      <c r="D41" s="11">
        <v>79083</v>
      </c>
      <c r="E41" s="12">
        <v>45684</v>
      </c>
      <c r="F41" s="12">
        <v>45685</v>
      </c>
      <c r="G41" t="s">
        <v>2018</v>
      </c>
      <c r="H41" t="s">
        <v>114</v>
      </c>
      <c r="I41">
        <v>10</v>
      </c>
      <c r="J41">
        <v>83.543000000000006</v>
      </c>
      <c r="M41">
        <v>7.01</v>
      </c>
      <c r="N41">
        <v>70.099999999999994</v>
      </c>
      <c r="O41">
        <v>13.44</v>
      </c>
      <c r="P41">
        <v>16.088100000000001</v>
      </c>
      <c r="Q41" t="s">
        <v>2019</v>
      </c>
    </row>
    <row r="42" spans="1:17" x14ac:dyDescent="0.25">
      <c r="A42" t="s">
        <v>1974</v>
      </c>
      <c r="B42" t="s">
        <v>1975</v>
      </c>
      <c r="C42" t="s">
        <v>1976</v>
      </c>
      <c r="D42" s="11">
        <v>79083</v>
      </c>
      <c r="E42" s="12">
        <v>45684</v>
      </c>
      <c r="F42" s="12">
        <v>45685</v>
      </c>
      <c r="G42" t="s">
        <v>2018</v>
      </c>
      <c r="H42" t="s">
        <v>104</v>
      </c>
      <c r="I42">
        <v>10</v>
      </c>
      <c r="J42">
        <v>17.036999999999999</v>
      </c>
      <c r="M42">
        <v>1.2330000000000001</v>
      </c>
      <c r="N42">
        <v>12.33</v>
      </c>
      <c r="O42">
        <v>4.71</v>
      </c>
      <c r="P42">
        <v>27.640799999999999</v>
      </c>
      <c r="Q42" t="s">
        <v>1989</v>
      </c>
    </row>
    <row r="43" spans="1:17" x14ac:dyDescent="0.25">
      <c r="A43" t="s">
        <v>1974</v>
      </c>
      <c r="B43" t="s">
        <v>1975</v>
      </c>
      <c r="C43" t="s">
        <v>1976</v>
      </c>
      <c r="D43" s="11">
        <v>79083</v>
      </c>
      <c r="E43" s="12">
        <v>45684</v>
      </c>
      <c r="F43" s="12">
        <v>45685</v>
      </c>
      <c r="G43" t="s">
        <v>2018</v>
      </c>
      <c r="H43" t="s">
        <v>106</v>
      </c>
      <c r="I43">
        <v>30</v>
      </c>
      <c r="J43">
        <v>47.526000000000003</v>
      </c>
      <c r="M43">
        <v>2.1040000000000001</v>
      </c>
      <c r="N43">
        <v>63.12</v>
      </c>
      <c r="O43">
        <v>-15.59</v>
      </c>
      <c r="P43">
        <v>-32.8003</v>
      </c>
      <c r="Q43" t="s">
        <v>1990</v>
      </c>
    </row>
    <row r="44" spans="1:17" x14ac:dyDescent="0.25">
      <c r="A44" t="s">
        <v>1974</v>
      </c>
      <c r="B44" t="s">
        <v>1975</v>
      </c>
      <c r="C44" t="s">
        <v>1976</v>
      </c>
      <c r="D44" s="11">
        <v>79083</v>
      </c>
      <c r="E44" s="12">
        <v>45684</v>
      </c>
      <c r="F44" s="12">
        <v>45685</v>
      </c>
      <c r="G44" t="s">
        <v>2018</v>
      </c>
      <c r="H44" t="s">
        <v>1621</v>
      </c>
      <c r="I44">
        <v>6</v>
      </c>
      <c r="J44">
        <v>85.536600000000007</v>
      </c>
      <c r="M44">
        <v>8.5967699999999994</v>
      </c>
      <c r="N44">
        <v>51.580620000000003</v>
      </c>
      <c r="O44">
        <v>33.959380000000003</v>
      </c>
      <c r="P44">
        <v>39.700000000000003</v>
      </c>
      <c r="Q44" t="s">
        <v>2020</v>
      </c>
    </row>
    <row r="45" spans="1:17" x14ac:dyDescent="0.25">
      <c r="A45" t="s">
        <v>1974</v>
      </c>
      <c r="B45" t="s">
        <v>1975</v>
      </c>
      <c r="C45" t="s">
        <v>1976</v>
      </c>
      <c r="D45" s="11">
        <v>79083</v>
      </c>
      <c r="E45" s="12">
        <v>45684</v>
      </c>
      <c r="F45" s="12">
        <v>45685</v>
      </c>
      <c r="G45" t="s">
        <v>2018</v>
      </c>
      <c r="H45" t="s">
        <v>184</v>
      </c>
      <c r="I45">
        <v>100</v>
      </c>
      <c r="J45">
        <v>34.67</v>
      </c>
      <c r="M45">
        <v>9.0190000000000006E-2</v>
      </c>
      <c r="N45">
        <v>9.0190000000000001</v>
      </c>
      <c r="O45">
        <v>25.651</v>
      </c>
      <c r="P45">
        <v>73.986099999999993</v>
      </c>
      <c r="Q45" t="s">
        <v>2021</v>
      </c>
    </row>
    <row r="46" spans="1:17" x14ac:dyDescent="0.25">
      <c r="A46" t="s">
        <v>1974</v>
      </c>
      <c r="B46" t="s">
        <v>1975</v>
      </c>
      <c r="C46" t="s">
        <v>1976</v>
      </c>
      <c r="D46" s="11">
        <v>79083</v>
      </c>
      <c r="E46" s="12">
        <v>45684</v>
      </c>
      <c r="F46" s="12">
        <v>45685</v>
      </c>
      <c r="G46" t="s">
        <v>2018</v>
      </c>
      <c r="H46" t="s">
        <v>186</v>
      </c>
      <c r="I46">
        <v>100</v>
      </c>
      <c r="J46">
        <v>31.09</v>
      </c>
      <c r="M46">
        <v>0.14188999999999999</v>
      </c>
      <c r="N46">
        <v>14.189</v>
      </c>
      <c r="O46">
        <v>16.901</v>
      </c>
      <c r="P46">
        <v>54.361499999999999</v>
      </c>
      <c r="Q46" t="s">
        <v>1992</v>
      </c>
    </row>
    <row r="47" spans="1:17" x14ac:dyDescent="0.25">
      <c r="A47" t="s">
        <v>1974</v>
      </c>
      <c r="B47" t="s">
        <v>1975</v>
      </c>
      <c r="C47" t="s">
        <v>1976</v>
      </c>
      <c r="D47" s="11">
        <v>79148</v>
      </c>
      <c r="E47" s="12">
        <v>45687</v>
      </c>
      <c r="F47" s="12">
        <v>45688</v>
      </c>
      <c r="G47" t="s">
        <v>2022</v>
      </c>
      <c r="H47" t="s">
        <v>106</v>
      </c>
      <c r="I47">
        <v>30</v>
      </c>
      <c r="J47">
        <v>47.526000000000003</v>
      </c>
      <c r="M47">
        <v>2.1040000000000001</v>
      </c>
      <c r="N47">
        <v>63.12</v>
      </c>
      <c r="O47">
        <v>-15.59</v>
      </c>
      <c r="P47">
        <v>-32.8003</v>
      </c>
      <c r="Q47" t="s">
        <v>1990</v>
      </c>
    </row>
    <row r="48" spans="1:17" x14ac:dyDescent="0.25">
      <c r="A48" t="s">
        <v>1974</v>
      </c>
      <c r="B48" t="s">
        <v>1975</v>
      </c>
      <c r="C48" t="s">
        <v>1976</v>
      </c>
      <c r="D48" s="11">
        <v>79148</v>
      </c>
      <c r="E48" s="12">
        <v>45687</v>
      </c>
      <c r="F48" s="12">
        <v>45688</v>
      </c>
      <c r="G48" t="s">
        <v>2022</v>
      </c>
      <c r="H48" t="s">
        <v>665</v>
      </c>
      <c r="I48">
        <v>30</v>
      </c>
      <c r="J48">
        <v>25.736999999999998</v>
      </c>
      <c r="M48">
        <v>0.69699999999999995</v>
      </c>
      <c r="N48">
        <v>20.91</v>
      </c>
      <c r="O48">
        <v>4.83</v>
      </c>
      <c r="P48">
        <v>18.764500000000002</v>
      </c>
      <c r="Q48" t="s">
        <v>1988</v>
      </c>
    </row>
    <row r="49" spans="1:17" x14ac:dyDescent="0.25">
      <c r="A49" t="s">
        <v>1974</v>
      </c>
      <c r="B49" t="s">
        <v>1975</v>
      </c>
      <c r="C49" t="s">
        <v>1976</v>
      </c>
      <c r="D49" s="11">
        <v>79208</v>
      </c>
      <c r="E49" s="12">
        <v>45692</v>
      </c>
      <c r="F49" s="12">
        <v>45693</v>
      </c>
      <c r="G49" t="s">
        <v>2023</v>
      </c>
      <c r="H49" t="s">
        <v>642</v>
      </c>
      <c r="I49">
        <v>100</v>
      </c>
      <c r="J49">
        <v>316.83999999999997</v>
      </c>
      <c r="M49">
        <v>2.36</v>
      </c>
      <c r="N49">
        <v>236</v>
      </c>
      <c r="O49">
        <v>80.84</v>
      </c>
      <c r="P49">
        <v>25.514399999999998</v>
      </c>
      <c r="Q49" t="s">
        <v>641</v>
      </c>
    </row>
    <row r="50" spans="1:17" x14ac:dyDescent="0.25">
      <c r="A50" t="s">
        <v>1974</v>
      </c>
      <c r="B50" t="s">
        <v>1975</v>
      </c>
      <c r="C50" t="s">
        <v>1976</v>
      </c>
      <c r="D50" s="11">
        <v>79208</v>
      </c>
      <c r="E50" s="12">
        <v>45692</v>
      </c>
      <c r="F50" s="12">
        <v>45693</v>
      </c>
      <c r="G50" t="s">
        <v>2023</v>
      </c>
      <c r="H50" t="s">
        <v>517</v>
      </c>
      <c r="I50">
        <v>70</v>
      </c>
      <c r="J50">
        <v>913.29700000000003</v>
      </c>
      <c r="M50">
        <v>10.52</v>
      </c>
      <c r="N50">
        <v>736.4</v>
      </c>
      <c r="O50">
        <v>176.9</v>
      </c>
      <c r="P50">
        <v>19.369299999999999</v>
      </c>
      <c r="Q50" t="s">
        <v>1984</v>
      </c>
    </row>
    <row r="51" spans="1:17" x14ac:dyDescent="0.25">
      <c r="A51" t="s">
        <v>1974</v>
      </c>
      <c r="B51" t="s">
        <v>1975</v>
      </c>
      <c r="C51" t="s">
        <v>1976</v>
      </c>
      <c r="D51" s="11">
        <v>79350</v>
      </c>
      <c r="E51" s="12">
        <v>45701</v>
      </c>
      <c r="F51" s="12">
        <v>45702</v>
      </c>
      <c r="G51" t="s">
        <v>2024</v>
      </c>
      <c r="H51" t="s">
        <v>1831</v>
      </c>
      <c r="I51">
        <v>200</v>
      </c>
      <c r="J51">
        <v>34.380000000000003</v>
      </c>
      <c r="M51">
        <v>0.123</v>
      </c>
      <c r="N51">
        <v>24.6</v>
      </c>
      <c r="O51">
        <v>9.7799999999999994</v>
      </c>
      <c r="P51">
        <v>28.4467</v>
      </c>
      <c r="Q51" t="s">
        <v>2025</v>
      </c>
    </row>
    <row r="52" spans="1:17" x14ac:dyDescent="0.25">
      <c r="A52" t="s">
        <v>1974</v>
      </c>
      <c r="B52" t="s">
        <v>1975</v>
      </c>
      <c r="C52" t="s">
        <v>1976</v>
      </c>
      <c r="D52" s="11">
        <v>79350</v>
      </c>
      <c r="E52" s="12">
        <v>45701</v>
      </c>
      <c r="F52" s="12">
        <v>45702</v>
      </c>
      <c r="G52" t="s">
        <v>2024</v>
      </c>
      <c r="H52" t="s">
        <v>1547</v>
      </c>
      <c r="I52">
        <v>300</v>
      </c>
      <c r="J52">
        <v>15.03</v>
      </c>
      <c r="M52">
        <v>3.7999999999999999E-2</v>
      </c>
      <c r="N52">
        <v>11.4</v>
      </c>
      <c r="O52">
        <v>3.63</v>
      </c>
      <c r="P52">
        <v>24.151599999999998</v>
      </c>
      <c r="Q52" t="s">
        <v>2026</v>
      </c>
    </row>
    <row r="53" spans="1:17" x14ac:dyDescent="0.25">
      <c r="A53" t="s">
        <v>1974</v>
      </c>
      <c r="B53" t="s">
        <v>1975</v>
      </c>
      <c r="C53" t="s">
        <v>1976</v>
      </c>
      <c r="D53" s="11">
        <v>79350</v>
      </c>
      <c r="E53" s="12">
        <v>45701</v>
      </c>
      <c r="F53" s="12">
        <v>45702</v>
      </c>
      <c r="G53" t="s">
        <v>2024</v>
      </c>
      <c r="H53" t="s">
        <v>1529</v>
      </c>
      <c r="I53">
        <v>350</v>
      </c>
      <c r="J53">
        <v>17.535</v>
      </c>
      <c r="M53">
        <v>1.7999999999999999E-2</v>
      </c>
      <c r="N53">
        <v>6.3</v>
      </c>
      <c r="O53">
        <v>11.24</v>
      </c>
      <c r="P53">
        <v>64.081999999999994</v>
      </c>
      <c r="Q53" t="s">
        <v>2027</v>
      </c>
    </row>
    <row r="54" spans="1:17" x14ac:dyDescent="0.25">
      <c r="A54" t="s">
        <v>1974</v>
      </c>
      <c r="B54" t="s">
        <v>1975</v>
      </c>
      <c r="C54" t="s">
        <v>1976</v>
      </c>
      <c r="D54" s="11">
        <v>79350</v>
      </c>
      <c r="E54" s="12">
        <v>45701</v>
      </c>
      <c r="F54" s="12">
        <v>45702</v>
      </c>
      <c r="G54" t="s">
        <v>2024</v>
      </c>
      <c r="H54" t="s">
        <v>894</v>
      </c>
      <c r="I54">
        <v>60</v>
      </c>
      <c r="J54">
        <v>86.352000000000004</v>
      </c>
      <c r="M54">
        <v>0.92</v>
      </c>
      <c r="N54">
        <v>55.2</v>
      </c>
      <c r="O54">
        <v>31.15</v>
      </c>
      <c r="P54">
        <v>36.074100000000001</v>
      </c>
      <c r="Q54" t="s">
        <v>2028</v>
      </c>
    </row>
    <row r="55" spans="1:17" x14ac:dyDescent="0.25">
      <c r="A55" t="s">
        <v>1974</v>
      </c>
      <c r="B55" t="s">
        <v>1975</v>
      </c>
      <c r="C55" t="s">
        <v>1976</v>
      </c>
      <c r="D55" s="11">
        <v>79350</v>
      </c>
      <c r="E55" s="12">
        <v>45701</v>
      </c>
      <c r="F55" s="12">
        <v>45702</v>
      </c>
      <c r="G55" t="s">
        <v>2024</v>
      </c>
      <c r="H55" t="s">
        <v>490</v>
      </c>
      <c r="I55">
        <v>11</v>
      </c>
      <c r="J55">
        <v>177.32</v>
      </c>
      <c r="M55">
        <v>11.206</v>
      </c>
      <c r="N55">
        <v>123.26600000000001</v>
      </c>
      <c r="O55">
        <v>54.054000000000002</v>
      </c>
      <c r="P55">
        <v>30.483799999999999</v>
      </c>
      <c r="Q55" t="s">
        <v>2029</v>
      </c>
    </row>
    <row r="56" spans="1:17" x14ac:dyDescent="0.25">
      <c r="A56" t="s">
        <v>1974</v>
      </c>
      <c r="B56" t="s">
        <v>1975</v>
      </c>
      <c r="C56" t="s">
        <v>1976</v>
      </c>
      <c r="D56" s="11">
        <v>79350</v>
      </c>
      <c r="E56" s="12">
        <v>45701</v>
      </c>
      <c r="F56" s="12">
        <v>45702</v>
      </c>
      <c r="G56" t="s">
        <v>2024</v>
      </c>
      <c r="H56" t="s">
        <v>487</v>
      </c>
      <c r="I56">
        <v>20</v>
      </c>
      <c r="J56">
        <v>5279.8119999999999</v>
      </c>
      <c r="M56">
        <v>78.5</v>
      </c>
      <c r="N56">
        <v>1570</v>
      </c>
      <c r="O56">
        <v>3709.81</v>
      </c>
      <c r="P56">
        <v>70.263999999999996</v>
      </c>
      <c r="Q56" t="s">
        <v>2030</v>
      </c>
    </row>
    <row r="57" spans="1:17" x14ac:dyDescent="0.25">
      <c r="A57" t="s">
        <v>1974</v>
      </c>
      <c r="B57" t="s">
        <v>1975</v>
      </c>
      <c r="C57" t="s">
        <v>1976</v>
      </c>
      <c r="D57" s="11">
        <v>79350</v>
      </c>
      <c r="E57" s="12">
        <v>45701</v>
      </c>
      <c r="F57" s="12">
        <v>45702</v>
      </c>
      <c r="G57" t="s">
        <v>2024</v>
      </c>
      <c r="H57" t="s">
        <v>1803</v>
      </c>
      <c r="I57">
        <v>100</v>
      </c>
      <c r="J57">
        <v>377.14</v>
      </c>
      <c r="M57">
        <v>1.7370000000000001</v>
      </c>
      <c r="N57">
        <v>173.7</v>
      </c>
      <c r="O57">
        <v>203.44</v>
      </c>
      <c r="P57">
        <v>53.942799999999998</v>
      </c>
      <c r="Q57" t="s">
        <v>2031</v>
      </c>
    </row>
    <row r="58" spans="1:17" x14ac:dyDescent="0.25">
      <c r="A58" t="s">
        <v>1974</v>
      </c>
      <c r="B58" t="s">
        <v>1975</v>
      </c>
      <c r="C58" t="s">
        <v>1976</v>
      </c>
      <c r="D58" s="11">
        <v>79350</v>
      </c>
      <c r="E58" s="12">
        <v>45701</v>
      </c>
      <c r="F58" s="12">
        <v>45702</v>
      </c>
      <c r="G58" t="s">
        <v>2024</v>
      </c>
      <c r="H58" t="s">
        <v>1605</v>
      </c>
      <c r="I58">
        <v>11</v>
      </c>
      <c r="J58">
        <v>100.1088</v>
      </c>
      <c r="M58">
        <v>5.12</v>
      </c>
      <c r="N58">
        <v>56.32</v>
      </c>
      <c r="O58">
        <v>43.79</v>
      </c>
      <c r="P58">
        <v>43.741799999999998</v>
      </c>
      <c r="Q58" t="s">
        <v>2032</v>
      </c>
    </row>
    <row r="59" spans="1:17" x14ac:dyDescent="0.25">
      <c r="A59" t="s">
        <v>1974</v>
      </c>
      <c r="B59" t="s">
        <v>1975</v>
      </c>
      <c r="C59" t="s">
        <v>1976</v>
      </c>
      <c r="D59" s="11">
        <v>79350</v>
      </c>
      <c r="E59" s="12">
        <v>45701</v>
      </c>
      <c r="F59" s="12">
        <v>45702</v>
      </c>
      <c r="G59" t="s">
        <v>2024</v>
      </c>
      <c r="H59" t="s">
        <v>902</v>
      </c>
      <c r="I59">
        <v>50</v>
      </c>
      <c r="J59">
        <v>8.875</v>
      </c>
      <c r="M59">
        <v>0.14774999999999999</v>
      </c>
      <c r="N59">
        <v>7.3875000000000002</v>
      </c>
      <c r="O59">
        <v>1.4924999999999999</v>
      </c>
      <c r="P59">
        <v>16.807400000000001</v>
      </c>
      <c r="Q59" t="s">
        <v>2033</v>
      </c>
    </row>
    <row r="60" spans="1:17" x14ac:dyDescent="0.25">
      <c r="A60" t="s">
        <v>1974</v>
      </c>
      <c r="B60" t="s">
        <v>1975</v>
      </c>
      <c r="C60" t="s">
        <v>1976</v>
      </c>
      <c r="D60" s="11">
        <v>79350</v>
      </c>
      <c r="E60" s="12">
        <v>45701</v>
      </c>
      <c r="F60" s="12">
        <v>45702</v>
      </c>
      <c r="G60" t="s">
        <v>2024</v>
      </c>
      <c r="H60" t="s">
        <v>1681</v>
      </c>
      <c r="I60">
        <v>50</v>
      </c>
      <c r="J60">
        <v>12.18</v>
      </c>
      <c r="M60">
        <v>0.17</v>
      </c>
      <c r="N60">
        <v>8.5</v>
      </c>
      <c r="O60">
        <v>3.68</v>
      </c>
      <c r="P60">
        <v>30.2134</v>
      </c>
      <c r="Q60" t="s">
        <v>2034</v>
      </c>
    </row>
    <row r="61" spans="1:17" x14ac:dyDescent="0.25">
      <c r="A61" t="s">
        <v>1974</v>
      </c>
      <c r="B61" t="s">
        <v>1975</v>
      </c>
      <c r="C61" t="s">
        <v>1976</v>
      </c>
      <c r="D61" s="11">
        <v>79350</v>
      </c>
      <c r="E61" s="12">
        <v>45701</v>
      </c>
      <c r="F61" s="12">
        <v>45702</v>
      </c>
      <c r="G61" t="s">
        <v>2024</v>
      </c>
      <c r="H61" t="s">
        <v>624</v>
      </c>
      <c r="I61">
        <v>11</v>
      </c>
      <c r="J61">
        <v>488.51659999999998</v>
      </c>
      <c r="M61">
        <v>39.963999999999999</v>
      </c>
      <c r="N61">
        <v>439.60399999999998</v>
      </c>
      <c r="O61">
        <v>48.915999999999997</v>
      </c>
      <c r="P61">
        <v>10.0131</v>
      </c>
      <c r="Q61" t="s">
        <v>2035</v>
      </c>
    </row>
    <row r="62" spans="1:17" x14ac:dyDescent="0.25">
      <c r="A62" t="s">
        <v>1974</v>
      </c>
      <c r="B62" t="s">
        <v>1975</v>
      </c>
      <c r="C62" t="s">
        <v>1976</v>
      </c>
      <c r="D62" s="11">
        <v>79350</v>
      </c>
      <c r="E62" s="12">
        <v>45701</v>
      </c>
      <c r="F62" s="12">
        <v>45702</v>
      </c>
      <c r="G62" t="s">
        <v>2024</v>
      </c>
      <c r="H62" t="s">
        <v>1111</v>
      </c>
      <c r="I62">
        <v>20</v>
      </c>
      <c r="J62">
        <v>194.39599999999999</v>
      </c>
      <c r="M62">
        <v>10.241</v>
      </c>
      <c r="N62">
        <v>204.82</v>
      </c>
      <c r="O62">
        <v>-10.42</v>
      </c>
      <c r="P62">
        <v>-5.36</v>
      </c>
      <c r="Q62" t="s">
        <v>2036</v>
      </c>
    </row>
    <row r="63" spans="1:17" x14ac:dyDescent="0.25">
      <c r="A63" t="s">
        <v>1974</v>
      </c>
      <c r="B63" t="s">
        <v>1975</v>
      </c>
      <c r="C63" t="s">
        <v>1976</v>
      </c>
      <c r="D63" s="11">
        <v>79350</v>
      </c>
      <c r="E63" s="12">
        <v>45701</v>
      </c>
      <c r="F63" s="12">
        <v>45702</v>
      </c>
      <c r="G63" t="s">
        <v>2024</v>
      </c>
      <c r="H63" t="s">
        <v>1517</v>
      </c>
      <c r="I63">
        <v>300</v>
      </c>
      <c r="J63">
        <v>15.03</v>
      </c>
      <c r="M63">
        <v>3.4200000000000001E-2</v>
      </c>
      <c r="N63">
        <v>10.26</v>
      </c>
      <c r="O63">
        <v>4.7699999999999996</v>
      </c>
      <c r="P63">
        <v>31.736499999999999</v>
      </c>
      <c r="Q63" t="s">
        <v>2037</v>
      </c>
    </row>
    <row r="64" spans="1:17" x14ac:dyDescent="0.25">
      <c r="A64" t="s">
        <v>1974</v>
      </c>
      <c r="B64" t="s">
        <v>1975</v>
      </c>
      <c r="C64" t="s">
        <v>1976</v>
      </c>
      <c r="D64" s="11">
        <v>79444</v>
      </c>
      <c r="E64" s="12">
        <v>45702</v>
      </c>
      <c r="F64" s="12">
        <v>45712</v>
      </c>
      <c r="G64" t="s">
        <v>2038</v>
      </c>
      <c r="H64" t="s">
        <v>665</v>
      </c>
      <c r="I64">
        <v>50</v>
      </c>
      <c r="J64">
        <v>42.895000000000003</v>
      </c>
      <c r="M64">
        <v>0.69699999999999995</v>
      </c>
      <c r="N64">
        <v>34.85</v>
      </c>
      <c r="O64">
        <v>8.0500000000000007</v>
      </c>
      <c r="P64">
        <v>18.764500000000002</v>
      </c>
      <c r="Q64" t="s">
        <v>1988</v>
      </c>
    </row>
    <row r="65" spans="1:17" x14ac:dyDescent="0.25">
      <c r="A65" t="s">
        <v>1974</v>
      </c>
      <c r="B65" t="s">
        <v>1975</v>
      </c>
      <c r="C65" t="s">
        <v>1976</v>
      </c>
      <c r="D65" s="11">
        <v>79369</v>
      </c>
      <c r="E65" s="12">
        <v>45702</v>
      </c>
      <c r="F65" s="12">
        <v>45706</v>
      </c>
      <c r="G65" t="s">
        <v>2039</v>
      </c>
      <c r="H65" t="s">
        <v>1100</v>
      </c>
      <c r="I65">
        <v>10</v>
      </c>
      <c r="J65">
        <v>67.822999999999993</v>
      </c>
      <c r="M65">
        <v>6.2039999999999997</v>
      </c>
      <c r="N65">
        <v>62.04</v>
      </c>
      <c r="O65">
        <v>5.78</v>
      </c>
      <c r="P65">
        <v>8.5225000000000009</v>
      </c>
      <c r="Q65" t="s">
        <v>2008</v>
      </c>
    </row>
    <row r="66" spans="1:17" hidden="1" x14ac:dyDescent="0.25">
      <c r="A66" t="s">
        <v>2040</v>
      </c>
      <c r="B66" t="s">
        <v>2041</v>
      </c>
      <c r="C66" t="s">
        <v>1976</v>
      </c>
      <c r="D66" s="11">
        <v>4800129113</v>
      </c>
      <c r="E66" s="12">
        <v>45713</v>
      </c>
      <c r="F66" s="12">
        <v>46022</v>
      </c>
      <c r="G66" t="s">
        <v>2042</v>
      </c>
      <c r="H66" t="s">
        <v>2043</v>
      </c>
      <c r="I66">
        <v>1</v>
      </c>
      <c r="J66">
        <v>15000</v>
      </c>
      <c r="M66">
        <v>0</v>
      </c>
      <c r="N66">
        <v>0</v>
      </c>
      <c r="O66">
        <v>15000</v>
      </c>
      <c r="P66">
        <v>0</v>
      </c>
      <c r="Q66" t="s">
        <v>2044</v>
      </c>
    </row>
    <row r="67" spans="1:17" hidden="1" x14ac:dyDescent="0.25">
      <c r="A67" t="s">
        <v>2040</v>
      </c>
      <c r="B67" t="s">
        <v>2041</v>
      </c>
      <c r="C67" t="s">
        <v>1976</v>
      </c>
      <c r="D67" s="11">
        <v>4800129113</v>
      </c>
      <c r="E67" s="12">
        <v>45713</v>
      </c>
      <c r="F67" s="12">
        <v>45989</v>
      </c>
      <c r="G67" t="s">
        <v>2042</v>
      </c>
      <c r="H67" t="s">
        <v>2043</v>
      </c>
      <c r="I67">
        <v>1</v>
      </c>
      <c r="J67">
        <v>15000</v>
      </c>
      <c r="M67">
        <v>0</v>
      </c>
      <c r="N67">
        <v>0</v>
      </c>
      <c r="O67">
        <v>15000</v>
      </c>
      <c r="P67">
        <v>0</v>
      </c>
      <c r="Q67" t="s">
        <v>2045</v>
      </c>
    </row>
    <row r="68" spans="1:17" hidden="1" x14ac:dyDescent="0.25">
      <c r="A68" t="s">
        <v>2040</v>
      </c>
      <c r="B68" t="s">
        <v>2041</v>
      </c>
      <c r="C68" t="s">
        <v>1976</v>
      </c>
      <c r="D68" s="11">
        <v>4800129113</v>
      </c>
      <c r="E68" s="12">
        <v>45713</v>
      </c>
      <c r="F68" s="12">
        <v>45961</v>
      </c>
      <c r="G68" t="s">
        <v>2042</v>
      </c>
      <c r="H68" t="s">
        <v>2043</v>
      </c>
      <c r="I68">
        <v>1</v>
      </c>
      <c r="J68">
        <v>15000</v>
      </c>
      <c r="M68">
        <v>0</v>
      </c>
      <c r="N68">
        <v>0</v>
      </c>
      <c r="O68">
        <v>15000</v>
      </c>
      <c r="P68">
        <v>0</v>
      </c>
      <c r="Q68" t="s">
        <v>2046</v>
      </c>
    </row>
    <row r="69" spans="1:17" hidden="1" x14ac:dyDescent="0.25">
      <c r="A69" t="s">
        <v>2040</v>
      </c>
      <c r="B69" t="s">
        <v>2041</v>
      </c>
      <c r="C69" t="s">
        <v>1976</v>
      </c>
      <c r="D69" s="11">
        <v>4800129113</v>
      </c>
      <c r="E69" s="12">
        <v>45713</v>
      </c>
      <c r="F69" s="12">
        <v>45930</v>
      </c>
      <c r="G69" t="s">
        <v>2042</v>
      </c>
      <c r="H69" t="s">
        <v>2043</v>
      </c>
      <c r="I69">
        <v>1</v>
      </c>
      <c r="J69">
        <v>15000</v>
      </c>
      <c r="M69">
        <v>0</v>
      </c>
      <c r="N69">
        <v>0</v>
      </c>
      <c r="O69">
        <v>15000</v>
      </c>
      <c r="P69">
        <v>0</v>
      </c>
      <c r="Q69" t="s">
        <v>2047</v>
      </c>
    </row>
    <row r="70" spans="1:17" hidden="1" x14ac:dyDescent="0.25">
      <c r="A70" t="s">
        <v>2040</v>
      </c>
      <c r="B70" t="s">
        <v>2041</v>
      </c>
      <c r="C70" t="s">
        <v>1976</v>
      </c>
      <c r="D70" s="11">
        <v>4800129113</v>
      </c>
      <c r="E70" s="12">
        <v>45713</v>
      </c>
      <c r="F70" s="12">
        <v>45898</v>
      </c>
      <c r="G70" t="s">
        <v>2042</v>
      </c>
      <c r="H70" t="s">
        <v>2043</v>
      </c>
      <c r="I70">
        <v>1</v>
      </c>
      <c r="J70">
        <v>15000</v>
      </c>
      <c r="M70">
        <v>0</v>
      </c>
      <c r="N70">
        <v>0</v>
      </c>
      <c r="O70">
        <v>15000</v>
      </c>
      <c r="P70">
        <v>0</v>
      </c>
      <c r="Q70" t="s">
        <v>2048</v>
      </c>
    </row>
    <row r="71" spans="1:17" hidden="1" x14ac:dyDescent="0.25">
      <c r="A71" t="s">
        <v>2040</v>
      </c>
      <c r="B71" t="s">
        <v>2041</v>
      </c>
      <c r="C71" t="s">
        <v>1976</v>
      </c>
      <c r="D71" s="11">
        <v>4800129113</v>
      </c>
      <c r="E71" s="12">
        <v>45713</v>
      </c>
      <c r="F71" s="12">
        <v>45869</v>
      </c>
      <c r="G71" t="s">
        <v>2042</v>
      </c>
      <c r="H71" t="s">
        <v>2043</v>
      </c>
      <c r="I71">
        <v>1</v>
      </c>
      <c r="J71">
        <v>15000</v>
      </c>
      <c r="M71">
        <v>0</v>
      </c>
      <c r="N71">
        <v>0</v>
      </c>
      <c r="O71">
        <v>15000</v>
      </c>
      <c r="P71">
        <v>0</v>
      </c>
      <c r="Q71" t="s">
        <v>2049</v>
      </c>
    </row>
    <row r="72" spans="1:17" hidden="1" x14ac:dyDescent="0.25">
      <c r="A72" t="s">
        <v>2040</v>
      </c>
      <c r="B72" t="s">
        <v>2041</v>
      </c>
      <c r="C72" t="s">
        <v>1976</v>
      </c>
      <c r="D72" s="11">
        <v>4800129113</v>
      </c>
      <c r="E72" s="12">
        <v>45713</v>
      </c>
      <c r="F72" s="12">
        <v>45838</v>
      </c>
      <c r="G72" t="s">
        <v>2042</v>
      </c>
      <c r="H72" t="s">
        <v>2043</v>
      </c>
      <c r="I72">
        <v>1</v>
      </c>
      <c r="J72">
        <v>15000</v>
      </c>
      <c r="M72">
        <v>0</v>
      </c>
      <c r="N72">
        <v>0</v>
      </c>
      <c r="O72">
        <v>15000</v>
      </c>
      <c r="P72">
        <v>0</v>
      </c>
      <c r="Q72" t="s">
        <v>2050</v>
      </c>
    </row>
    <row r="73" spans="1:17" hidden="1" x14ac:dyDescent="0.25">
      <c r="A73" t="s">
        <v>2040</v>
      </c>
      <c r="B73" t="s">
        <v>2041</v>
      </c>
      <c r="C73" t="s">
        <v>1976</v>
      </c>
      <c r="D73" s="11">
        <v>4800129113</v>
      </c>
      <c r="E73" s="12">
        <v>45713</v>
      </c>
      <c r="F73" s="12">
        <v>45808</v>
      </c>
      <c r="G73" t="s">
        <v>2042</v>
      </c>
      <c r="H73" t="s">
        <v>2043</v>
      </c>
      <c r="I73">
        <v>1</v>
      </c>
      <c r="J73">
        <v>15000</v>
      </c>
      <c r="M73">
        <v>0</v>
      </c>
      <c r="N73">
        <v>0</v>
      </c>
      <c r="O73">
        <v>15000</v>
      </c>
      <c r="P73">
        <v>0</v>
      </c>
      <c r="Q73" t="s">
        <v>2051</v>
      </c>
    </row>
    <row r="74" spans="1:17" hidden="1" x14ac:dyDescent="0.25">
      <c r="A74" t="s">
        <v>2040</v>
      </c>
      <c r="B74" t="s">
        <v>2041</v>
      </c>
      <c r="C74" t="s">
        <v>1976</v>
      </c>
      <c r="D74" s="11">
        <v>4800129113</v>
      </c>
      <c r="E74" s="12">
        <v>45713</v>
      </c>
      <c r="F74" s="12">
        <v>45777</v>
      </c>
      <c r="G74" t="s">
        <v>2042</v>
      </c>
      <c r="H74" t="s">
        <v>2043</v>
      </c>
      <c r="I74">
        <v>1</v>
      </c>
      <c r="J74">
        <v>15000</v>
      </c>
      <c r="M74">
        <v>0</v>
      </c>
      <c r="N74">
        <v>0</v>
      </c>
      <c r="O74">
        <v>15000</v>
      </c>
      <c r="P74">
        <v>0</v>
      </c>
      <c r="Q74" t="s">
        <v>2052</v>
      </c>
    </row>
    <row r="75" spans="1:17" hidden="1" x14ac:dyDescent="0.25">
      <c r="A75" t="s">
        <v>2040</v>
      </c>
      <c r="B75" t="s">
        <v>2041</v>
      </c>
      <c r="C75" t="s">
        <v>1976</v>
      </c>
      <c r="D75" s="11">
        <v>4800129113</v>
      </c>
      <c r="E75" s="12">
        <v>45713</v>
      </c>
      <c r="F75" s="12">
        <v>45747</v>
      </c>
      <c r="G75" t="s">
        <v>2042</v>
      </c>
      <c r="H75" t="s">
        <v>2043</v>
      </c>
      <c r="I75">
        <v>1</v>
      </c>
      <c r="J75">
        <v>15000</v>
      </c>
      <c r="M75">
        <v>0</v>
      </c>
      <c r="N75">
        <v>0</v>
      </c>
      <c r="O75">
        <v>15000</v>
      </c>
      <c r="P75">
        <v>0</v>
      </c>
      <c r="Q75" t="s">
        <v>2053</v>
      </c>
    </row>
    <row r="76" spans="1:17" hidden="1" x14ac:dyDescent="0.25">
      <c r="A76" t="s">
        <v>2040</v>
      </c>
      <c r="B76" t="s">
        <v>2041</v>
      </c>
      <c r="C76" t="s">
        <v>1976</v>
      </c>
      <c r="D76" s="11">
        <v>4800129113</v>
      </c>
      <c r="E76" s="12">
        <v>45713</v>
      </c>
      <c r="F76" s="12">
        <v>45716</v>
      </c>
      <c r="G76" t="s">
        <v>2042</v>
      </c>
      <c r="H76" t="s">
        <v>2043</v>
      </c>
      <c r="I76">
        <v>1</v>
      </c>
      <c r="J76">
        <v>15000</v>
      </c>
      <c r="M76">
        <v>0</v>
      </c>
      <c r="N76">
        <v>0</v>
      </c>
      <c r="O76">
        <v>15000</v>
      </c>
      <c r="P76">
        <v>0</v>
      </c>
      <c r="Q76" t="s">
        <v>2054</v>
      </c>
    </row>
    <row r="77" spans="1:17" hidden="1" x14ac:dyDescent="0.25">
      <c r="A77" t="s">
        <v>2040</v>
      </c>
      <c r="B77" t="s">
        <v>2041</v>
      </c>
      <c r="C77" t="s">
        <v>1976</v>
      </c>
      <c r="D77" s="11">
        <v>4800129113</v>
      </c>
      <c r="E77" s="12">
        <v>45713</v>
      </c>
      <c r="F77" s="12">
        <v>45716</v>
      </c>
      <c r="G77" t="s">
        <v>2042</v>
      </c>
      <c r="H77" t="s">
        <v>2043</v>
      </c>
      <c r="I77">
        <v>1</v>
      </c>
      <c r="J77">
        <v>15000</v>
      </c>
      <c r="M77">
        <v>0</v>
      </c>
      <c r="N77">
        <v>0</v>
      </c>
      <c r="O77">
        <v>15000</v>
      </c>
      <c r="P77">
        <v>0</v>
      </c>
      <c r="Q77" t="s">
        <v>2055</v>
      </c>
    </row>
    <row r="78" spans="1:17" x14ac:dyDescent="0.25">
      <c r="A78" t="s">
        <v>1974</v>
      </c>
      <c r="B78" t="s">
        <v>1975</v>
      </c>
      <c r="C78" t="s">
        <v>1976</v>
      </c>
      <c r="D78" s="11">
        <v>79588</v>
      </c>
      <c r="E78" s="12">
        <v>45721</v>
      </c>
      <c r="F78" s="12">
        <v>45722</v>
      </c>
      <c r="G78" t="s">
        <v>2056</v>
      </c>
      <c r="H78" t="s">
        <v>730</v>
      </c>
      <c r="I78">
        <v>11</v>
      </c>
      <c r="J78">
        <v>-258.7</v>
      </c>
      <c r="M78">
        <v>17.862400000000001</v>
      </c>
      <c r="N78">
        <v>-178.624</v>
      </c>
      <c r="O78">
        <v>-80.075999999999993</v>
      </c>
      <c r="P78">
        <v>30.953199999999999</v>
      </c>
      <c r="Q78" t="s">
        <v>2011</v>
      </c>
    </row>
    <row r="79" spans="1:17" x14ac:dyDescent="0.25">
      <c r="A79" t="s">
        <v>1974</v>
      </c>
      <c r="B79" t="s">
        <v>1975</v>
      </c>
      <c r="C79" t="s">
        <v>1976</v>
      </c>
      <c r="D79" s="11">
        <v>79588</v>
      </c>
      <c r="E79" s="12">
        <v>45721</v>
      </c>
      <c r="F79" s="12">
        <v>45722</v>
      </c>
      <c r="G79" t="s">
        <v>2056</v>
      </c>
      <c r="H79" t="s">
        <v>730</v>
      </c>
      <c r="I79">
        <v>11</v>
      </c>
      <c r="J79">
        <v>-25.87</v>
      </c>
      <c r="M79">
        <v>17.86</v>
      </c>
      <c r="N79">
        <v>-17.86</v>
      </c>
      <c r="O79">
        <v>-8.01</v>
      </c>
      <c r="P79">
        <v>30.962499999999999</v>
      </c>
      <c r="Q79" t="s">
        <v>2011</v>
      </c>
    </row>
    <row r="80" spans="1:17" x14ac:dyDescent="0.25">
      <c r="A80" t="s">
        <v>1974</v>
      </c>
      <c r="B80" t="s">
        <v>1975</v>
      </c>
      <c r="C80" t="s">
        <v>1976</v>
      </c>
      <c r="D80" s="11">
        <v>79588</v>
      </c>
      <c r="E80" s="12">
        <v>45721</v>
      </c>
      <c r="F80" s="12">
        <v>45722</v>
      </c>
      <c r="G80" t="s">
        <v>2056</v>
      </c>
      <c r="H80" t="s">
        <v>730</v>
      </c>
      <c r="I80">
        <v>11</v>
      </c>
      <c r="J80">
        <v>284.57</v>
      </c>
      <c r="M80">
        <v>17.86218182</v>
      </c>
      <c r="N80">
        <v>196.48400002</v>
      </c>
      <c r="O80">
        <v>88.085999999999999</v>
      </c>
      <c r="P80">
        <v>30.954000000000001</v>
      </c>
      <c r="Q80" t="s">
        <v>2011</v>
      </c>
    </row>
    <row r="81" spans="1:17" x14ac:dyDescent="0.25">
      <c r="A81" t="s">
        <v>1974</v>
      </c>
      <c r="B81" t="s">
        <v>1975</v>
      </c>
      <c r="C81" t="s">
        <v>1976</v>
      </c>
      <c r="D81" s="11">
        <v>79588</v>
      </c>
      <c r="E81" s="12">
        <v>45721</v>
      </c>
      <c r="F81" s="12">
        <v>45722</v>
      </c>
      <c r="G81" t="s">
        <v>2056</v>
      </c>
      <c r="H81" t="s">
        <v>730</v>
      </c>
      <c r="I81">
        <v>11</v>
      </c>
      <c r="J81">
        <v>258.7</v>
      </c>
      <c r="M81">
        <v>17.862400000000001</v>
      </c>
      <c r="N81">
        <v>178.624</v>
      </c>
      <c r="O81">
        <v>80.075999999999993</v>
      </c>
      <c r="P81">
        <v>30.953199999999999</v>
      </c>
      <c r="Q81" t="s">
        <v>2011</v>
      </c>
    </row>
    <row r="82" spans="1:17" x14ac:dyDescent="0.25">
      <c r="A82" t="s">
        <v>1974</v>
      </c>
      <c r="B82" t="s">
        <v>1975</v>
      </c>
      <c r="C82" t="s">
        <v>1976</v>
      </c>
      <c r="D82" s="11">
        <v>79588</v>
      </c>
      <c r="E82" s="12">
        <v>45721</v>
      </c>
      <c r="F82" s="12">
        <v>45722</v>
      </c>
      <c r="G82" t="s">
        <v>2056</v>
      </c>
      <c r="H82" t="s">
        <v>730</v>
      </c>
      <c r="I82">
        <v>11</v>
      </c>
      <c r="J82">
        <v>-25.87</v>
      </c>
      <c r="M82">
        <v>17.86</v>
      </c>
      <c r="N82">
        <v>-17.86</v>
      </c>
      <c r="O82">
        <v>-8.01</v>
      </c>
      <c r="P82">
        <v>30.962499999999999</v>
      </c>
      <c r="Q82" t="s">
        <v>2011</v>
      </c>
    </row>
    <row r="83" spans="1:17" x14ac:dyDescent="0.25">
      <c r="A83" t="s">
        <v>1974</v>
      </c>
      <c r="B83" t="s">
        <v>1975</v>
      </c>
      <c r="C83" t="s">
        <v>1976</v>
      </c>
      <c r="D83" s="11">
        <v>79588</v>
      </c>
      <c r="E83" s="12">
        <v>45721</v>
      </c>
      <c r="F83" s="12">
        <v>45722</v>
      </c>
      <c r="G83" t="s">
        <v>2056</v>
      </c>
      <c r="H83" t="s">
        <v>730</v>
      </c>
      <c r="I83">
        <v>11</v>
      </c>
      <c r="J83">
        <v>25.87</v>
      </c>
      <c r="M83">
        <v>17.86</v>
      </c>
      <c r="N83">
        <v>17.86</v>
      </c>
      <c r="O83">
        <v>8.01</v>
      </c>
      <c r="P83">
        <v>30.962499999999999</v>
      </c>
      <c r="Q83" t="s">
        <v>2011</v>
      </c>
    </row>
    <row r="84" spans="1:17" x14ac:dyDescent="0.25">
      <c r="A84" t="s">
        <v>1974</v>
      </c>
      <c r="B84" t="s">
        <v>1975</v>
      </c>
      <c r="C84" t="s">
        <v>1976</v>
      </c>
      <c r="D84" s="11">
        <v>79588</v>
      </c>
      <c r="E84" s="12">
        <v>45721</v>
      </c>
      <c r="F84" s="12">
        <v>45722</v>
      </c>
      <c r="G84" t="s">
        <v>2056</v>
      </c>
      <c r="H84" t="s">
        <v>730</v>
      </c>
      <c r="I84">
        <v>11</v>
      </c>
      <c r="J84">
        <v>25.87</v>
      </c>
      <c r="M84">
        <v>17.86</v>
      </c>
      <c r="N84">
        <v>17.86</v>
      </c>
      <c r="O84">
        <v>8.01</v>
      </c>
      <c r="P84">
        <v>30.962499999999999</v>
      </c>
      <c r="Q84" t="s">
        <v>2011</v>
      </c>
    </row>
    <row r="85" spans="1:17" x14ac:dyDescent="0.25">
      <c r="A85" t="s">
        <v>1974</v>
      </c>
      <c r="B85" t="s">
        <v>1975</v>
      </c>
      <c r="C85" t="s">
        <v>1976</v>
      </c>
      <c r="D85" s="11">
        <v>79588</v>
      </c>
      <c r="E85" s="12">
        <v>45721</v>
      </c>
      <c r="F85" s="12">
        <v>45722</v>
      </c>
      <c r="G85" t="s">
        <v>2056</v>
      </c>
      <c r="H85" t="s">
        <v>730</v>
      </c>
      <c r="I85">
        <v>11</v>
      </c>
      <c r="J85">
        <v>-284.57</v>
      </c>
      <c r="M85">
        <v>17.86</v>
      </c>
      <c r="N85">
        <v>-196.46</v>
      </c>
      <c r="O85">
        <v>-88.11</v>
      </c>
      <c r="P85">
        <v>30.962499999999999</v>
      </c>
      <c r="Q85" t="s">
        <v>2011</v>
      </c>
    </row>
    <row r="86" spans="1:17" x14ac:dyDescent="0.25">
      <c r="A86" t="s">
        <v>1974</v>
      </c>
      <c r="B86" t="s">
        <v>1975</v>
      </c>
      <c r="C86" t="s">
        <v>1976</v>
      </c>
      <c r="D86" s="11">
        <v>79588</v>
      </c>
      <c r="E86" s="12">
        <v>45721</v>
      </c>
      <c r="F86" s="12">
        <v>45722</v>
      </c>
      <c r="G86" t="s">
        <v>2056</v>
      </c>
      <c r="H86" t="s">
        <v>1039</v>
      </c>
      <c r="I86">
        <v>30</v>
      </c>
      <c r="J86">
        <v>33.627000000000002</v>
      </c>
      <c r="M86">
        <v>0.72099999999999997</v>
      </c>
      <c r="N86">
        <v>21.63</v>
      </c>
      <c r="O86">
        <v>12</v>
      </c>
      <c r="P86">
        <v>35.682400000000001</v>
      </c>
      <c r="Q86" t="s">
        <v>2007</v>
      </c>
    </row>
    <row r="87" spans="1:17" x14ac:dyDescent="0.25">
      <c r="A87" t="s">
        <v>1974</v>
      </c>
      <c r="B87" t="s">
        <v>1975</v>
      </c>
      <c r="C87" t="s">
        <v>1976</v>
      </c>
      <c r="D87" s="11">
        <v>79588</v>
      </c>
      <c r="E87" s="12">
        <v>45721</v>
      </c>
      <c r="F87" s="12">
        <v>45722</v>
      </c>
      <c r="G87" t="s">
        <v>2056</v>
      </c>
      <c r="H87" t="s">
        <v>1100</v>
      </c>
      <c r="I87">
        <v>50</v>
      </c>
      <c r="J87">
        <v>339.11500000000001</v>
      </c>
      <c r="M87">
        <v>6.2039999999999997</v>
      </c>
      <c r="N87">
        <v>310.2</v>
      </c>
      <c r="O87">
        <v>28.92</v>
      </c>
      <c r="P87">
        <v>8.5279000000000007</v>
      </c>
      <c r="Q87" t="s">
        <v>2008</v>
      </c>
    </row>
    <row r="88" spans="1:17" x14ac:dyDescent="0.25">
      <c r="A88" t="s">
        <v>1974</v>
      </c>
      <c r="B88" t="s">
        <v>1975</v>
      </c>
      <c r="C88" t="s">
        <v>1976</v>
      </c>
      <c r="D88" s="11">
        <v>79588</v>
      </c>
      <c r="E88" s="12">
        <v>45721</v>
      </c>
      <c r="F88" s="12">
        <v>45722</v>
      </c>
      <c r="G88" t="s">
        <v>2056</v>
      </c>
      <c r="H88" t="s">
        <v>229</v>
      </c>
      <c r="I88">
        <v>50</v>
      </c>
      <c r="J88">
        <v>175.83</v>
      </c>
      <c r="M88">
        <v>2.2999999999999998</v>
      </c>
      <c r="N88">
        <v>115</v>
      </c>
      <c r="O88">
        <v>60.83</v>
      </c>
      <c r="P88">
        <v>34.5959</v>
      </c>
      <c r="Q88" t="s">
        <v>2009</v>
      </c>
    </row>
    <row r="89" spans="1:17" x14ac:dyDescent="0.25">
      <c r="A89" t="s">
        <v>1974</v>
      </c>
      <c r="B89" t="s">
        <v>1975</v>
      </c>
      <c r="C89" t="s">
        <v>1976</v>
      </c>
      <c r="D89" s="11">
        <v>79588</v>
      </c>
      <c r="E89" s="12">
        <v>45721</v>
      </c>
      <c r="F89" s="12">
        <v>45722</v>
      </c>
      <c r="G89" t="s">
        <v>2056</v>
      </c>
      <c r="H89" t="s">
        <v>730</v>
      </c>
      <c r="I89">
        <v>11</v>
      </c>
      <c r="J89">
        <v>284.57</v>
      </c>
      <c r="M89">
        <v>17.86</v>
      </c>
      <c r="N89">
        <v>196.46</v>
      </c>
      <c r="O89">
        <v>88.11</v>
      </c>
      <c r="P89">
        <v>30.962499999999999</v>
      </c>
      <c r="Q89" t="s">
        <v>2011</v>
      </c>
    </row>
    <row r="90" spans="1:17" x14ac:dyDescent="0.25">
      <c r="A90" t="s">
        <v>1974</v>
      </c>
      <c r="B90" t="s">
        <v>1975</v>
      </c>
      <c r="C90" t="s">
        <v>1976</v>
      </c>
      <c r="D90" s="11">
        <v>79588</v>
      </c>
      <c r="E90" s="12">
        <v>45721</v>
      </c>
      <c r="F90" s="12">
        <v>45722</v>
      </c>
      <c r="G90" t="s">
        <v>2056</v>
      </c>
      <c r="H90" t="s">
        <v>85</v>
      </c>
      <c r="I90">
        <v>11</v>
      </c>
      <c r="J90">
        <v>232.29249999999999</v>
      </c>
      <c r="M90">
        <v>9.2799999999999994</v>
      </c>
      <c r="N90">
        <v>102.08</v>
      </c>
      <c r="O90">
        <v>130.21</v>
      </c>
      <c r="P90">
        <v>56.054900000000004</v>
      </c>
      <c r="Q90" t="s">
        <v>2014</v>
      </c>
    </row>
    <row r="91" spans="1:17" x14ac:dyDescent="0.25">
      <c r="A91" t="s">
        <v>1974</v>
      </c>
      <c r="B91" t="s">
        <v>1975</v>
      </c>
      <c r="C91" t="s">
        <v>1976</v>
      </c>
      <c r="D91" s="11">
        <v>79588</v>
      </c>
      <c r="E91" s="12">
        <v>45721</v>
      </c>
      <c r="F91" s="12">
        <v>45722</v>
      </c>
      <c r="G91" t="s">
        <v>2056</v>
      </c>
      <c r="H91" t="s">
        <v>1582</v>
      </c>
      <c r="I91">
        <v>30</v>
      </c>
      <c r="J91">
        <v>11.747999999999999</v>
      </c>
      <c r="M91">
        <v>0.245</v>
      </c>
      <c r="N91">
        <v>7.35</v>
      </c>
      <c r="O91">
        <v>4.4000000000000004</v>
      </c>
      <c r="P91">
        <v>37.446800000000003</v>
      </c>
      <c r="Q91" t="s">
        <v>2057</v>
      </c>
    </row>
    <row r="92" spans="1:17" x14ac:dyDescent="0.25">
      <c r="A92" t="s">
        <v>1974</v>
      </c>
      <c r="B92" t="s">
        <v>1975</v>
      </c>
      <c r="C92" t="s">
        <v>1976</v>
      </c>
      <c r="D92" s="11">
        <v>79616</v>
      </c>
      <c r="E92" s="12">
        <v>45722</v>
      </c>
      <c r="F92" s="12">
        <v>45726</v>
      </c>
      <c r="G92" t="s">
        <v>2058</v>
      </c>
      <c r="H92" t="s">
        <v>148</v>
      </c>
      <c r="I92">
        <v>30</v>
      </c>
      <c r="J92">
        <v>2.6459999999999999</v>
      </c>
      <c r="M92">
        <v>7.1999999999999995E-2</v>
      </c>
      <c r="N92">
        <v>2.16</v>
      </c>
      <c r="O92">
        <v>0.49</v>
      </c>
      <c r="P92">
        <v>18.490500000000001</v>
      </c>
      <c r="Q92" t="s">
        <v>2059</v>
      </c>
    </row>
    <row r="93" spans="1:17" x14ac:dyDescent="0.25">
      <c r="A93" t="s">
        <v>1974</v>
      </c>
      <c r="B93" t="s">
        <v>1975</v>
      </c>
      <c r="C93" t="s">
        <v>1976</v>
      </c>
      <c r="D93" s="11">
        <v>79616</v>
      </c>
      <c r="E93" s="12">
        <v>45722</v>
      </c>
      <c r="F93" s="12">
        <v>45726</v>
      </c>
      <c r="G93" t="s">
        <v>2058</v>
      </c>
      <c r="H93" t="s">
        <v>1440</v>
      </c>
      <c r="I93">
        <v>100</v>
      </c>
      <c r="J93">
        <v>30.34</v>
      </c>
      <c r="M93">
        <v>0.24</v>
      </c>
      <c r="N93">
        <v>24</v>
      </c>
      <c r="O93">
        <v>6.34</v>
      </c>
      <c r="P93">
        <v>20.8965</v>
      </c>
      <c r="Q93" t="s">
        <v>1441</v>
      </c>
    </row>
    <row r="94" spans="1:17" x14ac:dyDescent="0.25">
      <c r="A94" t="s">
        <v>2060</v>
      </c>
      <c r="B94" t="s">
        <v>2061</v>
      </c>
      <c r="C94" t="s">
        <v>1976</v>
      </c>
      <c r="D94" s="11">
        <v>6100052363</v>
      </c>
      <c r="E94" s="12">
        <v>45727</v>
      </c>
      <c r="F94" s="12">
        <v>45729</v>
      </c>
      <c r="G94" t="s">
        <v>2062</v>
      </c>
      <c r="H94" t="s">
        <v>1027</v>
      </c>
      <c r="I94">
        <v>4</v>
      </c>
      <c r="J94">
        <v>37.944800000000001</v>
      </c>
      <c r="M94">
        <v>5.72</v>
      </c>
      <c r="N94">
        <v>22.88</v>
      </c>
      <c r="O94">
        <v>15.06</v>
      </c>
      <c r="P94">
        <v>39.694200000000002</v>
      </c>
      <c r="Q94" t="s">
        <v>2063</v>
      </c>
    </row>
    <row r="95" spans="1:17" x14ac:dyDescent="0.25">
      <c r="A95" t="s">
        <v>1974</v>
      </c>
      <c r="B95" t="s">
        <v>1975</v>
      </c>
      <c r="C95" t="s">
        <v>1976</v>
      </c>
      <c r="D95" s="11">
        <v>79711</v>
      </c>
      <c r="E95" s="12">
        <v>45728</v>
      </c>
      <c r="F95" s="12">
        <v>45730</v>
      </c>
      <c r="G95" t="s">
        <v>2064</v>
      </c>
      <c r="H95" t="s">
        <v>321</v>
      </c>
      <c r="I95">
        <v>13</v>
      </c>
      <c r="J95">
        <v>29.3371</v>
      </c>
      <c r="M95">
        <v>0.16500000000000001</v>
      </c>
      <c r="N95">
        <v>2.145</v>
      </c>
      <c r="O95">
        <v>27.195</v>
      </c>
      <c r="P95">
        <v>92.689099999999996</v>
      </c>
      <c r="Q95" t="s">
        <v>2065</v>
      </c>
    </row>
    <row r="96" spans="1:17" x14ac:dyDescent="0.25">
      <c r="A96" t="s">
        <v>1974</v>
      </c>
      <c r="B96" t="s">
        <v>1975</v>
      </c>
      <c r="C96" t="s">
        <v>1976</v>
      </c>
      <c r="D96" s="11">
        <v>79693</v>
      </c>
      <c r="E96" s="12">
        <v>45728</v>
      </c>
      <c r="F96" s="12">
        <v>45729</v>
      </c>
      <c r="G96" t="s">
        <v>2066</v>
      </c>
      <c r="H96" t="s">
        <v>965</v>
      </c>
      <c r="I96">
        <v>30</v>
      </c>
      <c r="J96">
        <v>16.317</v>
      </c>
      <c r="M96">
        <v>0.23035</v>
      </c>
      <c r="N96">
        <v>6.9104999999999999</v>
      </c>
      <c r="O96">
        <v>9.4094999999999995</v>
      </c>
      <c r="P96">
        <v>57.656199999999998</v>
      </c>
      <c r="Q96" t="s">
        <v>2067</v>
      </c>
    </row>
    <row r="97" spans="1:17" x14ac:dyDescent="0.25">
      <c r="A97" t="s">
        <v>1974</v>
      </c>
      <c r="B97" t="s">
        <v>1975</v>
      </c>
      <c r="C97" t="s">
        <v>1976</v>
      </c>
      <c r="D97" s="11">
        <v>79693</v>
      </c>
      <c r="E97" s="12">
        <v>45728</v>
      </c>
      <c r="F97" s="12">
        <v>45729</v>
      </c>
      <c r="G97" t="s">
        <v>2066</v>
      </c>
      <c r="H97" t="s">
        <v>1284</v>
      </c>
      <c r="I97">
        <v>5</v>
      </c>
      <c r="J97">
        <v>57.250999999999998</v>
      </c>
      <c r="M97">
        <v>7.79</v>
      </c>
      <c r="N97">
        <v>38.950000000000003</v>
      </c>
      <c r="O97">
        <v>18.3</v>
      </c>
      <c r="P97">
        <v>31.965</v>
      </c>
      <c r="Q97" t="s">
        <v>2068</v>
      </c>
    </row>
    <row r="98" spans="1:17" x14ac:dyDescent="0.25">
      <c r="A98" t="s">
        <v>1974</v>
      </c>
      <c r="B98" t="s">
        <v>1975</v>
      </c>
      <c r="C98" t="s">
        <v>1976</v>
      </c>
      <c r="D98" s="11">
        <v>79693</v>
      </c>
      <c r="E98" s="12">
        <v>45728</v>
      </c>
      <c r="F98" s="12">
        <v>45729</v>
      </c>
      <c r="G98" t="s">
        <v>2066</v>
      </c>
      <c r="H98" t="s">
        <v>603</v>
      </c>
      <c r="I98">
        <v>5</v>
      </c>
      <c r="J98">
        <v>138.51599999999999</v>
      </c>
      <c r="M98">
        <v>10.383599999999999</v>
      </c>
      <c r="N98">
        <v>51.917999999999999</v>
      </c>
      <c r="O98">
        <v>86.602000000000004</v>
      </c>
      <c r="P98">
        <v>62.519399999999997</v>
      </c>
      <c r="Q98" t="s">
        <v>2069</v>
      </c>
    </row>
    <row r="99" spans="1:17" x14ac:dyDescent="0.25">
      <c r="A99" t="s">
        <v>1974</v>
      </c>
      <c r="B99" t="s">
        <v>1975</v>
      </c>
      <c r="C99" t="s">
        <v>1976</v>
      </c>
      <c r="D99" s="11">
        <v>79716</v>
      </c>
      <c r="E99" s="12">
        <v>45729</v>
      </c>
      <c r="F99" s="12">
        <v>45730</v>
      </c>
      <c r="G99" t="s">
        <v>2070</v>
      </c>
      <c r="H99" t="s">
        <v>1156</v>
      </c>
      <c r="I99">
        <v>100</v>
      </c>
      <c r="J99">
        <v>16.89</v>
      </c>
      <c r="M99">
        <v>7.2800000000000004E-2</v>
      </c>
      <c r="N99">
        <v>7.28</v>
      </c>
      <c r="O99">
        <v>9.61</v>
      </c>
      <c r="P99">
        <v>56.897500000000001</v>
      </c>
      <c r="Q99" t="s">
        <v>2071</v>
      </c>
    </row>
    <row r="100" spans="1:17" x14ac:dyDescent="0.25">
      <c r="A100" t="s">
        <v>1974</v>
      </c>
      <c r="B100" t="s">
        <v>1975</v>
      </c>
      <c r="C100" t="s">
        <v>1976</v>
      </c>
      <c r="D100" s="11">
        <v>79716</v>
      </c>
      <c r="E100" s="12">
        <v>45729</v>
      </c>
      <c r="F100" s="12">
        <v>45730</v>
      </c>
      <c r="G100" t="s">
        <v>2070</v>
      </c>
      <c r="H100" t="s">
        <v>965</v>
      </c>
      <c r="I100">
        <v>30</v>
      </c>
      <c r="J100">
        <v>16.317</v>
      </c>
      <c r="M100">
        <v>0.23035</v>
      </c>
      <c r="N100">
        <v>6.9104999999999999</v>
      </c>
      <c r="O100">
        <v>9.4094999999999995</v>
      </c>
      <c r="P100">
        <v>57.656199999999998</v>
      </c>
      <c r="Q100" t="s">
        <v>2067</v>
      </c>
    </row>
    <row r="101" spans="1:17" x14ac:dyDescent="0.25">
      <c r="A101" t="s">
        <v>1974</v>
      </c>
      <c r="B101" t="s">
        <v>1975</v>
      </c>
      <c r="C101" t="s">
        <v>1976</v>
      </c>
      <c r="D101" s="11">
        <v>79716</v>
      </c>
      <c r="E101" s="12">
        <v>45729</v>
      </c>
      <c r="F101" s="12">
        <v>45730</v>
      </c>
      <c r="G101" t="s">
        <v>2070</v>
      </c>
      <c r="H101" t="s">
        <v>603</v>
      </c>
      <c r="I101">
        <v>6</v>
      </c>
      <c r="J101">
        <v>166.21799999999999</v>
      </c>
      <c r="M101">
        <v>10.383599999999999</v>
      </c>
      <c r="N101">
        <v>62.301600000000001</v>
      </c>
      <c r="O101">
        <v>103.91840000000001</v>
      </c>
      <c r="P101">
        <v>62.518500000000003</v>
      </c>
      <c r="Q101" t="s">
        <v>2069</v>
      </c>
    </row>
    <row r="102" spans="1:17" x14ac:dyDescent="0.25">
      <c r="A102" t="s">
        <v>1974</v>
      </c>
      <c r="B102" t="s">
        <v>1975</v>
      </c>
      <c r="C102" t="s">
        <v>1976</v>
      </c>
      <c r="D102" s="11">
        <v>79743</v>
      </c>
      <c r="E102" s="12">
        <v>45733</v>
      </c>
      <c r="F102" s="12">
        <v>45734</v>
      </c>
      <c r="G102" t="s">
        <v>2072</v>
      </c>
      <c r="H102" t="s">
        <v>603</v>
      </c>
      <c r="I102">
        <v>2</v>
      </c>
      <c r="J102">
        <v>55.405999999999999</v>
      </c>
      <c r="M102">
        <v>10.383599999999999</v>
      </c>
      <c r="N102">
        <v>20.767199999999999</v>
      </c>
      <c r="O102">
        <v>34.642800000000001</v>
      </c>
      <c r="P102">
        <v>62.520800000000001</v>
      </c>
      <c r="Q102" t="s">
        <v>2069</v>
      </c>
    </row>
    <row r="103" spans="1:17" x14ac:dyDescent="0.25">
      <c r="A103" t="s">
        <v>1974</v>
      </c>
      <c r="B103" t="s">
        <v>1975</v>
      </c>
      <c r="C103" t="s">
        <v>1976</v>
      </c>
      <c r="D103" s="11">
        <v>79743</v>
      </c>
      <c r="E103" s="12">
        <v>45733</v>
      </c>
      <c r="F103" s="12">
        <v>45734</v>
      </c>
      <c r="G103" t="s">
        <v>2072</v>
      </c>
      <c r="H103" t="s">
        <v>184</v>
      </c>
      <c r="I103">
        <v>30</v>
      </c>
      <c r="J103">
        <v>10.401</v>
      </c>
      <c r="M103">
        <v>9.0190000000000006E-2</v>
      </c>
      <c r="N103">
        <v>2.7057000000000002</v>
      </c>
      <c r="O103">
        <v>7.6943000000000001</v>
      </c>
      <c r="P103">
        <v>73.983599999999996</v>
      </c>
      <c r="Q103" t="s">
        <v>2021</v>
      </c>
    </row>
    <row r="104" spans="1:17" x14ac:dyDescent="0.25">
      <c r="A104" t="s">
        <v>1974</v>
      </c>
      <c r="B104" t="s">
        <v>1975</v>
      </c>
      <c r="C104" t="s">
        <v>1976</v>
      </c>
      <c r="D104" s="11">
        <v>79770</v>
      </c>
      <c r="E104" s="12">
        <v>45735</v>
      </c>
      <c r="F104" s="12">
        <v>45736</v>
      </c>
      <c r="G104" t="s">
        <v>2073</v>
      </c>
      <c r="H104" t="s">
        <v>1284</v>
      </c>
      <c r="I104">
        <v>3</v>
      </c>
      <c r="J104">
        <v>34.3506</v>
      </c>
      <c r="M104">
        <v>7.79</v>
      </c>
      <c r="N104">
        <v>23.37</v>
      </c>
      <c r="O104">
        <v>10.98</v>
      </c>
      <c r="P104">
        <v>31.965</v>
      </c>
      <c r="Q104" t="s">
        <v>2068</v>
      </c>
    </row>
    <row r="105" spans="1:17" x14ac:dyDescent="0.25">
      <c r="A105" t="s">
        <v>1974</v>
      </c>
      <c r="B105" t="s">
        <v>1975</v>
      </c>
      <c r="C105" t="s">
        <v>1976</v>
      </c>
      <c r="D105" s="11">
        <v>79770</v>
      </c>
      <c r="E105" s="12">
        <v>45735</v>
      </c>
      <c r="F105" s="12">
        <v>45736</v>
      </c>
      <c r="G105" t="s">
        <v>2073</v>
      </c>
      <c r="H105" t="s">
        <v>603</v>
      </c>
      <c r="I105">
        <v>6</v>
      </c>
      <c r="J105">
        <v>166.21799999999999</v>
      </c>
      <c r="M105">
        <v>10.383599999999999</v>
      </c>
      <c r="N105">
        <v>62.301600000000001</v>
      </c>
      <c r="O105">
        <v>103.91840000000001</v>
      </c>
      <c r="P105">
        <v>62.518500000000003</v>
      </c>
      <c r="Q105" t="s">
        <v>2069</v>
      </c>
    </row>
    <row r="106" spans="1:17" x14ac:dyDescent="0.25">
      <c r="A106" t="s">
        <v>1974</v>
      </c>
      <c r="B106" t="s">
        <v>1975</v>
      </c>
      <c r="C106" t="s">
        <v>1976</v>
      </c>
      <c r="D106" s="11">
        <v>79807</v>
      </c>
      <c r="E106" s="12">
        <v>45736</v>
      </c>
      <c r="F106" s="12">
        <v>45738</v>
      </c>
      <c r="G106" t="s">
        <v>2074</v>
      </c>
      <c r="H106" t="s">
        <v>1092</v>
      </c>
      <c r="I106">
        <v>14</v>
      </c>
      <c r="J106">
        <v>612.42160000000001</v>
      </c>
      <c r="M106">
        <v>40.249000000000002</v>
      </c>
      <c r="N106">
        <v>563.48599999999999</v>
      </c>
      <c r="O106">
        <v>48.933999999999997</v>
      </c>
      <c r="P106">
        <v>7.9901999999999997</v>
      </c>
      <c r="Q106" t="s">
        <v>2075</v>
      </c>
    </row>
    <row r="107" spans="1:17" x14ac:dyDescent="0.25">
      <c r="A107" t="s">
        <v>1974</v>
      </c>
      <c r="B107" t="s">
        <v>1975</v>
      </c>
      <c r="C107" t="s">
        <v>1976</v>
      </c>
      <c r="D107" s="11">
        <v>79807</v>
      </c>
      <c r="E107" s="12">
        <v>45736</v>
      </c>
      <c r="F107" s="12">
        <v>45769</v>
      </c>
      <c r="G107" t="s">
        <v>2074</v>
      </c>
      <c r="H107" t="s">
        <v>1781</v>
      </c>
      <c r="I107">
        <v>230</v>
      </c>
      <c r="J107">
        <v>70.816999999999993</v>
      </c>
      <c r="M107">
        <v>0.13</v>
      </c>
      <c r="N107">
        <v>29.9</v>
      </c>
      <c r="O107">
        <v>40.92</v>
      </c>
      <c r="P107">
        <v>57.780200000000001</v>
      </c>
      <c r="Q107" t="s">
        <v>1983</v>
      </c>
    </row>
    <row r="108" spans="1:17" x14ac:dyDescent="0.25">
      <c r="A108" t="s">
        <v>2060</v>
      </c>
      <c r="B108" t="s">
        <v>2061</v>
      </c>
      <c r="C108" t="s">
        <v>1976</v>
      </c>
      <c r="D108" s="11">
        <v>6100052871</v>
      </c>
      <c r="E108" s="12">
        <v>45736</v>
      </c>
      <c r="F108" s="12">
        <v>45737</v>
      </c>
      <c r="G108" t="s">
        <v>2076</v>
      </c>
      <c r="H108" t="s">
        <v>1249</v>
      </c>
      <c r="I108">
        <v>2</v>
      </c>
      <c r="J108">
        <v>7.5233999999999996</v>
      </c>
      <c r="M108">
        <v>2.5</v>
      </c>
      <c r="N108">
        <v>5</v>
      </c>
      <c r="O108">
        <v>2.52</v>
      </c>
      <c r="P108">
        <v>33.510599999999997</v>
      </c>
      <c r="Q108" t="s">
        <v>2077</v>
      </c>
    </row>
    <row r="109" spans="1:17" x14ac:dyDescent="0.25">
      <c r="A109" t="s">
        <v>1974</v>
      </c>
      <c r="B109" t="s">
        <v>1975</v>
      </c>
      <c r="C109" t="s">
        <v>1976</v>
      </c>
      <c r="D109" s="11">
        <v>79888</v>
      </c>
      <c r="E109" s="12">
        <v>45743</v>
      </c>
      <c r="F109" s="12">
        <v>45744</v>
      </c>
      <c r="G109" t="s">
        <v>2078</v>
      </c>
      <c r="H109" t="s">
        <v>1140</v>
      </c>
      <c r="I109">
        <v>30</v>
      </c>
      <c r="J109">
        <v>167.82900000000001</v>
      </c>
      <c r="M109">
        <v>5.1150000000000002</v>
      </c>
      <c r="N109">
        <v>153.44999999999999</v>
      </c>
      <c r="O109">
        <v>14.38</v>
      </c>
      <c r="P109">
        <v>8.5680999999999994</v>
      </c>
      <c r="Q109" t="s">
        <v>2079</v>
      </c>
    </row>
    <row r="110" spans="1:17" x14ac:dyDescent="0.25">
      <c r="A110" t="s">
        <v>1974</v>
      </c>
      <c r="B110" t="s">
        <v>1975</v>
      </c>
      <c r="C110" t="s">
        <v>1976</v>
      </c>
      <c r="D110" s="11">
        <v>79914</v>
      </c>
      <c r="E110" s="12">
        <v>45747</v>
      </c>
      <c r="F110" s="12">
        <v>45748</v>
      </c>
      <c r="G110" t="s">
        <v>2080</v>
      </c>
      <c r="H110" t="s">
        <v>23</v>
      </c>
      <c r="I110">
        <v>100</v>
      </c>
      <c r="J110">
        <v>28.99</v>
      </c>
      <c r="M110">
        <v>0.33300000000000002</v>
      </c>
      <c r="N110">
        <v>33.299999999999997</v>
      </c>
      <c r="O110">
        <v>-4.3099999999999996</v>
      </c>
      <c r="P110">
        <v>-14.867100000000001</v>
      </c>
      <c r="Q110" t="s">
        <v>1986</v>
      </c>
    </row>
    <row r="111" spans="1:17" x14ac:dyDescent="0.25">
      <c r="A111" t="s">
        <v>1974</v>
      </c>
      <c r="B111" t="s">
        <v>1975</v>
      </c>
      <c r="C111" t="s">
        <v>1976</v>
      </c>
      <c r="D111" s="11">
        <v>79914</v>
      </c>
      <c r="E111" s="12">
        <v>45747</v>
      </c>
      <c r="F111" s="12">
        <v>45748</v>
      </c>
      <c r="G111" t="s">
        <v>2080</v>
      </c>
      <c r="H111" t="s">
        <v>25</v>
      </c>
      <c r="I111">
        <v>100</v>
      </c>
      <c r="J111">
        <v>23.45</v>
      </c>
      <c r="M111">
        <v>0.18</v>
      </c>
      <c r="N111">
        <v>18</v>
      </c>
      <c r="O111">
        <v>5.45</v>
      </c>
      <c r="P111">
        <v>23.2409</v>
      </c>
      <c r="Q111" t="s">
        <v>1987</v>
      </c>
    </row>
    <row r="112" spans="1:17" x14ac:dyDescent="0.25">
      <c r="A112" t="s">
        <v>1974</v>
      </c>
      <c r="B112" t="s">
        <v>1975</v>
      </c>
      <c r="C112" t="s">
        <v>1976</v>
      </c>
      <c r="D112" s="11">
        <v>79914</v>
      </c>
      <c r="E112" s="12">
        <v>45747</v>
      </c>
      <c r="F112" s="12">
        <v>45748</v>
      </c>
      <c r="G112" t="s">
        <v>2080</v>
      </c>
      <c r="H112" t="s">
        <v>665</v>
      </c>
      <c r="I112">
        <v>25</v>
      </c>
      <c r="J112">
        <v>21.447500000000002</v>
      </c>
      <c r="M112">
        <v>0.69699999999999995</v>
      </c>
      <c r="N112">
        <v>17.425000000000001</v>
      </c>
      <c r="O112">
        <v>4.0250000000000004</v>
      </c>
      <c r="P112">
        <v>18.764500000000002</v>
      </c>
      <c r="Q112" t="s">
        <v>1988</v>
      </c>
    </row>
    <row r="113" spans="1:17" x14ac:dyDescent="0.25">
      <c r="A113" t="s">
        <v>1974</v>
      </c>
      <c r="B113" t="s">
        <v>1975</v>
      </c>
      <c r="C113" t="s">
        <v>1976</v>
      </c>
      <c r="D113" s="11">
        <v>79914</v>
      </c>
      <c r="E113" s="12">
        <v>45747</v>
      </c>
      <c r="F113" s="12">
        <v>45748</v>
      </c>
      <c r="G113" t="s">
        <v>2080</v>
      </c>
      <c r="H113" t="s">
        <v>337</v>
      </c>
      <c r="I113">
        <v>100</v>
      </c>
      <c r="J113">
        <v>66.510000000000005</v>
      </c>
      <c r="M113">
        <v>0.33500000000000002</v>
      </c>
      <c r="N113">
        <v>33.5</v>
      </c>
      <c r="O113">
        <v>33.01</v>
      </c>
      <c r="P113">
        <v>49.631599999999999</v>
      </c>
      <c r="Q113" t="s">
        <v>2081</v>
      </c>
    </row>
    <row r="114" spans="1:17" x14ac:dyDescent="0.25">
      <c r="A114" t="s">
        <v>1974</v>
      </c>
      <c r="B114" t="s">
        <v>1975</v>
      </c>
      <c r="C114" t="s">
        <v>1976</v>
      </c>
      <c r="D114" s="11">
        <v>79920</v>
      </c>
      <c r="E114" s="12">
        <v>45747</v>
      </c>
      <c r="F114" s="12">
        <v>45748</v>
      </c>
      <c r="G114" t="s">
        <v>2082</v>
      </c>
      <c r="H114" t="s">
        <v>104</v>
      </c>
      <c r="I114">
        <v>20</v>
      </c>
      <c r="J114">
        <v>34.073999999999998</v>
      </c>
      <c r="M114">
        <v>1.2330000000000001</v>
      </c>
      <c r="N114">
        <v>24.66</v>
      </c>
      <c r="O114">
        <v>9.41</v>
      </c>
      <c r="P114">
        <v>27.619599999999998</v>
      </c>
      <c r="Q114" t="s">
        <v>1989</v>
      </c>
    </row>
    <row r="115" spans="1:17" x14ac:dyDescent="0.25">
      <c r="A115" t="s">
        <v>1974</v>
      </c>
      <c r="B115" t="s">
        <v>1975</v>
      </c>
      <c r="C115" t="s">
        <v>1976</v>
      </c>
      <c r="D115" s="11">
        <v>79920</v>
      </c>
      <c r="E115" s="12">
        <v>45747</v>
      </c>
      <c r="F115" s="12">
        <v>45748</v>
      </c>
      <c r="G115" t="s">
        <v>2082</v>
      </c>
      <c r="H115" t="s">
        <v>1584</v>
      </c>
      <c r="I115">
        <v>66</v>
      </c>
      <c r="J115">
        <v>36.8874</v>
      </c>
      <c r="M115">
        <v>0.29499999999999998</v>
      </c>
      <c r="N115">
        <v>19.47</v>
      </c>
      <c r="O115">
        <v>17.420000000000002</v>
      </c>
      <c r="P115">
        <v>47.221400000000003</v>
      </c>
      <c r="Q115" t="s">
        <v>2015</v>
      </c>
    </row>
    <row r="116" spans="1:17" x14ac:dyDescent="0.25">
      <c r="A116" t="s">
        <v>1974</v>
      </c>
      <c r="B116" t="s">
        <v>1975</v>
      </c>
      <c r="C116" t="s">
        <v>1976</v>
      </c>
      <c r="D116" s="11">
        <v>79942</v>
      </c>
      <c r="E116" s="12">
        <v>45748</v>
      </c>
      <c r="F116" s="12">
        <v>45750</v>
      </c>
      <c r="G116" t="s">
        <v>2083</v>
      </c>
      <c r="H116" t="s">
        <v>104</v>
      </c>
      <c r="I116">
        <v>20</v>
      </c>
      <c r="J116">
        <v>34.073999999999998</v>
      </c>
      <c r="M116">
        <v>1.2330000000000001</v>
      </c>
      <c r="N116">
        <v>24.66</v>
      </c>
      <c r="O116">
        <v>9.41</v>
      </c>
      <c r="P116">
        <v>27.619599999999998</v>
      </c>
      <c r="Q116" t="s">
        <v>1989</v>
      </c>
    </row>
    <row r="117" spans="1:17" x14ac:dyDescent="0.25">
      <c r="A117" t="s">
        <v>2060</v>
      </c>
      <c r="B117" t="s">
        <v>2061</v>
      </c>
      <c r="C117" t="s">
        <v>1976</v>
      </c>
      <c r="D117" s="11">
        <v>6100054126</v>
      </c>
      <c r="E117" s="12">
        <v>45749</v>
      </c>
      <c r="F117" s="12">
        <v>45751</v>
      </c>
      <c r="G117" t="s">
        <v>2084</v>
      </c>
      <c r="H117" t="s">
        <v>1113</v>
      </c>
      <c r="I117">
        <v>150</v>
      </c>
      <c r="J117">
        <v>13.005000000000001</v>
      </c>
      <c r="M117">
        <v>7.1999999999999995E-2</v>
      </c>
      <c r="N117">
        <v>10.8</v>
      </c>
      <c r="O117">
        <v>2.21</v>
      </c>
      <c r="P117">
        <v>16.986899999999999</v>
      </c>
      <c r="Q117" t="s">
        <v>2085</v>
      </c>
    </row>
    <row r="118" spans="1:17" x14ac:dyDescent="0.25">
      <c r="A118" t="s">
        <v>1974</v>
      </c>
      <c r="B118" t="s">
        <v>1975</v>
      </c>
      <c r="C118" t="s">
        <v>1976</v>
      </c>
      <c r="D118" s="11">
        <v>80022</v>
      </c>
      <c r="E118" s="12">
        <v>45754</v>
      </c>
      <c r="F118" s="12">
        <v>45756</v>
      </c>
      <c r="G118" t="s">
        <v>2086</v>
      </c>
      <c r="H118" t="s">
        <v>1071</v>
      </c>
      <c r="I118">
        <v>5</v>
      </c>
      <c r="J118">
        <v>61.125500000000002</v>
      </c>
      <c r="M118">
        <v>8.766</v>
      </c>
      <c r="N118">
        <v>43.83</v>
      </c>
      <c r="O118">
        <v>17.3</v>
      </c>
      <c r="P118">
        <v>28.3003</v>
      </c>
      <c r="Q118" t="s">
        <v>1995</v>
      </c>
    </row>
    <row r="119" spans="1:17" x14ac:dyDescent="0.25">
      <c r="A119" t="s">
        <v>1974</v>
      </c>
      <c r="B119" t="s">
        <v>1975</v>
      </c>
      <c r="C119" t="s">
        <v>1976</v>
      </c>
      <c r="D119" s="11">
        <v>80022</v>
      </c>
      <c r="E119" s="12">
        <v>45754</v>
      </c>
      <c r="F119" s="12">
        <v>45756</v>
      </c>
      <c r="G119" t="s">
        <v>2086</v>
      </c>
      <c r="H119" t="s">
        <v>1039</v>
      </c>
      <c r="I119">
        <v>30</v>
      </c>
      <c r="J119">
        <v>33.627000000000002</v>
      </c>
      <c r="M119">
        <v>0.72099999999999997</v>
      </c>
      <c r="N119">
        <v>21.63</v>
      </c>
      <c r="O119">
        <v>12</v>
      </c>
      <c r="P119">
        <v>35.682400000000001</v>
      </c>
      <c r="Q119" t="s">
        <v>2007</v>
      </c>
    </row>
    <row r="120" spans="1:17" x14ac:dyDescent="0.25">
      <c r="A120" t="s">
        <v>1974</v>
      </c>
      <c r="B120" t="s">
        <v>1975</v>
      </c>
      <c r="C120" t="s">
        <v>1976</v>
      </c>
      <c r="D120" s="11">
        <v>80022</v>
      </c>
      <c r="E120" s="12">
        <v>45754</v>
      </c>
      <c r="F120" s="12">
        <v>45756</v>
      </c>
      <c r="G120" t="s">
        <v>2086</v>
      </c>
      <c r="H120" t="s">
        <v>500</v>
      </c>
      <c r="I120">
        <v>35</v>
      </c>
      <c r="J120">
        <v>49.482999999999997</v>
      </c>
      <c r="M120">
        <v>7.8150000000000004</v>
      </c>
      <c r="N120">
        <v>273.52499999999998</v>
      </c>
      <c r="O120">
        <v>-224.04499999999999</v>
      </c>
      <c r="P120">
        <v>-452.79910000000001</v>
      </c>
      <c r="Q120" t="s">
        <v>1996</v>
      </c>
    </row>
    <row r="121" spans="1:17" x14ac:dyDescent="0.25">
      <c r="A121" t="s">
        <v>1974</v>
      </c>
      <c r="B121" t="s">
        <v>1975</v>
      </c>
      <c r="C121" t="s">
        <v>1976</v>
      </c>
      <c r="D121" s="11">
        <v>80022</v>
      </c>
      <c r="E121" s="12">
        <v>45754</v>
      </c>
      <c r="F121" s="12">
        <v>45756</v>
      </c>
      <c r="G121" t="s">
        <v>2086</v>
      </c>
      <c r="H121" t="s">
        <v>104</v>
      </c>
      <c r="I121">
        <v>12</v>
      </c>
      <c r="J121">
        <v>20.444400000000002</v>
      </c>
      <c r="M121">
        <v>1.2330000000000001</v>
      </c>
      <c r="N121">
        <v>14.795999999999999</v>
      </c>
      <c r="O121">
        <v>5.6440000000000001</v>
      </c>
      <c r="P121">
        <v>27.612500000000001</v>
      </c>
      <c r="Q121" t="s">
        <v>1989</v>
      </c>
    </row>
    <row r="122" spans="1:17" x14ac:dyDescent="0.25">
      <c r="A122" t="s">
        <v>1974</v>
      </c>
      <c r="B122" t="s">
        <v>1975</v>
      </c>
      <c r="C122" t="s">
        <v>1976</v>
      </c>
      <c r="D122" s="11">
        <v>80022</v>
      </c>
      <c r="E122" s="12">
        <v>45754</v>
      </c>
      <c r="F122" s="12">
        <v>45756</v>
      </c>
      <c r="G122" t="s">
        <v>2086</v>
      </c>
      <c r="H122" t="s">
        <v>210</v>
      </c>
      <c r="I122">
        <v>5</v>
      </c>
      <c r="J122">
        <v>54.475000000000001</v>
      </c>
      <c r="M122">
        <v>9.1199999999999992</v>
      </c>
      <c r="N122">
        <v>45.6</v>
      </c>
      <c r="O122">
        <v>8.8800000000000008</v>
      </c>
      <c r="P122">
        <v>16.299499999999998</v>
      </c>
      <c r="Q122" t="s">
        <v>1999</v>
      </c>
    </row>
    <row r="123" spans="1:17" x14ac:dyDescent="0.25">
      <c r="A123" t="s">
        <v>1974</v>
      </c>
      <c r="B123" t="s">
        <v>1975</v>
      </c>
      <c r="C123" t="s">
        <v>1976</v>
      </c>
      <c r="D123" s="11">
        <v>80041</v>
      </c>
      <c r="E123" s="12">
        <v>45755</v>
      </c>
      <c r="F123" s="12">
        <v>45757</v>
      </c>
      <c r="G123" t="s">
        <v>2087</v>
      </c>
      <c r="H123" t="s">
        <v>1092</v>
      </c>
      <c r="I123">
        <v>6</v>
      </c>
      <c r="J123">
        <v>262.46640000000002</v>
      </c>
      <c r="M123">
        <v>40.249000000000002</v>
      </c>
      <c r="N123">
        <v>241.494</v>
      </c>
      <c r="O123">
        <v>20.975999999999999</v>
      </c>
      <c r="P123">
        <v>7.9916999999999998</v>
      </c>
      <c r="Q123" t="s">
        <v>2075</v>
      </c>
    </row>
    <row r="124" spans="1:17" x14ac:dyDescent="0.25">
      <c r="A124" t="s">
        <v>2060</v>
      </c>
      <c r="B124" t="s">
        <v>2061</v>
      </c>
      <c r="C124" t="s">
        <v>1976</v>
      </c>
      <c r="D124" s="11">
        <v>6100054431</v>
      </c>
      <c r="E124" s="12">
        <v>45756</v>
      </c>
      <c r="F124" s="12">
        <v>45758</v>
      </c>
      <c r="G124" t="s">
        <v>2088</v>
      </c>
      <c r="H124" t="s">
        <v>57</v>
      </c>
      <c r="I124">
        <v>3</v>
      </c>
      <c r="J124">
        <v>42.756</v>
      </c>
      <c r="M124">
        <v>8.34</v>
      </c>
      <c r="N124">
        <v>25.02</v>
      </c>
      <c r="O124">
        <v>17.739999999999998</v>
      </c>
      <c r="P124">
        <v>41.487299999999998</v>
      </c>
      <c r="Q124" t="s">
        <v>2089</v>
      </c>
    </row>
    <row r="125" spans="1:17" x14ac:dyDescent="0.25">
      <c r="A125" t="s">
        <v>2060</v>
      </c>
      <c r="B125" t="s">
        <v>2061</v>
      </c>
      <c r="C125" t="s">
        <v>1976</v>
      </c>
      <c r="D125" s="11">
        <v>6100054431</v>
      </c>
      <c r="E125" s="12">
        <v>45756</v>
      </c>
      <c r="F125" s="12">
        <v>45758</v>
      </c>
      <c r="G125" t="s">
        <v>2088</v>
      </c>
      <c r="H125" t="s">
        <v>286</v>
      </c>
      <c r="I125">
        <v>65</v>
      </c>
      <c r="J125">
        <v>30.120999999999999</v>
      </c>
      <c r="M125">
        <v>0.27942</v>
      </c>
      <c r="N125">
        <v>18.162299999999998</v>
      </c>
      <c r="O125">
        <v>11.957700000000001</v>
      </c>
      <c r="P125">
        <v>39.700099999999999</v>
      </c>
      <c r="Q125" t="s">
        <v>2090</v>
      </c>
    </row>
    <row r="126" spans="1:17" x14ac:dyDescent="0.25">
      <c r="A126" t="s">
        <v>2060</v>
      </c>
      <c r="B126" t="s">
        <v>2061</v>
      </c>
      <c r="C126" t="s">
        <v>1976</v>
      </c>
      <c r="D126" s="11">
        <v>6100054431</v>
      </c>
      <c r="E126" s="12">
        <v>45756</v>
      </c>
      <c r="F126" s="12">
        <v>45758</v>
      </c>
      <c r="G126" t="s">
        <v>2088</v>
      </c>
      <c r="H126" t="s">
        <v>1027</v>
      </c>
      <c r="I126">
        <v>4</v>
      </c>
      <c r="J126">
        <v>37.944800000000001</v>
      </c>
      <c r="M126">
        <v>5.72</v>
      </c>
      <c r="N126">
        <v>22.88</v>
      </c>
      <c r="O126">
        <v>15.06</v>
      </c>
      <c r="P126">
        <v>39.694200000000002</v>
      </c>
      <c r="Q126" t="s">
        <v>2063</v>
      </c>
    </row>
    <row r="127" spans="1:17" x14ac:dyDescent="0.25">
      <c r="A127" t="s">
        <v>1974</v>
      </c>
      <c r="B127" t="s">
        <v>1975</v>
      </c>
      <c r="C127" t="s">
        <v>1976</v>
      </c>
      <c r="D127" s="11">
        <v>80096</v>
      </c>
      <c r="E127" s="12">
        <v>45758</v>
      </c>
      <c r="F127" s="12">
        <v>45761</v>
      </c>
      <c r="G127" t="s">
        <v>2091</v>
      </c>
      <c r="H127" t="s">
        <v>1152</v>
      </c>
      <c r="I127">
        <v>30</v>
      </c>
      <c r="J127">
        <v>3.4529999999999998</v>
      </c>
      <c r="M127">
        <v>8.5099999999999995E-2</v>
      </c>
      <c r="N127">
        <v>2.5529999999999999</v>
      </c>
      <c r="O127">
        <v>0.89700000000000002</v>
      </c>
      <c r="P127">
        <v>26</v>
      </c>
      <c r="Q127" t="s">
        <v>1151</v>
      </c>
    </row>
    <row r="128" spans="1:17" x14ac:dyDescent="0.25">
      <c r="A128" t="s">
        <v>1974</v>
      </c>
      <c r="B128" t="s">
        <v>1975</v>
      </c>
      <c r="C128" t="s">
        <v>1976</v>
      </c>
      <c r="D128" s="11">
        <v>80096</v>
      </c>
      <c r="E128" s="12">
        <v>45758</v>
      </c>
      <c r="F128" s="12">
        <v>45761</v>
      </c>
      <c r="G128" t="s">
        <v>2091</v>
      </c>
      <c r="H128" t="s">
        <v>1547</v>
      </c>
      <c r="I128">
        <v>150</v>
      </c>
      <c r="J128">
        <v>7.5149999999999997</v>
      </c>
      <c r="M128">
        <v>3.7999999999999999E-2</v>
      </c>
      <c r="N128">
        <v>5.7</v>
      </c>
      <c r="O128">
        <v>1.82</v>
      </c>
      <c r="P128">
        <v>24.202100000000002</v>
      </c>
      <c r="Q128" t="s">
        <v>2026</v>
      </c>
    </row>
    <row r="129" spans="1:17" x14ac:dyDescent="0.25">
      <c r="A129" t="s">
        <v>1974</v>
      </c>
      <c r="B129" t="s">
        <v>1975</v>
      </c>
      <c r="C129" t="s">
        <v>1976</v>
      </c>
      <c r="D129" s="11">
        <v>80096</v>
      </c>
      <c r="E129" s="12">
        <v>45758</v>
      </c>
      <c r="F129" s="12">
        <v>45761</v>
      </c>
      <c r="G129" t="s">
        <v>2091</v>
      </c>
      <c r="H129" t="s">
        <v>1529</v>
      </c>
      <c r="I129">
        <v>150</v>
      </c>
      <c r="J129">
        <v>7.5149999999999997</v>
      </c>
      <c r="M129">
        <v>1.7999999999999999E-2</v>
      </c>
      <c r="N129">
        <v>2.7</v>
      </c>
      <c r="O129">
        <v>4.82</v>
      </c>
      <c r="P129">
        <v>64.095699999999994</v>
      </c>
      <c r="Q129" t="s">
        <v>2027</v>
      </c>
    </row>
    <row r="130" spans="1:17" x14ac:dyDescent="0.25">
      <c r="A130" t="s">
        <v>1974</v>
      </c>
      <c r="B130" t="s">
        <v>1975</v>
      </c>
      <c r="C130" t="s">
        <v>1976</v>
      </c>
      <c r="D130" s="11">
        <v>80096</v>
      </c>
      <c r="E130" s="12">
        <v>45758</v>
      </c>
      <c r="F130" s="12">
        <v>45761</v>
      </c>
      <c r="G130" t="s">
        <v>2091</v>
      </c>
      <c r="H130" t="s">
        <v>1517</v>
      </c>
      <c r="I130">
        <v>150</v>
      </c>
      <c r="J130">
        <v>7.5149999999999997</v>
      </c>
      <c r="M130">
        <v>3.4200000000000001E-2</v>
      </c>
      <c r="N130">
        <v>5.13</v>
      </c>
      <c r="O130">
        <v>2.39</v>
      </c>
      <c r="P130">
        <v>31.7819</v>
      </c>
      <c r="Q130" t="s">
        <v>2037</v>
      </c>
    </row>
    <row r="131" spans="1:17" x14ac:dyDescent="0.25">
      <c r="A131" t="s">
        <v>1974</v>
      </c>
      <c r="B131" t="s">
        <v>1975</v>
      </c>
      <c r="C131" t="s">
        <v>1976</v>
      </c>
      <c r="D131" s="11">
        <v>80189</v>
      </c>
      <c r="E131" s="12">
        <v>45764</v>
      </c>
      <c r="F131" s="12">
        <v>45765</v>
      </c>
      <c r="G131" t="s">
        <v>2092</v>
      </c>
      <c r="H131" t="s">
        <v>144</v>
      </c>
      <c r="I131">
        <v>100</v>
      </c>
      <c r="J131">
        <v>2.2400000000000002</v>
      </c>
      <c r="M131">
        <v>6.1700000000000001E-3</v>
      </c>
      <c r="N131">
        <v>0.61699999999999999</v>
      </c>
      <c r="O131">
        <v>1.623</v>
      </c>
      <c r="P131">
        <v>72.455299999999994</v>
      </c>
      <c r="Q131" t="s">
        <v>1978</v>
      </c>
    </row>
    <row r="132" spans="1:17" x14ac:dyDescent="0.25">
      <c r="A132" t="s">
        <v>1974</v>
      </c>
      <c r="B132" t="s">
        <v>1975</v>
      </c>
      <c r="C132" t="s">
        <v>1976</v>
      </c>
      <c r="D132" s="11">
        <v>80189</v>
      </c>
      <c r="E132" s="12">
        <v>45764</v>
      </c>
      <c r="F132" s="12">
        <v>45765</v>
      </c>
      <c r="G132" t="s">
        <v>2092</v>
      </c>
      <c r="H132" t="s">
        <v>687</v>
      </c>
      <c r="I132">
        <v>100</v>
      </c>
      <c r="J132">
        <v>0.75</v>
      </c>
      <c r="M132">
        <v>6.0000000000000001E-3</v>
      </c>
      <c r="N132">
        <v>0.6</v>
      </c>
      <c r="O132">
        <v>0.15</v>
      </c>
      <c r="P132">
        <v>20</v>
      </c>
      <c r="Q132" t="s">
        <v>2093</v>
      </c>
    </row>
    <row r="133" spans="1:17" x14ac:dyDescent="0.25">
      <c r="A133" t="s">
        <v>1974</v>
      </c>
      <c r="B133" t="s">
        <v>1975</v>
      </c>
      <c r="C133" t="s">
        <v>1976</v>
      </c>
      <c r="D133" s="11">
        <v>80189</v>
      </c>
      <c r="E133" s="12">
        <v>45764</v>
      </c>
      <c r="F133" s="12">
        <v>45765</v>
      </c>
      <c r="G133" t="s">
        <v>2092</v>
      </c>
      <c r="H133" t="s">
        <v>931</v>
      </c>
      <c r="I133">
        <v>100</v>
      </c>
      <c r="J133">
        <v>16.739999999999998</v>
      </c>
      <c r="M133">
        <v>5.0380000000000001E-2</v>
      </c>
      <c r="N133">
        <v>5.0380000000000003</v>
      </c>
      <c r="O133">
        <v>11.702</v>
      </c>
      <c r="P133">
        <v>69.904399999999995</v>
      </c>
      <c r="Q133" t="s">
        <v>2094</v>
      </c>
    </row>
    <row r="134" spans="1:17" x14ac:dyDescent="0.25">
      <c r="A134" t="s">
        <v>1974</v>
      </c>
      <c r="B134" t="s">
        <v>1975</v>
      </c>
      <c r="C134" t="s">
        <v>1976</v>
      </c>
      <c r="D134" s="11">
        <v>80189</v>
      </c>
      <c r="E134" s="12">
        <v>45764</v>
      </c>
      <c r="F134" s="12">
        <v>45765</v>
      </c>
      <c r="G134" t="s">
        <v>2092</v>
      </c>
      <c r="H134" t="s">
        <v>402</v>
      </c>
      <c r="I134">
        <v>10</v>
      </c>
      <c r="J134">
        <v>49.917000000000002</v>
      </c>
      <c r="M134">
        <v>1.92</v>
      </c>
      <c r="N134">
        <v>19.2</v>
      </c>
      <c r="O134">
        <v>30.72</v>
      </c>
      <c r="P134">
        <v>61.538400000000003</v>
      </c>
      <c r="Q134" t="s">
        <v>2095</v>
      </c>
    </row>
    <row r="135" spans="1:17" x14ac:dyDescent="0.25">
      <c r="A135" t="s">
        <v>1974</v>
      </c>
      <c r="B135" t="s">
        <v>1975</v>
      </c>
      <c r="C135" t="s">
        <v>1976</v>
      </c>
      <c r="D135" s="11">
        <v>80189</v>
      </c>
      <c r="E135" s="12">
        <v>45764</v>
      </c>
      <c r="F135" s="12">
        <v>45765</v>
      </c>
      <c r="G135" t="s">
        <v>2092</v>
      </c>
      <c r="H135" t="s">
        <v>345</v>
      </c>
      <c r="I135">
        <v>15</v>
      </c>
      <c r="J135">
        <v>51.186</v>
      </c>
      <c r="M135">
        <v>1.27</v>
      </c>
      <c r="N135">
        <v>19.05</v>
      </c>
      <c r="O135">
        <v>32.14</v>
      </c>
      <c r="P135">
        <v>62.785699999999999</v>
      </c>
      <c r="Q135" t="s">
        <v>2096</v>
      </c>
    </row>
    <row r="136" spans="1:17" x14ac:dyDescent="0.25">
      <c r="A136" t="s">
        <v>1974</v>
      </c>
      <c r="B136" t="s">
        <v>1975</v>
      </c>
      <c r="C136" t="s">
        <v>1976</v>
      </c>
      <c r="D136" s="11">
        <v>80224</v>
      </c>
      <c r="E136" s="12">
        <v>45769</v>
      </c>
      <c r="F136" s="12">
        <v>45769</v>
      </c>
      <c r="G136" t="s">
        <v>2097</v>
      </c>
      <c r="H136" t="s">
        <v>2098</v>
      </c>
      <c r="I136">
        <v>30</v>
      </c>
      <c r="J136">
        <v>42.012</v>
      </c>
      <c r="M136">
        <v>1.17</v>
      </c>
      <c r="N136">
        <v>35.1</v>
      </c>
      <c r="O136">
        <v>6.91</v>
      </c>
      <c r="P136">
        <v>16.448399999999999</v>
      </c>
      <c r="Q136" t="s">
        <v>2099</v>
      </c>
    </row>
    <row r="137" spans="1:17" x14ac:dyDescent="0.25">
      <c r="A137" t="s">
        <v>1974</v>
      </c>
      <c r="B137" t="s">
        <v>1975</v>
      </c>
      <c r="C137" t="s">
        <v>1976</v>
      </c>
      <c r="D137" s="11">
        <v>80224</v>
      </c>
      <c r="E137" s="12">
        <v>45769</v>
      </c>
      <c r="F137" s="12">
        <v>45769</v>
      </c>
      <c r="G137" t="s">
        <v>2097</v>
      </c>
      <c r="H137" t="s">
        <v>144</v>
      </c>
      <c r="I137">
        <v>100</v>
      </c>
      <c r="J137">
        <v>2.2400000000000002</v>
      </c>
      <c r="M137">
        <v>6.1700000000000001E-3</v>
      </c>
      <c r="N137">
        <v>0.61699999999999999</v>
      </c>
      <c r="O137">
        <v>1.623</v>
      </c>
      <c r="P137">
        <v>72.455299999999994</v>
      </c>
      <c r="Q137" t="s">
        <v>1978</v>
      </c>
    </row>
    <row r="138" spans="1:17" x14ac:dyDescent="0.25">
      <c r="A138" t="s">
        <v>1974</v>
      </c>
      <c r="B138" t="s">
        <v>1975</v>
      </c>
      <c r="C138" t="s">
        <v>1976</v>
      </c>
      <c r="D138" s="11">
        <v>80224</v>
      </c>
      <c r="E138" s="12">
        <v>45769</v>
      </c>
      <c r="F138" s="12">
        <v>45769</v>
      </c>
      <c r="G138" t="s">
        <v>2097</v>
      </c>
      <c r="H138" t="s">
        <v>1716</v>
      </c>
      <c r="I138">
        <v>30</v>
      </c>
      <c r="J138">
        <v>16.556999999999999</v>
      </c>
      <c r="M138">
        <v>0.318</v>
      </c>
      <c r="N138">
        <v>9.5399999999999991</v>
      </c>
      <c r="O138">
        <v>7.02</v>
      </c>
      <c r="P138">
        <v>42.391300000000001</v>
      </c>
      <c r="Q138" t="s">
        <v>2100</v>
      </c>
    </row>
    <row r="139" spans="1:17" x14ac:dyDescent="0.25">
      <c r="A139" t="s">
        <v>1974</v>
      </c>
      <c r="B139" t="s">
        <v>1975</v>
      </c>
      <c r="C139" t="s">
        <v>1976</v>
      </c>
      <c r="D139" s="11">
        <v>80224</v>
      </c>
      <c r="E139" s="12">
        <v>45769</v>
      </c>
      <c r="F139" s="12">
        <v>45769</v>
      </c>
      <c r="G139" t="s">
        <v>2097</v>
      </c>
      <c r="H139" t="s">
        <v>1057</v>
      </c>
      <c r="I139">
        <v>30</v>
      </c>
      <c r="J139">
        <v>56.07</v>
      </c>
      <c r="M139">
        <v>0.83599999999999997</v>
      </c>
      <c r="N139">
        <v>25.08</v>
      </c>
      <c r="O139">
        <v>30.99</v>
      </c>
      <c r="P139">
        <v>55.270099999999999</v>
      </c>
      <c r="Q139" t="s">
        <v>2002</v>
      </c>
    </row>
    <row r="140" spans="1:17" x14ac:dyDescent="0.25">
      <c r="A140" t="s">
        <v>1974</v>
      </c>
      <c r="B140" t="s">
        <v>1975</v>
      </c>
      <c r="C140" t="s">
        <v>1976</v>
      </c>
      <c r="D140" s="11" t="s">
        <v>2101</v>
      </c>
      <c r="E140" s="12">
        <v>45770</v>
      </c>
      <c r="F140" s="12">
        <v>45771</v>
      </c>
      <c r="G140" t="s">
        <v>2102</v>
      </c>
      <c r="H140" t="s">
        <v>487</v>
      </c>
      <c r="I140">
        <v>13</v>
      </c>
      <c r="J140">
        <v>3431.8778000000002</v>
      </c>
      <c r="M140">
        <v>78.5</v>
      </c>
      <c r="N140">
        <v>1020.5</v>
      </c>
      <c r="O140">
        <v>2411.38</v>
      </c>
      <c r="P140">
        <v>70.264099999999999</v>
      </c>
      <c r="Q140" t="s">
        <v>2030</v>
      </c>
    </row>
    <row r="141" spans="1:17" x14ac:dyDescent="0.25">
      <c r="A141" t="s">
        <v>1974</v>
      </c>
      <c r="B141" t="s">
        <v>1975</v>
      </c>
      <c r="C141" t="s">
        <v>1976</v>
      </c>
      <c r="D141" s="11" t="s">
        <v>2101</v>
      </c>
      <c r="E141" s="12">
        <v>45770</v>
      </c>
      <c r="F141" s="12">
        <v>45800</v>
      </c>
      <c r="G141" t="s">
        <v>2102</v>
      </c>
      <c r="H141" t="s">
        <v>1803</v>
      </c>
      <c r="I141">
        <v>50</v>
      </c>
      <c r="J141">
        <v>188.57</v>
      </c>
      <c r="M141">
        <v>1.7370000000000001</v>
      </c>
      <c r="N141">
        <v>86.85</v>
      </c>
      <c r="O141">
        <v>101.72</v>
      </c>
      <c r="P141">
        <v>53.942799999999998</v>
      </c>
      <c r="Q141" t="s">
        <v>2031</v>
      </c>
    </row>
    <row r="142" spans="1:17" x14ac:dyDescent="0.25">
      <c r="A142" t="s">
        <v>1974</v>
      </c>
      <c r="B142" t="s">
        <v>1975</v>
      </c>
      <c r="C142" t="s">
        <v>1976</v>
      </c>
      <c r="D142" s="11" t="s">
        <v>2101</v>
      </c>
      <c r="E142" s="12">
        <v>45770</v>
      </c>
      <c r="F142" s="12">
        <v>45771</v>
      </c>
      <c r="G142" t="s">
        <v>2102</v>
      </c>
      <c r="H142" t="s">
        <v>1128</v>
      </c>
      <c r="I142">
        <v>30</v>
      </c>
      <c r="J142">
        <v>267.75599999999997</v>
      </c>
      <c r="M142">
        <v>7.8760000000000003</v>
      </c>
      <c r="N142">
        <v>236.28</v>
      </c>
      <c r="O142">
        <v>31.48</v>
      </c>
      <c r="P142">
        <v>11.7567</v>
      </c>
      <c r="Q142" t="s">
        <v>2103</v>
      </c>
    </row>
    <row r="143" spans="1:17" x14ac:dyDescent="0.25">
      <c r="A143" t="s">
        <v>1974</v>
      </c>
      <c r="B143" t="s">
        <v>1975</v>
      </c>
      <c r="C143" t="s">
        <v>1976</v>
      </c>
      <c r="D143" s="11" t="s">
        <v>2101</v>
      </c>
      <c r="E143" s="12">
        <v>45770</v>
      </c>
      <c r="F143" s="12">
        <v>45771</v>
      </c>
      <c r="G143" t="s">
        <v>2102</v>
      </c>
      <c r="H143" t="s">
        <v>1605</v>
      </c>
      <c r="I143">
        <v>30</v>
      </c>
      <c r="J143">
        <v>273.024</v>
      </c>
      <c r="M143">
        <v>5.12</v>
      </c>
      <c r="N143">
        <v>153.6</v>
      </c>
      <c r="O143">
        <v>119.42</v>
      </c>
      <c r="P143">
        <v>43.740299999999998</v>
      </c>
      <c r="Q143" t="s">
        <v>2032</v>
      </c>
    </row>
    <row r="144" spans="1:17" x14ac:dyDescent="0.25">
      <c r="A144" t="s">
        <v>1974</v>
      </c>
      <c r="B144" t="s">
        <v>1975</v>
      </c>
      <c r="C144" t="s">
        <v>1976</v>
      </c>
      <c r="D144" s="11" t="s">
        <v>2101</v>
      </c>
      <c r="E144" s="12">
        <v>45770</v>
      </c>
      <c r="F144" s="12">
        <v>45771</v>
      </c>
      <c r="G144" t="s">
        <v>2102</v>
      </c>
      <c r="H144" t="s">
        <v>902</v>
      </c>
      <c r="I144">
        <v>30</v>
      </c>
      <c r="J144">
        <v>5.3250000000000002</v>
      </c>
      <c r="M144">
        <v>0.14774999999999999</v>
      </c>
      <c r="N144">
        <v>4.4325000000000001</v>
      </c>
      <c r="O144">
        <v>0.89749999999999996</v>
      </c>
      <c r="P144">
        <v>16.8386</v>
      </c>
      <c r="Q144" t="s">
        <v>2033</v>
      </c>
    </row>
    <row r="145" spans="1:17" x14ac:dyDescent="0.25">
      <c r="A145" t="s">
        <v>1974</v>
      </c>
      <c r="B145" t="s">
        <v>1975</v>
      </c>
      <c r="C145" t="s">
        <v>1976</v>
      </c>
      <c r="D145" s="11" t="s">
        <v>2101</v>
      </c>
      <c r="E145" s="12">
        <v>45770</v>
      </c>
      <c r="F145" s="12">
        <v>45771</v>
      </c>
      <c r="G145" t="s">
        <v>2102</v>
      </c>
      <c r="H145" t="s">
        <v>1681</v>
      </c>
      <c r="I145">
        <v>30</v>
      </c>
      <c r="J145">
        <v>7.3079999999999998</v>
      </c>
      <c r="M145">
        <v>0.17</v>
      </c>
      <c r="N145">
        <v>5.0999999999999996</v>
      </c>
      <c r="O145">
        <v>2.21</v>
      </c>
      <c r="P145">
        <v>30.232500000000002</v>
      </c>
      <c r="Q145" t="s">
        <v>2034</v>
      </c>
    </row>
    <row r="146" spans="1:17" x14ac:dyDescent="0.25">
      <c r="A146" t="s">
        <v>1974</v>
      </c>
      <c r="B146" t="s">
        <v>1975</v>
      </c>
      <c r="C146" t="s">
        <v>1976</v>
      </c>
      <c r="D146" s="11" t="s">
        <v>2101</v>
      </c>
      <c r="E146" s="12">
        <v>45770</v>
      </c>
      <c r="F146" s="12">
        <v>45771</v>
      </c>
      <c r="G146" t="s">
        <v>2102</v>
      </c>
      <c r="H146" t="s">
        <v>2104</v>
      </c>
      <c r="I146">
        <v>25</v>
      </c>
      <c r="J146">
        <v>250.33</v>
      </c>
      <c r="M146">
        <v>8.0399999999999991</v>
      </c>
      <c r="N146">
        <v>201</v>
      </c>
      <c r="O146">
        <v>49.33</v>
      </c>
      <c r="P146">
        <v>19.7059</v>
      </c>
      <c r="Q146" t="s">
        <v>2105</v>
      </c>
    </row>
    <row r="147" spans="1:17" x14ac:dyDescent="0.25">
      <c r="A147" t="s">
        <v>1974</v>
      </c>
      <c r="B147" t="s">
        <v>1975</v>
      </c>
      <c r="C147" t="s">
        <v>1976</v>
      </c>
      <c r="D147" s="11" t="s">
        <v>2101</v>
      </c>
      <c r="E147" s="12">
        <v>45770</v>
      </c>
      <c r="F147" s="12">
        <v>45771</v>
      </c>
      <c r="G147" t="s">
        <v>2102</v>
      </c>
      <c r="H147" t="s">
        <v>624</v>
      </c>
      <c r="I147">
        <v>7</v>
      </c>
      <c r="J147">
        <v>310.87419999999997</v>
      </c>
      <c r="M147">
        <v>39.963999999999999</v>
      </c>
      <c r="N147">
        <v>279.74799999999999</v>
      </c>
      <c r="O147">
        <v>31.122</v>
      </c>
      <c r="P147">
        <v>10.011200000000001</v>
      </c>
      <c r="Q147" t="s">
        <v>2035</v>
      </c>
    </row>
    <row r="148" spans="1:17" x14ac:dyDescent="0.25">
      <c r="A148" t="s">
        <v>1974</v>
      </c>
      <c r="B148" t="s">
        <v>1975</v>
      </c>
      <c r="C148" t="s">
        <v>1976</v>
      </c>
      <c r="D148" s="11" t="s">
        <v>2101</v>
      </c>
      <c r="E148" s="12">
        <v>45770</v>
      </c>
      <c r="F148" s="12">
        <v>45771</v>
      </c>
      <c r="G148" t="s">
        <v>2102</v>
      </c>
      <c r="H148" t="s">
        <v>1111</v>
      </c>
      <c r="I148">
        <v>30</v>
      </c>
      <c r="J148">
        <v>291.59399999999999</v>
      </c>
      <c r="M148">
        <v>10.241</v>
      </c>
      <c r="N148">
        <v>307.23</v>
      </c>
      <c r="O148">
        <v>-15.64</v>
      </c>
      <c r="P148">
        <v>-5.3635999999999999</v>
      </c>
      <c r="Q148" t="s">
        <v>2036</v>
      </c>
    </row>
    <row r="149" spans="1:17" x14ac:dyDescent="0.25">
      <c r="A149" t="s">
        <v>2060</v>
      </c>
      <c r="B149" t="s">
        <v>2061</v>
      </c>
      <c r="C149" t="s">
        <v>1976</v>
      </c>
      <c r="D149" s="11">
        <v>6100055669</v>
      </c>
      <c r="E149" s="12">
        <v>45776</v>
      </c>
      <c r="F149" s="12">
        <v>45778</v>
      </c>
      <c r="G149" t="s">
        <v>2106</v>
      </c>
      <c r="H149" t="s">
        <v>642</v>
      </c>
      <c r="I149">
        <v>35</v>
      </c>
      <c r="J149">
        <v>110.89400000000001</v>
      </c>
      <c r="M149">
        <v>2.36</v>
      </c>
      <c r="N149">
        <v>82.6</v>
      </c>
      <c r="O149">
        <v>28.29</v>
      </c>
      <c r="P149">
        <v>25.511700000000001</v>
      </c>
      <c r="Q149" t="s">
        <v>2107</v>
      </c>
    </row>
    <row r="150" spans="1:17" x14ac:dyDescent="0.25">
      <c r="A150" t="s">
        <v>1974</v>
      </c>
      <c r="B150" t="s">
        <v>1975</v>
      </c>
      <c r="C150" t="s">
        <v>1976</v>
      </c>
      <c r="D150" s="11">
        <v>80390</v>
      </c>
      <c r="E150" s="12">
        <v>45778</v>
      </c>
      <c r="F150" s="12">
        <v>45779</v>
      </c>
      <c r="G150" t="s">
        <v>2108</v>
      </c>
      <c r="H150" t="s">
        <v>1831</v>
      </c>
      <c r="I150">
        <v>100</v>
      </c>
      <c r="J150">
        <v>17.190000000000001</v>
      </c>
      <c r="M150">
        <v>0.123</v>
      </c>
      <c r="N150">
        <v>12.3</v>
      </c>
      <c r="O150">
        <v>4.8899999999999997</v>
      </c>
      <c r="P150">
        <v>28.4467</v>
      </c>
      <c r="Q150" t="s">
        <v>2025</v>
      </c>
    </row>
    <row r="151" spans="1:17" x14ac:dyDescent="0.25">
      <c r="A151" t="s">
        <v>1974</v>
      </c>
      <c r="B151" t="s">
        <v>1975</v>
      </c>
      <c r="C151" t="s">
        <v>1976</v>
      </c>
      <c r="D151" s="11">
        <v>80390</v>
      </c>
      <c r="E151" s="12">
        <v>45778</v>
      </c>
      <c r="F151" s="12">
        <v>45779</v>
      </c>
      <c r="G151" t="s">
        <v>2108</v>
      </c>
      <c r="H151" t="s">
        <v>1641</v>
      </c>
      <c r="I151">
        <v>50</v>
      </c>
      <c r="J151">
        <v>9.2650000000000006</v>
      </c>
      <c r="M151">
        <v>0.13200000000000001</v>
      </c>
      <c r="N151">
        <v>6.6</v>
      </c>
      <c r="O151">
        <v>2.67</v>
      </c>
      <c r="P151">
        <v>28.802499999999998</v>
      </c>
      <c r="Q151" t="s">
        <v>2109</v>
      </c>
    </row>
    <row r="152" spans="1:17" x14ac:dyDescent="0.25">
      <c r="A152" t="s">
        <v>1974</v>
      </c>
      <c r="B152" t="s">
        <v>1975</v>
      </c>
      <c r="C152" t="s">
        <v>1976</v>
      </c>
      <c r="D152" s="11">
        <v>80390</v>
      </c>
      <c r="E152" s="12">
        <v>45778</v>
      </c>
      <c r="F152" s="12">
        <v>45779</v>
      </c>
      <c r="G152" t="s">
        <v>2108</v>
      </c>
      <c r="H152" t="s">
        <v>1684</v>
      </c>
      <c r="I152">
        <v>30</v>
      </c>
      <c r="J152">
        <v>1.929</v>
      </c>
      <c r="M152">
        <v>2.7E-2</v>
      </c>
      <c r="N152">
        <v>0.81</v>
      </c>
      <c r="O152">
        <v>1.1200000000000001</v>
      </c>
      <c r="P152">
        <v>58.030999999999999</v>
      </c>
      <c r="Q152" t="s">
        <v>2110</v>
      </c>
    </row>
    <row r="153" spans="1:17" x14ac:dyDescent="0.25">
      <c r="A153" t="s">
        <v>1974</v>
      </c>
      <c r="B153" t="s">
        <v>1975</v>
      </c>
      <c r="C153" t="s">
        <v>1976</v>
      </c>
      <c r="D153" s="11">
        <v>80390</v>
      </c>
      <c r="E153" s="12">
        <v>45778</v>
      </c>
      <c r="F153" s="12">
        <v>45779</v>
      </c>
      <c r="G153" t="s">
        <v>2108</v>
      </c>
      <c r="H153" t="s">
        <v>162</v>
      </c>
      <c r="I153">
        <v>30</v>
      </c>
      <c r="J153">
        <v>59.865000000000002</v>
      </c>
      <c r="M153">
        <v>2.15</v>
      </c>
      <c r="N153">
        <v>64.5</v>
      </c>
      <c r="O153">
        <v>-4.63</v>
      </c>
      <c r="P153">
        <v>-7.7333999999999996</v>
      </c>
      <c r="Q153" t="s">
        <v>2111</v>
      </c>
    </row>
    <row r="154" spans="1:17" x14ac:dyDescent="0.25">
      <c r="A154" t="s">
        <v>1974</v>
      </c>
      <c r="B154" t="s">
        <v>1975</v>
      </c>
      <c r="C154" t="s">
        <v>1976</v>
      </c>
      <c r="D154" s="11">
        <v>80390</v>
      </c>
      <c r="E154" s="12">
        <v>45778</v>
      </c>
      <c r="F154" s="12">
        <v>45779</v>
      </c>
      <c r="G154" t="s">
        <v>2108</v>
      </c>
      <c r="H154" t="s">
        <v>1766</v>
      </c>
      <c r="I154">
        <v>30</v>
      </c>
      <c r="J154">
        <v>144.81899999999999</v>
      </c>
      <c r="M154">
        <v>3.8130000000000002</v>
      </c>
      <c r="N154">
        <v>114.39</v>
      </c>
      <c r="O154">
        <v>30.43</v>
      </c>
      <c r="P154">
        <v>21.0122</v>
      </c>
      <c r="Q154" t="s">
        <v>2112</v>
      </c>
    </row>
    <row r="155" spans="1:17" x14ac:dyDescent="0.25">
      <c r="A155" t="s">
        <v>1974</v>
      </c>
      <c r="B155" t="s">
        <v>1975</v>
      </c>
      <c r="C155" t="s">
        <v>1976</v>
      </c>
      <c r="D155" s="11">
        <v>80390</v>
      </c>
      <c r="E155" s="12">
        <v>45778</v>
      </c>
      <c r="F155" s="12">
        <v>45779</v>
      </c>
      <c r="G155" t="s">
        <v>2108</v>
      </c>
      <c r="H155" t="s">
        <v>1243</v>
      </c>
      <c r="I155">
        <v>30</v>
      </c>
      <c r="J155">
        <v>23.780999999999999</v>
      </c>
      <c r="M155">
        <v>0.56299999999999994</v>
      </c>
      <c r="N155">
        <v>16.89</v>
      </c>
      <c r="O155">
        <v>6.89</v>
      </c>
      <c r="P155">
        <v>28.9739</v>
      </c>
      <c r="Q155" t="s">
        <v>2113</v>
      </c>
    </row>
    <row r="156" spans="1:17" x14ac:dyDescent="0.25">
      <c r="A156" t="s">
        <v>1974</v>
      </c>
      <c r="B156" t="s">
        <v>1975</v>
      </c>
      <c r="C156" t="s">
        <v>1976</v>
      </c>
      <c r="D156" s="11">
        <v>80390</v>
      </c>
      <c r="E156" s="12">
        <v>45778</v>
      </c>
      <c r="F156" s="12">
        <v>45779</v>
      </c>
      <c r="G156" t="s">
        <v>2108</v>
      </c>
      <c r="H156" t="s">
        <v>1833</v>
      </c>
      <c r="I156">
        <v>30</v>
      </c>
      <c r="J156">
        <v>4.8419999999999996</v>
      </c>
      <c r="M156">
        <v>7.9000000000000001E-2</v>
      </c>
      <c r="N156">
        <v>2.37</v>
      </c>
      <c r="O156">
        <v>2.4700000000000002</v>
      </c>
      <c r="P156">
        <v>51.033000000000001</v>
      </c>
      <c r="Q156" t="s">
        <v>2114</v>
      </c>
    </row>
    <row r="157" spans="1:17" x14ac:dyDescent="0.25">
      <c r="A157" t="s">
        <v>1974</v>
      </c>
      <c r="B157" t="s">
        <v>1975</v>
      </c>
      <c r="C157" t="s">
        <v>1976</v>
      </c>
      <c r="D157" s="11">
        <v>80390</v>
      </c>
      <c r="E157" s="12">
        <v>45778</v>
      </c>
      <c r="F157" s="12">
        <v>45779</v>
      </c>
      <c r="G157" t="s">
        <v>2108</v>
      </c>
      <c r="H157" t="s">
        <v>1821</v>
      </c>
      <c r="I157">
        <v>10</v>
      </c>
      <c r="J157">
        <v>49.319000000000003</v>
      </c>
      <c r="M157">
        <v>5.61</v>
      </c>
      <c r="N157">
        <v>56.1</v>
      </c>
      <c r="O157">
        <v>-6.78</v>
      </c>
      <c r="P157">
        <v>-13.7469</v>
      </c>
      <c r="Q157" t="s">
        <v>2115</v>
      </c>
    </row>
    <row r="158" spans="1:17" x14ac:dyDescent="0.25">
      <c r="A158" t="s">
        <v>1974</v>
      </c>
      <c r="B158" t="s">
        <v>1975</v>
      </c>
      <c r="C158" t="s">
        <v>1976</v>
      </c>
      <c r="D158" s="11">
        <v>80390</v>
      </c>
      <c r="E158" s="12">
        <v>45778</v>
      </c>
      <c r="F158" s="12">
        <v>45779</v>
      </c>
      <c r="G158" t="s">
        <v>2108</v>
      </c>
      <c r="H158" t="s">
        <v>1507</v>
      </c>
      <c r="I158">
        <v>6</v>
      </c>
      <c r="J158">
        <v>402.43920000000003</v>
      </c>
      <c r="M158">
        <v>55</v>
      </c>
      <c r="N158">
        <v>330</v>
      </c>
      <c r="O158">
        <v>72.44</v>
      </c>
      <c r="P158">
        <v>18.0001</v>
      </c>
      <c r="Q158" t="s">
        <v>2116</v>
      </c>
    </row>
    <row r="159" spans="1:17" x14ac:dyDescent="0.25">
      <c r="A159" t="s">
        <v>2060</v>
      </c>
      <c r="B159" t="s">
        <v>2061</v>
      </c>
      <c r="C159" t="s">
        <v>1976</v>
      </c>
      <c r="D159" s="11">
        <v>6100056452</v>
      </c>
      <c r="E159" s="12">
        <v>45783</v>
      </c>
      <c r="F159" s="12">
        <v>45785</v>
      </c>
      <c r="G159" t="s">
        <v>2117</v>
      </c>
      <c r="H159" t="s">
        <v>153</v>
      </c>
      <c r="I159">
        <v>13</v>
      </c>
      <c r="J159">
        <v>4.3719000000000001</v>
      </c>
      <c r="M159">
        <v>0.245</v>
      </c>
      <c r="N159">
        <v>3.1850000000000001</v>
      </c>
      <c r="O159">
        <v>1.1850000000000001</v>
      </c>
      <c r="P159">
        <v>27.116700000000002</v>
      </c>
      <c r="Q159" t="s">
        <v>2118</v>
      </c>
    </row>
    <row r="160" spans="1:17" x14ac:dyDescent="0.25">
      <c r="A160" t="s">
        <v>2060</v>
      </c>
      <c r="B160" t="s">
        <v>2061</v>
      </c>
      <c r="C160" t="s">
        <v>1976</v>
      </c>
      <c r="D160" s="11">
        <v>6100056541</v>
      </c>
      <c r="E160" s="12">
        <v>45784</v>
      </c>
      <c r="F160" s="12">
        <v>45786</v>
      </c>
      <c r="G160" t="s">
        <v>2119</v>
      </c>
      <c r="H160" t="s">
        <v>1582</v>
      </c>
      <c r="I160">
        <v>5</v>
      </c>
      <c r="J160">
        <v>1.958</v>
      </c>
      <c r="M160">
        <v>0.245</v>
      </c>
      <c r="N160">
        <v>1.2250000000000001</v>
      </c>
      <c r="O160">
        <v>0.73499999999999999</v>
      </c>
      <c r="P160">
        <v>37.5</v>
      </c>
      <c r="Q160" t="s">
        <v>2120</v>
      </c>
    </row>
    <row r="161" spans="1:17" x14ac:dyDescent="0.25">
      <c r="A161" t="s">
        <v>2060</v>
      </c>
      <c r="B161" t="s">
        <v>2061</v>
      </c>
      <c r="C161" t="s">
        <v>1976</v>
      </c>
      <c r="D161" s="11">
        <v>6100056541</v>
      </c>
      <c r="E161" s="12">
        <v>45784</v>
      </c>
      <c r="F161" s="12">
        <v>45786</v>
      </c>
      <c r="G161" t="s">
        <v>2119</v>
      </c>
      <c r="H161" t="s">
        <v>1465</v>
      </c>
      <c r="I161">
        <v>10</v>
      </c>
      <c r="J161">
        <v>0.68700000000000006</v>
      </c>
      <c r="M161">
        <v>0.04</v>
      </c>
      <c r="N161">
        <v>0.4</v>
      </c>
      <c r="O161">
        <v>0.28999999999999998</v>
      </c>
      <c r="P161">
        <v>42.0289</v>
      </c>
      <c r="Q161" t="s">
        <v>2121</v>
      </c>
    </row>
    <row r="162" spans="1:17" x14ac:dyDescent="0.25">
      <c r="A162" t="s">
        <v>2060</v>
      </c>
      <c r="B162" t="s">
        <v>2061</v>
      </c>
      <c r="C162" t="s">
        <v>1976</v>
      </c>
      <c r="D162" s="11">
        <v>6100056541</v>
      </c>
      <c r="E162" s="12">
        <v>45784</v>
      </c>
      <c r="F162" s="12">
        <v>45786</v>
      </c>
      <c r="G162" t="s">
        <v>2119</v>
      </c>
      <c r="H162" t="s">
        <v>1263</v>
      </c>
      <c r="I162">
        <v>11</v>
      </c>
      <c r="J162">
        <v>27.453800000000001</v>
      </c>
      <c r="M162">
        <v>2.181</v>
      </c>
      <c r="N162">
        <v>23.991</v>
      </c>
      <c r="O162">
        <v>3.4590000000000001</v>
      </c>
      <c r="P162">
        <v>12.601000000000001</v>
      </c>
      <c r="Q162" t="s">
        <v>2122</v>
      </c>
    </row>
    <row r="163" spans="1:17" x14ac:dyDescent="0.25">
      <c r="A163" t="s">
        <v>2060</v>
      </c>
      <c r="B163" t="s">
        <v>2061</v>
      </c>
      <c r="C163" t="s">
        <v>1976</v>
      </c>
      <c r="D163" s="11">
        <v>6100056541</v>
      </c>
      <c r="E163" s="12">
        <v>45784</v>
      </c>
      <c r="F163" s="12">
        <v>45786</v>
      </c>
      <c r="G163" t="s">
        <v>2119</v>
      </c>
      <c r="H163" t="s">
        <v>820</v>
      </c>
      <c r="I163">
        <v>11</v>
      </c>
      <c r="J163">
        <v>0.67430000000000001</v>
      </c>
      <c r="M163">
        <v>3.2000000000000001E-2</v>
      </c>
      <c r="N163">
        <v>0.35199999999999998</v>
      </c>
      <c r="O163">
        <v>0.318</v>
      </c>
      <c r="P163">
        <v>47.462600000000002</v>
      </c>
      <c r="Q163" t="s">
        <v>2123</v>
      </c>
    </row>
    <row r="164" spans="1:17" x14ac:dyDescent="0.25">
      <c r="A164" t="s">
        <v>2060</v>
      </c>
      <c r="B164" t="s">
        <v>2061</v>
      </c>
      <c r="C164" t="s">
        <v>1976</v>
      </c>
      <c r="D164" s="11">
        <v>6100056541</v>
      </c>
      <c r="E164" s="12">
        <v>45784</v>
      </c>
      <c r="F164" s="12">
        <v>45786</v>
      </c>
      <c r="G164" t="s">
        <v>2119</v>
      </c>
      <c r="H164" t="s">
        <v>178</v>
      </c>
      <c r="I164">
        <v>8</v>
      </c>
      <c r="J164">
        <v>8.5128000000000004</v>
      </c>
      <c r="M164">
        <v>0.59</v>
      </c>
      <c r="N164">
        <v>4.72</v>
      </c>
      <c r="O164">
        <v>3.79</v>
      </c>
      <c r="P164">
        <v>44.535800000000002</v>
      </c>
      <c r="Q164" t="s">
        <v>2124</v>
      </c>
    </row>
    <row r="165" spans="1:17" x14ac:dyDescent="0.25">
      <c r="A165" t="s">
        <v>2060</v>
      </c>
      <c r="B165" t="s">
        <v>2061</v>
      </c>
      <c r="C165" t="s">
        <v>1976</v>
      </c>
      <c r="D165" s="11">
        <v>6100056541</v>
      </c>
      <c r="E165" s="12">
        <v>45784</v>
      </c>
      <c r="F165" s="12">
        <v>45786</v>
      </c>
      <c r="G165" t="s">
        <v>2119</v>
      </c>
      <c r="H165" t="s">
        <v>182</v>
      </c>
      <c r="I165">
        <v>1</v>
      </c>
      <c r="J165">
        <v>2.8096999999999999</v>
      </c>
      <c r="M165">
        <v>2.1560000000000001</v>
      </c>
      <c r="N165">
        <v>2.1560000000000001</v>
      </c>
      <c r="O165">
        <v>0.65400000000000003</v>
      </c>
      <c r="P165">
        <v>23.274000000000001</v>
      </c>
      <c r="Q165" t="s">
        <v>2125</v>
      </c>
    </row>
    <row r="166" spans="1:17" x14ac:dyDescent="0.25">
      <c r="A166" t="s">
        <v>2060</v>
      </c>
      <c r="B166" t="s">
        <v>2061</v>
      </c>
      <c r="C166" t="s">
        <v>1976</v>
      </c>
      <c r="D166" s="11">
        <v>6100056541</v>
      </c>
      <c r="E166" s="12">
        <v>45784</v>
      </c>
      <c r="F166" s="12">
        <v>45786</v>
      </c>
      <c r="G166" t="s">
        <v>2119</v>
      </c>
      <c r="H166" t="s">
        <v>180</v>
      </c>
      <c r="I166">
        <v>1</v>
      </c>
      <c r="J166">
        <v>1.9801</v>
      </c>
      <c r="M166">
        <v>0.78905000000000003</v>
      </c>
      <c r="N166">
        <v>0.78905000000000003</v>
      </c>
      <c r="O166">
        <v>1.19095</v>
      </c>
      <c r="P166">
        <v>60.148899999999998</v>
      </c>
      <c r="Q166" t="s">
        <v>2126</v>
      </c>
    </row>
    <row r="167" spans="1:17" x14ac:dyDescent="0.25">
      <c r="A167" t="s">
        <v>2060</v>
      </c>
      <c r="B167" t="s">
        <v>2061</v>
      </c>
      <c r="C167" t="s">
        <v>1976</v>
      </c>
      <c r="D167" s="11">
        <v>6100056541</v>
      </c>
      <c r="E167" s="12">
        <v>45784</v>
      </c>
      <c r="F167" s="12">
        <v>45786</v>
      </c>
      <c r="G167" t="s">
        <v>2119</v>
      </c>
      <c r="H167" t="s">
        <v>2127</v>
      </c>
      <c r="I167">
        <v>1</v>
      </c>
      <c r="J167">
        <v>7.7615999999999996</v>
      </c>
      <c r="M167">
        <v>6.36</v>
      </c>
      <c r="N167">
        <v>6.36</v>
      </c>
      <c r="O167">
        <v>1.4</v>
      </c>
      <c r="P167">
        <v>18.0412</v>
      </c>
      <c r="Q167" t="s">
        <v>2128</v>
      </c>
    </row>
    <row r="168" spans="1:17" x14ac:dyDescent="0.25">
      <c r="A168" t="s">
        <v>2060</v>
      </c>
      <c r="B168" t="s">
        <v>2061</v>
      </c>
      <c r="C168" t="s">
        <v>1976</v>
      </c>
      <c r="D168" s="11">
        <v>6100056541</v>
      </c>
      <c r="E168" s="12">
        <v>45784</v>
      </c>
      <c r="F168" s="12">
        <v>45786</v>
      </c>
      <c r="G168" t="s">
        <v>2119</v>
      </c>
      <c r="H168" t="s">
        <v>2129</v>
      </c>
      <c r="I168">
        <v>1</v>
      </c>
      <c r="J168">
        <v>5.1695000000000002</v>
      </c>
      <c r="M168">
        <v>4.3</v>
      </c>
      <c r="N168">
        <v>4.3</v>
      </c>
      <c r="O168">
        <v>0.87</v>
      </c>
      <c r="P168">
        <v>16.8278</v>
      </c>
      <c r="Q168" t="s">
        <v>452</v>
      </c>
    </row>
    <row r="169" spans="1:17" x14ac:dyDescent="0.25">
      <c r="A169" t="s">
        <v>2060</v>
      </c>
      <c r="B169" t="s">
        <v>2061</v>
      </c>
      <c r="C169" t="s">
        <v>1976</v>
      </c>
      <c r="D169" s="11">
        <v>6100056541</v>
      </c>
      <c r="E169" s="12">
        <v>45784</v>
      </c>
      <c r="F169" s="12">
        <v>45786</v>
      </c>
      <c r="G169" t="s">
        <v>2119</v>
      </c>
      <c r="H169" t="s">
        <v>2130</v>
      </c>
      <c r="I169">
        <v>1</v>
      </c>
      <c r="J169">
        <v>6.0134999999999996</v>
      </c>
      <c r="M169">
        <v>3.47</v>
      </c>
      <c r="N169">
        <v>3.47</v>
      </c>
      <c r="O169">
        <v>2.54</v>
      </c>
      <c r="P169">
        <v>42.262799999999999</v>
      </c>
      <c r="Q169" t="s">
        <v>2131</v>
      </c>
    </row>
    <row r="170" spans="1:17" x14ac:dyDescent="0.25">
      <c r="A170" t="s">
        <v>1974</v>
      </c>
      <c r="B170" t="s">
        <v>1975</v>
      </c>
      <c r="C170" t="s">
        <v>1976</v>
      </c>
      <c r="D170" s="11">
        <v>80634</v>
      </c>
      <c r="E170" s="12">
        <v>45797</v>
      </c>
      <c r="F170" s="12">
        <v>45798</v>
      </c>
      <c r="G170" t="s">
        <v>2132</v>
      </c>
      <c r="H170" t="s">
        <v>603</v>
      </c>
      <c r="I170">
        <v>2</v>
      </c>
      <c r="J170">
        <v>55.406399999999998</v>
      </c>
      <c r="M170">
        <v>10.383599999999999</v>
      </c>
      <c r="N170">
        <v>20.767199999999999</v>
      </c>
      <c r="O170">
        <v>34.642800000000001</v>
      </c>
      <c r="P170">
        <v>62.520800000000001</v>
      </c>
      <c r="Q170" t="s">
        <v>2069</v>
      </c>
    </row>
    <row r="171" spans="1:17" x14ac:dyDescent="0.25">
      <c r="A171" t="s">
        <v>2060</v>
      </c>
      <c r="B171" t="s">
        <v>2061</v>
      </c>
      <c r="C171" t="s">
        <v>1976</v>
      </c>
      <c r="D171" s="11">
        <v>6100057444</v>
      </c>
      <c r="E171" s="12">
        <v>45797</v>
      </c>
      <c r="F171" s="12">
        <v>45797</v>
      </c>
      <c r="G171" t="s">
        <v>2133</v>
      </c>
      <c r="H171" t="s">
        <v>999</v>
      </c>
      <c r="I171">
        <v>2</v>
      </c>
      <c r="J171">
        <v>22.626999999999999</v>
      </c>
      <c r="M171">
        <v>6.72</v>
      </c>
      <c r="N171">
        <v>13.44</v>
      </c>
      <c r="O171">
        <v>9.19</v>
      </c>
      <c r="P171">
        <v>40.6098</v>
      </c>
      <c r="Q171" t="s">
        <v>2134</v>
      </c>
    </row>
    <row r="172" spans="1:17" x14ac:dyDescent="0.25">
      <c r="A172" t="s">
        <v>1974</v>
      </c>
      <c r="B172" t="s">
        <v>1975</v>
      </c>
      <c r="C172" t="s">
        <v>1976</v>
      </c>
      <c r="D172" s="11">
        <v>80675</v>
      </c>
      <c r="E172" s="12">
        <v>45799</v>
      </c>
      <c r="F172" s="12">
        <v>45804</v>
      </c>
      <c r="G172" t="s">
        <v>2135</v>
      </c>
      <c r="H172" t="s">
        <v>234</v>
      </c>
      <c r="I172">
        <v>5</v>
      </c>
      <c r="J172">
        <v>10.234999999999999</v>
      </c>
      <c r="M172">
        <v>1.4610000000000001</v>
      </c>
      <c r="N172">
        <v>7.3049999999999997</v>
      </c>
      <c r="O172">
        <v>2.9350000000000001</v>
      </c>
      <c r="P172">
        <v>28.662099999999999</v>
      </c>
      <c r="Q172" t="s">
        <v>2136</v>
      </c>
    </row>
    <row r="173" spans="1:17" x14ac:dyDescent="0.25">
      <c r="A173" t="s">
        <v>1974</v>
      </c>
      <c r="B173" t="s">
        <v>1975</v>
      </c>
      <c r="C173" t="s">
        <v>1976</v>
      </c>
      <c r="D173" s="11">
        <v>80675</v>
      </c>
      <c r="E173" s="12">
        <v>45799</v>
      </c>
      <c r="F173" s="12">
        <v>45804</v>
      </c>
      <c r="G173" t="s">
        <v>2135</v>
      </c>
      <c r="H173" t="s">
        <v>1253</v>
      </c>
      <c r="I173">
        <v>4</v>
      </c>
      <c r="J173">
        <v>73.246399999999994</v>
      </c>
      <c r="M173">
        <v>15.9</v>
      </c>
      <c r="N173">
        <v>63.6</v>
      </c>
      <c r="O173">
        <v>9.65</v>
      </c>
      <c r="P173">
        <v>13.173999999999999</v>
      </c>
      <c r="Q173" t="s">
        <v>2137</v>
      </c>
    </row>
    <row r="174" spans="1:17" x14ac:dyDescent="0.25">
      <c r="A174" t="s">
        <v>1974</v>
      </c>
      <c r="B174" t="s">
        <v>1975</v>
      </c>
      <c r="C174" t="s">
        <v>1976</v>
      </c>
      <c r="D174" s="11">
        <v>80675</v>
      </c>
      <c r="E174" s="12">
        <v>45799</v>
      </c>
      <c r="F174" s="12">
        <v>45804</v>
      </c>
      <c r="G174" t="s">
        <v>2135</v>
      </c>
      <c r="H174" t="s">
        <v>494</v>
      </c>
      <c r="I174">
        <v>30</v>
      </c>
      <c r="J174">
        <v>146.94300000000001</v>
      </c>
      <c r="M174">
        <v>4.4770000000000003</v>
      </c>
      <c r="N174">
        <v>134.31</v>
      </c>
      <c r="O174">
        <v>12.63</v>
      </c>
      <c r="P174">
        <v>8.5952999999999999</v>
      </c>
      <c r="Q174" t="s">
        <v>2138</v>
      </c>
    </row>
    <row r="175" spans="1:17" x14ac:dyDescent="0.25">
      <c r="A175" t="s">
        <v>1974</v>
      </c>
      <c r="B175" t="s">
        <v>1975</v>
      </c>
      <c r="C175" t="s">
        <v>1976</v>
      </c>
      <c r="D175" s="11">
        <v>80675</v>
      </c>
      <c r="E175" s="12">
        <v>45799</v>
      </c>
      <c r="F175" s="12">
        <v>45804</v>
      </c>
      <c r="G175" t="s">
        <v>2135</v>
      </c>
      <c r="H175" t="s">
        <v>485</v>
      </c>
      <c r="I175">
        <v>30</v>
      </c>
      <c r="J175">
        <v>106.26</v>
      </c>
      <c r="M175">
        <v>2.7719999999999998</v>
      </c>
      <c r="N175">
        <v>83.16</v>
      </c>
      <c r="O175">
        <v>23.1</v>
      </c>
      <c r="P175">
        <v>21.739100000000001</v>
      </c>
      <c r="Q175" t="s">
        <v>2139</v>
      </c>
    </row>
    <row r="176" spans="1:17" x14ac:dyDescent="0.25">
      <c r="A176" t="s">
        <v>1974</v>
      </c>
      <c r="B176" t="s">
        <v>1975</v>
      </c>
      <c r="C176" t="s">
        <v>1976</v>
      </c>
      <c r="D176" s="11">
        <v>80675</v>
      </c>
      <c r="E176" s="12">
        <v>45799</v>
      </c>
      <c r="F176" s="12">
        <v>45804</v>
      </c>
      <c r="G176" t="s">
        <v>2135</v>
      </c>
      <c r="H176" t="s">
        <v>1694</v>
      </c>
      <c r="I176">
        <v>30</v>
      </c>
      <c r="J176">
        <v>16.571999999999999</v>
      </c>
      <c r="M176">
        <v>0.373</v>
      </c>
      <c r="N176">
        <v>11.19</v>
      </c>
      <c r="O176">
        <v>5.38</v>
      </c>
      <c r="P176">
        <v>32.468299999999999</v>
      </c>
      <c r="Q176" t="s">
        <v>2140</v>
      </c>
    </row>
    <row r="177" spans="1:17" x14ac:dyDescent="0.25">
      <c r="A177" t="s">
        <v>1974</v>
      </c>
      <c r="B177" t="s">
        <v>1975</v>
      </c>
      <c r="C177" t="s">
        <v>1976</v>
      </c>
      <c r="D177" s="11">
        <v>80675</v>
      </c>
      <c r="E177" s="12">
        <v>45799</v>
      </c>
      <c r="F177" s="12">
        <v>45804</v>
      </c>
      <c r="G177" t="s">
        <v>2135</v>
      </c>
      <c r="H177" t="s">
        <v>1700</v>
      </c>
      <c r="I177">
        <v>30</v>
      </c>
      <c r="J177">
        <v>2.8260000000000001</v>
      </c>
      <c r="M177">
        <v>0.13</v>
      </c>
      <c r="N177">
        <v>3.9</v>
      </c>
      <c r="O177">
        <v>-1.07</v>
      </c>
      <c r="P177">
        <v>-37.809100000000001</v>
      </c>
      <c r="Q177" t="s">
        <v>2141</v>
      </c>
    </row>
    <row r="178" spans="1:17" x14ac:dyDescent="0.25">
      <c r="A178" t="s">
        <v>1974</v>
      </c>
      <c r="B178" t="s">
        <v>1975</v>
      </c>
      <c r="C178" t="s">
        <v>1976</v>
      </c>
      <c r="D178" s="11">
        <v>80675</v>
      </c>
      <c r="E178" s="12">
        <v>45799</v>
      </c>
      <c r="F178" s="12">
        <v>45804</v>
      </c>
      <c r="G178" t="s">
        <v>2135</v>
      </c>
      <c r="H178" t="s">
        <v>1142</v>
      </c>
      <c r="I178">
        <v>30</v>
      </c>
      <c r="J178">
        <v>164.09700000000001</v>
      </c>
      <c r="M178">
        <v>5.28</v>
      </c>
      <c r="N178">
        <v>158.4</v>
      </c>
      <c r="O178">
        <v>5.7</v>
      </c>
      <c r="P178">
        <v>3.4733999999999998</v>
      </c>
      <c r="Q178" t="s">
        <v>2142</v>
      </c>
    </row>
    <row r="179" spans="1:17" x14ac:dyDescent="0.25">
      <c r="A179" t="s">
        <v>1974</v>
      </c>
      <c r="B179" t="s">
        <v>1975</v>
      </c>
      <c r="C179" t="s">
        <v>1976</v>
      </c>
      <c r="D179" s="11">
        <v>80675</v>
      </c>
      <c r="E179" s="12">
        <v>45799</v>
      </c>
      <c r="F179" s="12">
        <v>45804</v>
      </c>
      <c r="G179" t="s">
        <v>2135</v>
      </c>
      <c r="H179" t="s">
        <v>325</v>
      </c>
      <c r="I179">
        <v>10</v>
      </c>
      <c r="J179">
        <v>49.319000000000003</v>
      </c>
      <c r="M179">
        <v>2.68</v>
      </c>
      <c r="N179">
        <v>26.8</v>
      </c>
      <c r="O179">
        <v>22.52</v>
      </c>
      <c r="P179">
        <v>45.660899999999998</v>
      </c>
      <c r="Q179" t="s">
        <v>2143</v>
      </c>
    </row>
    <row r="180" spans="1:17" x14ac:dyDescent="0.25">
      <c r="A180" t="s">
        <v>1974</v>
      </c>
      <c r="B180" t="s">
        <v>1975</v>
      </c>
      <c r="C180" t="s">
        <v>1976</v>
      </c>
      <c r="D180" s="11">
        <v>80675</v>
      </c>
      <c r="E180" s="12">
        <v>45799</v>
      </c>
      <c r="F180" s="12">
        <v>45804</v>
      </c>
      <c r="G180" t="s">
        <v>2135</v>
      </c>
      <c r="H180" t="s">
        <v>665</v>
      </c>
      <c r="I180">
        <v>30</v>
      </c>
      <c r="J180">
        <v>25.736999999999998</v>
      </c>
      <c r="M180">
        <v>0.69699999999999995</v>
      </c>
      <c r="N180">
        <v>20.91</v>
      </c>
      <c r="O180">
        <v>4.83</v>
      </c>
      <c r="P180">
        <v>18.764500000000002</v>
      </c>
      <c r="Q180" t="s">
        <v>1988</v>
      </c>
    </row>
    <row r="181" spans="1:17" x14ac:dyDescent="0.25">
      <c r="A181" t="s">
        <v>1974</v>
      </c>
      <c r="B181" t="s">
        <v>1975</v>
      </c>
      <c r="C181" t="s">
        <v>1976</v>
      </c>
      <c r="D181" s="11">
        <v>80703</v>
      </c>
      <c r="E181" s="12">
        <v>45804</v>
      </c>
      <c r="F181" s="12">
        <v>45806</v>
      </c>
      <c r="G181" t="s">
        <v>2144</v>
      </c>
      <c r="H181" t="s">
        <v>1621</v>
      </c>
      <c r="I181">
        <v>6</v>
      </c>
      <c r="J181">
        <v>85.536600000000007</v>
      </c>
      <c r="M181">
        <v>8.5967699999999994</v>
      </c>
      <c r="N181">
        <v>51.580620000000003</v>
      </c>
      <c r="O181">
        <v>33.959380000000003</v>
      </c>
      <c r="P181">
        <v>39.700000000000003</v>
      </c>
      <c r="Q181" t="s">
        <v>2020</v>
      </c>
    </row>
    <row r="182" spans="1:17" x14ac:dyDescent="0.25">
      <c r="A182" t="s">
        <v>1974</v>
      </c>
      <c r="B182" t="s">
        <v>1975</v>
      </c>
      <c r="C182" t="s">
        <v>1976</v>
      </c>
      <c r="D182" s="11">
        <v>80707</v>
      </c>
      <c r="E182" s="12">
        <v>45804</v>
      </c>
      <c r="F182" s="12">
        <v>45806</v>
      </c>
      <c r="G182" t="s">
        <v>2145</v>
      </c>
      <c r="H182" t="s">
        <v>1870</v>
      </c>
      <c r="I182">
        <v>11</v>
      </c>
      <c r="J182">
        <v>156.81710000000001</v>
      </c>
      <c r="M182">
        <v>10.9</v>
      </c>
      <c r="N182">
        <v>119.9</v>
      </c>
      <c r="O182">
        <v>36.92</v>
      </c>
      <c r="P182">
        <v>23.542899999999999</v>
      </c>
      <c r="Q182" t="s">
        <v>2146</v>
      </c>
    </row>
    <row r="183" spans="1:17" x14ac:dyDescent="0.25">
      <c r="A183" t="s">
        <v>1974</v>
      </c>
      <c r="B183" t="s">
        <v>1975</v>
      </c>
      <c r="C183" t="s">
        <v>1976</v>
      </c>
      <c r="D183" s="11">
        <v>80707</v>
      </c>
      <c r="E183" s="12">
        <v>45804</v>
      </c>
      <c r="F183" s="12">
        <v>45806</v>
      </c>
      <c r="G183" t="s">
        <v>2145</v>
      </c>
      <c r="H183" t="s">
        <v>1186</v>
      </c>
      <c r="I183">
        <v>11</v>
      </c>
      <c r="J183">
        <v>227.31610000000001</v>
      </c>
      <c r="M183">
        <v>15.651</v>
      </c>
      <c r="N183">
        <v>172.161</v>
      </c>
      <c r="O183">
        <v>55.158999999999999</v>
      </c>
      <c r="P183">
        <v>24.264900000000001</v>
      </c>
      <c r="Q183" t="s">
        <v>2147</v>
      </c>
    </row>
    <row r="184" spans="1:17" x14ac:dyDescent="0.25">
      <c r="A184" t="s">
        <v>2060</v>
      </c>
      <c r="B184" t="s">
        <v>2061</v>
      </c>
      <c r="C184" t="s">
        <v>1976</v>
      </c>
      <c r="D184" s="11">
        <v>6100057791</v>
      </c>
      <c r="E184" s="12">
        <v>45806</v>
      </c>
      <c r="F184" s="12">
        <v>45810</v>
      </c>
      <c r="G184" t="s">
        <v>2148</v>
      </c>
      <c r="H184" t="s">
        <v>603</v>
      </c>
      <c r="I184">
        <v>4</v>
      </c>
      <c r="J184">
        <v>110.8128</v>
      </c>
      <c r="M184">
        <v>10.383599999999999</v>
      </c>
      <c r="N184">
        <v>41.534399999999998</v>
      </c>
      <c r="O184">
        <v>69.275599999999997</v>
      </c>
      <c r="P184">
        <v>62.517400000000002</v>
      </c>
      <c r="Q184" t="s">
        <v>2149</v>
      </c>
    </row>
    <row r="185" spans="1:17" x14ac:dyDescent="0.25">
      <c r="A185" t="s">
        <v>2060</v>
      </c>
      <c r="B185" t="s">
        <v>2061</v>
      </c>
      <c r="C185" t="s">
        <v>1976</v>
      </c>
      <c r="D185" s="11">
        <v>6100057802</v>
      </c>
      <c r="E185" s="12">
        <v>45806</v>
      </c>
      <c r="F185" s="12">
        <v>45810</v>
      </c>
      <c r="G185" t="s">
        <v>2150</v>
      </c>
      <c r="H185" t="s">
        <v>603</v>
      </c>
      <c r="I185">
        <v>2</v>
      </c>
      <c r="J185">
        <v>55.406399999999998</v>
      </c>
      <c r="M185">
        <v>10.383599999999999</v>
      </c>
      <c r="N185">
        <v>20.767199999999999</v>
      </c>
      <c r="O185">
        <v>34.642800000000001</v>
      </c>
      <c r="P185">
        <v>62.520800000000001</v>
      </c>
      <c r="Q185" t="s">
        <v>2149</v>
      </c>
    </row>
    <row r="186" spans="1:17" hidden="1" x14ac:dyDescent="0.25">
      <c r="A186" t="s">
        <v>2040</v>
      </c>
      <c r="B186" t="s">
        <v>2041</v>
      </c>
      <c r="C186" t="s">
        <v>1976</v>
      </c>
      <c r="D186" s="11" t="s">
        <v>2151</v>
      </c>
      <c r="E186" s="12">
        <v>45811</v>
      </c>
      <c r="F186" s="12">
        <v>45812</v>
      </c>
      <c r="G186" t="s">
        <v>2152</v>
      </c>
      <c r="H186" t="s">
        <v>1861</v>
      </c>
      <c r="I186">
        <v>21</v>
      </c>
      <c r="J186">
        <v>-9927.1200000000008</v>
      </c>
      <c r="M186">
        <v>482.3</v>
      </c>
      <c r="N186">
        <v>-10128.299999999999</v>
      </c>
      <c r="O186">
        <v>201.18</v>
      </c>
      <c r="P186">
        <v>-2.0265</v>
      </c>
      <c r="Q186" t="s">
        <v>1860</v>
      </c>
    </row>
    <row r="187" spans="1:17" hidden="1" x14ac:dyDescent="0.25">
      <c r="A187" t="s">
        <v>2040</v>
      </c>
      <c r="B187" t="s">
        <v>2041</v>
      </c>
      <c r="C187" t="s">
        <v>1976</v>
      </c>
      <c r="D187" s="11" t="s">
        <v>2151</v>
      </c>
      <c r="E187" s="12">
        <v>45811</v>
      </c>
      <c r="F187" s="12">
        <v>45812</v>
      </c>
      <c r="G187" t="s">
        <v>2152</v>
      </c>
      <c r="H187" t="s">
        <v>1861</v>
      </c>
      <c r="I187">
        <v>21</v>
      </c>
      <c r="J187">
        <v>-12106.29</v>
      </c>
      <c r="M187">
        <v>482.3</v>
      </c>
      <c r="N187">
        <v>-10128.299999999999</v>
      </c>
      <c r="O187">
        <v>-1977.99</v>
      </c>
      <c r="P187">
        <v>16.3385</v>
      </c>
      <c r="Q187" t="s">
        <v>1860</v>
      </c>
    </row>
    <row r="188" spans="1:17" hidden="1" x14ac:dyDescent="0.25">
      <c r="A188" t="s">
        <v>2040</v>
      </c>
      <c r="B188" t="s">
        <v>2041</v>
      </c>
      <c r="C188" t="s">
        <v>1976</v>
      </c>
      <c r="D188" s="11" t="s">
        <v>2151</v>
      </c>
      <c r="E188" s="12">
        <v>45811</v>
      </c>
      <c r="F188" s="12">
        <v>45812</v>
      </c>
      <c r="G188" t="s">
        <v>2152</v>
      </c>
      <c r="H188" t="s">
        <v>1861</v>
      </c>
      <c r="I188">
        <v>21</v>
      </c>
      <c r="J188">
        <v>9927.1200000000008</v>
      </c>
      <c r="M188">
        <v>482.3</v>
      </c>
      <c r="N188">
        <v>10128.299999999999</v>
      </c>
      <c r="O188">
        <v>-201.18</v>
      </c>
      <c r="P188">
        <v>-2.0265</v>
      </c>
      <c r="Q188" t="s">
        <v>1860</v>
      </c>
    </row>
    <row r="189" spans="1:17" hidden="1" x14ac:dyDescent="0.25">
      <c r="A189" t="s">
        <v>2040</v>
      </c>
      <c r="B189" t="s">
        <v>2041</v>
      </c>
      <c r="C189" t="s">
        <v>1976</v>
      </c>
      <c r="D189" s="11" t="s">
        <v>2151</v>
      </c>
      <c r="E189" s="12">
        <v>45811</v>
      </c>
      <c r="F189" s="12">
        <v>45812</v>
      </c>
      <c r="G189" t="s">
        <v>2152</v>
      </c>
      <c r="H189" t="s">
        <v>1861</v>
      </c>
      <c r="I189">
        <v>21</v>
      </c>
      <c r="J189">
        <v>9918.1599299999998</v>
      </c>
      <c r="M189">
        <v>482.3</v>
      </c>
      <c r="N189">
        <v>10128.299999999999</v>
      </c>
      <c r="O189">
        <v>-210.14</v>
      </c>
      <c r="P189">
        <v>-2.1187</v>
      </c>
      <c r="Q189" t="s">
        <v>1860</v>
      </c>
    </row>
    <row r="190" spans="1:17" hidden="1" x14ac:dyDescent="0.25">
      <c r="A190" t="s">
        <v>2040</v>
      </c>
      <c r="B190" t="s">
        <v>2041</v>
      </c>
      <c r="C190" t="s">
        <v>1976</v>
      </c>
      <c r="D190" s="11" t="s">
        <v>2151</v>
      </c>
      <c r="E190" s="12">
        <v>45811</v>
      </c>
      <c r="F190" s="12">
        <v>45812</v>
      </c>
      <c r="G190" t="s">
        <v>2152</v>
      </c>
      <c r="H190" t="s">
        <v>1861</v>
      </c>
      <c r="I190">
        <v>21</v>
      </c>
      <c r="J190">
        <v>12106.29</v>
      </c>
      <c r="M190">
        <v>482.3</v>
      </c>
      <c r="N190">
        <v>10128.299999999999</v>
      </c>
      <c r="O190">
        <v>1977.99</v>
      </c>
      <c r="P190">
        <v>16.3385</v>
      </c>
      <c r="Q190" t="s">
        <v>1860</v>
      </c>
    </row>
    <row r="191" spans="1:17" x14ac:dyDescent="0.25">
      <c r="A191" t="s">
        <v>2060</v>
      </c>
      <c r="B191" t="s">
        <v>2061</v>
      </c>
      <c r="C191" t="s">
        <v>1976</v>
      </c>
      <c r="D191" s="11">
        <v>6100058299</v>
      </c>
      <c r="E191" s="12">
        <v>45817</v>
      </c>
      <c r="F191" s="12">
        <v>45819</v>
      </c>
      <c r="G191" t="s">
        <v>2153</v>
      </c>
      <c r="H191" t="s">
        <v>975</v>
      </c>
      <c r="I191">
        <v>8</v>
      </c>
      <c r="J191">
        <v>9.2184000000000008</v>
      </c>
      <c r="M191">
        <v>0.90349999999999997</v>
      </c>
      <c r="N191">
        <v>7.2279999999999998</v>
      </c>
      <c r="O191">
        <v>1.992</v>
      </c>
      <c r="P191">
        <v>21.6052</v>
      </c>
      <c r="Q191" t="s">
        <v>2154</v>
      </c>
    </row>
    <row r="192" spans="1:17" x14ac:dyDescent="0.25">
      <c r="A192" t="s">
        <v>1974</v>
      </c>
      <c r="B192" t="s">
        <v>1975</v>
      </c>
      <c r="C192" t="s">
        <v>1976</v>
      </c>
      <c r="D192" s="11">
        <v>80869</v>
      </c>
      <c r="E192" s="12">
        <v>45817</v>
      </c>
      <c r="F192" s="12">
        <v>45818</v>
      </c>
      <c r="G192" t="s">
        <v>2155</v>
      </c>
      <c r="H192" t="s">
        <v>23</v>
      </c>
      <c r="I192">
        <v>30</v>
      </c>
      <c r="J192">
        <v>8.6969999999999992</v>
      </c>
      <c r="M192">
        <v>0.32066666999999999</v>
      </c>
      <c r="N192">
        <v>9.6200001000000004</v>
      </c>
      <c r="O192">
        <v>-0.92000009999999999</v>
      </c>
      <c r="P192">
        <v>-10.5747</v>
      </c>
      <c r="Q192" t="s">
        <v>1986</v>
      </c>
    </row>
    <row r="193" spans="1:17" x14ac:dyDescent="0.25">
      <c r="A193" t="s">
        <v>1974</v>
      </c>
      <c r="B193" t="s">
        <v>1975</v>
      </c>
      <c r="C193" t="s">
        <v>1976</v>
      </c>
      <c r="D193" s="11">
        <v>80869</v>
      </c>
      <c r="E193" s="12">
        <v>45817</v>
      </c>
      <c r="F193" s="12">
        <v>45818</v>
      </c>
      <c r="G193" t="s">
        <v>2155</v>
      </c>
      <c r="H193" t="s">
        <v>25</v>
      </c>
      <c r="I193">
        <v>30</v>
      </c>
      <c r="J193">
        <v>7.0350000000000001</v>
      </c>
      <c r="M193">
        <v>0.18</v>
      </c>
      <c r="N193">
        <v>5.4</v>
      </c>
      <c r="O193">
        <v>1.64</v>
      </c>
      <c r="P193">
        <v>23.295400000000001</v>
      </c>
      <c r="Q193" t="s">
        <v>1987</v>
      </c>
    </row>
    <row r="194" spans="1:17" x14ac:dyDescent="0.25">
      <c r="A194" t="s">
        <v>1974</v>
      </c>
      <c r="B194" t="s">
        <v>1975</v>
      </c>
      <c r="C194" t="s">
        <v>1976</v>
      </c>
      <c r="D194" s="11">
        <v>80869</v>
      </c>
      <c r="E194" s="12">
        <v>45817</v>
      </c>
      <c r="F194" s="12">
        <v>45818</v>
      </c>
      <c r="G194" t="s">
        <v>2155</v>
      </c>
      <c r="H194" t="s">
        <v>665</v>
      </c>
      <c r="I194">
        <v>30</v>
      </c>
      <c r="J194">
        <v>25.736999999999998</v>
      </c>
      <c r="M194">
        <v>0.69699999999999995</v>
      </c>
      <c r="N194">
        <v>20.91</v>
      </c>
      <c r="O194">
        <v>4.83</v>
      </c>
      <c r="P194">
        <v>18.764500000000002</v>
      </c>
      <c r="Q194" t="s">
        <v>1988</v>
      </c>
    </row>
    <row r="195" spans="1:17" x14ac:dyDescent="0.25">
      <c r="A195" t="s">
        <v>1974</v>
      </c>
      <c r="B195" t="s">
        <v>1975</v>
      </c>
      <c r="C195" t="s">
        <v>1976</v>
      </c>
      <c r="D195" s="11">
        <v>80869</v>
      </c>
      <c r="E195" s="12">
        <v>45817</v>
      </c>
      <c r="F195" s="12">
        <v>45818</v>
      </c>
      <c r="G195" t="s">
        <v>2155</v>
      </c>
      <c r="H195" t="s">
        <v>1621</v>
      </c>
      <c r="I195">
        <v>6</v>
      </c>
      <c r="J195">
        <v>85.536600000000007</v>
      </c>
      <c r="M195">
        <v>8.5967699999999994</v>
      </c>
      <c r="N195">
        <v>51.580620000000003</v>
      </c>
      <c r="O195">
        <v>33.959380000000003</v>
      </c>
      <c r="P195">
        <v>39.700000000000003</v>
      </c>
      <c r="Q195" t="s">
        <v>2020</v>
      </c>
    </row>
    <row r="196" spans="1:17" hidden="1" x14ac:dyDescent="0.25">
      <c r="A196" t="s">
        <v>2040</v>
      </c>
      <c r="B196" t="s">
        <v>2041</v>
      </c>
      <c r="C196" t="s">
        <v>1976</v>
      </c>
      <c r="D196" s="11" t="s">
        <v>2156</v>
      </c>
      <c r="E196" s="12">
        <v>45818</v>
      </c>
      <c r="F196" s="12">
        <v>45828</v>
      </c>
      <c r="G196" t="s">
        <v>2157</v>
      </c>
      <c r="H196" t="s">
        <v>1671</v>
      </c>
      <c r="I196">
        <v>2500</v>
      </c>
      <c r="J196">
        <v>382.97500000000002</v>
      </c>
      <c r="M196">
        <v>0.1</v>
      </c>
      <c r="N196">
        <v>250</v>
      </c>
      <c r="O196">
        <v>132.97999999999999</v>
      </c>
      <c r="P196">
        <v>34.7224</v>
      </c>
      <c r="Q196" t="s">
        <v>1670</v>
      </c>
    </row>
    <row r="197" spans="1:17" hidden="1" x14ac:dyDescent="0.25">
      <c r="A197" t="s">
        <v>2040</v>
      </c>
      <c r="B197" t="s">
        <v>2041</v>
      </c>
      <c r="C197" t="s">
        <v>1976</v>
      </c>
      <c r="D197" s="11" t="s">
        <v>2156</v>
      </c>
      <c r="E197" s="12">
        <v>45818</v>
      </c>
      <c r="F197" s="12">
        <v>45828</v>
      </c>
      <c r="G197" t="s">
        <v>2157</v>
      </c>
      <c r="H197" t="s">
        <v>1037</v>
      </c>
      <c r="I197">
        <v>1000</v>
      </c>
      <c r="J197">
        <v>1159.32</v>
      </c>
      <c r="M197">
        <v>0.80700000000000005</v>
      </c>
      <c r="N197">
        <v>807</v>
      </c>
      <c r="O197">
        <v>352.32</v>
      </c>
      <c r="P197">
        <v>30.3902</v>
      </c>
      <c r="Q197" t="s">
        <v>1036</v>
      </c>
    </row>
    <row r="198" spans="1:17" hidden="1" x14ac:dyDescent="0.25">
      <c r="A198" t="s">
        <v>2040</v>
      </c>
      <c r="B198" t="s">
        <v>2041</v>
      </c>
      <c r="C198" t="s">
        <v>1976</v>
      </c>
      <c r="D198" s="11" t="s">
        <v>2156</v>
      </c>
      <c r="E198" s="12">
        <v>45818</v>
      </c>
      <c r="F198" s="12">
        <v>45828</v>
      </c>
      <c r="G198" t="s">
        <v>2157</v>
      </c>
      <c r="H198" t="s">
        <v>1049</v>
      </c>
      <c r="I198">
        <v>2500</v>
      </c>
      <c r="J198">
        <v>1182.5999999999999</v>
      </c>
      <c r="M198">
        <v>0.34300000000000003</v>
      </c>
      <c r="N198">
        <v>857.5</v>
      </c>
      <c r="O198">
        <v>325.10000000000002</v>
      </c>
      <c r="P198">
        <v>27.490200000000002</v>
      </c>
      <c r="Q198" t="s">
        <v>1048</v>
      </c>
    </row>
    <row r="199" spans="1:17" hidden="1" x14ac:dyDescent="0.25">
      <c r="A199" t="s">
        <v>2040</v>
      </c>
      <c r="B199" t="s">
        <v>2041</v>
      </c>
      <c r="C199" t="s">
        <v>1976</v>
      </c>
      <c r="D199" s="11" t="s">
        <v>2156</v>
      </c>
      <c r="E199" s="12">
        <v>45818</v>
      </c>
      <c r="F199" s="12">
        <v>45828</v>
      </c>
      <c r="G199" t="s">
        <v>2157</v>
      </c>
      <c r="H199" t="s">
        <v>1067</v>
      </c>
      <c r="I199">
        <v>1000</v>
      </c>
      <c r="J199">
        <v>1237.76</v>
      </c>
      <c r="M199">
        <v>0.76700000000000002</v>
      </c>
      <c r="N199">
        <v>767</v>
      </c>
      <c r="O199">
        <v>470.76</v>
      </c>
      <c r="P199">
        <v>38.033200000000001</v>
      </c>
      <c r="Q199" t="s">
        <v>1066</v>
      </c>
    </row>
    <row r="200" spans="1:17" hidden="1" x14ac:dyDescent="0.25">
      <c r="A200" t="s">
        <v>2040</v>
      </c>
      <c r="B200" t="s">
        <v>2041</v>
      </c>
      <c r="C200" t="s">
        <v>1976</v>
      </c>
      <c r="D200" s="11" t="s">
        <v>2156</v>
      </c>
      <c r="E200" s="12">
        <v>45818</v>
      </c>
      <c r="F200" s="12">
        <v>45828</v>
      </c>
      <c r="G200" t="s">
        <v>2157</v>
      </c>
      <c r="H200" t="s">
        <v>1160</v>
      </c>
      <c r="I200">
        <v>3000</v>
      </c>
      <c r="J200">
        <v>1318.05</v>
      </c>
      <c r="M200">
        <v>0.112</v>
      </c>
      <c r="N200">
        <v>336</v>
      </c>
      <c r="O200">
        <v>982.05</v>
      </c>
      <c r="P200">
        <v>74.5077</v>
      </c>
      <c r="Q200" t="s">
        <v>1159</v>
      </c>
    </row>
    <row r="201" spans="1:17" hidden="1" x14ac:dyDescent="0.25">
      <c r="A201" t="s">
        <v>2040</v>
      </c>
      <c r="B201" t="s">
        <v>2041</v>
      </c>
      <c r="C201" t="s">
        <v>1976</v>
      </c>
      <c r="D201" s="11" t="s">
        <v>2156</v>
      </c>
      <c r="E201" s="12">
        <v>45818</v>
      </c>
      <c r="F201" s="12">
        <v>45828</v>
      </c>
      <c r="G201" t="s">
        <v>2157</v>
      </c>
      <c r="H201" t="s">
        <v>715</v>
      </c>
      <c r="I201">
        <v>450</v>
      </c>
      <c r="J201">
        <v>4224.348</v>
      </c>
      <c r="M201">
        <v>7.2112499999999997</v>
      </c>
      <c r="N201">
        <v>3245.0625</v>
      </c>
      <c r="O201">
        <v>979.28750000000002</v>
      </c>
      <c r="P201">
        <v>23.181899999999999</v>
      </c>
      <c r="Q201" t="s">
        <v>714</v>
      </c>
    </row>
    <row r="202" spans="1:17" hidden="1" x14ac:dyDescent="0.25">
      <c r="A202" t="s">
        <v>2040</v>
      </c>
      <c r="B202" t="s">
        <v>2041</v>
      </c>
      <c r="C202" t="s">
        <v>1976</v>
      </c>
      <c r="D202" s="11" t="s">
        <v>2156</v>
      </c>
      <c r="E202" s="12">
        <v>45818</v>
      </c>
      <c r="F202" s="12">
        <v>45828</v>
      </c>
      <c r="G202" t="s">
        <v>2157</v>
      </c>
      <c r="H202" t="s">
        <v>1125</v>
      </c>
      <c r="I202">
        <v>2500</v>
      </c>
      <c r="J202">
        <v>3952.25</v>
      </c>
      <c r="M202">
        <v>1.1499999999999999</v>
      </c>
      <c r="N202">
        <v>2875</v>
      </c>
      <c r="O202">
        <v>1077.25</v>
      </c>
      <c r="P202">
        <v>27.256599999999999</v>
      </c>
      <c r="Q202" t="s">
        <v>1124</v>
      </c>
    </row>
    <row r="203" spans="1:17" hidden="1" x14ac:dyDescent="0.25">
      <c r="A203" t="s">
        <v>2040</v>
      </c>
      <c r="B203" t="s">
        <v>2041</v>
      </c>
      <c r="C203" t="s">
        <v>1976</v>
      </c>
      <c r="D203" s="11" t="s">
        <v>2156</v>
      </c>
      <c r="E203" s="12">
        <v>45818</v>
      </c>
      <c r="F203" s="12">
        <v>45828</v>
      </c>
      <c r="G203" t="s">
        <v>2157</v>
      </c>
      <c r="H203" t="s">
        <v>747</v>
      </c>
      <c r="I203">
        <v>200</v>
      </c>
      <c r="J203">
        <v>1283.1959999999999</v>
      </c>
      <c r="M203">
        <v>4.8879999999999999</v>
      </c>
      <c r="N203">
        <v>977.6</v>
      </c>
      <c r="O203">
        <v>305.60000000000002</v>
      </c>
      <c r="P203">
        <v>23.8154</v>
      </c>
      <c r="Q203" t="s">
        <v>746</v>
      </c>
    </row>
    <row r="204" spans="1:17" hidden="1" x14ac:dyDescent="0.25">
      <c r="A204" t="s">
        <v>2040</v>
      </c>
      <c r="B204" t="s">
        <v>2041</v>
      </c>
      <c r="C204" t="s">
        <v>1976</v>
      </c>
      <c r="D204" s="11" t="s">
        <v>2156</v>
      </c>
      <c r="E204" s="12">
        <v>45818</v>
      </c>
      <c r="F204" s="12">
        <v>45828</v>
      </c>
      <c r="G204" t="s">
        <v>2157</v>
      </c>
      <c r="H204" t="s">
        <v>1625</v>
      </c>
      <c r="I204">
        <v>250</v>
      </c>
      <c r="J204">
        <v>1219.3724999999999</v>
      </c>
      <c r="M204">
        <v>3.98</v>
      </c>
      <c r="N204">
        <v>995</v>
      </c>
      <c r="O204">
        <v>224.37</v>
      </c>
      <c r="P204">
        <v>18.400400000000001</v>
      </c>
      <c r="Q204" t="s">
        <v>1624</v>
      </c>
    </row>
    <row r="205" spans="1:17" hidden="1" x14ac:dyDescent="0.25">
      <c r="A205" t="s">
        <v>2040</v>
      </c>
      <c r="B205" t="s">
        <v>2041</v>
      </c>
      <c r="C205" t="s">
        <v>1976</v>
      </c>
      <c r="D205" s="11" t="s">
        <v>2156</v>
      </c>
      <c r="E205" s="12">
        <v>45818</v>
      </c>
      <c r="F205" s="12">
        <v>45828</v>
      </c>
      <c r="G205" t="s">
        <v>2157</v>
      </c>
      <c r="H205" t="s">
        <v>329</v>
      </c>
      <c r="I205">
        <v>70</v>
      </c>
      <c r="J205">
        <v>310.26729999999998</v>
      </c>
      <c r="M205">
        <v>2.0720000000000001</v>
      </c>
      <c r="N205">
        <v>145.04</v>
      </c>
      <c r="O205">
        <v>165.23</v>
      </c>
      <c r="P205">
        <v>53.253599999999999</v>
      </c>
      <c r="Q205" t="s">
        <v>328</v>
      </c>
    </row>
    <row r="206" spans="1:17" hidden="1" x14ac:dyDescent="0.25">
      <c r="A206" t="s">
        <v>2040</v>
      </c>
      <c r="B206" t="s">
        <v>2041</v>
      </c>
      <c r="C206" t="s">
        <v>1976</v>
      </c>
      <c r="D206" s="11" t="s">
        <v>2156</v>
      </c>
      <c r="E206" s="12">
        <v>45818</v>
      </c>
      <c r="F206" s="12">
        <v>45828</v>
      </c>
      <c r="G206" t="s">
        <v>2157</v>
      </c>
      <c r="H206" t="s">
        <v>908</v>
      </c>
      <c r="I206">
        <v>499</v>
      </c>
      <c r="J206">
        <v>2537.82917</v>
      </c>
      <c r="M206">
        <v>1.0575699999999999</v>
      </c>
      <c r="N206">
        <v>527.72743000000003</v>
      </c>
      <c r="O206">
        <v>2010.10257</v>
      </c>
      <c r="P206">
        <v>79.205500000000001</v>
      </c>
      <c r="Q206" t="s">
        <v>907</v>
      </c>
    </row>
    <row r="207" spans="1:17" hidden="1" x14ac:dyDescent="0.25">
      <c r="A207" t="s">
        <v>2040</v>
      </c>
      <c r="B207" t="s">
        <v>2041</v>
      </c>
      <c r="C207" t="s">
        <v>1976</v>
      </c>
      <c r="D207" s="11" t="s">
        <v>2156</v>
      </c>
      <c r="E207" s="12">
        <v>45818</v>
      </c>
      <c r="F207" s="12">
        <v>45828</v>
      </c>
      <c r="G207" t="s">
        <v>2157</v>
      </c>
      <c r="H207" t="s">
        <v>126</v>
      </c>
      <c r="I207">
        <v>250</v>
      </c>
      <c r="J207">
        <v>2297.8125</v>
      </c>
      <c r="M207">
        <v>8.1999999999999993</v>
      </c>
      <c r="N207">
        <v>2050</v>
      </c>
      <c r="O207">
        <v>247.81</v>
      </c>
      <c r="P207">
        <v>10.784599999999999</v>
      </c>
      <c r="Q207" t="s">
        <v>125</v>
      </c>
    </row>
    <row r="208" spans="1:17" hidden="1" x14ac:dyDescent="0.25">
      <c r="A208" t="s">
        <v>2040</v>
      </c>
      <c r="B208" t="s">
        <v>2041</v>
      </c>
      <c r="C208" t="s">
        <v>1976</v>
      </c>
      <c r="D208" s="11" t="s">
        <v>2156</v>
      </c>
      <c r="E208" s="12">
        <v>45818</v>
      </c>
      <c r="F208" s="12">
        <v>45828</v>
      </c>
      <c r="G208" t="s">
        <v>2157</v>
      </c>
      <c r="H208" t="s">
        <v>41</v>
      </c>
      <c r="I208">
        <v>399</v>
      </c>
      <c r="J208">
        <v>2211.2779500000001</v>
      </c>
      <c r="M208">
        <v>4.3109999999999999</v>
      </c>
      <c r="N208">
        <v>1720.0889999999999</v>
      </c>
      <c r="O208">
        <v>491.19099999999997</v>
      </c>
      <c r="P208">
        <v>22.212900000000001</v>
      </c>
      <c r="Q208" t="s">
        <v>40</v>
      </c>
    </row>
    <row r="209" spans="1:17" hidden="1" x14ac:dyDescent="0.25">
      <c r="A209" t="s">
        <v>2040</v>
      </c>
      <c r="B209" t="s">
        <v>2041</v>
      </c>
      <c r="C209" t="s">
        <v>1976</v>
      </c>
      <c r="D209" s="11" t="s">
        <v>2156</v>
      </c>
      <c r="E209" s="12">
        <v>45818</v>
      </c>
      <c r="F209" s="12">
        <v>45828</v>
      </c>
      <c r="G209" t="s">
        <v>2157</v>
      </c>
      <c r="H209" t="s">
        <v>722</v>
      </c>
      <c r="I209">
        <v>250</v>
      </c>
      <c r="J209">
        <v>3728.585</v>
      </c>
      <c r="M209">
        <v>9.7140000000000004</v>
      </c>
      <c r="N209">
        <v>2428.5</v>
      </c>
      <c r="O209">
        <v>1300.0899999999999</v>
      </c>
      <c r="P209">
        <v>34.868099999999998</v>
      </c>
      <c r="Q209" t="s">
        <v>721</v>
      </c>
    </row>
    <row r="210" spans="1:17" hidden="1" x14ac:dyDescent="0.25">
      <c r="A210" t="s">
        <v>2040</v>
      </c>
      <c r="B210" t="s">
        <v>2041</v>
      </c>
      <c r="C210" t="s">
        <v>1976</v>
      </c>
      <c r="D210" s="11" t="s">
        <v>2156</v>
      </c>
      <c r="E210" s="12">
        <v>45818</v>
      </c>
      <c r="F210" s="12">
        <v>45828</v>
      </c>
      <c r="G210" t="s">
        <v>2157</v>
      </c>
      <c r="H210" t="s">
        <v>616</v>
      </c>
      <c r="I210">
        <v>4000</v>
      </c>
      <c r="J210">
        <v>921.56</v>
      </c>
      <c r="M210">
        <v>1.866E-2</v>
      </c>
      <c r="N210">
        <v>74.64</v>
      </c>
      <c r="O210">
        <v>846.92</v>
      </c>
      <c r="P210">
        <v>91.900599999999997</v>
      </c>
      <c r="Q210" t="s">
        <v>615</v>
      </c>
    </row>
    <row r="211" spans="1:17" hidden="1" x14ac:dyDescent="0.25">
      <c r="A211" t="s">
        <v>2040</v>
      </c>
      <c r="B211" t="s">
        <v>2041</v>
      </c>
      <c r="C211" t="s">
        <v>1976</v>
      </c>
      <c r="D211" s="11" t="s">
        <v>2156</v>
      </c>
      <c r="E211" s="12">
        <v>45818</v>
      </c>
      <c r="F211" s="12">
        <v>45828</v>
      </c>
      <c r="G211" t="s">
        <v>2157</v>
      </c>
      <c r="H211" t="s">
        <v>1243</v>
      </c>
      <c r="I211">
        <v>5940</v>
      </c>
      <c r="J211">
        <v>3861.1188000000002</v>
      </c>
      <c r="M211">
        <v>0.56299999999999994</v>
      </c>
      <c r="N211">
        <v>3344.22</v>
      </c>
      <c r="O211">
        <v>516.9</v>
      </c>
      <c r="P211">
        <v>13.3873</v>
      </c>
      <c r="Q211" t="s">
        <v>1242</v>
      </c>
    </row>
    <row r="212" spans="1:17" hidden="1" x14ac:dyDescent="0.25">
      <c r="A212" t="s">
        <v>2040</v>
      </c>
      <c r="B212" t="s">
        <v>2041</v>
      </c>
      <c r="C212" t="s">
        <v>1976</v>
      </c>
      <c r="D212" s="11" t="s">
        <v>2156</v>
      </c>
      <c r="E212" s="12">
        <v>45818</v>
      </c>
      <c r="F212" s="12">
        <v>45828</v>
      </c>
      <c r="G212" t="s">
        <v>2157</v>
      </c>
      <c r="H212" t="s">
        <v>587</v>
      </c>
      <c r="I212">
        <v>4000</v>
      </c>
      <c r="J212">
        <v>198.04</v>
      </c>
      <c r="M212">
        <v>1.0200000000000001E-2</v>
      </c>
      <c r="N212">
        <v>40.799999999999997</v>
      </c>
      <c r="O212">
        <v>157.24</v>
      </c>
      <c r="P212">
        <v>79.398099999999999</v>
      </c>
      <c r="Q212" t="s">
        <v>586</v>
      </c>
    </row>
    <row r="213" spans="1:17" hidden="1" x14ac:dyDescent="0.25">
      <c r="A213" t="s">
        <v>2040</v>
      </c>
      <c r="B213" t="s">
        <v>2041</v>
      </c>
      <c r="C213" t="s">
        <v>1976</v>
      </c>
      <c r="D213" s="11" t="s">
        <v>2156</v>
      </c>
      <c r="E213" s="12">
        <v>45818</v>
      </c>
      <c r="F213" s="12">
        <v>45828</v>
      </c>
      <c r="G213" t="s">
        <v>2157</v>
      </c>
      <c r="H213" t="s">
        <v>906</v>
      </c>
      <c r="I213">
        <v>500</v>
      </c>
      <c r="J213">
        <v>1305.1600000000001</v>
      </c>
      <c r="M213">
        <v>0.64698</v>
      </c>
      <c r="N213">
        <v>323.49</v>
      </c>
      <c r="O213">
        <v>981.67</v>
      </c>
      <c r="P213">
        <v>75.214500000000001</v>
      </c>
      <c r="Q213" t="s">
        <v>905</v>
      </c>
    </row>
    <row r="214" spans="1:17" hidden="1" x14ac:dyDescent="0.25">
      <c r="A214" t="s">
        <v>2040</v>
      </c>
      <c r="B214" t="s">
        <v>2041</v>
      </c>
      <c r="C214" t="s">
        <v>1976</v>
      </c>
      <c r="D214" s="11" t="s">
        <v>2156</v>
      </c>
      <c r="E214" s="12">
        <v>45818</v>
      </c>
      <c r="F214" s="12">
        <v>45828</v>
      </c>
      <c r="G214" t="s">
        <v>2157</v>
      </c>
      <c r="H214" t="s">
        <v>1785</v>
      </c>
      <c r="I214">
        <v>2000</v>
      </c>
      <c r="J214">
        <v>3210.82</v>
      </c>
      <c r="M214">
        <v>1.232</v>
      </c>
      <c r="N214">
        <v>2464</v>
      </c>
      <c r="O214">
        <v>746.82</v>
      </c>
      <c r="P214">
        <v>23.259399999999999</v>
      </c>
      <c r="Q214" t="s">
        <v>1784</v>
      </c>
    </row>
    <row r="215" spans="1:17" hidden="1" x14ac:dyDescent="0.25">
      <c r="A215" t="s">
        <v>2040</v>
      </c>
      <c r="B215" t="s">
        <v>2041</v>
      </c>
      <c r="C215" t="s">
        <v>1976</v>
      </c>
      <c r="D215" s="11" t="s">
        <v>2156</v>
      </c>
      <c r="E215" s="12">
        <v>45818</v>
      </c>
      <c r="F215" s="12">
        <v>45828</v>
      </c>
      <c r="G215" t="s">
        <v>2157</v>
      </c>
      <c r="H215" t="s">
        <v>1061</v>
      </c>
      <c r="I215">
        <v>3000</v>
      </c>
      <c r="J215">
        <v>2121.33</v>
      </c>
      <c r="M215">
        <v>0.31900000000000001</v>
      </c>
      <c r="N215">
        <v>957</v>
      </c>
      <c r="O215">
        <v>1164.33</v>
      </c>
      <c r="P215">
        <v>54.886699999999998</v>
      </c>
      <c r="Q215" t="s">
        <v>1060</v>
      </c>
    </row>
    <row r="216" spans="1:17" hidden="1" x14ac:dyDescent="0.25">
      <c r="A216" t="s">
        <v>2040</v>
      </c>
      <c r="B216" t="s">
        <v>2041</v>
      </c>
      <c r="C216" t="s">
        <v>1976</v>
      </c>
      <c r="D216" s="11" t="s">
        <v>2156</v>
      </c>
      <c r="E216" s="12">
        <v>45818</v>
      </c>
      <c r="F216" s="12">
        <v>45828</v>
      </c>
      <c r="G216" t="s">
        <v>2157</v>
      </c>
      <c r="H216" t="s">
        <v>1197</v>
      </c>
      <c r="I216">
        <v>60</v>
      </c>
      <c r="J216">
        <v>175.2</v>
      </c>
      <c r="M216">
        <v>2.29</v>
      </c>
      <c r="N216">
        <v>137.4</v>
      </c>
      <c r="O216">
        <v>37.799999999999997</v>
      </c>
      <c r="P216">
        <v>21.575299999999999</v>
      </c>
      <c r="Q216" t="s">
        <v>1196</v>
      </c>
    </row>
    <row r="217" spans="1:17" hidden="1" x14ac:dyDescent="0.25">
      <c r="A217" t="s">
        <v>2040</v>
      </c>
      <c r="B217" t="s">
        <v>2041</v>
      </c>
      <c r="C217" t="s">
        <v>1976</v>
      </c>
      <c r="D217" s="11" t="s">
        <v>2156</v>
      </c>
      <c r="E217" s="12">
        <v>45818</v>
      </c>
      <c r="F217" s="12">
        <v>45828</v>
      </c>
      <c r="G217" t="s">
        <v>2157</v>
      </c>
      <c r="H217" t="s">
        <v>1853</v>
      </c>
      <c r="I217">
        <v>750</v>
      </c>
      <c r="J217">
        <v>2628.6975000000002</v>
      </c>
      <c r="M217">
        <v>2.41</v>
      </c>
      <c r="N217">
        <v>1807.5</v>
      </c>
      <c r="O217">
        <v>821.2</v>
      </c>
      <c r="P217">
        <v>31.239699999999999</v>
      </c>
      <c r="Q217" t="s">
        <v>1852</v>
      </c>
    </row>
    <row r="218" spans="1:17" hidden="1" x14ac:dyDescent="0.25">
      <c r="A218" t="s">
        <v>2040</v>
      </c>
      <c r="B218" t="s">
        <v>2041</v>
      </c>
      <c r="C218" t="s">
        <v>1976</v>
      </c>
      <c r="D218" s="11" t="s">
        <v>2156</v>
      </c>
      <c r="E218" s="12">
        <v>45818</v>
      </c>
      <c r="F218" s="12">
        <v>45828</v>
      </c>
      <c r="G218" t="s">
        <v>2157</v>
      </c>
      <c r="H218" t="s">
        <v>1855</v>
      </c>
      <c r="I218">
        <v>600</v>
      </c>
      <c r="J218">
        <v>2397.078</v>
      </c>
      <c r="M218">
        <v>3.14</v>
      </c>
      <c r="N218">
        <v>1884</v>
      </c>
      <c r="O218">
        <v>513.08000000000004</v>
      </c>
      <c r="P218">
        <v>21.404299999999999</v>
      </c>
      <c r="Q218" t="s">
        <v>1854</v>
      </c>
    </row>
    <row r="219" spans="1:17" hidden="1" x14ac:dyDescent="0.25">
      <c r="A219" t="s">
        <v>2040</v>
      </c>
      <c r="B219" t="s">
        <v>2041</v>
      </c>
      <c r="C219" t="s">
        <v>1976</v>
      </c>
      <c r="D219" s="11" t="s">
        <v>2156</v>
      </c>
      <c r="E219" s="12">
        <v>45818</v>
      </c>
      <c r="F219" s="12">
        <v>45828</v>
      </c>
      <c r="G219" t="s">
        <v>2157</v>
      </c>
      <c r="H219" t="s">
        <v>1025</v>
      </c>
      <c r="I219">
        <v>30</v>
      </c>
      <c r="J219">
        <v>709.56449999999995</v>
      </c>
      <c r="M219">
        <v>1.85</v>
      </c>
      <c r="N219">
        <v>55.5</v>
      </c>
      <c r="O219">
        <v>654.05999999999995</v>
      </c>
      <c r="P219">
        <v>92.178200000000004</v>
      </c>
      <c r="Q219" t="s">
        <v>1024</v>
      </c>
    </row>
    <row r="220" spans="1:17" hidden="1" x14ac:dyDescent="0.25">
      <c r="A220" t="s">
        <v>2040</v>
      </c>
      <c r="B220" t="s">
        <v>2041</v>
      </c>
      <c r="C220" t="s">
        <v>1976</v>
      </c>
      <c r="D220" s="11" t="s">
        <v>2156</v>
      </c>
      <c r="E220" s="12">
        <v>45818</v>
      </c>
      <c r="F220" s="12">
        <v>45828</v>
      </c>
      <c r="G220" t="s">
        <v>2157</v>
      </c>
      <c r="H220" t="s">
        <v>1121</v>
      </c>
      <c r="I220">
        <v>600</v>
      </c>
      <c r="J220">
        <v>1220.598</v>
      </c>
      <c r="M220">
        <v>1.51</v>
      </c>
      <c r="N220">
        <v>906</v>
      </c>
      <c r="O220">
        <v>314.60000000000002</v>
      </c>
      <c r="P220">
        <v>25.7742</v>
      </c>
      <c r="Q220" t="s">
        <v>1120</v>
      </c>
    </row>
    <row r="221" spans="1:17" hidden="1" x14ac:dyDescent="0.25">
      <c r="A221" t="s">
        <v>2040</v>
      </c>
      <c r="B221" t="s">
        <v>2041</v>
      </c>
      <c r="C221" t="s">
        <v>1976</v>
      </c>
      <c r="D221" s="11" t="s">
        <v>2156</v>
      </c>
      <c r="E221" s="12">
        <v>45818</v>
      </c>
      <c r="F221" s="12">
        <v>45828</v>
      </c>
      <c r="G221" t="s">
        <v>2157</v>
      </c>
      <c r="H221" t="s">
        <v>1195</v>
      </c>
      <c r="I221">
        <v>500</v>
      </c>
      <c r="J221">
        <v>581.25</v>
      </c>
      <c r="M221">
        <v>0.93</v>
      </c>
      <c r="N221">
        <v>465</v>
      </c>
      <c r="O221">
        <v>116.25</v>
      </c>
      <c r="P221">
        <v>20</v>
      </c>
      <c r="Q221" t="s">
        <v>1194</v>
      </c>
    </row>
    <row r="222" spans="1:17" hidden="1" x14ac:dyDescent="0.25">
      <c r="A222" t="s">
        <v>2040</v>
      </c>
      <c r="B222" t="s">
        <v>2041</v>
      </c>
      <c r="C222" t="s">
        <v>1976</v>
      </c>
      <c r="D222" s="11" t="s">
        <v>2156</v>
      </c>
      <c r="E222" s="12">
        <v>45818</v>
      </c>
      <c r="F222" s="12">
        <v>45828</v>
      </c>
      <c r="G222" t="s">
        <v>2157</v>
      </c>
      <c r="H222" t="s">
        <v>1193</v>
      </c>
      <c r="I222">
        <v>500</v>
      </c>
      <c r="J222">
        <v>585.17499999999995</v>
      </c>
      <c r="M222">
        <v>0.93</v>
      </c>
      <c r="N222">
        <v>465</v>
      </c>
      <c r="O222">
        <v>120.18</v>
      </c>
      <c r="P222">
        <v>20.537199999999999</v>
      </c>
      <c r="Q222" t="s">
        <v>1192</v>
      </c>
    </row>
    <row r="223" spans="1:17" hidden="1" x14ac:dyDescent="0.25">
      <c r="A223" t="s">
        <v>2040</v>
      </c>
      <c r="B223" t="s">
        <v>2041</v>
      </c>
      <c r="C223" t="s">
        <v>1976</v>
      </c>
      <c r="D223" s="11" t="s">
        <v>2156</v>
      </c>
      <c r="E223" s="12">
        <v>45818</v>
      </c>
      <c r="F223" s="12">
        <v>45828</v>
      </c>
      <c r="G223" t="s">
        <v>2157</v>
      </c>
      <c r="H223" t="s">
        <v>1851</v>
      </c>
      <c r="I223">
        <v>500</v>
      </c>
      <c r="J223">
        <v>1574.77</v>
      </c>
      <c r="M223">
        <v>2.25</v>
      </c>
      <c r="N223">
        <v>1125</v>
      </c>
      <c r="O223">
        <v>449.77</v>
      </c>
      <c r="P223">
        <v>28.5609</v>
      </c>
      <c r="Q223" t="s">
        <v>1850</v>
      </c>
    </row>
    <row r="224" spans="1:17" hidden="1" x14ac:dyDescent="0.25">
      <c r="A224" t="s">
        <v>2040</v>
      </c>
      <c r="B224" t="s">
        <v>2041</v>
      </c>
      <c r="C224" t="s">
        <v>1976</v>
      </c>
      <c r="D224" s="11" t="s">
        <v>2156</v>
      </c>
      <c r="E224" s="12">
        <v>45818</v>
      </c>
      <c r="F224" s="12">
        <v>45828</v>
      </c>
      <c r="G224" t="s">
        <v>2157</v>
      </c>
      <c r="H224" t="s">
        <v>1164</v>
      </c>
      <c r="I224">
        <v>998</v>
      </c>
      <c r="J224">
        <v>835.86491999999998</v>
      </c>
      <c r="M224">
        <v>0.28199999999999997</v>
      </c>
      <c r="N224">
        <v>281.43599999999998</v>
      </c>
      <c r="O224">
        <v>554.42399999999998</v>
      </c>
      <c r="P224">
        <v>66.329700000000003</v>
      </c>
      <c r="Q224" t="s">
        <v>1163</v>
      </c>
    </row>
    <row r="225" spans="1:17" hidden="1" x14ac:dyDescent="0.25">
      <c r="A225" t="s">
        <v>2040</v>
      </c>
      <c r="B225" t="s">
        <v>2041</v>
      </c>
      <c r="C225" t="s">
        <v>1976</v>
      </c>
      <c r="D225" s="11" t="s">
        <v>2156</v>
      </c>
      <c r="E225" s="12">
        <v>45818</v>
      </c>
      <c r="F225" s="12">
        <v>45828</v>
      </c>
      <c r="G225" t="s">
        <v>2157</v>
      </c>
      <c r="H225" t="s">
        <v>445</v>
      </c>
      <c r="I225">
        <v>186</v>
      </c>
      <c r="J225">
        <v>1680.32772</v>
      </c>
      <c r="M225">
        <v>7.1539999999999999</v>
      </c>
      <c r="N225">
        <v>1330.644</v>
      </c>
      <c r="O225">
        <v>349.68599999999998</v>
      </c>
      <c r="P225">
        <v>20.810500000000001</v>
      </c>
      <c r="Q225" t="s">
        <v>444</v>
      </c>
    </row>
    <row r="226" spans="1:17" hidden="1" x14ac:dyDescent="0.25">
      <c r="A226" t="s">
        <v>2040</v>
      </c>
      <c r="B226" t="s">
        <v>2041</v>
      </c>
      <c r="C226" t="s">
        <v>1976</v>
      </c>
      <c r="D226" s="11" t="s">
        <v>2156</v>
      </c>
      <c r="E226" s="12">
        <v>45818</v>
      </c>
      <c r="F226" s="12">
        <v>45828</v>
      </c>
      <c r="G226" t="s">
        <v>2157</v>
      </c>
      <c r="H226" t="s">
        <v>355</v>
      </c>
      <c r="I226">
        <v>260</v>
      </c>
      <c r="J226">
        <v>1484.7170000000001</v>
      </c>
      <c r="M226">
        <v>2.7003900000000001</v>
      </c>
      <c r="N226">
        <v>702.10140000000001</v>
      </c>
      <c r="O226">
        <v>782.61860000000001</v>
      </c>
      <c r="P226">
        <v>52.711500000000001</v>
      </c>
      <c r="Q226" t="s">
        <v>354</v>
      </c>
    </row>
    <row r="227" spans="1:17" hidden="1" x14ac:dyDescent="0.25">
      <c r="A227" t="s">
        <v>2040</v>
      </c>
      <c r="B227" t="s">
        <v>2041</v>
      </c>
      <c r="C227" t="s">
        <v>1976</v>
      </c>
      <c r="D227" s="11" t="s">
        <v>2156</v>
      </c>
      <c r="E227" s="12">
        <v>45818</v>
      </c>
      <c r="F227" s="12">
        <v>45828</v>
      </c>
      <c r="G227" t="s">
        <v>2157</v>
      </c>
      <c r="H227" t="s">
        <v>1716</v>
      </c>
      <c r="I227">
        <v>470</v>
      </c>
      <c r="J227">
        <v>213.06979999999999</v>
      </c>
      <c r="M227">
        <v>0.318</v>
      </c>
      <c r="N227">
        <v>149.46</v>
      </c>
      <c r="O227">
        <v>63.61</v>
      </c>
      <c r="P227">
        <v>29.853999999999999</v>
      </c>
      <c r="Q227" t="s">
        <v>1715</v>
      </c>
    </row>
    <row r="228" spans="1:17" hidden="1" x14ac:dyDescent="0.25">
      <c r="A228" t="s">
        <v>2040</v>
      </c>
      <c r="B228" t="s">
        <v>2041</v>
      </c>
      <c r="C228" t="s">
        <v>1976</v>
      </c>
      <c r="D228" s="11" t="s">
        <v>2156</v>
      </c>
      <c r="E228" s="12">
        <v>45818</v>
      </c>
      <c r="F228" s="12">
        <v>45828</v>
      </c>
      <c r="G228" t="s">
        <v>2157</v>
      </c>
      <c r="H228" t="s">
        <v>1003</v>
      </c>
      <c r="I228">
        <v>50</v>
      </c>
      <c r="J228">
        <v>21408.075499999999</v>
      </c>
      <c r="M228">
        <v>276.76</v>
      </c>
      <c r="N228">
        <v>13838</v>
      </c>
      <c r="O228">
        <v>7570.08</v>
      </c>
      <c r="P228">
        <v>35.360799999999998</v>
      </c>
      <c r="Q228" t="s">
        <v>1002</v>
      </c>
    </row>
    <row r="229" spans="1:17" hidden="1" x14ac:dyDescent="0.25">
      <c r="A229" t="s">
        <v>2040</v>
      </c>
      <c r="B229" t="s">
        <v>2041</v>
      </c>
      <c r="C229" t="s">
        <v>1976</v>
      </c>
      <c r="D229" s="11" t="s">
        <v>2156</v>
      </c>
      <c r="E229" s="12">
        <v>45818</v>
      </c>
      <c r="F229" s="12">
        <v>45828</v>
      </c>
      <c r="G229" t="s">
        <v>2157</v>
      </c>
      <c r="H229" t="s">
        <v>961</v>
      </c>
      <c r="I229">
        <v>200</v>
      </c>
      <c r="J229">
        <v>580.88800000000003</v>
      </c>
      <c r="M229">
        <v>0.89400000000000002</v>
      </c>
      <c r="N229">
        <v>178.8</v>
      </c>
      <c r="O229">
        <v>402.09</v>
      </c>
      <c r="P229">
        <v>69.2196</v>
      </c>
      <c r="Q229" t="s">
        <v>960</v>
      </c>
    </row>
    <row r="230" spans="1:17" hidden="1" x14ac:dyDescent="0.25">
      <c r="A230" t="s">
        <v>2040</v>
      </c>
      <c r="B230" t="s">
        <v>2041</v>
      </c>
      <c r="C230" t="s">
        <v>1976</v>
      </c>
      <c r="D230" s="11" t="s">
        <v>2156</v>
      </c>
      <c r="E230" s="12">
        <v>45818</v>
      </c>
      <c r="F230" s="12">
        <v>45828</v>
      </c>
      <c r="G230" t="s">
        <v>2157</v>
      </c>
      <c r="H230" t="s">
        <v>947</v>
      </c>
      <c r="I230">
        <v>399</v>
      </c>
      <c r="J230">
        <v>973.06124999999997</v>
      </c>
      <c r="M230">
        <v>2.94</v>
      </c>
      <c r="N230">
        <v>1173.06</v>
      </c>
      <c r="O230">
        <v>-200</v>
      </c>
      <c r="P230">
        <v>-20.553699999999999</v>
      </c>
      <c r="Q230" t="s">
        <v>946</v>
      </c>
    </row>
    <row r="231" spans="1:17" hidden="1" x14ac:dyDescent="0.25">
      <c r="A231" t="s">
        <v>2040</v>
      </c>
      <c r="B231" t="s">
        <v>2041</v>
      </c>
      <c r="C231" t="s">
        <v>1976</v>
      </c>
      <c r="D231" s="11" t="s">
        <v>2156</v>
      </c>
      <c r="E231" s="12">
        <v>45818</v>
      </c>
      <c r="F231" s="12">
        <v>45828</v>
      </c>
      <c r="G231" t="s">
        <v>2157</v>
      </c>
      <c r="H231" t="s">
        <v>2158</v>
      </c>
      <c r="I231">
        <v>1297</v>
      </c>
      <c r="J231">
        <v>399.04799000000003</v>
      </c>
      <c r="M231">
        <v>0.31</v>
      </c>
      <c r="N231">
        <v>402.07</v>
      </c>
      <c r="O231">
        <v>-3.02</v>
      </c>
      <c r="P231">
        <v>-0.75670000000000004</v>
      </c>
      <c r="Q231" t="s">
        <v>295</v>
      </c>
    </row>
    <row r="232" spans="1:17" hidden="1" x14ac:dyDescent="0.25">
      <c r="A232" t="s">
        <v>2040</v>
      </c>
      <c r="B232" t="s">
        <v>2041</v>
      </c>
      <c r="C232" t="s">
        <v>1976</v>
      </c>
      <c r="D232" s="11" t="s">
        <v>2156</v>
      </c>
      <c r="E232" s="12">
        <v>45818</v>
      </c>
      <c r="F232" s="12">
        <v>45828</v>
      </c>
      <c r="G232" t="s">
        <v>2157</v>
      </c>
      <c r="H232" t="s">
        <v>2158</v>
      </c>
      <c r="I232">
        <v>2</v>
      </c>
      <c r="J232">
        <v>0.61534</v>
      </c>
      <c r="M232">
        <v>0.31</v>
      </c>
      <c r="N232">
        <v>0.62</v>
      </c>
      <c r="O232">
        <v>0</v>
      </c>
      <c r="P232">
        <v>0</v>
      </c>
      <c r="Q232" t="s">
        <v>295</v>
      </c>
    </row>
    <row r="233" spans="1:17" hidden="1" x14ac:dyDescent="0.25">
      <c r="A233" t="s">
        <v>2040</v>
      </c>
      <c r="B233" t="s">
        <v>2041</v>
      </c>
      <c r="C233" t="s">
        <v>1976</v>
      </c>
      <c r="D233" s="11" t="s">
        <v>2156</v>
      </c>
      <c r="E233" s="12">
        <v>45818</v>
      </c>
      <c r="F233" s="12">
        <v>45828</v>
      </c>
      <c r="G233" t="s">
        <v>2157</v>
      </c>
      <c r="H233" t="s">
        <v>417</v>
      </c>
      <c r="I233">
        <v>500</v>
      </c>
      <c r="J233">
        <v>1433.835</v>
      </c>
      <c r="M233">
        <v>2.2400000000000002</v>
      </c>
      <c r="N233">
        <v>1120</v>
      </c>
      <c r="O233">
        <v>313.83999999999997</v>
      </c>
      <c r="P233">
        <v>21.888000000000002</v>
      </c>
      <c r="Q233" t="s">
        <v>416</v>
      </c>
    </row>
    <row r="234" spans="1:17" hidden="1" x14ac:dyDescent="0.25">
      <c r="A234" t="s">
        <v>2040</v>
      </c>
      <c r="B234" t="s">
        <v>2041</v>
      </c>
      <c r="C234" t="s">
        <v>1976</v>
      </c>
      <c r="D234" s="11" t="s">
        <v>2156</v>
      </c>
      <c r="E234" s="12">
        <v>45818</v>
      </c>
      <c r="F234" s="12">
        <v>45828</v>
      </c>
      <c r="G234" t="s">
        <v>2157</v>
      </c>
      <c r="H234" t="s">
        <v>351</v>
      </c>
      <c r="I234">
        <v>401</v>
      </c>
      <c r="J234">
        <v>3410.4929699999998</v>
      </c>
      <c r="M234">
        <v>6.56</v>
      </c>
      <c r="N234">
        <v>2630.56</v>
      </c>
      <c r="O234">
        <v>779.93</v>
      </c>
      <c r="P234">
        <v>22.868500000000001</v>
      </c>
      <c r="Q234" t="s">
        <v>350</v>
      </c>
    </row>
    <row r="235" spans="1:17" hidden="1" x14ac:dyDescent="0.25">
      <c r="A235" t="s">
        <v>2040</v>
      </c>
      <c r="B235" t="s">
        <v>2041</v>
      </c>
      <c r="C235" t="s">
        <v>1976</v>
      </c>
      <c r="D235" s="11" t="s">
        <v>2156</v>
      </c>
      <c r="E235" s="12">
        <v>45818</v>
      </c>
      <c r="F235" s="12">
        <v>45828</v>
      </c>
      <c r="G235" t="s">
        <v>2157</v>
      </c>
      <c r="H235" t="s">
        <v>282</v>
      </c>
      <c r="I235">
        <v>200</v>
      </c>
      <c r="J235">
        <v>350.49400000000003</v>
      </c>
      <c r="M235">
        <v>1.29</v>
      </c>
      <c r="N235">
        <v>258</v>
      </c>
      <c r="O235">
        <v>92.49</v>
      </c>
      <c r="P235">
        <v>26.3887</v>
      </c>
      <c r="Q235" t="s">
        <v>281</v>
      </c>
    </row>
    <row r="236" spans="1:17" hidden="1" x14ac:dyDescent="0.25">
      <c r="A236" t="s">
        <v>2040</v>
      </c>
      <c r="B236" t="s">
        <v>2041</v>
      </c>
      <c r="C236" t="s">
        <v>1976</v>
      </c>
      <c r="D236" s="11" t="s">
        <v>2156</v>
      </c>
      <c r="E236" s="12">
        <v>45818</v>
      </c>
      <c r="F236" s="12">
        <v>45828</v>
      </c>
      <c r="G236" t="s">
        <v>2157</v>
      </c>
      <c r="H236" t="s">
        <v>369</v>
      </c>
      <c r="I236">
        <v>200</v>
      </c>
      <c r="J236">
        <v>822.45799999999997</v>
      </c>
      <c r="M236">
        <v>2.44</v>
      </c>
      <c r="N236">
        <v>488</v>
      </c>
      <c r="O236">
        <v>334.46</v>
      </c>
      <c r="P236">
        <v>40.665799999999997</v>
      </c>
      <c r="Q236" t="s">
        <v>368</v>
      </c>
    </row>
    <row r="237" spans="1:17" hidden="1" x14ac:dyDescent="0.25">
      <c r="A237" t="s">
        <v>2040</v>
      </c>
      <c r="B237" t="s">
        <v>2041</v>
      </c>
      <c r="C237" t="s">
        <v>1976</v>
      </c>
      <c r="D237" s="11" t="s">
        <v>2156</v>
      </c>
      <c r="E237" s="12">
        <v>45818</v>
      </c>
      <c r="F237" s="12">
        <v>45828</v>
      </c>
      <c r="G237" t="s">
        <v>2157</v>
      </c>
      <c r="H237" t="s">
        <v>382</v>
      </c>
      <c r="I237">
        <v>500</v>
      </c>
      <c r="J237">
        <v>183.82499999999999</v>
      </c>
      <c r="M237">
        <v>0.16900000000000001</v>
      </c>
      <c r="N237">
        <v>84.5</v>
      </c>
      <c r="O237">
        <v>99.33</v>
      </c>
      <c r="P237">
        <v>54.0336</v>
      </c>
      <c r="Q237" t="s">
        <v>381</v>
      </c>
    </row>
    <row r="238" spans="1:17" hidden="1" x14ac:dyDescent="0.25">
      <c r="A238" t="s">
        <v>2040</v>
      </c>
      <c r="B238" t="s">
        <v>2041</v>
      </c>
      <c r="C238" t="s">
        <v>1976</v>
      </c>
      <c r="D238" s="11" t="s">
        <v>2156</v>
      </c>
      <c r="E238" s="12">
        <v>45818</v>
      </c>
      <c r="F238" s="12">
        <v>45828</v>
      </c>
      <c r="G238" t="s">
        <v>2157</v>
      </c>
      <c r="H238" t="s">
        <v>371</v>
      </c>
      <c r="I238">
        <v>399</v>
      </c>
      <c r="J238">
        <v>2278.6211699999999</v>
      </c>
      <c r="M238">
        <v>4.2300000000000004</v>
      </c>
      <c r="N238">
        <v>1687.77</v>
      </c>
      <c r="O238">
        <v>590.85</v>
      </c>
      <c r="P238">
        <v>25.930099999999999</v>
      </c>
      <c r="Q238" t="s">
        <v>370</v>
      </c>
    </row>
    <row r="239" spans="1:17" hidden="1" x14ac:dyDescent="0.25">
      <c r="A239" t="s">
        <v>2040</v>
      </c>
      <c r="B239" t="s">
        <v>2041</v>
      </c>
      <c r="C239" t="s">
        <v>1976</v>
      </c>
      <c r="D239" s="11" t="s">
        <v>2156</v>
      </c>
      <c r="E239" s="12">
        <v>45818</v>
      </c>
      <c r="F239" s="12">
        <v>45828</v>
      </c>
      <c r="G239" t="s">
        <v>2157</v>
      </c>
      <c r="H239" t="s">
        <v>1599</v>
      </c>
      <c r="I239">
        <v>1000</v>
      </c>
      <c r="J239">
        <v>112.75</v>
      </c>
      <c r="M239">
        <v>6.0999999999999999E-2</v>
      </c>
      <c r="N239">
        <v>61</v>
      </c>
      <c r="O239">
        <v>51.75</v>
      </c>
      <c r="P239">
        <v>45.898000000000003</v>
      </c>
      <c r="Q239" t="s">
        <v>1598</v>
      </c>
    </row>
    <row r="240" spans="1:17" hidden="1" x14ac:dyDescent="0.25">
      <c r="A240" t="s">
        <v>2040</v>
      </c>
      <c r="B240" t="s">
        <v>2041</v>
      </c>
      <c r="C240" t="s">
        <v>1976</v>
      </c>
      <c r="D240" s="11" t="s">
        <v>2156</v>
      </c>
      <c r="E240" s="12">
        <v>45818</v>
      </c>
      <c r="F240" s="12">
        <v>45828</v>
      </c>
      <c r="G240" t="s">
        <v>2157</v>
      </c>
      <c r="H240" t="s">
        <v>1027</v>
      </c>
      <c r="I240">
        <v>172</v>
      </c>
      <c r="J240">
        <v>1337.9329600000001</v>
      </c>
      <c r="M240">
        <v>5.72</v>
      </c>
      <c r="N240">
        <v>983.84</v>
      </c>
      <c r="O240">
        <v>354.09</v>
      </c>
      <c r="P240">
        <v>26.465499999999999</v>
      </c>
      <c r="Q240" t="s">
        <v>1026</v>
      </c>
    </row>
    <row r="241" spans="1:17" hidden="1" x14ac:dyDescent="0.25">
      <c r="A241" t="s">
        <v>2040</v>
      </c>
      <c r="B241" t="s">
        <v>2041</v>
      </c>
      <c r="C241" t="s">
        <v>1976</v>
      </c>
      <c r="D241" s="11" t="s">
        <v>2156</v>
      </c>
      <c r="E241" s="12">
        <v>45818</v>
      </c>
      <c r="F241" s="12">
        <v>45828</v>
      </c>
      <c r="G241" t="s">
        <v>2157</v>
      </c>
      <c r="H241" t="s">
        <v>842</v>
      </c>
      <c r="I241">
        <v>15000</v>
      </c>
      <c r="J241">
        <v>110.25</v>
      </c>
      <c r="M241">
        <v>3.8999999999999998E-3</v>
      </c>
      <c r="N241">
        <v>58.5</v>
      </c>
      <c r="O241">
        <v>51.75</v>
      </c>
      <c r="P241">
        <v>46.938699999999997</v>
      </c>
      <c r="Q241" t="s">
        <v>841</v>
      </c>
    </row>
    <row r="242" spans="1:17" hidden="1" x14ac:dyDescent="0.25">
      <c r="A242" t="s">
        <v>2040</v>
      </c>
      <c r="B242" t="s">
        <v>2041</v>
      </c>
      <c r="C242" t="s">
        <v>1976</v>
      </c>
      <c r="D242" s="11" t="s">
        <v>2156</v>
      </c>
      <c r="E242" s="12">
        <v>45818</v>
      </c>
      <c r="F242" s="12">
        <v>45828</v>
      </c>
      <c r="G242" t="s">
        <v>2157</v>
      </c>
      <c r="H242" t="s">
        <v>2159</v>
      </c>
      <c r="I242">
        <v>50</v>
      </c>
      <c r="J242">
        <v>175.8595</v>
      </c>
      <c r="M242">
        <v>2.41</v>
      </c>
      <c r="N242">
        <v>120.5</v>
      </c>
      <c r="O242">
        <v>55.36</v>
      </c>
      <c r="P242">
        <v>31.479500000000002</v>
      </c>
      <c r="Q242" t="s">
        <v>392</v>
      </c>
    </row>
    <row r="243" spans="1:17" hidden="1" x14ac:dyDescent="0.25">
      <c r="A243" t="s">
        <v>2040</v>
      </c>
      <c r="B243" t="s">
        <v>2041</v>
      </c>
      <c r="C243" t="s">
        <v>1976</v>
      </c>
      <c r="D243" s="11" t="s">
        <v>2156</v>
      </c>
      <c r="E243" s="12">
        <v>45818</v>
      </c>
      <c r="F243" s="12">
        <v>45828</v>
      </c>
      <c r="G243" t="s">
        <v>2157</v>
      </c>
      <c r="H243" t="s">
        <v>280</v>
      </c>
      <c r="I243">
        <v>200</v>
      </c>
      <c r="J243">
        <v>365.392</v>
      </c>
      <c r="M243">
        <v>1.1399999999999999</v>
      </c>
      <c r="N243">
        <v>228</v>
      </c>
      <c r="O243">
        <v>137.38999999999999</v>
      </c>
      <c r="P243">
        <v>37.600900000000003</v>
      </c>
      <c r="Q243" t="s">
        <v>279</v>
      </c>
    </row>
    <row r="244" spans="1:17" hidden="1" x14ac:dyDescent="0.25">
      <c r="A244" t="s">
        <v>2040</v>
      </c>
      <c r="B244" t="s">
        <v>2041</v>
      </c>
      <c r="C244" t="s">
        <v>1976</v>
      </c>
      <c r="D244" s="11" t="s">
        <v>2156</v>
      </c>
      <c r="E244" s="12">
        <v>45818</v>
      </c>
      <c r="F244" s="12">
        <v>45828</v>
      </c>
      <c r="G244" t="s">
        <v>2157</v>
      </c>
      <c r="H244" t="s">
        <v>31</v>
      </c>
      <c r="I244">
        <v>200</v>
      </c>
      <c r="J244">
        <v>593.06799999999998</v>
      </c>
      <c r="M244">
        <v>1.67</v>
      </c>
      <c r="N244">
        <v>334</v>
      </c>
      <c r="O244">
        <v>259.07</v>
      </c>
      <c r="P244">
        <v>43.6828</v>
      </c>
      <c r="Q244" t="s">
        <v>30</v>
      </c>
    </row>
    <row r="245" spans="1:17" hidden="1" x14ac:dyDescent="0.25">
      <c r="A245" t="s">
        <v>2040</v>
      </c>
      <c r="B245" t="s">
        <v>2041</v>
      </c>
      <c r="C245" t="s">
        <v>1976</v>
      </c>
      <c r="D245" s="11" t="s">
        <v>2156</v>
      </c>
      <c r="E245" s="12">
        <v>45818</v>
      </c>
      <c r="F245" s="12">
        <v>45828</v>
      </c>
      <c r="G245" t="s">
        <v>2157</v>
      </c>
      <c r="H245" t="s">
        <v>29</v>
      </c>
      <c r="I245">
        <v>311</v>
      </c>
      <c r="J245">
        <v>1204.15779</v>
      </c>
      <c r="M245">
        <v>2.14</v>
      </c>
      <c r="N245">
        <v>665.54</v>
      </c>
      <c r="O245">
        <v>538.62</v>
      </c>
      <c r="P245">
        <v>44.729900000000001</v>
      </c>
      <c r="Q245" t="s">
        <v>28</v>
      </c>
    </row>
    <row r="246" spans="1:17" hidden="1" x14ac:dyDescent="0.25">
      <c r="A246" t="s">
        <v>2040</v>
      </c>
      <c r="B246" t="s">
        <v>2041</v>
      </c>
      <c r="C246" t="s">
        <v>1976</v>
      </c>
      <c r="D246" s="11" t="s">
        <v>2156</v>
      </c>
      <c r="E246" s="12">
        <v>45818</v>
      </c>
      <c r="F246" s="12">
        <v>45828</v>
      </c>
      <c r="G246" t="s">
        <v>2157</v>
      </c>
      <c r="H246" t="s">
        <v>35</v>
      </c>
      <c r="I246">
        <v>768</v>
      </c>
      <c r="J246">
        <v>1392.9523200000001</v>
      </c>
      <c r="M246">
        <v>1.39</v>
      </c>
      <c r="N246">
        <v>1067.52</v>
      </c>
      <c r="O246">
        <v>325.43</v>
      </c>
      <c r="P246">
        <v>23.3626</v>
      </c>
      <c r="Q246" t="s">
        <v>34</v>
      </c>
    </row>
    <row r="247" spans="1:17" hidden="1" x14ac:dyDescent="0.25">
      <c r="A247" t="s">
        <v>2040</v>
      </c>
      <c r="B247" t="s">
        <v>2041</v>
      </c>
      <c r="C247" t="s">
        <v>1976</v>
      </c>
      <c r="D247" s="11" t="s">
        <v>2156</v>
      </c>
      <c r="E247" s="12">
        <v>45818</v>
      </c>
      <c r="F247" s="12">
        <v>45828</v>
      </c>
      <c r="G247" t="s">
        <v>2157</v>
      </c>
      <c r="H247" t="s">
        <v>2160</v>
      </c>
      <c r="I247">
        <v>250</v>
      </c>
      <c r="J247">
        <v>546.63499999999999</v>
      </c>
      <c r="M247">
        <v>1.45</v>
      </c>
      <c r="N247">
        <v>362.5</v>
      </c>
      <c r="O247">
        <v>184.14</v>
      </c>
      <c r="P247">
        <v>33.685699999999997</v>
      </c>
      <c r="Q247" t="s">
        <v>142</v>
      </c>
    </row>
    <row r="248" spans="1:17" hidden="1" x14ac:dyDescent="0.25">
      <c r="A248" t="s">
        <v>2040</v>
      </c>
      <c r="B248" t="s">
        <v>2041</v>
      </c>
      <c r="C248" t="s">
        <v>1976</v>
      </c>
      <c r="D248" s="11" t="s">
        <v>2156</v>
      </c>
      <c r="E248" s="12">
        <v>45818</v>
      </c>
      <c r="F248" s="12">
        <v>45828</v>
      </c>
      <c r="G248" t="s">
        <v>2157</v>
      </c>
      <c r="H248" t="s">
        <v>1675</v>
      </c>
      <c r="I248">
        <v>3000</v>
      </c>
      <c r="J248">
        <v>2321.19</v>
      </c>
      <c r="M248">
        <v>0.48099999999999998</v>
      </c>
      <c r="N248">
        <v>1443</v>
      </c>
      <c r="O248">
        <v>878.19</v>
      </c>
      <c r="P248">
        <v>37.833599999999997</v>
      </c>
      <c r="Q248" t="s">
        <v>1674</v>
      </c>
    </row>
    <row r="249" spans="1:17" hidden="1" x14ac:dyDescent="0.25">
      <c r="A249" t="s">
        <v>2040</v>
      </c>
      <c r="B249" t="s">
        <v>2041</v>
      </c>
      <c r="C249" t="s">
        <v>1976</v>
      </c>
      <c r="D249" s="11" t="s">
        <v>2156</v>
      </c>
      <c r="E249" s="12">
        <v>45818</v>
      </c>
      <c r="F249" s="12">
        <v>45828</v>
      </c>
      <c r="G249" t="s">
        <v>2157</v>
      </c>
      <c r="H249" t="s">
        <v>1035</v>
      </c>
      <c r="I249">
        <v>2500</v>
      </c>
      <c r="J249">
        <v>2977.9749999999999</v>
      </c>
      <c r="M249">
        <v>0.90500000000000003</v>
      </c>
      <c r="N249">
        <v>2262.5</v>
      </c>
      <c r="O249">
        <v>715.48</v>
      </c>
      <c r="P249">
        <v>24.025600000000001</v>
      </c>
      <c r="Q249" t="s">
        <v>1034</v>
      </c>
    </row>
    <row r="250" spans="1:17" hidden="1" x14ac:dyDescent="0.25">
      <c r="A250" t="s">
        <v>2040</v>
      </c>
      <c r="B250" t="s">
        <v>2041</v>
      </c>
      <c r="C250" t="s">
        <v>1976</v>
      </c>
      <c r="D250" s="11" t="s">
        <v>2156</v>
      </c>
      <c r="E250" s="12">
        <v>45818</v>
      </c>
      <c r="F250" s="12">
        <v>45828</v>
      </c>
      <c r="G250" t="s">
        <v>2157</v>
      </c>
      <c r="H250" t="s">
        <v>1692</v>
      </c>
      <c r="I250">
        <v>3000</v>
      </c>
      <c r="J250">
        <v>356.61</v>
      </c>
      <c r="M250">
        <v>0.06</v>
      </c>
      <c r="N250">
        <v>180</v>
      </c>
      <c r="O250">
        <v>176.61</v>
      </c>
      <c r="P250">
        <v>49.5246</v>
      </c>
      <c r="Q250" t="s">
        <v>1691</v>
      </c>
    </row>
    <row r="251" spans="1:17" hidden="1" x14ac:dyDescent="0.25">
      <c r="A251" t="s">
        <v>2040</v>
      </c>
      <c r="B251" t="s">
        <v>2041</v>
      </c>
      <c r="C251" t="s">
        <v>1976</v>
      </c>
      <c r="D251" s="11" t="s">
        <v>2156</v>
      </c>
      <c r="E251" s="12">
        <v>45818</v>
      </c>
      <c r="F251" s="12">
        <v>45828</v>
      </c>
      <c r="G251" t="s">
        <v>2157</v>
      </c>
      <c r="H251" t="s">
        <v>1696</v>
      </c>
      <c r="I251">
        <v>1970</v>
      </c>
      <c r="J251">
        <v>229.34739999999999</v>
      </c>
      <c r="M251">
        <v>0.08</v>
      </c>
      <c r="N251">
        <v>157.6</v>
      </c>
      <c r="O251">
        <v>71.75</v>
      </c>
      <c r="P251">
        <v>31.283999999999999</v>
      </c>
      <c r="Q251" t="s">
        <v>1695</v>
      </c>
    </row>
    <row r="252" spans="1:17" hidden="1" x14ac:dyDescent="0.25">
      <c r="A252" t="s">
        <v>2040</v>
      </c>
      <c r="B252" t="s">
        <v>2041</v>
      </c>
      <c r="C252" t="s">
        <v>1976</v>
      </c>
      <c r="D252" s="11" t="s">
        <v>2156</v>
      </c>
      <c r="E252" s="12">
        <v>45818</v>
      </c>
      <c r="F252" s="12">
        <v>45828</v>
      </c>
      <c r="G252" t="s">
        <v>2157</v>
      </c>
      <c r="H252" t="s">
        <v>1047</v>
      </c>
      <c r="I252">
        <v>860</v>
      </c>
      <c r="J252">
        <v>800.98680000000002</v>
      </c>
      <c r="M252">
        <v>0.54</v>
      </c>
      <c r="N252">
        <v>464.4</v>
      </c>
      <c r="O252">
        <v>336.59</v>
      </c>
      <c r="P252">
        <v>42.021700000000003</v>
      </c>
      <c r="Q252" t="s">
        <v>1046</v>
      </c>
    </row>
    <row r="253" spans="1:17" hidden="1" x14ac:dyDescent="0.25">
      <c r="A253" t="s">
        <v>2040</v>
      </c>
      <c r="B253" t="s">
        <v>2041</v>
      </c>
      <c r="C253" t="s">
        <v>1976</v>
      </c>
      <c r="D253" s="11" t="s">
        <v>2156</v>
      </c>
      <c r="E253" s="12">
        <v>45818</v>
      </c>
      <c r="F253" s="12">
        <v>45828</v>
      </c>
      <c r="G253" t="s">
        <v>2157</v>
      </c>
      <c r="H253" t="s">
        <v>977</v>
      </c>
      <c r="I253">
        <v>2000</v>
      </c>
      <c r="J253">
        <v>1897.08</v>
      </c>
      <c r="M253">
        <v>0.41</v>
      </c>
      <c r="N253">
        <v>820</v>
      </c>
      <c r="O253">
        <v>1077.08</v>
      </c>
      <c r="P253">
        <v>56.775599999999997</v>
      </c>
      <c r="Q253" t="s">
        <v>976</v>
      </c>
    </row>
    <row r="254" spans="1:17" hidden="1" x14ac:dyDescent="0.25">
      <c r="A254" t="s">
        <v>2040</v>
      </c>
      <c r="B254" t="s">
        <v>2041</v>
      </c>
      <c r="C254" t="s">
        <v>1976</v>
      </c>
      <c r="D254" s="11" t="s">
        <v>2156</v>
      </c>
      <c r="E254" s="12">
        <v>45818</v>
      </c>
      <c r="F254" s="12">
        <v>45828</v>
      </c>
      <c r="G254" t="s">
        <v>2157</v>
      </c>
      <c r="H254" t="s">
        <v>1055</v>
      </c>
      <c r="I254">
        <v>2500</v>
      </c>
      <c r="J254">
        <v>3308.85</v>
      </c>
      <c r="M254">
        <v>0.93899999999999995</v>
      </c>
      <c r="N254">
        <v>2347.5</v>
      </c>
      <c r="O254">
        <v>961.35</v>
      </c>
      <c r="P254">
        <v>29.053899999999999</v>
      </c>
      <c r="Q254" t="s">
        <v>1054</v>
      </c>
    </row>
    <row r="255" spans="1:17" hidden="1" x14ac:dyDescent="0.25">
      <c r="A255" t="s">
        <v>2040</v>
      </c>
      <c r="B255" t="s">
        <v>2041</v>
      </c>
      <c r="C255" t="s">
        <v>1976</v>
      </c>
      <c r="D255" s="11" t="s">
        <v>2156</v>
      </c>
      <c r="E255" s="12">
        <v>45818</v>
      </c>
      <c r="F255" s="12">
        <v>45828</v>
      </c>
      <c r="G255" t="s">
        <v>2157</v>
      </c>
      <c r="H255" t="s">
        <v>2161</v>
      </c>
      <c r="I255">
        <v>250</v>
      </c>
      <c r="J255">
        <v>462.83499999999998</v>
      </c>
      <c r="M255">
        <v>1.28</v>
      </c>
      <c r="N255">
        <v>320</v>
      </c>
      <c r="O255">
        <v>142.84</v>
      </c>
      <c r="P255">
        <v>30.861599999999999</v>
      </c>
      <c r="Q255" t="s">
        <v>141</v>
      </c>
    </row>
    <row r="256" spans="1:17" hidden="1" x14ac:dyDescent="0.25">
      <c r="A256" t="s">
        <v>2040</v>
      </c>
      <c r="B256" t="s">
        <v>2041</v>
      </c>
      <c r="C256" t="s">
        <v>1976</v>
      </c>
      <c r="D256" s="11" t="s">
        <v>2156</v>
      </c>
      <c r="E256" s="12">
        <v>45818</v>
      </c>
      <c r="F256" s="12">
        <v>45828</v>
      </c>
      <c r="G256" t="s">
        <v>2157</v>
      </c>
      <c r="H256" t="s">
        <v>1720</v>
      </c>
      <c r="I256">
        <v>38</v>
      </c>
      <c r="J256">
        <v>181.6191</v>
      </c>
      <c r="M256">
        <v>3.76</v>
      </c>
      <c r="N256">
        <v>142.88</v>
      </c>
      <c r="O256">
        <v>38.74</v>
      </c>
      <c r="P256">
        <v>21.330200000000001</v>
      </c>
      <c r="Q256" t="s">
        <v>1719</v>
      </c>
    </row>
    <row r="257" spans="1:17" hidden="1" x14ac:dyDescent="0.25">
      <c r="A257" t="s">
        <v>2040</v>
      </c>
      <c r="B257" t="s">
        <v>2041</v>
      </c>
      <c r="C257" t="s">
        <v>1976</v>
      </c>
      <c r="D257" s="11" t="s">
        <v>2156</v>
      </c>
      <c r="E257" s="12">
        <v>45818</v>
      </c>
      <c r="F257" s="12">
        <v>45828</v>
      </c>
      <c r="G257" t="s">
        <v>2157</v>
      </c>
      <c r="H257" t="s">
        <v>1015</v>
      </c>
      <c r="I257">
        <v>100</v>
      </c>
      <c r="J257">
        <v>40.195999999999998</v>
      </c>
      <c r="M257">
        <v>0.36864000000000002</v>
      </c>
      <c r="N257">
        <v>36.863999999999997</v>
      </c>
      <c r="O257">
        <v>3.3359999999999999</v>
      </c>
      <c r="P257">
        <v>8.2985000000000007</v>
      </c>
      <c r="Q257" t="s">
        <v>1014</v>
      </c>
    </row>
    <row r="258" spans="1:17" hidden="1" x14ac:dyDescent="0.25">
      <c r="A258" t="s">
        <v>2040</v>
      </c>
      <c r="B258" t="s">
        <v>2041</v>
      </c>
      <c r="C258" t="s">
        <v>1976</v>
      </c>
      <c r="D258" s="11" t="s">
        <v>2156</v>
      </c>
      <c r="E258" s="12">
        <v>45818</v>
      </c>
      <c r="F258" s="12">
        <v>45828</v>
      </c>
      <c r="G258" t="s">
        <v>2157</v>
      </c>
      <c r="H258" t="s">
        <v>1017</v>
      </c>
      <c r="I258">
        <v>1000</v>
      </c>
      <c r="J258">
        <v>246.33</v>
      </c>
      <c r="M258">
        <v>0.18340000000000001</v>
      </c>
      <c r="N258">
        <v>183.4</v>
      </c>
      <c r="O258">
        <v>62.93</v>
      </c>
      <c r="P258">
        <v>25.547000000000001</v>
      </c>
      <c r="Q258" t="s">
        <v>1016</v>
      </c>
    </row>
    <row r="259" spans="1:17" hidden="1" x14ac:dyDescent="0.25">
      <c r="A259" t="s">
        <v>2040</v>
      </c>
      <c r="B259" t="s">
        <v>2041</v>
      </c>
      <c r="C259" t="s">
        <v>1976</v>
      </c>
      <c r="D259" s="11" t="s">
        <v>2156</v>
      </c>
      <c r="E259" s="12">
        <v>45818</v>
      </c>
      <c r="F259" s="12">
        <v>45828</v>
      </c>
      <c r="G259" t="s">
        <v>2157</v>
      </c>
      <c r="H259" t="s">
        <v>1751</v>
      </c>
      <c r="I259">
        <v>26</v>
      </c>
      <c r="J259">
        <v>1002.5496000000001</v>
      </c>
      <c r="M259">
        <v>34.68</v>
      </c>
      <c r="N259">
        <v>901.68</v>
      </c>
      <c r="O259">
        <v>100.87</v>
      </c>
      <c r="P259">
        <v>10.061299999999999</v>
      </c>
      <c r="Q259" t="s">
        <v>1750</v>
      </c>
    </row>
    <row r="260" spans="1:17" hidden="1" x14ac:dyDescent="0.25">
      <c r="A260" t="s">
        <v>2040</v>
      </c>
      <c r="B260" t="s">
        <v>2041</v>
      </c>
      <c r="C260" t="s">
        <v>1976</v>
      </c>
      <c r="D260" s="11" t="s">
        <v>2156</v>
      </c>
      <c r="E260" s="12">
        <v>45818</v>
      </c>
      <c r="F260" s="12">
        <v>45828</v>
      </c>
      <c r="G260" t="s">
        <v>2157</v>
      </c>
      <c r="H260" t="s">
        <v>695</v>
      </c>
      <c r="I260">
        <v>5999</v>
      </c>
      <c r="J260">
        <v>54.89085</v>
      </c>
      <c r="M260">
        <v>8.9999999999999998E-4</v>
      </c>
      <c r="N260">
        <v>5.3990999999999998</v>
      </c>
      <c r="O260">
        <v>49.490900000000003</v>
      </c>
      <c r="P260">
        <v>90.163700000000006</v>
      </c>
      <c r="Q260" t="s">
        <v>2162</v>
      </c>
    </row>
    <row r="261" spans="1:17" hidden="1" x14ac:dyDescent="0.25">
      <c r="A261" t="s">
        <v>2040</v>
      </c>
      <c r="B261" t="s">
        <v>2041</v>
      </c>
      <c r="C261" t="s">
        <v>1976</v>
      </c>
      <c r="D261" s="11" t="s">
        <v>2156</v>
      </c>
      <c r="E261" s="12">
        <v>45818</v>
      </c>
      <c r="F261" s="12">
        <v>45828</v>
      </c>
      <c r="G261" t="s">
        <v>2157</v>
      </c>
      <c r="H261" t="s">
        <v>1629</v>
      </c>
      <c r="I261">
        <v>3000</v>
      </c>
      <c r="J261">
        <v>1198.53</v>
      </c>
      <c r="M261">
        <v>0.21</v>
      </c>
      <c r="N261">
        <v>630</v>
      </c>
      <c r="O261">
        <v>568.53</v>
      </c>
      <c r="P261">
        <v>47.435600000000001</v>
      </c>
      <c r="Q261" t="s">
        <v>1628</v>
      </c>
    </row>
    <row r="262" spans="1:17" hidden="1" x14ac:dyDescent="0.25">
      <c r="A262" t="s">
        <v>2040</v>
      </c>
      <c r="B262" t="s">
        <v>2041</v>
      </c>
      <c r="C262" t="s">
        <v>1976</v>
      </c>
      <c r="D262" s="11" t="s">
        <v>2156</v>
      </c>
      <c r="E262" s="12">
        <v>45818</v>
      </c>
      <c r="F262" s="12">
        <v>45828</v>
      </c>
      <c r="G262" t="s">
        <v>2157</v>
      </c>
      <c r="H262" t="s">
        <v>701</v>
      </c>
      <c r="I262">
        <v>4000</v>
      </c>
      <c r="J262">
        <v>151.96</v>
      </c>
      <c r="M262">
        <v>1.7600000000000001E-2</v>
      </c>
      <c r="N262">
        <v>70.400000000000006</v>
      </c>
      <c r="O262">
        <v>81.56</v>
      </c>
      <c r="P262">
        <v>53.671999999999997</v>
      </c>
      <c r="Q262" t="s">
        <v>700</v>
      </c>
    </row>
    <row r="263" spans="1:17" hidden="1" x14ac:dyDescent="0.25">
      <c r="A263" t="s">
        <v>2040</v>
      </c>
      <c r="B263" t="s">
        <v>2041</v>
      </c>
      <c r="C263" t="s">
        <v>1976</v>
      </c>
      <c r="D263" s="11" t="s">
        <v>2156</v>
      </c>
      <c r="E263" s="12">
        <v>45818</v>
      </c>
      <c r="F263" s="12">
        <v>45828</v>
      </c>
      <c r="G263" t="s">
        <v>2157</v>
      </c>
      <c r="H263" t="s">
        <v>1813</v>
      </c>
      <c r="I263">
        <v>500</v>
      </c>
      <c r="J263">
        <v>142.85499999999999</v>
      </c>
      <c r="M263">
        <v>0.28999999999999998</v>
      </c>
      <c r="N263">
        <v>145</v>
      </c>
      <c r="O263">
        <v>-2.14</v>
      </c>
      <c r="P263">
        <v>-1.4979</v>
      </c>
      <c r="Q263" t="s">
        <v>1812</v>
      </c>
    </row>
    <row r="264" spans="1:17" hidden="1" x14ac:dyDescent="0.25">
      <c r="A264" t="s">
        <v>2040</v>
      </c>
      <c r="B264" t="s">
        <v>2041</v>
      </c>
      <c r="C264" t="s">
        <v>1976</v>
      </c>
      <c r="D264" s="11" t="s">
        <v>2156</v>
      </c>
      <c r="E264" s="12">
        <v>45818</v>
      </c>
      <c r="F264" s="12">
        <v>45828</v>
      </c>
      <c r="G264" t="s">
        <v>2157</v>
      </c>
      <c r="H264" t="s">
        <v>945</v>
      </c>
      <c r="I264">
        <v>222</v>
      </c>
      <c r="J264">
        <v>315.59075999999999</v>
      </c>
      <c r="M264">
        <v>1.32</v>
      </c>
      <c r="N264">
        <v>293.04000000000002</v>
      </c>
      <c r="O264">
        <v>22.55</v>
      </c>
      <c r="P264">
        <v>7.1452999999999998</v>
      </c>
      <c r="Q264" t="s">
        <v>944</v>
      </c>
    </row>
    <row r="265" spans="1:17" hidden="1" x14ac:dyDescent="0.25">
      <c r="A265" t="s">
        <v>2040</v>
      </c>
      <c r="B265" t="s">
        <v>2041</v>
      </c>
      <c r="C265" t="s">
        <v>1976</v>
      </c>
      <c r="D265" s="11" t="s">
        <v>2156</v>
      </c>
      <c r="E265" s="12">
        <v>45818</v>
      </c>
      <c r="F265" s="12">
        <v>45828</v>
      </c>
      <c r="G265" t="s">
        <v>2157</v>
      </c>
      <c r="H265" t="s">
        <v>1819</v>
      </c>
      <c r="I265">
        <v>125</v>
      </c>
      <c r="J265">
        <v>355.39499999999998</v>
      </c>
      <c r="M265">
        <v>3.16</v>
      </c>
      <c r="N265">
        <v>395</v>
      </c>
      <c r="O265">
        <v>-39.6</v>
      </c>
      <c r="P265">
        <v>-11.142300000000001</v>
      </c>
      <c r="Q265" t="s">
        <v>1818</v>
      </c>
    </row>
    <row r="266" spans="1:17" hidden="1" x14ac:dyDescent="0.25">
      <c r="A266" t="s">
        <v>2040</v>
      </c>
      <c r="B266" t="s">
        <v>2041</v>
      </c>
      <c r="C266" t="s">
        <v>1976</v>
      </c>
      <c r="D266" s="11" t="s">
        <v>2156</v>
      </c>
      <c r="E266" s="12">
        <v>45818</v>
      </c>
      <c r="F266" s="12">
        <v>45828</v>
      </c>
      <c r="G266" t="s">
        <v>2157</v>
      </c>
      <c r="H266" t="s">
        <v>1821</v>
      </c>
      <c r="I266">
        <v>115</v>
      </c>
      <c r="J266">
        <v>465.07724999999999</v>
      </c>
      <c r="M266">
        <v>5.61</v>
      </c>
      <c r="N266">
        <v>645.15</v>
      </c>
      <c r="O266">
        <v>-180.07</v>
      </c>
      <c r="P266">
        <v>-38.718000000000004</v>
      </c>
      <c r="Q266" t="s">
        <v>1820</v>
      </c>
    </row>
    <row r="267" spans="1:17" hidden="1" x14ac:dyDescent="0.25">
      <c r="A267" t="s">
        <v>2040</v>
      </c>
      <c r="B267" t="s">
        <v>2041</v>
      </c>
      <c r="C267" t="s">
        <v>1976</v>
      </c>
      <c r="D267" s="11" t="s">
        <v>2156</v>
      </c>
      <c r="E267" s="12">
        <v>45818</v>
      </c>
      <c r="F267" s="12">
        <v>45828</v>
      </c>
      <c r="G267" t="s">
        <v>2157</v>
      </c>
      <c r="H267" t="s">
        <v>1817</v>
      </c>
      <c r="I267">
        <v>300</v>
      </c>
      <c r="J267">
        <v>156.65700000000001</v>
      </c>
      <c r="M267">
        <v>0.53</v>
      </c>
      <c r="N267">
        <v>159</v>
      </c>
      <c r="O267">
        <v>-2.34</v>
      </c>
      <c r="P267">
        <v>-1.4936</v>
      </c>
      <c r="Q267" t="s">
        <v>1816</v>
      </c>
    </row>
    <row r="268" spans="1:17" hidden="1" x14ac:dyDescent="0.25">
      <c r="A268" t="s">
        <v>2040</v>
      </c>
      <c r="B268" t="s">
        <v>2041</v>
      </c>
      <c r="C268" t="s">
        <v>1976</v>
      </c>
      <c r="D268" s="11" t="s">
        <v>2156</v>
      </c>
      <c r="E268" s="12">
        <v>45818</v>
      </c>
      <c r="F268" s="12">
        <v>45828</v>
      </c>
      <c r="G268" t="s">
        <v>2157</v>
      </c>
      <c r="H268" t="s">
        <v>1718</v>
      </c>
      <c r="I268">
        <v>50</v>
      </c>
      <c r="J268">
        <v>172.40350000000001</v>
      </c>
      <c r="M268">
        <v>3.41</v>
      </c>
      <c r="N268">
        <v>170.5</v>
      </c>
      <c r="O268">
        <v>1.9</v>
      </c>
      <c r="P268">
        <v>1.1020000000000001</v>
      </c>
      <c r="Q268" t="s">
        <v>1717</v>
      </c>
    </row>
    <row r="269" spans="1:17" hidden="1" x14ac:dyDescent="0.25">
      <c r="A269" t="s">
        <v>2040</v>
      </c>
      <c r="B269" t="s">
        <v>2041</v>
      </c>
      <c r="C269" t="s">
        <v>1976</v>
      </c>
      <c r="D269" s="11" t="s">
        <v>2156</v>
      </c>
      <c r="E269" s="12">
        <v>45818</v>
      </c>
      <c r="F269" s="12">
        <v>45828</v>
      </c>
      <c r="G269" t="s">
        <v>2157</v>
      </c>
      <c r="H269" t="s">
        <v>1205</v>
      </c>
      <c r="I269">
        <v>30</v>
      </c>
      <c r="J269">
        <v>45.956400000000002</v>
      </c>
      <c r="M269">
        <v>1.56</v>
      </c>
      <c r="N269">
        <v>46.8</v>
      </c>
      <c r="O269">
        <v>-0.84</v>
      </c>
      <c r="P269">
        <v>-1.8275999999999999</v>
      </c>
      <c r="Q269" t="s">
        <v>1204</v>
      </c>
    </row>
    <row r="270" spans="1:17" hidden="1" x14ac:dyDescent="0.25">
      <c r="A270" t="s">
        <v>2040</v>
      </c>
      <c r="B270" t="s">
        <v>2041</v>
      </c>
      <c r="C270" t="s">
        <v>1976</v>
      </c>
      <c r="D270" s="11" t="s">
        <v>2156</v>
      </c>
      <c r="E270" s="12">
        <v>45818</v>
      </c>
      <c r="F270" s="12">
        <v>45828</v>
      </c>
      <c r="G270" t="s">
        <v>2157</v>
      </c>
      <c r="H270" t="s">
        <v>1720</v>
      </c>
      <c r="I270">
        <v>4</v>
      </c>
      <c r="J270">
        <v>19.117799999999999</v>
      </c>
      <c r="M270">
        <v>3.16</v>
      </c>
      <c r="N270">
        <v>12.64</v>
      </c>
      <c r="O270">
        <v>6.48</v>
      </c>
      <c r="P270">
        <v>33.891199999999998</v>
      </c>
      <c r="Q270" t="s">
        <v>1719</v>
      </c>
    </row>
    <row r="271" spans="1:17" hidden="1" x14ac:dyDescent="0.25">
      <c r="A271" t="s">
        <v>2040</v>
      </c>
      <c r="B271" t="s">
        <v>2041</v>
      </c>
      <c r="C271" t="s">
        <v>1976</v>
      </c>
      <c r="D271" s="11" t="s">
        <v>2156</v>
      </c>
      <c r="E271" s="12">
        <v>45818</v>
      </c>
      <c r="F271" s="12">
        <v>45828</v>
      </c>
      <c r="G271" t="s">
        <v>2157</v>
      </c>
      <c r="H271" t="s">
        <v>246</v>
      </c>
      <c r="I271">
        <v>500</v>
      </c>
      <c r="J271">
        <v>2579.6799999999998</v>
      </c>
      <c r="M271">
        <v>2.2799999999999998</v>
      </c>
      <c r="N271">
        <v>1140</v>
      </c>
      <c r="O271">
        <v>1439.68</v>
      </c>
      <c r="P271">
        <v>55.808399999999999</v>
      </c>
      <c r="Q271" t="s">
        <v>245</v>
      </c>
    </row>
    <row r="272" spans="1:17" hidden="1" x14ac:dyDescent="0.25">
      <c r="A272" t="s">
        <v>2040</v>
      </c>
      <c r="B272" t="s">
        <v>2041</v>
      </c>
      <c r="C272" t="s">
        <v>1976</v>
      </c>
      <c r="D272" s="11" t="s">
        <v>2156</v>
      </c>
      <c r="E272" s="12">
        <v>45818</v>
      </c>
      <c r="F272" s="12">
        <v>45828</v>
      </c>
      <c r="G272" t="s">
        <v>2157</v>
      </c>
      <c r="H272" t="s">
        <v>504</v>
      </c>
      <c r="I272">
        <v>1000</v>
      </c>
      <c r="J272">
        <v>1180.1600000000001</v>
      </c>
      <c r="M272">
        <v>0.12</v>
      </c>
      <c r="N272">
        <v>120</v>
      </c>
      <c r="O272">
        <v>1060.1600000000001</v>
      </c>
      <c r="P272">
        <v>89.831800000000001</v>
      </c>
      <c r="Q272" t="s">
        <v>503</v>
      </c>
    </row>
    <row r="273" spans="1:17" hidden="1" x14ac:dyDescent="0.25">
      <c r="A273" t="s">
        <v>2040</v>
      </c>
      <c r="B273" t="s">
        <v>2041</v>
      </c>
      <c r="C273" t="s">
        <v>1976</v>
      </c>
      <c r="D273" s="11" t="s">
        <v>2156</v>
      </c>
      <c r="E273" s="12">
        <v>45818</v>
      </c>
      <c r="F273" s="12">
        <v>45828</v>
      </c>
      <c r="G273" t="s">
        <v>2157</v>
      </c>
      <c r="H273" t="s">
        <v>458</v>
      </c>
      <c r="I273">
        <v>20</v>
      </c>
      <c r="J273">
        <v>53.431800000000003</v>
      </c>
      <c r="M273">
        <v>0.216</v>
      </c>
      <c r="N273">
        <v>4.32</v>
      </c>
      <c r="O273">
        <v>49.11</v>
      </c>
      <c r="P273">
        <v>91.914599999999993</v>
      </c>
      <c r="Q273" t="s">
        <v>457</v>
      </c>
    </row>
    <row r="274" spans="1:17" hidden="1" x14ac:dyDescent="0.25">
      <c r="A274" t="s">
        <v>2040</v>
      </c>
      <c r="B274" t="s">
        <v>2041</v>
      </c>
      <c r="C274" t="s">
        <v>1976</v>
      </c>
      <c r="D274" s="11" t="s">
        <v>2156</v>
      </c>
      <c r="E274" s="12">
        <v>45818</v>
      </c>
      <c r="F274" s="12">
        <v>45828</v>
      </c>
      <c r="G274" t="s">
        <v>2157</v>
      </c>
      <c r="H274" t="s">
        <v>1801</v>
      </c>
      <c r="I274">
        <v>430</v>
      </c>
      <c r="J274">
        <v>822.06539999999995</v>
      </c>
      <c r="M274">
        <v>0.63</v>
      </c>
      <c r="N274">
        <v>270.89999999999998</v>
      </c>
      <c r="O274">
        <v>551.16999999999996</v>
      </c>
      <c r="P274">
        <v>67.046599999999998</v>
      </c>
      <c r="Q274" t="s">
        <v>1800</v>
      </c>
    </row>
    <row r="275" spans="1:17" hidden="1" x14ac:dyDescent="0.25">
      <c r="A275" t="s">
        <v>2040</v>
      </c>
      <c r="B275" t="s">
        <v>2041</v>
      </c>
      <c r="C275" t="s">
        <v>1976</v>
      </c>
      <c r="D275" s="11" t="s">
        <v>2156</v>
      </c>
      <c r="E275" s="12">
        <v>45818</v>
      </c>
      <c r="F275" s="12">
        <v>45828</v>
      </c>
      <c r="G275" t="s">
        <v>2157</v>
      </c>
      <c r="H275" t="s">
        <v>606</v>
      </c>
      <c r="I275">
        <v>10000</v>
      </c>
      <c r="J275">
        <v>57.6</v>
      </c>
      <c r="M275">
        <v>3.6000000000000002E-4</v>
      </c>
      <c r="N275">
        <v>3.6</v>
      </c>
      <c r="O275">
        <v>54</v>
      </c>
      <c r="P275">
        <v>93.75</v>
      </c>
      <c r="Q275" t="s">
        <v>605</v>
      </c>
    </row>
    <row r="276" spans="1:17" hidden="1" x14ac:dyDescent="0.25">
      <c r="A276" t="s">
        <v>2040</v>
      </c>
      <c r="B276" t="s">
        <v>2041</v>
      </c>
      <c r="C276" t="s">
        <v>1976</v>
      </c>
      <c r="D276" s="11" t="s">
        <v>2156</v>
      </c>
      <c r="E276" s="12">
        <v>45818</v>
      </c>
      <c r="F276" s="12">
        <v>45828</v>
      </c>
      <c r="G276" t="s">
        <v>2157</v>
      </c>
      <c r="H276" t="s">
        <v>608</v>
      </c>
      <c r="I276">
        <v>9900</v>
      </c>
      <c r="J276">
        <v>60.686999999999998</v>
      </c>
      <c r="M276">
        <v>8.7000000000000001E-4</v>
      </c>
      <c r="N276">
        <v>8.6129999999999995</v>
      </c>
      <c r="O276">
        <v>52.076999999999998</v>
      </c>
      <c r="P276">
        <v>85.808199999999999</v>
      </c>
      <c r="Q276" t="s">
        <v>607</v>
      </c>
    </row>
    <row r="277" spans="1:17" hidden="1" x14ac:dyDescent="0.25">
      <c r="A277" t="s">
        <v>2040</v>
      </c>
      <c r="B277" t="s">
        <v>2041</v>
      </c>
      <c r="C277" t="s">
        <v>1976</v>
      </c>
      <c r="D277" s="11" t="s">
        <v>2156</v>
      </c>
      <c r="E277" s="12">
        <v>45818</v>
      </c>
      <c r="F277" s="12">
        <v>45828</v>
      </c>
      <c r="G277" t="s">
        <v>2157</v>
      </c>
      <c r="H277" t="s">
        <v>610</v>
      </c>
      <c r="I277">
        <v>10000</v>
      </c>
      <c r="J277">
        <v>36.799999999999997</v>
      </c>
      <c r="M277">
        <v>3.8000000000000002E-4</v>
      </c>
      <c r="N277">
        <v>3.8</v>
      </c>
      <c r="O277">
        <v>33</v>
      </c>
      <c r="P277">
        <v>89.673900000000003</v>
      </c>
      <c r="Q277" t="s">
        <v>609</v>
      </c>
    </row>
    <row r="278" spans="1:17" hidden="1" x14ac:dyDescent="0.25">
      <c r="A278" t="s">
        <v>2040</v>
      </c>
      <c r="B278" t="s">
        <v>2041</v>
      </c>
      <c r="C278" t="s">
        <v>1976</v>
      </c>
      <c r="D278" s="11" t="s">
        <v>2156</v>
      </c>
      <c r="E278" s="12">
        <v>45818</v>
      </c>
      <c r="F278" s="12">
        <v>45828</v>
      </c>
      <c r="G278" t="s">
        <v>2157</v>
      </c>
      <c r="H278" t="s">
        <v>472</v>
      </c>
      <c r="I278">
        <v>5000</v>
      </c>
      <c r="J278">
        <v>24.5</v>
      </c>
      <c r="M278">
        <v>1.2099999999999999E-3</v>
      </c>
      <c r="N278">
        <v>6.05</v>
      </c>
      <c r="O278">
        <v>18.45</v>
      </c>
      <c r="P278">
        <v>75.306100000000001</v>
      </c>
      <c r="Q278" t="s">
        <v>471</v>
      </c>
    </row>
    <row r="279" spans="1:17" hidden="1" x14ac:dyDescent="0.25">
      <c r="A279" t="s">
        <v>2040</v>
      </c>
      <c r="B279" t="s">
        <v>2041</v>
      </c>
      <c r="C279" t="s">
        <v>1976</v>
      </c>
      <c r="D279" s="11" t="s">
        <v>2156</v>
      </c>
      <c r="E279" s="12">
        <v>45818</v>
      </c>
      <c r="F279" s="12">
        <v>45828</v>
      </c>
      <c r="G279" t="s">
        <v>2157</v>
      </c>
      <c r="H279" t="s">
        <v>1316</v>
      </c>
      <c r="I279">
        <v>10000</v>
      </c>
      <c r="J279">
        <v>24.5</v>
      </c>
      <c r="M279">
        <v>2.5000000000000001E-4</v>
      </c>
      <c r="N279">
        <v>2.5</v>
      </c>
      <c r="O279">
        <v>22</v>
      </c>
      <c r="P279">
        <v>89.795900000000003</v>
      </c>
      <c r="Q279" t="s">
        <v>1315</v>
      </c>
    </row>
    <row r="280" spans="1:17" hidden="1" x14ac:dyDescent="0.25">
      <c r="A280" t="s">
        <v>2040</v>
      </c>
      <c r="B280" t="s">
        <v>2041</v>
      </c>
      <c r="C280" t="s">
        <v>1976</v>
      </c>
      <c r="D280" s="11" t="s">
        <v>2156</v>
      </c>
      <c r="E280" s="12">
        <v>45818</v>
      </c>
      <c r="F280" s="12">
        <v>45828</v>
      </c>
      <c r="G280" t="s">
        <v>2157</v>
      </c>
      <c r="H280" t="s">
        <v>1322</v>
      </c>
      <c r="I280">
        <v>10000</v>
      </c>
      <c r="J280">
        <v>24.5</v>
      </c>
      <c r="M280">
        <v>2.5000000000000001E-4</v>
      </c>
      <c r="N280">
        <v>2.5</v>
      </c>
      <c r="O280">
        <v>22</v>
      </c>
      <c r="P280">
        <v>89.795900000000003</v>
      </c>
      <c r="Q280" t="s">
        <v>1321</v>
      </c>
    </row>
    <row r="281" spans="1:17" hidden="1" x14ac:dyDescent="0.25">
      <c r="A281" t="s">
        <v>2040</v>
      </c>
      <c r="B281" t="s">
        <v>2041</v>
      </c>
      <c r="C281" t="s">
        <v>1976</v>
      </c>
      <c r="D281" s="11" t="s">
        <v>2156</v>
      </c>
      <c r="E281" s="12">
        <v>45818</v>
      </c>
      <c r="F281" s="12">
        <v>45828</v>
      </c>
      <c r="G281" t="s">
        <v>2157</v>
      </c>
      <c r="H281" t="s">
        <v>1338</v>
      </c>
      <c r="I281">
        <v>9900</v>
      </c>
      <c r="J281">
        <v>24.254999999999999</v>
      </c>
      <c r="M281">
        <v>2.5000000000000001E-4</v>
      </c>
      <c r="N281">
        <v>2.4750000000000001</v>
      </c>
      <c r="O281">
        <v>21.785</v>
      </c>
      <c r="P281">
        <v>89.798000000000002</v>
      </c>
      <c r="Q281" t="s">
        <v>1337</v>
      </c>
    </row>
    <row r="282" spans="1:17" hidden="1" x14ac:dyDescent="0.25">
      <c r="A282" t="s">
        <v>2040</v>
      </c>
      <c r="B282" t="s">
        <v>2041</v>
      </c>
      <c r="C282" t="s">
        <v>1976</v>
      </c>
      <c r="D282" s="11" t="s">
        <v>2156</v>
      </c>
      <c r="E282" s="12">
        <v>45818</v>
      </c>
      <c r="F282" s="12">
        <v>45828</v>
      </c>
      <c r="G282" t="s">
        <v>2157</v>
      </c>
      <c r="H282" t="s">
        <v>1356</v>
      </c>
      <c r="I282">
        <v>5000</v>
      </c>
      <c r="J282">
        <v>24.5</v>
      </c>
      <c r="M282">
        <v>4.6999999999999999E-4</v>
      </c>
      <c r="N282">
        <v>2.35</v>
      </c>
      <c r="O282">
        <v>22.15</v>
      </c>
      <c r="P282">
        <v>90.408100000000005</v>
      </c>
      <c r="Q282" t="s">
        <v>1355</v>
      </c>
    </row>
    <row r="283" spans="1:17" hidden="1" x14ac:dyDescent="0.25">
      <c r="A283" t="s">
        <v>2040</v>
      </c>
      <c r="B283" t="s">
        <v>2041</v>
      </c>
      <c r="C283" t="s">
        <v>1976</v>
      </c>
      <c r="D283" s="11" t="s">
        <v>2156</v>
      </c>
      <c r="E283" s="12">
        <v>45818</v>
      </c>
      <c r="F283" s="12">
        <v>45828</v>
      </c>
      <c r="G283" t="s">
        <v>2157</v>
      </c>
      <c r="H283" t="s">
        <v>1354</v>
      </c>
      <c r="I283">
        <v>10000</v>
      </c>
      <c r="J283">
        <v>36.299999999999997</v>
      </c>
      <c r="M283">
        <v>4.6999999999999999E-4</v>
      </c>
      <c r="N283">
        <v>4.7</v>
      </c>
      <c r="O283">
        <v>31.6</v>
      </c>
      <c r="P283">
        <v>87.052300000000002</v>
      </c>
      <c r="Q283" t="s">
        <v>1353</v>
      </c>
    </row>
    <row r="284" spans="1:17" hidden="1" x14ac:dyDescent="0.25">
      <c r="A284" t="s">
        <v>2040</v>
      </c>
      <c r="B284" t="s">
        <v>2041</v>
      </c>
      <c r="C284" t="s">
        <v>1976</v>
      </c>
      <c r="D284" s="11" t="s">
        <v>2156</v>
      </c>
      <c r="E284" s="12">
        <v>45818</v>
      </c>
      <c r="F284" s="12">
        <v>45828</v>
      </c>
      <c r="G284" t="s">
        <v>2157</v>
      </c>
      <c r="H284" t="s">
        <v>1358</v>
      </c>
      <c r="I284">
        <v>5000</v>
      </c>
      <c r="J284">
        <v>18.399999999999999</v>
      </c>
      <c r="M284">
        <v>4.6999999999999999E-4</v>
      </c>
      <c r="N284">
        <v>2.35</v>
      </c>
      <c r="O284">
        <v>16.05</v>
      </c>
      <c r="P284">
        <v>87.228200000000001</v>
      </c>
      <c r="Q284" t="s">
        <v>1357</v>
      </c>
    </row>
    <row r="285" spans="1:17" hidden="1" x14ac:dyDescent="0.25">
      <c r="A285" t="s">
        <v>2040</v>
      </c>
      <c r="B285" t="s">
        <v>2041</v>
      </c>
      <c r="C285" t="s">
        <v>1976</v>
      </c>
      <c r="D285" s="11" t="s">
        <v>2156</v>
      </c>
      <c r="E285" s="12">
        <v>45818</v>
      </c>
      <c r="F285" s="12">
        <v>45828</v>
      </c>
      <c r="G285" t="s">
        <v>2157</v>
      </c>
      <c r="H285" t="s">
        <v>1360</v>
      </c>
      <c r="I285">
        <v>5000</v>
      </c>
      <c r="J285">
        <v>15.45</v>
      </c>
      <c r="M285">
        <v>4.4999999999999999E-4</v>
      </c>
      <c r="N285">
        <v>2.25</v>
      </c>
      <c r="O285">
        <v>13.2</v>
      </c>
      <c r="P285">
        <v>85.436800000000005</v>
      </c>
      <c r="Q285" t="s">
        <v>1359</v>
      </c>
    </row>
    <row r="286" spans="1:17" hidden="1" x14ac:dyDescent="0.25">
      <c r="A286" t="s">
        <v>2040</v>
      </c>
      <c r="B286" t="s">
        <v>2041</v>
      </c>
      <c r="C286" t="s">
        <v>1976</v>
      </c>
      <c r="D286" s="11" t="s">
        <v>2156</v>
      </c>
      <c r="E286" s="12">
        <v>45818</v>
      </c>
      <c r="F286" s="12">
        <v>45828</v>
      </c>
      <c r="G286" t="s">
        <v>2157</v>
      </c>
      <c r="H286" t="s">
        <v>1368</v>
      </c>
      <c r="I286">
        <v>5000</v>
      </c>
      <c r="J286">
        <v>30.65</v>
      </c>
      <c r="M286">
        <v>8.9999999999999998E-4</v>
      </c>
      <c r="N286">
        <v>4.5</v>
      </c>
      <c r="O286">
        <v>26.15</v>
      </c>
      <c r="P286">
        <v>85.318100000000001</v>
      </c>
      <c r="Q286" t="s">
        <v>1367</v>
      </c>
    </row>
    <row r="287" spans="1:17" hidden="1" x14ac:dyDescent="0.25">
      <c r="A287" t="s">
        <v>2040</v>
      </c>
      <c r="B287" t="s">
        <v>2041</v>
      </c>
      <c r="C287" t="s">
        <v>1976</v>
      </c>
      <c r="D287" s="11" t="s">
        <v>2156</v>
      </c>
      <c r="E287" s="12">
        <v>45818</v>
      </c>
      <c r="F287" s="12">
        <v>45828</v>
      </c>
      <c r="G287" t="s">
        <v>2157</v>
      </c>
      <c r="H287" t="s">
        <v>1302</v>
      </c>
      <c r="I287">
        <v>10000</v>
      </c>
      <c r="J287">
        <v>36.799999999999997</v>
      </c>
      <c r="M287">
        <v>2.5000000000000001E-4</v>
      </c>
      <c r="N287">
        <v>2.5</v>
      </c>
      <c r="O287">
        <v>34.299999999999997</v>
      </c>
      <c r="P287">
        <v>93.206500000000005</v>
      </c>
      <c r="Q287" t="s">
        <v>1301</v>
      </c>
    </row>
    <row r="288" spans="1:17" hidden="1" x14ac:dyDescent="0.25">
      <c r="A288" t="s">
        <v>2040</v>
      </c>
      <c r="B288" t="s">
        <v>2041</v>
      </c>
      <c r="C288" t="s">
        <v>1976</v>
      </c>
      <c r="D288" s="11" t="s">
        <v>2156</v>
      </c>
      <c r="E288" s="12">
        <v>45818</v>
      </c>
      <c r="F288" s="12">
        <v>45828</v>
      </c>
      <c r="G288" t="s">
        <v>2157</v>
      </c>
      <c r="H288" t="s">
        <v>1364</v>
      </c>
      <c r="I288">
        <v>4900</v>
      </c>
      <c r="J288">
        <v>29.547000000000001</v>
      </c>
      <c r="M288">
        <v>8.9999999999999998E-4</v>
      </c>
      <c r="N288">
        <v>4.41</v>
      </c>
      <c r="O288">
        <v>25.14</v>
      </c>
      <c r="P288">
        <v>85.076099999999997</v>
      </c>
      <c r="Q288" t="s">
        <v>1363</v>
      </c>
    </row>
    <row r="289" spans="1:17" hidden="1" x14ac:dyDescent="0.25">
      <c r="A289" t="s">
        <v>2040</v>
      </c>
      <c r="B289" t="s">
        <v>2041</v>
      </c>
      <c r="C289" t="s">
        <v>1976</v>
      </c>
      <c r="D289" s="11" t="s">
        <v>2156</v>
      </c>
      <c r="E289" s="12">
        <v>45818</v>
      </c>
      <c r="F289" s="12">
        <v>45828</v>
      </c>
      <c r="G289" t="s">
        <v>2157</v>
      </c>
      <c r="H289" t="s">
        <v>1384</v>
      </c>
      <c r="I289">
        <v>5000</v>
      </c>
      <c r="J289">
        <v>18.399999999999999</v>
      </c>
      <c r="M289">
        <v>7.3999999999999999E-4</v>
      </c>
      <c r="N289">
        <v>3.7</v>
      </c>
      <c r="O289">
        <v>14.7</v>
      </c>
      <c r="P289">
        <v>79.891300000000001</v>
      </c>
      <c r="Q289" t="s">
        <v>1383</v>
      </c>
    </row>
    <row r="290" spans="1:17" hidden="1" x14ac:dyDescent="0.25">
      <c r="A290" t="s">
        <v>2040</v>
      </c>
      <c r="B290" t="s">
        <v>2041</v>
      </c>
      <c r="C290" t="s">
        <v>1976</v>
      </c>
      <c r="D290" s="11" t="s">
        <v>2156</v>
      </c>
      <c r="E290" s="12">
        <v>45818</v>
      </c>
      <c r="F290" s="12">
        <v>45828</v>
      </c>
      <c r="G290" t="s">
        <v>2157</v>
      </c>
      <c r="H290" t="s">
        <v>1386</v>
      </c>
      <c r="I290">
        <v>5000</v>
      </c>
      <c r="J290">
        <v>24.5</v>
      </c>
      <c r="M290">
        <v>7.3999999999999999E-4</v>
      </c>
      <c r="N290">
        <v>3.7</v>
      </c>
      <c r="O290">
        <v>20.8</v>
      </c>
      <c r="P290">
        <v>84.897900000000007</v>
      </c>
      <c r="Q290" t="s">
        <v>1385</v>
      </c>
    </row>
    <row r="291" spans="1:17" hidden="1" x14ac:dyDescent="0.25">
      <c r="A291" t="s">
        <v>2040</v>
      </c>
      <c r="B291" t="s">
        <v>2041</v>
      </c>
      <c r="C291" t="s">
        <v>1976</v>
      </c>
      <c r="D291" s="11" t="s">
        <v>2156</v>
      </c>
      <c r="E291" s="12">
        <v>45818</v>
      </c>
      <c r="F291" s="12">
        <v>45828</v>
      </c>
      <c r="G291" t="s">
        <v>2157</v>
      </c>
      <c r="H291" t="s">
        <v>1300</v>
      </c>
      <c r="I291">
        <v>10000</v>
      </c>
      <c r="J291">
        <v>36.799999999999997</v>
      </c>
      <c r="M291">
        <v>2.5000000000000001E-4</v>
      </c>
      <c r="N291">
        <v>2.5</v>
      </c>
      <c r="O291">
        <v>34.299999999999997</v>
      </c>
      <c r="P291">
        <v>93.206500000000005</v>
      </c>
      <c r="Q291" t="s">
        <v>1299</v>
      </c>
    </row>
    <row r="292" spans="1:17" hidden="1" x14ac:dyDescent="0.25">
      <c r="A292" t="s">
        <v>2040</v>
      </c>
      <c r="B292" t="s">
        <v>2041</v>
      </c>
      <c r="C292" t="s">
        <v>1976</v>
      </c>
      <c r="D292" s="11" t="s">
        <v>2156</v>
      </c>
      <c r="E292" s="12">
        <v>45818</v>
      </c>
      <c r="F292" s="12">
        <v>45828</v>
      </c>
      <c r="G292" t="s">
        <v>2157</v>
      </c>
      <c r="H292" t="s">
        <v>1422</v>
      </c>
      <c r="I292">
        <v>5000</v>
      </c>
      <c r="J292">
        <v>30.65</v>
      </c>
      <c r="M292">
        <v>1.2600000000000001E-3</v>
      </c>
      <c r="N292">
        <v>6.3</v>
      </c>
      <c r="O292">
        <v>24.35</v>
      </c>
      <c r="P292">
        <v>79.445300000000003</v>
      </c>
      <c r="Q292" t="s">
        <v>1421</v>
      </c>
    </row>
    <row r="293" spans="1:17" hidden="1" x14ac:dyDescent="0.25">
      <c r="A293" t="s">
        <v>2040</v>
      </c>
      <c r="B293" t="s">
        <v>2041</v>
      </c>
      <c r="C293" t="s">
        <v>1976</v>
      </c>
      <c r="D293" s="11" t="s">
        <v>2156</v>
      </c>
      <c r="E293" s="12">
        <v>45818</v>
      </c>
      <c r="F293" s="12">
        <v>45828</v>
      </c>
      <c r="G293" t="s">
        <v>2157</v>
      </c>
      <c r="H293" t="s">
        <v>476</v>
      </c>
      <c r="I293">
        <v>5000</v>
      </c>
      <c r="J293">
        <v>24.5</v>
      </c>
      <c r="M293">
        <v>1.2099999999999999E-3</v>
      </c>
      <c r="N293">
        <v>6.05</v>
      </c>
      <c r="O293">
        <v>18.45</v>
      </c>
      <c r="P293">
        <v>75.306100000000001</v>
      </c>
      <c r="Q293" t="s">
        <v>475</v>
      </c>
    </row>
    <row r="294" spans="1:17" hidden="1" x14ac:dyDescent="0.25">
      <c r="A294" t="s">
        <v>2040</v>
      </c>
      <c r="B294" t="s">
        <v>2041</v>
      </c>
      <c r="C294" t="s">
        <v>1976</v>
      </c>
      <c r="D294" s="11" t="s">
        <v>2156</v>
      </c>
      <c r="E294" s="12">
        <v>45818</v>
      </c>
      <c r="F294" s="12">
        <v>45828</v>
      </c>
      <c r="G294" t="s">
        <v>2157</v>
      </c>
      <c r="H294" t="s">
        <v>1304</v>
      </c>
      <c r="I294">
        <v>10000</v>
      </c>
      <c r="J294">
        <v>24.5</v>
      </c>
      <c r="M294">
        <v>2.5000000000000001E-4</v>
      </c>
      <c r="N294">
        <v>2.5</v>
      </c>
      <c r="O294">
        <v>22</v>
      </c>
      <c r="P294">
        <v>89.795900000000003</v>
      </c>
      <c r="Q294" t="s">
        <v>1303</v>
      </c>
    </row>
    <row r="295" spans="1:17" hidden="1" x14ac:dyDescent="0.25">
      <c r="A295" t="s">
        <v>2040</v>
      </c>
      <c r="B295" t="s">
        <v>2041</v>
      </c>
      <c r="C295" t="s">
        <v>1976</v>
      </c>
      <c r="D295" s="11" t="s">
        <v>2156</v>
      </c>
      <c r="E295" s="12">
        <v>45818</v>
      </c>
      <c r="F295" s="12">
        <v>45828</v>
      </c>
      <c r="G295" t="s">
        <v>2157</v>
      </c>
      <c r="H295" t="s">
        <v>1346</v>
      </c>
      <c r="I295">
        <v>10000</v>
      </c>
      <c r="J295">
        <v>24.5</v>
      </c>
      <c r="M295">
        <v>2.5000000000000001E-4</v>
      </c>
      <c r="N295">
        <v>2.5</v>
      </c>
      <c r="O295">
        <v>22</v>
      </c>
      <c r="P295">
        <v>89.795900000000003</v>
      </c>
      <c r="Q295" t="s">
        <v>1345</v>
      </c>
    </row>
    <row r="296" spans="1:17" hidden="1" x14ac:dyDescent="0.25">
      <c r="A296" t="s">
        <v>2040</v>
      </c>
      <c r="B296" t="s">
        <v>2041</v>
      </c>
      <c r="C296" t="s">
        <v>1976</v>
      </c>
      <c r="D296" s="11" t="s">
        <v>2156</v>
      </c>
      <c r="E296" s="12">
        <v>45818</v>
      </c>
      <c r="F296" s="12">
        <v>45828</v>
      </c>
      <c r="G296" t="s">
        <v>2157</v>
      </c>
      <c r="H296" t="s">
        <v>1296</v>
      </c>
      <c r="I296">
        <v>10000</v>
      </c>
      <c r="J296">
        <v>25.7</v>
      </c>
      <c r="M296">
        <v>2.5000000000000001E-4</v>
      </c>
      <c r="N296">
        <v>2.5</v>
      </c>
      <c r="O296">
        <v>23.2</v>
      </c>
      <c r="P296">
        <v>90.272300000000001</v>
      </c>
      <c r="Q296" t="s">
        <v>1295</v>
      </c>
    </row>
    <row r="297" spans="1:17" hidden="1" x14ac:dyDescent="0.25">
      <c r="A297" t="s">
        <v>2040</v>
      </c>
      <c r="B297" t="s">
        <v>2041</v>
      </c>
      <c r="C297" t="s">
        <v>1976</v>
      </c>
      <c r="D297" s="11" t="s">
        <v>2156</v>
      </c>
      <c r="E297" s="12">
        <v>45818</v>
      </c>
      <c r="F297" s="12">
        <v>45828</v>
      </c>
      <c r="G297" t="s">
        <v>2157</v>
      </c>
      <c r="H297" t="s">
        <v>1348</v>
      </c>
      <c r="I297">
        <v>9400</v>
      </c>
      <c r="J297">
        <v>57.622</v>
      </c>
      <c r="M297">
        <v>6.0999999999999997E-4</v>
      </c>
      <c r="N297">
        <v>5.734</v>
      </c>
      <c r="O297">
        <v>51.886000000000003</v>
      </c>
      <c r="P297">
        <v>90.048500000000004</v>
      </c>
      <c r="Q297" t="s">
        <v>1347</v>
      </c>
    </row>
    <row r="298" spans="1:17" hidden="1" x14ac:dyDescent="0.25">
      <c r="A298" t="s">
        <v>2040</v>
      </c>
      <c r="B298" t="s">
        <v>2041</v>
      </c>
      <c r="C298" t="s">
        <v>1976</v>
      </c>
      <c r="D298" s="11" t="s">
        <v>2156</v>
      </c>
      <c r="E298" s="12">
        <v>45818</v>
      </c>
      <c r="F298" s="12">
        <v>45828</v>
      </c>
      <c r="G298" t="s">
        <v>2157</v>
      </c>
      <c r="H298" t="s">
        <v>1352</v>
      </c>
      <c r="I298">
        <v>10000</v>
      </c>
      <c r="J298">
        <v>49</v>
      </c>
      <c r="M298">
        <v>6.0999999999999997E-4</v>
      </c>
      <c r="N298">
        <v>6.1</v>
      </c>
      <c r="O298">
        <v>42.9</v>
      </c>
      <c r="P298">
        <v>87.551000000000002</v>
      </c>
      <c r="Q298" t="s">
        <v>1351</v>
      </c>
    </row>
    <row r="299" spans="1:17" hidden="1" x14ac:dyDescent="0.25">
      <c r="A299" t="s">
        <v>2040</v>
      </c>
      <c r="B299" t="s">
        <v>2041</v>
      </c>
      <c r="C299" t="s">
        <v>1976</v>
      </c>
      <c r="D299" s="11" t="s">
        <v>2156</v>
      </c>
      <c r="E299" s="12">
        <v>45818</v>
      </c>
      <c r="F299" s="12">
        <v>45828</v>
      </c>
      <c r="G299" t="s">
        <v>2157</v>
      </c>
      <c r="H299" t="s">
        <v>1292</v>
      </c>
      <c r="I299">
        <v>10000</v>
      </c>
      <c r="J299">
        <v>14.5</v>
      </c>
      <c r="M299">
        <v>2.5000000000000001E-4</v>
      </c>
      <c r="N299">
        <v>2.5</v>
      </c>
      <c r="O299">
        <v>12</v>
      </c>
      <c r="P299">
        <v>82.758600000000001</v>
      </c>
      <c r="Q299" t="s">
        <v>1291</v>
      </c>
    </row>
    <row r="300" spans="1:17" hidden="1" x14ac:dyDescent="0.25">
      <c r="A300" t="s">
        <v>2040</v>
      </c>
      <c r="B300" t="s">
        <v>2041</v>
      </c>
      <c r="C300" t="s">
        <v>1976</v>
      </c>
      <c r="D300" s="11" t="s">
        <v>2156</v>
      </c>
      <c r="E300" s="12">
        <v>45818</v>
      </c>
      <c r="F300" s="12">
        <v>45828</v>
      </c>
      <c r="G300" t="s">
        <v>2157</v>
      </c>
      <c r="H300" t="s">
        <v>1342</v>
      </c>
      <c r="I300">
        <v>10000</v>
      </c>
      <c r="J300">
        <v>18.100000000000001</v>
      </c>
      <c r="M300">
        <v>2.5000000000000001E-4</v>
      </c>
      <c r="N300">
        <v>2.5</v>
      </c>
      <c r="O300">
        <v>15.6</v>
      </c>
      <c r="P300">
        <v>86.187799999999996</v>
      </c>
      <c r="Q300" t="s">
        <v>1341</v>
      </c>
    </row>
    <row r="301" spans="1:17" hidden="1" x14ac:dyDescent="0.25">
      <c r="A301" t="s">
        <v>2040</v>
      </c>
      <c r="B301" t="s">
        <v>2041</v>
      </c>
      <c r="C301" t="s">
        <v>1976</v>
      </c>
      <c r="D301" s="11" t="s">
        <v>2156</v>
      </c>
      <c r="E301" s="12">
        <v>45818</v>
      </c>
      <c r="F301" s="12">
        <v>45828</v>
      </c>
      <c r="G301" t="s">
        <v>2157</v>
      </c>
      <c r="H301" t="s">
        <v>1314</v>
      </c>
      <c r="I301">
        <v>10000</v>
      </c>
      <c r="J301">
        <v>24.5</v>
      </c>
      <c r="M301">
        <v>2.5000000000000001E-4</v>
      </c>
      <c r="N301">
        <v>2.5</v>
      </c>
      <c r="O301">
        <v>22</v>
      </c>
      <c r="P301">
        <v>89.795900000000003</v>
      </c>
      <c r="Q301" t="s">
        <v>1313</v>
      </c>
    </row>
    <row r="302" spans="1:17" hidden="1" x14ac:dyDescent="0.25">
      <c r="A302" t="s">
        <v>2040</v>
      </c>
      <c r="B302" t="s">
        <v>2041</v>
      </c>
      <c r="C302" t="s">
        <v>1976</v>
      </c>
      <c r="D302" s="11" t="s">
        <v>2156</v>
      </c>
      <c r="E302" s="12">
        <v>45818</v>
      </c>
      <c r="F302" s="12">
        <v>45828</v>
      </c>
      <c r="G302" t="s">
        <v>2157</v>
      </c>
      <c r="H302" t="s">
        <v>1326</v>
      </c>
      <c r="I302">
        <v>10000</v>
      </c>
      <c r="J302">
        <v>24.5</v>
      </c>
      <c r="M302">
        <v>2.5000000000000001E-4</v>
      </c>
      <c r="N302">
        <v>2.5</v>
      </c>
      <c r="O302">
        <v>22</v>
      </c>
      <c r="P302">
        <v>89.795900000000003</v>
      </c>
      <c r="Q302" t="s">
        <v>1325</v>
      </c>
    </row>
    <row r="303" spans="1:17" hidden="1" x14ac:dyDescent="0.25">
      <c r="A303" t="s">
        <v>2040</v>
      </c>
      <c r="B303" t="s">
        <v>2041</v>
      </c>
      <c r="C303" t="s">
        <v>1976</v>
      </c>
      <c r="D303" s="11" t="s">
        <v>2156</v>
      </c>
      <c r="E303" s="12">
        <v>45818</v>
      </c>
      <c r="F303" s="12">
        <v>45828</v>
      </c>
      <c r="G303" t="s">
        <v>2157</v>
      </c>
      <c r="H303" t="s">
        <v>1308</v>
      </c>
      <c r="I303">
        <v>10000</v>
      </c>
      <c r="J303">
        <v>24.5</v>
      </c>
      <c r="M303">
        <v>2.5000000000000001E-4</v>
      </c>
      <c r="N303">
        <v>2.5</v>
      </c>
      <c r="O303">
        <v>22</v>
      </c>
      <c r="P303">
        <v>89.795900000000003</v>
      </c>
      <c r="Q303" t="s">
        <v>1307</v>
      </c>
    </row>
    <row r="304" spans="1:17" hidden="1" x14ac:dyDescent="0.25">
      <c r="A304" t="s">
        <v>2040</v>
      </c>
      <c r="B304" t="s">
        <v>2041</v>
      </c>
      <c r="C304" t="s">
        <v>1976</v>
      </c>
      <c r="D304" s="11" t="s">
        <v>2156</v>
      </c>
      <c r="E304" s="12">
        <v>45818</v>
      </c>
      <c r="F304" s="12">
        <v>45828</v>
      </c>
      <c r="G304" t="s">
        <v>2157</v>
      </c>
      <c r="H304" t="s">
        <v>1332</v>
      </c>
      <c r="I304">
        <v>10000</v>
      </c>
      <c r="J304">
        <v>49</v>
      </c>
      <c r="M304">
        <v>6.0999999999999997E-4</v>
      </c>
      <c r="N304">
        <v>6.1</v>
      </c>
      <c r="O304">
        <v>42.9</v>
      </c>
      <c r="P304">
        <v>87.551000000000002</v>
      </c>
      <c r="Q304" t="s">
        <v>1331</v>
      </c>
    </row>
    <row r="305" spans="1:17" hidden="1" x14ac:dyDescent="0.25">
      <c r="A305" t="s">
        <v>2040</v>
      </c>
      <c r="B305" t="s">
        <v>2041</v>
      </c>
      <c r="C305" t="s">
        <v>1976</v>
      </c>
      <c r="D305" s="11" t="s">
        <v>2156</v>
      </c>
      <c r="E305" s="12">
        <v>45818</v>
      </c>
      <c r="F305" s="12">
        <v>45828</v>
      </c>
      <c r="G305" t="s">
        <v>2157</v>
      </c>
      <c r="H305" t="s">
        <v>1324</v>
      </c>
      <c r="I305">
        <v>10000</v>
      </c>
      <c r="J305">
        <v>25.7</v>
      </c>
      <c r="M305">
        <v>2.5000000000000001E-4</v>
      </c>
      <c r="N305">
        <v>2.5</v>
      </c>
      <c r="O305">
        <v>23.2</v>
      </c>
      <c r="P305">
        <v>90.272300000000001</v>
      </c>
      <c r="Q305" t="s">
        <v>1323</v>
      </c>
    </row>
    <row r="306" spans="1:17" hidden="1" x14ac:dyDescent="0.25">
      <c r="A306" t="s">
        <v>2040</v>
      </c>
      <c r="B306" t="s">
        <v>2041</v>
      </c>
      <c r="C306" t="s">
        <v>1976</v>
      </c>
      <c r="D306" s="11" t="s">
        <v>2156</v>
      </c>
      <c r="E306" s="12">
        <v>45818</v>
      </c>
      <c r="F306" s="12">
        <v>45828</v>
      </c>
      <c r="G306" t="s">
        <v>2157</v>
      </c>
      <c r="H306" t="s">
        <v>1306</v>
      </c>
      <c r="I306">
        <v>10000</v>
      </c>
      <c r="J306">
        <v>18.100000000000001</v>
      </c>
      <c r="M306">
        <v>2.5000000000000001E-4</v>
      </c>
      <c r="N306">
        <v>2.5</v>
      </c>
      <c r="O306">
        <v>15.6</v>
      </c>
      <c r="P306">
        <v>86.187799999999996</v>
      </c>
      <c r="Q306" t="s">
        <v>1305</v>
      </c>
    </row>
    <row r="307" spans="1:17" hidden="1" x14ac:dyDescent="0.25">
      <c r="A307" t="s">
        <v>2040</v>
      </c>
      <c r="B307" t="s">
        <v>2041</v>
      </c>
      <c r="C307" t="s">
        <v>1976</v>
      </c>
      <c r="D307" s="11" t="s">
        <v>2156</v>
      </c>
      <c r="E307" s="12">
        <v>45818</v>
      </c>
      <c r="F307" s="12">
        <v>45828</v>
      </c>
      <c r="G307" t="s">
        <v>2157</v>
      </c>
      <c r="H307" t="s">
        <v>1340</v>
      </c>
      <c r="I307">
        <v>10000</v>
      </c>
      <c r="J307">
        <v>32.6</v>
      </c>
      <c r="M307">
        <v>2.5000000000000001E-4</v>
      </c>
      <c r="N307">
        <v>2.5</v>
      </c>
      <c r="O307">
        <v>30.1</v>
      </c>
      <c r="P307">
        <v>92.331199999999995</v>
      </c>
      <c r="Q307" t="s">
        <v>1339</v>
      </c>
    </row>
    <row r="308" spans="1:17" hidden="1" x14ac:dyDescent="0.25">
      <c r="A308" t="s">
        <v>2040</v>
      </c>
      <c r="B308" t="s">
        <v>2041</v>
      </c>
      <c r="C308" t="s">
        <v>1976</v>
      </c>
      <c r="D308" s="11" t="s">
        <v>2156</v>
      </c>
      <c r="E308" s="12">
        <v>45818</v>
      </c>
      <c r="F308" s="12">
        <v>45828</v>
      </c>
      <c r="G308" t="s">
        <v>2157</v>
      </c>
      <c r="H308" t="s">
        <v>1336</v>
      </c>
      <c r="I308">
        <v>10000</v>
      </c>
      <c r="J308">
        <v>54.7</v>
      </c>
      <c r="M308">
        <v>2.5000000000000001E-4</v>
      </c>
      <c r="N308">
        <v>2.5</v>
      </c>
      <c r="O308">
        <v>52.2</v>
      </c>
      <c r="P308">
        <v>95.429599999999994</v>
      </c>
      <c r="Q308" t="s">
        <v>1335</v>
      </c>
    </row>
    <row r="309" spans="1:17" hidden="1" x14ac:dyDescent="0.25">
      <c r="A309" t="s">
        <v>2040</v>
      </c>
      <c r="B309" t="s">
        <v>2041</v>
      </c>
      <c r="C309" t="s">
        <v>1976</v>
      </c>
      <c r="D309" s="11" t="s">
        <v>2156</v>
      </c>
      <c r="E309" s="12">
        <v>45818</v>
      </c>
      <c r="F309" s="12">
        <v>45828</v>
      </c>
      <c r="G309" t="s">
        <v>2157</v>
      </c>
      <c r="H309" t="s">
        <v>37</v>
      </c>
      <c r="I309">
        <v>350</v>
      </c>
      <c r="J309">
        <v>827.827</v>
      </c>
      <c r="M309">
        <v>2.2709999999999999</v>
      </c>
      <c r="N309">
        <v>794.85</v>
      </c>
      <c r="O309">
        <v>32.979999999999997</v>
      </c>
      <c r="P309">
        <v>3.9839000000000002</v>
      </c>
      <c r="Q309" t="s">
        <v>36</v>
      </c>
    </row>
    <row r="310" spans="1:17" hidden="1" x14ac:dyDescent="0.25">
      <c r="A310" t="s">
        <v>2040</v>
      </c>
      <c r="B310" t="s">
        <v>2041</v>
      </c>
      <c r="C310" t="s">
        <v>1976</v>
      </c>
      <c r="D310" s="11" t="s">
        <v>2156</v>
      </c>
      <c r="E310" s="12">
        <v>45818</v>
      </c>
      <c r="F310" s="12">
        <v>45828</v>
      </c>
      <c r="G310" t="s">
        <v>2157</v>
      </c>
      <c r="H310" t="s">
        <v>1221</v>
      </c>
      <c r="I310">
        <v>3000</v>
      </c>
      <c r="J310">
        <v>1477.95</v>
      </c>
      <c r="M310">
        <v>0.25900000000000001</v>
      </c>
      <c r="N310">
        <v>777</v>
      </c>
      <c r="O310">
        <v>700.95</v>
      </c>
      <c r="P310">
        <v>47.427100000000003</v>
      </c>
      <c r="Q310" t="s">
        <v>1220</v>
      </c>
    </row>
    <row r="311" spans="1:17" hidden="1" x14ac:dyDescent="0.25">
      <c r="A311" t="s">
        <v>2040</v>
      </c>
      <c r="B311" t="s">
        <v>2041</v>
      </c>
      <c r="C311" t="s">
        <v>1976</v>
      </c>
      <c r="D311" s="11" t="s">
        <v>2156</v>
      </c>
      <c r="E311" s="12">
        <v>45818</v>
      </c>
      <c r="F311" s="12">
        <v>45828</v>
      </c>
      <c r="G311" t="s">
        <v>2157</v>
      </c>
      <c r="H311" t="s">
        <v>1203</v>
      </c>
      <c r="I311">
        <v>2000</v>
      </c>
      <c r="J311">
        <v>20248.560000000001</v>
      </c>
      <c r="M311">
        <v>5</v>
      </c>
      <c r="N311">
        <v>10000</v>
      </c>
      <c r="O311">
        <v>10248.56</v>
      </c>
      <c r="P311">
        <v>50.613700000000001</v>
      </c>
      <c r="Q311" t="s">
        <v>1202</v>
      </c>
    </row>
    <row r="312" spans="1:17" hidden="1" x14ac:dyDescent="0.25">
      <c r="A312" t="s">
        <v>2040</v>
      </c>
      <c r="B312" t="s">
        <v>2041</v>
      </c>
      <c r="C312" t="s">
        <v>1976</v>
      </c>
      <c r="D312" s="11" t="s">
        <v>2156</v>
      </c>
      <c r="E312" s="12">
        <v>45818</v>
      </c>
      <c r="F312" s="12">
        <v>45828</v>
      </c>
      <c r="G312" t="s">
        <v>2157</v>
      </c>
      <c r="H312" t="s">
        <v>1849</v>
      </c>
      <c r="I312">
        <v>1985</v>
      </c>
      <c r="J312">
        <v>2481.8058000000001</v>
      </c>
      <c r="M312">
        <v>0.27</v>
      </c>
      <c r="N312">
        <v>535.95000000000005</v>
      </c>
      <c r="O312">
        <v>1945.86</v>
      </c>
      <c r="P312">
        <v>78.404799999999994</v>
      </c>
      <c r="Q312" t="s">
        <v>1848</v>
      </c>
    </row>
    <row r="313" spans="1:17" x14ac:dyDescent="0.25">
      <c r="A313" t="s">
        <v>1974</v>
      </c>
      <c r="B313" t="s">
        <v>1975</v>
      </c>
      <c r="C313" t="s">
        <v>1976</v>
      </c>
      <c r="D313" s="11">
        <v>80928</v>
      </c>
      <c r="E313" s="12">
        <v>45820</v>
      </c>
      <c r="F313" s="12">
        <v>45821</v>
      </c>
      <c r="G313" t="s">
        <v>2163</v>
      </c>
      <c r="H313" t="s">
        <v>23</v>
      </c>
      <c r="I313">
        <v>30</v>
      </c>
      <c r="J313">
        <v>8.6969999999999992</v>
      </c>
      <c r="M313">
        <v>0.316</v>
      </c>
      <c r="N313">
        <v>9.48</v>
      </c>
      <c r="O313">
        <v>-0.78</v>
      </c>
      <c r="P313">
        <v>-8.9655000000000005</v>
      </c>
      <c r="Q313" t="s">
        <v>1986</v>
      </c>
    </row>
    <row r="314" spans="1:17" x14ac:dyDescent="0.25">
      <c r="A314" t="s">
        <v>1974</v>
      </c>
      <c r="B314" t="s">
        <v>1975</v>
      </c>
      <c r="C314" t="s">
        <v>1976</v>
      </c>
      <c r="D314" s="11">
        <v>80928</v>
      </c>
      <c r="E314" s="12">
        <v>45820</v>
      </c>
      <c r="F314" s="12">
        <v>45821</v>
      </c>
      <c r="G314" t="s">
        <v>2163</v>
      </c>
      <c r="H314" t="s">
        <v>25</v>
      </c>
      <c r="I314">
        <v>50</v>
      </c>
      <c r="J314">
        <v>11.725</v>
      </c>
      <c r="M314">
        <v>0.18</v>
      </c>
      <c r="N314">
        <v>9</v>
      </c>
      <c r="O314">
        <v>2.73</v>
      </c>
      <c r="P314">
        <v>23.273599999999998</v>
      </c>
      <c r="Q314" t="s">
        <v>1987</v>
      </c>
    </row>
    <row r="315" spans="1:17" x14ac:dyDescent="0.25">
      <c r="A315" t="s">
        <v>1974</v>
      </c>
      <c r="B315" t="s">
        <v>1975</v>
      </c>
      <c r="C315" t="s">
        <v>1976</v>
      </c>
      <c r="D315" s="11">
        <v>80928</v>
      </c>
      <c r="E315" s="12">
        <v>45820</v>
      </c>
      <c r="F315" s="12">
        <v>45821</v>
      </c>
      <c r="G315" t="s">
        <v>2163</v>
      </c>
      <c r="H315" t="s">
        <v>665</v>
      </c>
      <c r="I315">
        <v>30</v>
      </c>
      <c r="J315">
        <v>25.736999999999998</v>
      </c>
      <c r="M315">
        <v>0.69699999999999995</v>
      </c>
      <c r="N315">
        <v>20.91</v>
      </c>
      <c r="O315">
        <v>4.83</v>
      </c>
      <c r="P315">
        <v>18.764500000000002</v>
      </c>
      <c r="Q315" t="s">
        <v>1988</v>
      </c>
    </row>
    <row r="316" spans="1:17" x14ac:dyDescent="0.25">
      <c r="A316" t="s">
        <v>1974</v>
      </c>
      <c r="B316" t="s">
        <v>1975</v>
      </c>
      <c r="C316" t="s">
        <v>1976</v>
      </c>
      <c r="D316" s="11">
        <v>80942</v>
      </c>
      <c r="E316" s="12">
        <v>45821</v>
      </c>
      <c r="F316" s="12">
        <v>45824</v>
      </c>
      <c r="G316" t="s">
        <v>2164</v>
      </c>
      <c r="H316" t="s">
        <v>730</v>
      </c>
      <c r="I316">
        <v>5</v>
      </c>
      <c r="J316">
        <v>129.35</v>
      </c>
      <c r="M316">
        <v>17.862400000000001</v>
      </c>
      <c r="N316">
        <v>89.311999999999998</v>
      </c>
      <c r="O316">
        <v>40.037999999999997</v>
      </c>
      <c r="P316">
        <v>30.953199999999999</v>
      </c>
      <c r="Q316" t="s">
        <v>2011</v>
      </c>
    </row>
    <row r="317" spans="1:17" x14ac:dyDescent="0.25">
      <c r="A317" t="s">
        <v>2060</v>
      </c>
      <c r="B317" t="s">
        <v>2061</v>
      </c>
      <c r="C317" t="s">
        <v>1976</v>
      </c>
      <c r="D317" s="11">
        <v>6100058733</v>
      </c>
      <c r="E317" s="12">
        <v>45821</v>
      </c>
      <c r="F317" s="12">
        <v>45824</v>
      </c>
      <c r="G317" t="s">
        <v>2165</v>
      </c>
      <c r="H317" t="s">
        <v>981</v>
      </c>
      <c r="I317">
        <v>2</v>
      </c>
      <c r="J317">
        <v>26.0458</v>
      </c>
      <c r="M317">
        <v>9.3109999999999999</v>
      </c>
      <c r="N317">
        <v>18.622</v>
      </c>
      <c r="O317">
        <v>7.4279999999999999</v>
      </c>
      <c r="P317">
        <v>28.514299999999999</v>
      </c>
      <c r="Q317" t="s">
        <v>2166</v>
      </c>
    </row>
    <row r="318" spans="1:17" x14ac:dyDescent="0.25">
      <c r="A318" t="s">
        <v>2060</v>
      </c>
      <c r="B318" t="s">
        <v>2061</v>
      </c>
      <c r="C318" t="s">
        <v>1976</v>
      </c>
      <c r="D318" s="11">
        <v>6100058733</v>
      </c>
      <c r="E318" s="12">
        <v>45821</v>
      </c>
      <c r="F318" s="12">
        <v>45851</v>
      </c>
      <c r="G318" t="s">
        <v>2165</v>
      </c>
      <c r="H318" t="s">
        <v>1249</v>
      </c>
      <c r="I318">
        <v>11</v>
      </c>
      <c r="J318">
        <v>41.378700000000002</v>
      </c>
      <c r="M318">
        <v>2.5</v>
      </c>
      <c r="N318">
        <v>27.5</v>
      </c>
      <c r="O318">
        <v>13.88</v>
      </c>
      <c r="P318">
        <v>33.542700000000004</v>
      </c>
      <c r="Q318" t="s">
        <v>2077</v>
      </c>
    </row>
    <row r="319" spans="1:17" x14ac:dyDescent="0.25">
      <c r="A319" t="s">
        <v>2060</v>
      </c>
      <c r="B319" t="s">
        <v>2061</v>
      </c>
      <c r="C319" t="s">
        <v>1976</v>
      </c>
      <c r="D319" s="11">
        <v>6100058927</v>
      </c>
      <c r="E319" s="12">
        <v>45825</v>
      </c>
      <c r="F319" s="12">
        <v>45827</v>
      </c>
      <c r="G319" t="s">
        <v>2167</v>
      </c>
      <c r="H319" t="s">
        <v>981</v>
      </c>
      <c r="I319">
        <v>6</v>
      </c>
      <c r="J319">
        <v>78.1374</v>
      </c>
      <c r="M319">
        <v>9.3109999999999999</v>
      </c>
      <c r="N319">
        <v>55.866</v>
      </c>
      <c r="O319">
        <v>22.274000000000001</v>
      </c>
      <c r="P319">
        <v>28.505199999999999</v>
      </c>
      <c r="Q319" t="s">
        <v>2166</v>
      </c>
    </row>
    <row r="320" spans="1:17" x14ac:dyDescent="0.25">
      <c r="A320" t="s">
        <v>2060</v>
      </c>
      <c r="B320" t="s">
        <v>2061</v>
      </c>
      <c r="C320" t="s">
        <v>1976</v>
      </c>
      <c r="D320" s="11">
        <v>6100059094</v>
      </c>
      <c r="E320" s="12">
        <v>45826</v>
      </c>
      <c r="F320" s="12">
        <v>45828</v>
      </c>
      <c r="G320" t="s">
        <v>2168</v>
      </c>
      <c r="H320" t="s">
        <v>1621</v>
      </c>
      <c r="I320">
        <v>1</v>
      </c>
      <c r="J320">
        <v>14.2561</v>
      </c>
      <c r="M320">
        <v>8.5967699999999994</v>
      </c>
      <c r="N320">
        <v>8.5967699999999994</v>
      </c>
      <c r="O320">
        <v>5.6632300000000004</v>
      </c>
      <c r="P320">
        <v>39.713999999999999</v>
      </c>
      <c r="Q320" t="s">
        <v>2169</v>
      </c>
    </row>
    <row r="321" spans="1:17" x14ac:dyDescent="0.25">
      <c r="A321" t="s">
        <v>1974</v>
      </c>
      <c r="B321" t="s">
        <v>1975</v>
      </c>
      <c r="C321" t="s">
        <v>1976</v>
      </c>
      <c r="D321" s="11">
        <v>81078</v>
      </c>
      <c r="E321" s="12">
        <v>45834</v>
      </c>
      <c r="F321" s="12">
        <v>45835</v>
      </c>
      <c r="G321" t="s">
        <v>2170</v>
      </c>
      <c r="H321" t="s">
        <v>23</v>
      </c>
      <c r="I321">
        <v>30</v>
      </c>
      <c r="J321">
        <v>8.6969999999999992</v>
      </c>
      <c r="M321">
        <v>0.316</v>
      </c>
      <c r="N321">
        <v>9.48</v>
      </c>
      <c r="O321">
        <v>-0.78</v>
      </c>
      <c r="P321">
        <v>-8.9655000000000005</v>
      </c>
      <c r="Q321" t="s">
        <v>1986</v>
      </c>
    </row>
    <row r="322" spans="1:17" x14ac:dyDescent="0.25">
      <c r="A322" t="s">
        <v>1974</v>
      </c>
      <c r="B322" t="s">
        <v>1975</v>
      </c>
      <c r="C322" t="s">
        <v>1976</v>
      </c>
      <c r="D322" s="11">
        <v>81078</v>
      </c>
      <c r="E322" s="12">
        <v>45834</v>
      </c>
      <c r="F322" s="12">
        <v>45835</v>
      </c>
      <c r="G322" t="s">
        <v>2170</v>
      </c>
      <c r="H322" t="s">
        <v>25</v>
      </c>
      <c r="I322">
        <v>50</v>
      </c>
      <c r="J322">
        <v>11.725</v>
      </c>
      <c r="M322">
        <v>0.18</v>
      </c>
      <c r="N322">
        <v>9</v>
      </c>
      <c r="O322">
        <v>2.73</v>
      </c>
      <c r="P322">
        <v>23.273599999999998</v>
      </c>
      <c r="Q322" t="s">
        <v>1987</v>
      </c>
    </row>
    <row r="323" spans="1:17" x14ac:dyDescent="0.25">
      <c r="A323" t="s">
        <v>1974</v>
      </c>
      <c r="B323" t="s">
        <v>1975</v>
      </c>
      <c r="C323" t="s">
        <v>1976</v>
      </c>
      <c r="D323" s="11">
        <v>81078</v>
      </c>
      <c r="E323" s="12">
        <v>45834</v>
      </c>
      <c r="F323" s="12">
        <v>45835</v>
      </c>
      <c r="G323" t="s">
        <v>2170</v>
      </c>
      <c r="H323" t="s">
        <v>665</v>
      </c>
      <c r="I323">
        <v>30</v>
      </c>
      <c r="J323">
        <v>25.736999999999998</v>
      </c>
      <c r="M323">
        <v>0.69699999999999995</v>
      </c>
      <c r="N323">
        <v>20.91</v>
      </c>
      <c r="O323">
        <v>4.83</v>
      </c>
      <c r="P323">
        <v>18.764500000000002</v>
      </c>
      <c r="Q323" t="s">
        <v>1988</v>
      </c>
    </row>
    <row r="324" spans="1:17" x14ac:dyDescent="0.25">
      <c r="A324" t="s">
        <v>1974</v>
      </c>
      <c r="B324" t="s">
        <v>1975</v>
      </c>
      <c r="C324" t="s">
        <v>1976</v>
      </c>
      <c r="D324" s="11">
        <v>81078</v>
      </c>
      <c r="E324" s="12">
        <v>45834</v>
      </c>
      <c r="F324" s="12">
        <v>45835</v>
      </c>
      <c r="G324" t="s">
        <v>2170</v>
      </c>
      <c r="H324" t="s">
        <v>104</v>
      </c>
      <c r="I324">
        <v>11</v>
      </c>
      <c r="J324">
        <v>18.7407</v>
      </c>
      <c r="M324">
        <v>1.2564545499999999</v>
      </c>
      <c r="N324">
        <v>13.82100005</v>
      </c>
      <c r="O324">
        <v>4.9189999999999996</v>
      </c>
      <c r="P324">
        <v>26.2486</v>
      </c>
      <c r="Q324" t="s">
        <v>1989</v>
      </c>
    </row>
    <row r="325" spans="1:17" x14ac:dyDescent="0.25">
      <c r="A325" t="s">
        <v>1974</v>
      </c>
      <c r="B325" t="s">
        <v>1975</v>
      </c>
      <c r="C325" t="s">
        <v>1976</v>
      </c>
      <c r="D325" s="11">
        <v>81078</v>
      </c>
      <c r="E325" s="12">
        <v>45834</v>
      </c>
      <c r="F325" s="12">
        <v>45835</v>
      </c>
      <c r="G325" t="s">
        <v>2170</v>
      </c>
      <c r="H325" t="s">
        <v>106</v>
      </c>
      <c r="I325">
        <v>20</v>
      </c>
      <c r="J325">
        <v>31.684000000000001</v>
      </c>
      <c r="M325">
        <v>2.1040000000000001</v>
      </c>
      <c r="N325">
        <v>42.08</v>
      </c>
      <c r="O325">
        <v>-10.4</v>
      </c>
      <c r="P325">
        <v>-32.828200000000002</v>
      </c>
      <c r="Q325" t="s">
        <v>1990</v>
      </c>
    </row>
    <row r="326" spans="1:17" x14ac:dyDescent="0.25">
      <c r="A326" t="s">
        <v>1974</v>
      </c>
      <c r="B326" t="s">
        <v>1975</v>
      </c>
      <c r="C326" t="s">
        <v>1976</v>
      </c>
      <c r="D326" s="11">
        <v>81078</v>
      </c>
      <c r="E326" s="12">
        <v>45834</v>
      </c>
      <c r="F326" s="12">
        <v>45835</v>
      </c>
      <c r="G326" t="s">
        <v>2170</v>
      </c>
      <c r="H326" t="s">
        <v>1589</v>
      </c>
      <c r="I326">
        <v>18</v>
      </c>
      <c r="J326">
        <v>10.4184</v>
      </c>
      <c r="M326">
        <v>0.42</v>
      </c>
      <c r="N326">
        <v>7.56</v>
      </c>
      <c r="O326">
        <v>2.86</v>
      </c>
      <c r="P326">
        <v>27.447199999999999</v>
      </c>
      <c r="Q326" t="s">
        <v>2171</v>
      </c>
    </row>
    <row r="327" spans="1:17" x14ac:dyDescent="0.25">
      <c r="A327" t="s">
        <v>2060</v>
      </c>
      <c r="B327" t="s">
        <v>2061</v>
      </c>
      <c r="C327" t="s">
        <v>1976</v>
      </c>
      <c r="D327" s="11">
        <v>6100059793</v>
      </c>
      <c r="E327" s="12">
        <v>45839</v>
      </c>
      <c r="F327" s="12">
        <v>45845</v>
      </c>
      <c r="G327" t="s">
        <v>2172</v>
      </c>
      <c r="H327" t="s">
        <v>153</v>
      </c>
      <c r="I327">
        <v>15</v>
      </c>
      <c r="J327">
        <v>5.0445000000000002</v>
      </c>
      <c r="M327">
        <v>0.245</v>
      </c>
      <c r="N327">
        <v>3.6749999999999998</v>
      </c>
      <c r="O327">
        <v>1.365</v>
      </c>
      <c r="P327">
        <v>27.083300000000001</v>
      </c>
      <c r="Q327" t="s">
        <v>2118</v>
      </c>
    </row>
    <row r="328" spans="1:17" x14ac:dyDescent="0.25">
      <c r="A328" t="s">
        <v>1974</v>
      </c>
      <c r="B328" t="s">
        <v>1975</v>
      </c>
      <c r="C328" t="s">
        <v>1976</v>
      </c>
      <c r="D328" s="11">
        <v>81156</v>
      </c>
      <c r="E328" s="12">
        <v>45840</v>
      </c>
      <c r="F328" s="12">
        <v>45845</v>
      </c>
      <c r="G328" t="s">
        <v>2173</v>
      </c>
      <c r="H328" t="s">
        <v>1071</v>
      </c>
      <c r="I328">
        <v>11</v>
      </c>
      <c r="J328">
        <v>134.4761</v>
      </c>
      <c r="M328">
        <v>8.766</v>
      </c>
      <c r="N328">
        <v>96.426000000000002</v>
      </c>
      <c r="O328">
        <v>38.054000000000002</v>
      </c>
      <c r="P328">
        <v>28.2971</v>
      </c>
    </row>
    <row r="329" spans="1:17" x14ac:dyDescent="0.25">
      <c r="A329" t="s">
        <v>2060</v>
      </c>
      <c r="B329" t="s">
        <v>2061</v>
      </c>
      <c r="C329" t="s">
        <v>1976</v>
      </c>
      <c r="D329" s="11">
        <v>6100059853</v>
      </c>
      <c r="E329" s="12">
        <v>45840</v>
      </c>
      <c r="F329" s="12">
        <v>45845</v>
      </c>
      <c r="G329" t="s">
        <v>2174</v>
      </c>
      <c r="H329" t="s">
        <v>603</v>
      </c>
      <c r="I329">
        <v>2</v>
      </c>
      <c r="J329">
        <v>55.406399999999998</v>
      </c>
      <c r="M329">
        <v>10.383599999999999</v>
      </c>
      <c r="N329">
        <v>20.767199999999999</v>
      </c>
      <c r="O329">
        <v>34.642800000000001</v>
      </c>
      <c r="P329">
        <v>62.520800000000001</v>
      </c>
      <c r="Q329" t="s">
        <v>2149</v>
      </c>
    </row>
    <row r="330" spans="1:17" x14ac:dyDescent="0.25">
      <c r="A330" t="s">
        <v>2060</v>
      </c>
      <c r="B330" t="s">
        <v>2061</v>
      </c>
      <c r="C330" t="s">
        <v>1976</v>
      </c>
      <c r="D330" s="11">
        <v>6100059853</v>
      </c>
      <c r="E330" s="12">
        <v>45840</v>
      </c>
      <c r="F330" s="12">
        <v>45845</v>
      </c>
      <c r="G330" t="s">
        <v>2174</v>
      </c>
      <c r="H330" t="s">
        <v>1663</v>
      </c>
      <c r="I330">
        <v>20</v>
      </c>
      <c r="J330">
        <v>11.358000000000001</v>
      </c>
      <c r="M330">
        <v>0.37590000000000001</v>
      </c>
      <c r="N330">
        <v>7.5179999999999998</v>
      </c>
      <c r="O330">
        <v>3.8420000000000001</v>
      </c>
      <c r="P330">
        <v>33.820399999999999</v>
      </c>
      <c r="Q330" t="s">
        <v>2175</v>
      </c>
    </row>
    <row r="331" spans="1:17" x14ac:dyDescent="0.25">
      <c r="A331" t="s">
        <v>2060</v>
      </c>
      <c r="B331" t="s">
        <v>2061</v>
      </c>
      <c r="C331" t="s">
        <v>1976</v>
      </c>
      <c r="D331" s="11">
        <v>6100059853</v>
      </c>
      <c r="E331" s="12">
        <v>45840</v>
      </c>
      <c r="F331" s="12">
        <v>45870</v>
      </c>
      <c r="G331" t="s">
        <v>2174</v>
      </c>
      <c r="H331" t="s">
        <v>1249</v>
      </c>
      <c r="I331">
        <v>11</v>
      </c>
      <c r="J331">
        <v>41.378700000000002</v>
      </c>
      <c r="M331">
        <v>2.5</v>
      </c>
      <c r="N331">
        <v>27.5</v>
      </c>
      <c r="O331">
        <v>13.88</v>
      </c>
      <c r="P331">
        <v>33.542700000000004</v>
      </c>
      <c r="Q331" t="s">
        <v>2077</v>
      </c>
    </row>
    <row r="332" spans="1:17" x14ac:dyDescent="0.25">
      <c r="A332" t="s">
        <v>2060</v>
      </c>
      <c r="B332" t="s">
        <v>2061</v>
      </c>
      <c r="C332" t="s">
        <v>1976</v>
      </c>
      <c r="D332" s="11">
        <v>6100060048</v>
      </c>
      <c r="E332" s="12">
        <v>45845</v>
      </c>
      <c r="F332" s="12">
        <v>45846</v>
      </c>
      <c r="G332" t="s">
        <v>2176</v>
      </c>
      <c r="H332" t="s">
        <v>624</v>
      </c>
      <c r="I332">
        <v>7</v>
      </c>
      <c r="J332">
        <v>310.87419999999997</v>
      </c>
      <c r="M332">
        <v>39.963999999999999</v>
      </c>
      <c r="N332">
        <v>279.74799999999999</v>
      </c>
      <c r="O332">
        <v>31.122</v>
      </c>
      <c r="P332">
        <v>10.011200000000001</v>
      </c>
      <c r="Q332" t="s">
        <v>2177</v>
      </c>
    </row>
    <row r="333" spans="1:17" x14ac:dyDescent="0.25">
      <c r="A333" t="s">
        <v>2060</v>
      </c>
      <c r="B333" t="s">
        <v>2061</v>
      </c>
      <c r="C333" t="s">
        <v>1976</v>
      </c>
      <c r="D333" s="11">
        <v>6100060048</v>
      </c>
      <c r="E333" s="12">
        <v>45845</v>
      </c>
      <c r="F333" s="12">
        <v>45846</v>
      </c>
      <c r="G333" t="s">
        <v>2176</v>
      </c>
      <c r="H333" t="s">
        <v>1635</v>
      </c>
      <c r="I333">
        <v>21</v>
      </c>
      <c r="J333">
        <v>34.572299999999998</v>
      </c>
      <c r="M333">
        <v>1.61</v>
      </c>
      <c r="N333">
        <v>33.81</v>
      </c>
      <c r="O333">
        <v>0.76</v>
      </c>
      <c r="P333">
        <v>2.1983999999999999</v>
      </c>
      <c r="Q333" t="s">
        <v>2178</v>
      </c>
    </row>
    <row r="334" spans="1:17" x14ac:dyDescent="0.25">
      <c r="A334" t="s">
        <v>1974</v>
      </c>
      <c r="B334" t="s">
        <v>1975</v>
      </c>
      <c r="C334" t="s">
        <v>1976</v>
      </c>
      <c r="D334" s="11">
        <v>81173</v>
      </c>
      <c r="E334" s="12">
        <v>45845</v>
      </c>
      <c r="F334" s="12">
        <v>45846</v>
      </c>
      <c r="G334" t="s">
        <v>2179</v>
      </c>
      <c r="H334" t="s">
        <v>1071</v>
      </c>
      <c r="I334">
        <v>11</v>
      </c>
      <c r="J334">
        <v>134.4761</v>
      </c>
      <c r="M334">
        <v>8.766</v>
      </c>
      <c r="N334">
        <v>96.426000000000002</v>
      </c>
      <c r="O334">
        <v>38.054000000000002</v>
      </c>
      <c r="P334">
        <v>28.2971</v>
      </c>
      <c r="Q334" t="s">
        <v>1995</v>
      </c>
    </row>
    <row r="335" spans="1:17" x14ac:dyDescent="0.25">
      <c r="A335" t="s">
        <v>2060</v>
      </c>
      <c r="B335" t="s">
        <v>2061</v>
      </c>
      <c r="C335" t="s">
        <v>1976</v>
      </c>
      <c r="D335" s="11">
        <v>6100060239</v>
      </c>
      <c r="E335" s="12">
        <v>45846</v>
      </c>
      <c r="F335" s="12">
        <v>45847</v>
      </c>
      <c r="G335" t="s">
        <v>2180</v>
      </c>
      <c r="H335" t="s">
        <v>2104</v>
      </c>
      <c r="I335">
        <v>25</v>
      </c>
      <c r="J335">
        <v>250.33</v>
      </c>
      <c r="M335">
        <v>8.0399999999999991</v>
      </c>
      <c r="N335">
        <v>201</v>
      </c>
      <c r="O335">
        <v>49.33</v>
      </c>
      <c r="P335">
        <v>19.7059</v>
      </c>
      <c r="Q335" t="s">
        <v>2181</v>
      </c>
    </row>
    <row r="336" spans="1:17" x14ac:dyDescent="0.25">
      <c r="A336" t="s">
        <v>1974</v>
      </c>
      <c r="B336" t="s">
        <v>1975</v>
      </c>
      <c r="C336" t="s">
        <v>1976</v>
      </c>
      <c r="D336" s="11">
        <v>81224</v>
      </c>
      <c r="E336" s="12">
        <v>45849</v>
      </c>
      <c r="F336" s="12">
        <v>45852</v>
      </c>
      <c r="G336" t="s">
        <v>2182</v>
      </c>
      <c r="H336" t="s">
        <v>1831</v>
      </c>
      <c r="I336">
        <v>50</v>
      </c>
      <c r="J336">
        <v>8.5950000000000006</v>
      </c>
      <c r="M336">
        <v>0.123</v>
      </c>
      <c r="N336">
        <v>6.15</v>
      </c>
      <c r="O336">
        <v>2.4500000000000002</v>
      </c>
      <c r="P336">
        <v>28.488299999999999</v>
      </c>
      <c r="Q336" t="s">
        <v>2025</v>
      </c>
    </row>
    <row r="337" spans="1:17" x14ac:dyDescent="0.25">
      <c r="A337" t="s">
        <v>1974</v>
      </c>
      <c r="B337" t="s">
        <v>1975</v>
      </c>
      <c r="C337" t="s">
        <v>1976</v>
      </c>
      <c r="D337" s="11">
        <v>81224</v>
      </c>
      <c r="E337" s="12">
        <v>45849</v>
      </c>
      <c r="F337" s="12">
        <v>45852</v>
      </c>
      <c r="G337" t="s">
        <v>2182</v>
      </c>
      <c r="H337" t="s">
        <v>1152</v>
      </c>
      <c r="I337">
        <v>30</v>
      </c>
      <c r="J337">
        <v>3.4529999999999998</v>
      </c>
      <c r="M337">
        <v>8.5099999999999995E-2</v>
      </c>
      <c r="N337">
        <v>2.5529999999999999</v>
      </c>
      <c r="O337">
        <v>0.89700000000000002</v>
      </c>
      <c r="P337">
        <v>26</v>
      </c>
      <c r="Q337" t="s">
        <v>2183</v>
      </c>
    </row>
    <row r="338" spans="1:17" x14ac:dyDescent="0.25">
      <c r="A338" t="s">
        <v>1974</v>
      </c>
      <c r="B338" t="s">
        <v>1975</v>
      </c>
      <c r="C338" t="s">
        <v>1976</v>
      </c>
      <c r="D338" s="11">
        <v>81224</v>
      </c>
      <c r="E338" s="12">
        <v>45849</v>
      </c>
      <c r="F338" s="12">
        <v>45852</v>
      </c>
      <c r="G338" t="s">
        <v>2182</v>
      </c>
      <c r="H338" t="s">
        <v>1447</v>
      </c>
      <c r="I338">
        <v>41</v>
      </c>
      <c r="J338">
        <v>686.27850000000001</v>
      </c>
      <c r="M338">
        <v>9.8420000000000005</v>
      </c>
      <c r="N338">
        <v>403.52199999999999</v>
      </c>
      <c r="O338">
        <v>282.75799999999998</v>
      </c>
      <c r="P338">
        <v>41.201500000000003</v>
      </c>
      <c r="Q338" t="s">
        <v>2184</v>
      </c>
    </row>
    <row r="339" spans="1:17" x14ac:dyDescent="0.25">
      <c r="A339" t="s">
        <v>1974</v>
      </c>
      <c r="B339" t="s">
        <v>1975</v>
      </c>
      <c r="C339" t="s">
        <v>1976</v>
      </c>
      <c r="D339" s="11">
        <v>81224</v>
      </c>
      <c r="E339" s="12">
        <v>45849</v>
      </c>
      <c r="F339" s="12">
        <v>45852</v>
      </c>
      <c r="G339" t="s">
        <v>2182</v>
      </c>
      <c r="H339" t="s">
        <v>1282</v>
      </c>
      <c r="I339">
        <v>11</v>
      </c>
      <c r="J339">
        <v>151.17850000000001</v>
      </c>
      <c r="M339">
        <v>8.84</v>
      </c>
      <c r="N339">
        <v>97.24</v>
      </c>
      <c r="O339">
        <v>53.94</v>
      </c>
      <c r="P339">
        <v>35.679299999999998</v>
      </c>
      <c r="Q339" t="s">
        <v>2185</v>
      </c>
    </row>
    <row r="340" spans="1:17" x14ac:dyDescent="0.25">
      <c r="A340" t="s">
        <v>2060</v>
      </c>
      <c r="B340" t="s">
        <v>2061</v>
      </c>
      <c r="C340" t="s">
        <v>1976</v>
      </c>
      <c r="D340" s="11">
        <v>6100060434</v>
      </c>
      <c r="E340" s="12">
        <v>45849</v>
      </c>
      <c r="F340" s="12">
        <v>45853</v>
      </c>
      <c r="G340" t="s">
        <v>2186</v>
      </c>
      <c r="H340" t="s">
        <v>217</v>
      </c>
      <c r="I340">
        <v>5</v>
      </c>
      <c r="J340">
        <v>78.162999999999997</v>
      </c>
      <c r="M340">
        <v>10.34</v>
      </c>
      <c r="N340">
        <v>51.7</v>
      </c>
      <c r="O340">
        <v>26.46</v>
      </c>
      <c r="P340">
        <v>33.8536</v>
      </c>
      <c r="Q340" t="s">
        <v>2187</v>
      </c>
    </row>
    <row r="341" spans="1:17" x14ac:dyDescent="0.25">
      <c r="A341" t="s">
        <v>1974</v>
      </c>
      <c r="B341" t="s">
        <v>1975</v>
      </c>
      <c r="C341" t="s">
        <v>1976</v>
      </c>
      <c r="D341" s="11">
        <v>81266</v>
      </c>
      <c r="E341" s="12">
        <v>45853</v>
      </c>
      <c r="F341" s="12">
        <v>45854</v>
      </c>
      <c r="G341" t="s">
        <v>2188</v>
      </c>
      <c r="H341" t="s">
        <v>361</v>
      </c>
      <c r="I341">
        <v>20</v>
      </c>
      <c r="J341">
        <v>20.834</v>
      </c>
      <c r="M341">
        <v>0.83</v>
      </c>
      <c r="N341">
        <v>16.600000000000001</v>
      </c>
      <c r="O341">
        <v>4.2300000000000004</v>
      </c>
      <c r="P341">
        <v>20.307200000000002</v>
      </c>
      <c r="Q341" t="s">
        <v>2189</v>
      </c>
    </row>
    <row r="342" spans="1:17" x14ac:dyDescent="0.25">
      <c r="A342" t="s">
        <v>1974</v>
      </c>
      <c r="B342" t="s">
        <v>1975</v>
      </c>
      <c r="C342" t="s">
        <v>1976</v>
      </c>
      <c r="D342" s="11">
        <v>81266</v>
      </c>
      <c r="E342" s="12">
        <v>45853</v>
      </c>
      <c r="F342" s="12">
        <v>45854</v>
      </c>
      <c r="G342" t="s">
        <v>2188</v>
      </c>
      <c r="H342" t="s">
        <v>314</v>
      </c>
      <c r="I342">
        <v>3</v>
      </c>
      <c r="J342">
        <v>2.8068</v>
      </c>
      <c r="M342">
        <v>0.54</v>
      </c>
      <c r="N342">
        <v>1.62</v>
      </c>
      <c r="O342">
        <v>1.19</v>
      </c>
      <c r="P342">
        <v>42.348700000000001</v>
      </c>
      <c r="Q342" t="s">
        <v>2190</v>
      </c>
    </row>
    <row r="343" spans="1:17" x14ac:dyDescent="0.25">
      <c r="A343" t="s">
        <v>2060</v>
      </c>
      <c r="B343" t="s">
        <v>2061</v>
      </c>
      <c r="C343" t="s">
        <v>1976</v>
      </c>
      <c r="D343" s="11">
        <v>6100060657</v>
      </c>
      <c r="E343" s="12">
        <v>45855</v>
      </c>
      <c r="F343" s="12">
        <v>45859</v>
      </c>
      <c r="G343" t="s">
        <v>2191</v>
      </c>
      <c r="H343" t="s">
        <v>1621</v>
      </c>
      <c r="I343">
        <v>2</v>
      </c>
      <c r="J343">
        <v>28.5122</v>
      </c>
      <c r="M343">
        <v>8.5967699999999994</v>
      </c>
      <c r="N343">
        <v>17.193539999999999</v>
      </c>
      <c r="O343">
        <v>11.316459999999999</v>
      </c>
      <c r="P343">
        <v>39.692900000000002</v>
      </c>
      <c r="Q343" t="s">
        <v>2169</v>
      </c>
    </row>
    <row r="344" spans="1:17" x14ac:dyDescent="0.25">
      <c r="A344" t="s">
        <v>2060</v>
      </c>
      <c r="B344" t="s">
        <v>2061</v>
      </c>
      <c r="C344" t="s">
        <v>1976</v>
      </c>
      <c r="D344" s="11">
        <v>6100060768</v>
      </c>
      <c r="E344" s="12">
        <v>45856</v>
      </c>
      <c r="F344" s="12">
        <v>45860</v>
      </c>
      <c r="G344" t="s">
        <v>2192</v>
      </c>
      <c r="H344" t="s">
        <v>153</v>
      </c>
      <c r="I344">
        <v>10</v>
      </c>
      <c r="J344">
        <v>3.363</v>
      </c>
      <c r="M344">
        <v>0.245</v>
      </c>
      <c r="N344">
        <v>2.4500000000000002</v>
      </c>
      <c r="O344">
        <v>0.91</v>
      </c>
      <c r="P344">
        <v>27.083300000000001</v>
      </c>
      <c r="Q344" t="s">
        <v>2118</v>
      </c>
    </row>
    <row r="345" spans="1:17" x14ac:dyDescent="0.25">
      <c r="A345" t="s">
        <v>1974</v>
      </c>
      <c r="B345" t="s">
        <v>1975</v>
      </c>
      <c r="C345" t="s">
        <v>1976</v>
      </c>
      <c r="D345" s="11">
        <v>81326</v>
      </c>
      <c r="E345" s="12">
        <v>45859</v>
      </c>
      <c r="F345" s="12">
        <v>45860</v>
      </c>
      <c r="G345" t="s">
        <v>2193</v>
      </c>
      <c r="H345" t="s">
        <v>1681</v>
      </c>
      <c r="I345">
        <v>20</v>
      </c>
      <c r="J345">
        <v>4.8719999999999999</v>
      </c>
      <c r="M345">
        <v>0.17</v>
      </c>
      <c r="N345">
        <v>3.4</v>
      </c>
      <c r="O345">
        <v>1.47</v>
      </c>
      <c r="P345">
        <v>30.184799999999999</v>
      </c>
      <c r="Q345" t="s">
        <v>2034</v>
      </c>
    </row>
    <row r="346" spans="1:17" x14ac:dyDescent="0.25">
      <c r="A346" t="s">
        <v>1974</v>
      </c>
      <c r="B346" t="s">
        <v>1975</v>
      </c>
      <c r="C346" t="s">
        <v>1976</v>
      </c>
      <c r="D346" s="11">
        <v>81326</v>
      </c>
      <c r="E346" s="12">
        <v>45859</v>
      </c>
      <c r="F346" s="12">
        <v>45860</v>
      </c>
      <c r="G346" t="s">
        <v>2193</v>
      </c>
      <c r="H346" t="s">
        <v>624</v>
      </c>
      <c r="I346">
        <v>2</v>
      </c>
      <c r="J346">
        <v>88.821200000000005</v>
      </c>
      <c r="M346">
        <v>39.963999999999999</v>
      </c>
      <c r="N346">
        <v>79.927999999999997</v>
      </c>
      <c r="O346">
        <v>8.8919999999999995</v>
      </c>
      <c r="P346">
        <v>10.011200000000001</v>
      </c>
      <c r="Q346" t="s">
        <v>2035</v>
      </c>
    </row>
    <row r="347" spans="1:17" x14ac:dyDescent="0.25">
      <c r="A347" t="s">
        <v>1974</v>
      </c>
      <c r="B347" t="s">
        <v>1975</v>
      </c>
      <c r="C347" t="s">
        <v>1976</v>
      </c>
      <c r="D347" s="11">
        <v>81326</v>
      </c>
      <c r="E347" s="12">
        <v>45859</v>
      </c>
      <c r="F347" s="12">
        <v>45860</v>
      </c>
      <c r="G347" t="s">
        <v>2193</v>
      </c>
      <c r="H347" t="s">
        <v>25</v>
      </c>
      <c r="I347">
        <v>30</v>
      </c>
      <c r="J347">
        <v>7.0350000000000001</v>
      </c>
      <c r="M347">
        <v>0.18</v>
      </c>
      <c r="N347">
        <v>5.4</v>
      </c>
      <c r="O347">
        <v>1.64</v>
      </c>
      <c r="P347">
        <v>23.295400000000001</v>
      </c>
      <c r="Q347" t="s">
        <v>1987</v>
      </c>
    </row>
    <row r="348" spans="1:17" x14ac:dyDescent="0.25">
      <c r="A348" t="s">
        <v>2060</v>
      </c>
      <c r="B348" t="s">
        <v>2061</v>
      </c>
      <c r="C348" t="s">
        <v>1976</v>
      </c>
      <c r="D348" s="11">
        <v>6100060905</v>
      </c>
      <c r="E348" s="12">
        <v>45861</v>
      </c>
      <c r="F348" s="12">
        <v>45863</v>
      </c>
      <c r="G348" t="s">
        <v>2194</v>
      </c>
      <c r="H348" t="s">
        <v>603</v>
      </c>
      <c r="I348">
        <v>13</v>
      </c>
      <c r="J348">
        <v>360.14159999999998</v>
      </c>
      <c r="M348">
        <v>10.383599999999999</v>
      </c>
      <c r="N348">
        <v>134.98679999999999</v>
      </c>
      <c r="O348">
        <v>225.1532</v>
      </c>
      <c r="P348">
        <v>62.5182</v>
      </c>
      <c r="Q348" t="s">
        <v>2149</v>
      </c>
    </row>
    <row r="349" spans="1:17" x14ac:dyDescent="0.25">
      <c r="A349" t="s">
        <v>2060</v>
      </c>
      <c r="B349" t="s">
        <v>2061</v>
      </c>
      <c r="C349" t="s">
        <v>1976</v>
      </c>
      <c r="D349" s="11">
        <v>6100060994</v>
      </c>
      <c r="E349" s="12">
        <v>45862</v>
      </c>
      <c r="F349" s="12">
        <v>45866</v>
      </c>
      <c r="G349" t="s">
        <v>2195</v>
      </c>
      <c r="H349" t="s">
        <v>603</v>
      </c>
      <c r="I349">
        <v>8</v>
      </c>
      <c r="J349">
        <v>221.62559999999999</v>
      </c>
      <c r="M349">
        <v>10.383599999999999</v>
      </c>
      <c r="N349">
        <v>83.068799999999996</v>
      </c>
      <c r="O349">
        <v>138.56120000000001</v>
      </c>
      <c r="P349">
        <v>62.519100000000002</v>
      </c>
      <c r="Q349" t="s">
        <v>2149</v>
      </c>
    </row>
    <row r="350" spans="1:17" x14ac:dyDescent="0.25">
      <c r="A350" t="s">
        <v>2060</v>
      </c>
      <c r="B350" t="s">
        <v>2061</v>
      </c>
      <c r="C350" t="s">
        <v>1976</v>
      </c>
      <c r="D350" s="11">
        <v>6100061124</v>
      </c>
      <c r="E350" s="12">
        <v>45866</v>
      </c>
      <c r="F350" s="12">
        <v>45868</v>
      </c>
      <c r="G350" t="s">
        <v>2196</v>
      </c>
      <c r="H350" t="s">
        <v>153</v>
      </c>
      <c r="I350">
        <v>100</v>
      </c>
      <c r="J350">
        <v>33.630000000000003</v>
      </c>
      <c r="M350">
        <v>0.245</v>
      </c>
      <c r="N350">
        <v>24.5</v>
      </c>
      <c r="O350">
        <v>9.1300000000000008</v>
      </c>
      <c r="P350">
        <v>27.148299999999999</v>
      </c>
      <c r="Q350" t="s">
        <v>2118</v>
      </c>
    </row>
    <row r="351" spans="1:17" x14ac:dyDescent="0.25">
      <c r="A351" t="s">
        <v>1974</v>
      </c>
      <c r="B351" t="s">
        <v>1975</v>
      </c>
      <c r="C351" t="s">
        <v>1976</v>
      </c>
      <c r="D351" s="11">
        <v>81435</v>
      </c>
      <c r="E351" s="12">
        <v>45867</v>
      </c>
      <c r="F351" s="12">
        <v>45868</v>
      </c>
      <c r="G351" t="s">
        <v>2197</v>
      </c>
      <c r="H351" t="s">
        <v>25</v>
      </c>
      <c r="I351">
        <v>30</v>
      </c>
      <c r="J351">
        <v>7.0350000000000001</v>
      </c>
      <c r="M351">
        <v>0.18</v>
      </c>
      <c r="N351">
        <v>5.4</v>
      </c>
      <c r="O351">
        <v>1.64</v>
      </c>
      <c r="P351">
        <v>23.295400000000001</v>
      </c>
      <c r="Q351" t="s">
        <v>1987</v>
      </c>
    </row>
    <row r="352" spans="1:17" x14ac:dyDescent="0.25">
      <c r="A352" t="s">
        <v>1974</v>
      </c>
      <c r="B352" t="s">
        <v>1975</v>
      </c>
      <c r="C352" t="s">
        <v>1976</v>
      </c>
      <c r="D352" s="11">
        <v>81435</v>
      </c>
      <c r="E352" s="12">
        <v>45867</v>
      </c>
      <c r="F352" s="12">
        <v>45868</v>
      </c>
      <c r="G352" t="s">
        <v>2197</v>
      </c>
      <c r="H352" t="s">
        <v>665</v>
      </c>
      <c r="I352">
        <v>30</v>
      </c>
      <c r="J352">
        <v>25.736999999999998</v>
      </c>
      <c r="M352">
        <v>0.69699999999999995</v>
      </c>
      <c r="N352">
        <v>20.91</v>
      </c>
      <c r="O352">
        <v>4.83</v>
      </c>
      <c r="P352">
        <v>18.764500000000002</v>
      </c>
      <c r="Q352" t="s">
        <v>1988</v>
      </c>
    </row>
    <row r="353" spans="1:17" x14ac:dyDescent="0.25">
      <c r="A353" t="s">
        <v>1974</v>
      </c>
      <c r="B353" t="s">
        <v>1975</v>
      </c>
      <c r="C353" t="s">
        <v>1976</v>
      </c>
      <c r="D353" s="11">
        <v>81435</v>
      </c>
      <c r="E353" s="12">
        <v>45867</v>
      </c>
      <c r="F353" s="12">
        <v>45868</v>
      </c>
      <c r="G353" t="s">
        <v>2197</v>
      </c>
      <c r="H353" t="s">
        <v>1621</v>
      </c>
      <c r="I353">
        <v>2</v>
      </c>
      <c r="J353">
        <v>28.5122</v>
      </c>
      <c r="M353">
        <v>8.5967699999999994</v>
      </c>
      <c r="N353">
        <v>17.193539999999999</v>
      </c>
      <c r="O353">
        <v>11.316459999999999</v>
      </c>
      <c r="P353">
        <v>39.692900000000002</v>
      </c>
      <c r="Q353" t="s">
        <v>2020</v>
      </c>
    </row>
    <row r="354" spans="1:17" x14ac:dyDescent="0.25">
      <c r="A354" t="s">
        <v>1974</v>
      </c>
      <c r="B354" t="s">
        <v>1975</v>
      </c>
      <c r="C354" t="s">
        <v>1976</v>
      </c>
      <c r="D354" s="11">
        <v>81462</v>
      </c>
      <c r="E354" s="12">
        <v>45868</v>
      </c>
      <c r="F354" s="12">
        <v>45869</v>
      </c>
      <c r="G354" t="s">
        <v>2198</v>
      </c>
      <c r="H354" t="s">
        <v>1781</v>
      </c>
      <c r="I354">
        <v>170</v>
      </c>
      <c r="J354">
        <v>52.343000000000004</v>
      </c>
      <c r="K354" t="s">
        <v>2199</v>
      </c>
      <c r="L354" t="s">
        <v>2041</v>
      </c>
      <c r="M354">
        <v>0.13</v>
      </c>
      <c r="N354">
        <v>22.1</v>
      </c>
      <c r="O354">
        <v>30.24</v>
      </c>
      <c r="P354">
        <v>57.776000000000003</v>
      </c>
      <c r="Q354" t="s">
        <v>1983</v>
      </c>
    </row>
    <row r="355" spans="1:17" x14ac:dyDescent="0.25">
      <c r="A355" t="s">
        <v>1974</v>
      </c>
      <c r="B355" t="s">
        <v>1975</v>
      </c>
      <c r="C355" t="s">
        <v>1976</v>
      </c>
      <c r="D355" s="11">
        <v>81462</v>
      </c>
      <c r="E355" s="12">
        <v>45868</v>
      </c>
      <c r="F355" s="12">
        <v>45869</v>
      </c>
      <c r="G355" t="s">
        <v>2198</v>
      </c>
      <c r="H355" t="s">
        <v>517</v>
      </c>
      <c r="I355">
        <v>11</v>
      </c>
      <c r="J355">
        <v>143.5181</v>
      </c>
      <c r="M355">
        <v>10.52</v>
      </c>
      <c r="N355">
        <v>115.72</v>
      </c>
      <c r="O355">
        <v>27.8</v>
      </c>
      <c r="P355">
        <v>19.370100000000001</v>
      </c>
      <c r="Q355" t="s">
        <v>1984</v>
      </c>
    </row>
    <row r="356" spans="1:17" x14ac:dyDescent="0.25">
      <c r="A356" t="s">
        <v>1974</v>
      </c>
      <c r="B356" t="s">
        <v>1975</v>
      </c>
      <c r="C356" t="s">
        <v>1976</v>
      </c>
      <c r="D356" s="11">
        <v>81465</v>
      </c>
      <c r="E356" s="12">
        <v>45873</v>
      </c>
      <c r="F356" s="12">
        <v>45874</v>
      </c>
      <c r="G356" t="s">
        <v>2200</v>
      </c>
      <c r="H356" t="s">
        <v>1076</v>
      </c>
      <c r="I356">
        <v>25</v>
      </c>
      <c r="J356">
        <v>114.425</v>
      </c>
      <c r="M356">
        <v>3.13</v>
      </c>
      <c r="N356">
        <v>78.25</v>
      </c>
      <c r="O356">
        <v>36.18</v>
      </c>
      <c r="P356">
        <v>31.6175</v>
      </c>
      <c r="Q356" t="s">
        <v>2201</v>
      </c>
    </row>
    <row r="357" spans="1:17" x14ac:dyDescent="0.25">
      <c r="A357" t="s">
        <v>1974</v>
      </c>
      <c r="B357" t="s">
        <v>1975</v>
      </c>
      <c r="C357" t="s">
        <v>1976</v>
      </c>
      <c r="D357" s="11">
        <v>81465</v>
      </c>
      <c r="E357" s="12">
        <v>45873</v>
      </c>
      <c r="F357" s="12">
        <v>45874</v>
      </c>
      <c r="G357" t="s">
        <v>2200</v>
      </c>
      <c r="H357" t="s">
        <v>1156</v>
      </c>
      <c r="I357">
        <v>30</v>
      </c>
      <c r="J357">
        <v>5.0670000000000002</v>
      </c>
      <c r="M357">
        <v>7.2800000000000004E-2</v>
      </c>
      <c r="N357">
        <v>2.1840000000000002</v>
      </c>
      <c r="O357">
        <v>2.8860000000000001</v>
      </c>
      <c r="P357">
        <v>56.923000000000002</v>
      </c>
      <c r="Q357" t="s">
        <v>2071</v>
      </c>
    </row>
    <row r="358" spans="1:17" x14ac:dyDescent="0.25">
      <c r="A358" t="s">
        <v>1974</v>
      </c>
      <c r="B358" t="s">
        <v>1975</v>
      </c>
      <c r="C358" t="s">
        <v>1976</v>
      </c>
      <c r="D358" s="11">
        <v>81575</v>
      </c>
      <c r="E358" s="12">
        <v>45876</v>
      </c>
      <c r="F358" s="12">
        <v>45877</v>
      </c>
      <c r="G358" t="s">
        <v>2202</v>
      </c>
      <c r="H358" t="s">
        <v>1659</v>
      </c>
      <c r="I358">
        <v>30</v>
      </c>
      <c r="J358">
        <v>8.2949999999999999</v>
      </c>
      <c r="M358">
        <v>11.34</v>
      </c>
      <c r="N358">
        <v>340.2</v>
      </c>
      <c r="O358">
        <v>-331.9</v>
      </c>
      <c r="P358">
        <v>-3998.7950999999998</v>
      </c>
      <c r="Q358" t="s">
        <v>2203</v>
      </c>
    </row>
    <row r="359" spans="1:17" x14ac:dyDescent="0.25">
      <c r="A359" t="s">
        <v>1974</v>
      </c>
      <c r="B359" t="s">
        <v>1975</v>
      </c>
      <c r="C359" t="s">
        <v>1976</v>
      </c>
      <c r="D359" s="11">
        <v>81584</v>
      </c>
      <c r="E359" s="12">
        <v>45877</v>
      </c>
      <c r="F359" s="12">
        <v>45880</v>
      </c>
      <c r="G359" t="s">
        <v>2204</v>
      </c>
      <c r="H359" t="s">
        <v>620</v>
      </c>
      <c r="I359">
        <v>50</v>
      </c>
      <c r="J359">
        <v>18.234999999999999</v>
      </c>
      <c r="M359">
        <v>0.129</v>
      </c>
      <c r="N359">
        <v>6.45</v>
      </c>
      <c r="O359">
        <v>11.79</v>
      </c>
      <c r="P359">
        <v>64.638099999999994</v>
      </c>
      <c r="Q359" t="s">
        <v>2205</v>
      </c>
    </row>
    <row r="360" spans="1:17" x14ac:dyDescent="0.25">
      <c r="A360" t="s">
        <v>1974</v>
      </c>
      <c r="B360" t="s">
        <v>1975</v>
      </c>
      <c r="C360" t="s">
        <v>1976</v>
      </c>
      <c r="D360" s="11">
        <v>81604</v>
      </c>
      <c r="E360" s="12">
        <v>45880</v>
      </c>
      <c r="F360" s="12">
        <v>45881</v>
      </c>
      <c r="G360" t="s">
        <v>2206</v>
      </c>
      <c r="H360" t="s">
        <v>665</v>
      </c>
      <c r="I360">
        <v>30</v>
      </c>
      <c r="J360">
        <v>25.736999999999998</v>
      </c>
      <c r="M360">
        <v>0.69699999999999995</v>
      </c>
      <c r="N360">
        <v>20.91</v>
      </c>
      <c r="O360">
        <v>4.83</v>
      </c>
      <c r="P360">
        <v>18.764500000000002</v>
      </c>
      <c r="Q360" t="s">
        <v>1988</v>
      </c>
    </row>
    <row r="361" spans="1:17" x14ac:dyDescent="0.25">
      <c r="A361" t="s">
        <v>1974</v>
      </c>
      <c r="B361" t="s">
        <v>1975</v>
      </c>
      <c r="C361" t="s">
        <v>2207</v>
      </c>
      <c r="D361" s="11">
        <v>81634</v>
      </c>
      <c r="E361" s="12">
        <v>45882</v>
      </c>
      <c r="F361" s="12">
        <v>45884</v>
      </c>
      <c r="G361" t="s">
        <v>2208</v>
      </c>
      <c r="H361" t="s">
        <v>1003</v>
      </c>
      <c r="I361">
        <v>3</v>
      </c>
      <c r="J361">
        <v>1566.4446</v>
      </c>
      <c r="M361">
        <v>0</v>
      </c>
      <c r="N361">
        <v>0</v>
      </c>
      <c r="O361">
        <v>1566.44</v>
      </c>
      <c r="P361">
        <v>0</v>
      </c>
      <c r="Q361" t="s">
        <v>2209</v>
      </c>
    </row>
    <row r="362" spans="1:17" x14ac:dyDescent="0.25">
      <c r="A362" t="s">
        <v>1974</v>
      </c>
      <c r="B362" t="s">
        <v>1975</v>
      </c>
      <c r="C362" t="s">
        <v>1976</v>
      </c>
      <c r="D362" s="11">
        <v>81678</v>
      </c>
      <c r="E362" s="12">
        <v>45888</v>
      </c>
      <c r="F362" s="12">
        <v>45889</v>
      </c>
      <c r="G362" t="s">
        <v>2210</v>
      </c>
      <c r="H362" t="s">
        <v>1803</v>
      </c>
      <c r="I362">
        <v>10</v>
      </c>
      <c r="J362">
        <v>37.713999999999999</v>
      </c>
      <c r="M362">
        <v>1.7370000000000001</v>
      </c>
      <c r="N362">
        <v>17.37</v>
      </c>
      <c r="O362">
        <v>20.34</v>
      </c>
      <c r="P362">
        <v>53.937899999999999</v>
      </c>
      <c r="Q362" t="s">
        <v>2031</v>
      </c>
    </row>
    <row r="363" spans="1:17" x14ac:dyDescent="0.25">
      <c r="A363" t="s">
        <v>1974</v>
      </c>
      <c r="B363" t="s">
        <v>1975</v>
      </c>
      <c r="C363" t="s">
        <v>1976</v>
      </c>
      <c r="D363" s="11">
        <v>81678</v>
      </c>
      <c r="E363" s="12">
        <v>45888</v>
      </c>
      <c r="F363" s="12">
        <v>45889</v>
      </c>
      <c r="G363" t="s">
        <v>2210</v>
      </c>
      <c r="H363" t="s">
        <v>1243</v>
      </c>
      <c r="I363">
        <v>10</v>
      </c>
      <c r="J363">
        <v>7.9269999999999996</v>
      </c>
      <c r="K363" t="s">
        <v>2211</v>
      </c>
      <c r="L363" t="s">
        <v>2041</v>
      </c>
      <c r="M363">
        <v>0.65002000000000004</v>
      </c>
      <c r="N363">
        <v>6.5002000000000004</v>
      </c>
      <c r="O363">
        <v>1.4298</v>
      </c>
      <c r="P363">
        <v>18.030200000000001</v>
      </c>
      <c r="Q363" t="s">
        <v>2113</v>
      </c>
    </row>
    <row r="364" spans="1:17" x14ac:dyDescent="0.25">
      <c r="A364" t="s">
        <v>1974</v>
      </c>
      <c r="B364" t="s">
        <v>1975</v>
      </c>
      <c r="C364" t="s">
        <v>1976</v>
      </c>
      <c r="D364" s="11">
        <v>81693</v>
      </c>
      <c r="E364" s="12">
        <v>45888</v>
      </c>
      <c r="F364" s="12">
        <v>45890</v>
      </c>
      <c r="G364" t="s">
        <v>2212</v>
      </c>
      <c r="H364" t="s">
        <v>1182</v>
      </c>
      <c r="I364">
        <v>100</v>
      </c>
      <c r="J364">
        <v>7.7750000000000004</v>
      </c>
      <c r="M364">
        <v>4.2000000000000003E-2</v>
      </c>
      <c r="N364">
        <v>4.2</v>
      </c>
      <c r="O364">
        <v>3.58</v>
      </c>
      <c r="P364">
        <v>46.0154</v>
      </c>
      <c r="Q364" t="s">
        <v>2213</v>
      </c>
    </row>
    <row r="365" spans="1:17" x14ac:dyDescent="0.25">
      <c r="A365" t="s">
        <v>1974</v>
      </c>
      <c r="B365" t="s">
        <v>1975</v>
      </c>
      <c r="C365" t="s">
        <v>1976</v>
      </c>
      <c r="D365" s="11">
        <v>81693</v>
      </c>
      <c r="E365" s="12">
        <v>45888</v>
      </c>
      <c r="F365" s="12">
        <v>45890</v>
      </c>
      <c r="G365" t="s">
        <v>2212</v>
      </c>
      <c r="H365" t="s">
        <v>500</v>
      </c>
      <c r="I365">
        <v>23</v>
      </c>
      <c r="J365">
        <v>359.20710000000003</v>
      </c>
      <c r="M365">
        <v>7.8150000000000004</v>
      </c>
      <c r="N365">
        <v>179.745</v>
      </c>
      <c r="O365">
        <v>179.465</v>
      </c>
      <c r="P365">
        <v>49.960999999999999</v>
      </c>
      <c r="Q365" t="s">
        <v>1996</v>
      </c>
    </row>
    <row r="366" spans="1:17" x14ac:dyDescent="0.25">
      <c r="A366" t="s">
        <v>1974</v>
      </c>
      <c r="B366" t="s">
        <v>1975</v>
      </c>
      <c r="C366" t="s">
        <v>1976</v>
      </c>
      <c r="D366" s="11">
        <v>81693</v>
      </c>
      <c r="E366" s="12">
        <v>45888</v>
      </c>
      <c r="F366" s="12">
        <v>45890</v>
      </c>
      <c r="G366" t="s">
        <v>2212</v>
      </c>
      <c r="H366" t="s">
        <v>371</v>
      </c>
      <c r="I366">
        <v>25</v>
      </c>
      <c r="J366">
        <v>174.11</v>
      </c>
      <c r="K366" t="s">
        <v>2214</v>
      </c>
      <c r="L366" t="s">
        <v>2041</v>
      </c>
      <c r="M366">
        <v>5.7108299999999996</v>
      </c>
      <c r="N366">
        <v>142.77074999999999</v>
      </c>
      <c r="O366">
        <v>31.33925</v>
      </c>
      <c r="P366">
        <v>17.999600000000001</v>
      </c>
      <c r="Q366" t="s">
        <v>2215</v>
      </c>
    </row>
    <row r="367" spans="1:17" x14ac:dyDescent="0.25">
      <c r="A367" t="s">
        <v>1974</v>
      </c>
      <c r="B367" t="s">
        <v>1975</v>
      </c>
      <c r="C367" t="s">
        <v>1976</v>
      </c>
      <c r="D367" s="11">
        <v>81693</v>
      </c>
      <c r="E367" s="12">
        <v>45888</v>
      </c>
      <c r="F367" s="12">
        <v>45890</v>
      </c>
      <c r="G367" t="s">
        <v>2212</v>
      </c>
      <c r="H367" t="s">
        <v>1071</v>
      </c>
      <c r="I367">
        <v>12</v>
      </c>
      <c r="J367">
        <v>146.7012</v>
      </c>
      <c r="M367">
        <v>8.766</v>
      </c>
      <c r="N367">
        <v>105.19199999999999</v>
      </c>
      <c r="O367">
        <v>41.508000000000003</v>
      </c>
      <c r="P367">
        <v>28.2944</v>
      </c>
      <c r="Q367" t="s">
        <v>1995</v>
      </c>
    </row>
    <row r="368" spans="1:17" x14ac:dyDescent="0.25">
      <c r="A368" t="s">
        <v>1974</v>
      </c>
      <c r="B368" t="s">
        <v>1975</v>
      </c>
      <c r="C368" t="s">
        <v>1976</v>
      </c>
      <c r="D368" s="11">
        <v>81700</v>
      </c>
      <c r="E368" s="12">
        <v>45888</v>
      </c>
      <c r="F368" s="12">
        <v>45889</v>
      </c>
      <c r="G368" t="s">
        <v>2216</v>
      </c>
      <c r="H368" t="s">
        <v>212</v>
      </c>
      <c r="I368">
        <v>10</v>
      </c>
      <c r="J368">
        <v>108.8</v>
      </c>
      <c r="M368">
        <v>7.54</v>
      </c>
      <c r="N368">
        <v>75.400000000000006</v>
      </c>
      <c r="O368">
        <v>33.4</v>
      </c>
      <c r="P368">
        <v>30.698499999999999</v>
      </c>
      <c r="Q368" t="s">
        <v>2010</v>
      </c>
    </row>
    <row r="369" spans="1:17" x14ac:dyDescent="0.25">
      <c r="A369" t="s">
        <v>1974</v>
      </c>
      <c r="B369" t="s">
        <v>1975</v>
      </c>
      <c r="C369" t="s">
        <v>1976</v>
      </c>
      <c r="D369" s="11">
        <v>81711</v>
      </c>
      <c r="E369" s="12">
        <v>45889</v>
      </c>
      <c r="F369" s="12">
        <v>45890</v>
      </c>
      <c r="G369" t="s">
        <v>2217</v>
      </c>
      <c r="H369" t="s">
        <v>1661</v>
      </c>
      <c r="I369">
        <v>550</v>
      </c>
      <c r="J369">
        <v>34.1</v>
      </c>
      <c r="M369">
        <v>0.08</v>
      </c>
      <c r="N369">
        <v>44</v>
      </c>
      <c r="O369">
        <v>-9.9</v>
      </c>
      <c r="P369">
        <v>-29.0322</v>
      </c>
      <c r="Q369" t="s">
        <v>2218</v>
      </c>
    </row>
    <row r="370" spans="1:17" x14ac:dyDescent="0.25">
      <c r="A370" t="s">
        <v>1974</v>
      </c>
      <c r="B370" t="s">
        <v>1975</v>
      </c>
      <c r="C370" t="s">
        <v>1976</v>
      </c>
      <c r="D370" s="11">
        <v>81711</v>
      </c>
      <c r="E370" s="12">
        <v>45889</v>
      </c>
      <c r="F370" s="12">
        <v>45890</v>
      </c>
      <c r="G370" t="s">
        <v>2217</v>
      </c>
      <c r="H370" t="s">
        <v>1267</v>
      </c>
      <c r="I370">
        <v>100</v>
      </c>
      <c r="J370">
        <v>21.52</v>
      </c>
      <c r="M370">
        <v>0.16</v>
      </c>
      <c r="N370">
        <v>16</v>
      </c>
      <c r="O370">
        <v>5.52</v>
      </c>
      <c r="P370">
        <v>25.650500000000001</v>
      </c>
      <c r="Q370" t="s">
        <v>2219</v>
      </c>
    </row>
    <row r="371" spans="1:17" x14ac:dyDescent="0.25">
      <c r="A371" t="s">
        <v>1974</v>
      </c>
      <c r="B371" t="s">
        <v>1975</v>
      </c>
      <c r="C371" t="s">
        <v>1976</v>
      </c>
      <c r="D371" s="11">
        <v>81711</v>
      </c>
      <c r="E371" s="12">
        <v>45889</v>
      </c>
      <c r="F371" s="12">
        <v>45890</v>
      </c>
      <c r="G371" t="s">
        <v>2217</v>
      </c>
      <c r="H371" t="s">
        <v>192</v>
      </c>
      <c r="I371">
        <v>100</v>
      </c>
      <c r="J371">
        <v>23.31</v>
      </c>
      <c r="M371">
        <v>7.9000000000000001E-2</v>
      </c>
      <c r="N371">
        <v>7.9</v>
      </c>
      <c r="O371">
        <v>15.41</v>
      </c>
      <c r="P371">
        <v>66.108900000000006</v>
      </c>
      <c r="Q371" t="s">
        <v>2220</v>
      </c>
    </row>
    <row r="372" spans="1:17" x14ac:dyDescent="0.25">
      <c r="A372" t="s">
        <v>1974</v>
      </c>
      <c r="B372" t="s">
        <v>1975</v>
      </c>
      <c r="C372" t="s">
        <v>1976</v>
      </c>
      <c r="D372" s="11">
        <v>81711</v>
      </c>
      <c r="E372" s="12">
        <v>45889</v>
      </c>
      <c r="F372" s="12">
        <v>45890</v>
      </c>
      <c r="G372" t="s">
        <v>2217</v>
      </c>
      <c r="H372" t="s">
        <v>1039</v>
      </c>
      <c r="I372">
        <v>30</v>
      </c>
      <c r="J372">
        <v>33.6</v>
      </c>
      <c r="M372">
        <v>0.72099999999999997</v>
      </c>
      <c r="N372">
        <v>21.63</v>
      </c>
      <c r="O372">
        <v>11.97</v>
      </c>
      <c r="P372">
        <v>35.625</v>
      </c>
      <c r="Q372" t="s">
        <v>2007</v>
      </c>
    </row>
    <row r="373" spans="1:17" x14ac:dyDescent="0.25">
      <c r="A373" t="s">
        <v>1974</v>
      </c>
      <c r="B373" t="s">
        <v>1975</v>
      </c>
      <c r="C373" t="s">
        <v>1976</v>
      </c>
      <c r="D373" s="11">
        <v>81711</v>
      </c>
      <c r="E373" s="12">
        <v>45889</v>
      </c>
      <c r="F373" s="12">
        <v>45890</v>
      </c>
      <c r="G373" t="s">
        <v>2217</v>
      </c>
      <c r="H373" t="s">
        <v>212</v>
      </c>
      <c r="I373">
        <v>30</v>
      </c>
      <c r="J373">
        <v>326.39999999999998</v>
      </c>
      <c r="M373">
        <v>7.54</v>
      </c>
      <c r="N373">
        <v>226.2</v>
      </c>
      <c r="O373">
        <v>100.2</v>
      </c>
      <c r="P373">
        <v>30.698499999999999</v>
      </c>
      <c r="Q373" t="s">
        <v>2010</v>
      </c>
    </row>
    <row r="374" spans="1:17" x14ac:dyDescent="0.25">
      <c r="A374" t="s">
        <v>1974</v>
      </c>
      <c r="B374" t="s">
        <v>1975</v>
      </c>
      <c r="C374" t="s">
        <v>1976</v>
      </c>
      <c r="D374" s="11">
        <v>81759</v>
      </c>
      <c r="E374" s="12">
        <v>45894</v>
      </c>
      <c r="F374" s="12">
        <v>45895</v>
      </c>
      <c r="G374" t="s">
        <v>2221</v>
      </c>
      <c r="H374" t="s">
        <v>25</v>
      </c>
      <c r="I374">
        <v>25</v>
      </c>
      <c r="J374">
        <v>5.8624999999999998</v>
      </c>
      <c r="M374">
        <v>0.18</v>
      </c>
      <c r="N374">
        <v>4.5</v>
      </c>
      <c r="O374">
        <v>1.36</v>
      </c>
      <c r="P374">
        <v>23.208100000000002</v>
      </c>
      <c r="Q374" t="s">
        <v>1987</v>
      </c>
    </row>
    <row r="375" spans="1:17" x14ac:dyDescent="0.25">
      <c r="A375" t="s">
        <v>1974</v>
      </c>
      <c r="B375" t="s">
        <v>1975</v>
      </c>
      <c r="C375" t="s">
        <v>1976</v>
      </c>
      <c r="D375" s="11">
        <v>81759</v>
      </c>
      <c r="E375" s="12">
        <v>45894</v>
      </c>
      <c r="F375" s="12">
        <v>45895</v>
      </c>
      <c r="G375" t="s">
        <v>2221</v>
      </c>
      <c r="H375" t="s">
        <v>1172</v>
      </c>
      <c r="I375">
        <v>30</v>
      </c>
      <c r="J375">
        <v>2.7810000000000001</v>
      </c>
      <c r="M375">
        <v>5.8599999999999999E-2</v>
      </c>
      <c r="N375">
        <v>1.758</v>
      </c>
      <c r="O375">
        <v>1.022</v>
      </c>
      <c r="P375">
        <v>36.762500000000003</v>
      </c>
      <c r="Q375" t="s">
        <v>2222</v>
      </c>
    </row>
    <row r="376" spans="1:17" x14ac:dyDescent="0.25">
      <c r="A376" t="s">
        <v>1974</v>
      </c>
      <c r="B376" t="s">
        <v>1975</v>
      </c>
      <c r="C376" t="s">
        <v>1976</v>
      </c>
      <c r="D376" s="11">
        <v>81759</v>
      </c>
      <c r="E376" s="12">
        <v>45894</v>
      </c>
      <c r="F376" s="12">
        <v>45895</v>
      </c>
      <c r="G376" t="s">
        <v>2221</v>
      </c>
      <c r="H376" t="s">
        <v>1233</v>
      </c>
      <c r="I376">
        <v>25</v>
      </c>
      <c r="J376">
        <v>99.757499999999993</v>
      </c>
      <c r="M376">
        <v>3.25</v>
      </c>
      <c r="N376">
        <v>81.25</v>
      </c>
      <c r="O376">
        <v>18.510000000000002</v>
      </c>
      <c r="P376">
        <v>18.554500000000001</v>
      </c>
      <c r="Q376" t="s">
        <v>2223</v>
      </c>
    </row>
    <row r="377" spans="1:17" x14ac:dyDescent="0.25">
      <c r="A377" t="s">
        <v>1974</v>
      </c>
      <c r="B377" t="s">
        <v>1975</v>
      </c>
      <c r="C377" t="s">
        <v>1976</v>
      </c>
      <c r="D377" s="11">
        <v>81759</v>
      </c>
      <c r="E377" s="12">
        <v>45894</v>
      </c>
      <c r="F377" s="12">
        <v>45895</v>
      </c>
      <c r="G377" t="s">
        <v>2221</v>
      </c>
      <c r="H377" t="s">
        <v>1221</v>
      </c>
      <c r="I377">
        <v>25</v>
      </c>
      <c r="J377">
        <v>15.02</v>
      </c>
      <c r="K377" t="s">
        <v>2224</v>
      </c>
      <c r="L377" t="s">
        <v>2041</v>
      </c>
      <c r="M377">
        <v>0.49264999999999998</v>
      </c>
      <c r="N377">
        <v>12.31625</v>
      </c>
      <c r="O377">
        <v>2.7037499999999999</v>
      </c>
      <c r="P377">
        <v>18.000900000000001</v>
      </c>
      <c r="Q377" t="s">
        <v>2225</v>
      </c>
    </row>
    <row r="378" spans="1:17" x14ac:dyDescent="0.25">
      <c r="A378" t="s">
        <v>1974</v>
      </c>
      <c r="B378" t="s">
        <v>1975</v>
      </c>
      <c r="C378" t="s">
        <v>1976</v>
      </c>
      <c r="D378" s="11">
        <v>81759</v>
      </c>
      <c r="E378" s="12">
        <v>45894</v>
      </c>
      <c r="F378" s="12">
        <v>45895</v>
      </c>
      <c r="G378" t="s">
        <v>2221</v>
      </c>
      <c r="H378" t="s">
        <v>69</v>
      </c>
      <c r="I378">
        <v>11</v>
      </c>
      <c r="J378">
        <v>87.169499999999999</v>
      </c>
      <c r="M378">
        <v>4.3067000000000002</v>
      </c>
      <c r="N378">
        <v>47.373699999999999</v>
      </c>
      <c r="O378">
        <v>39.796300000000002</v>
      </c>
      <c r="P378">
        <v>45.653599999999997</v>
      </c>
      <c r="Q378" t="s">
        <v>2226</v>
      </c>
    </row>
    <row r="379" spans="1:17" x14ac:dyDescent="0.25">
      <c r="A379" t="s">
        <v>2060</v>
      </c>
      <c r="B379" t="s">
        <v>2061</v>
      </c>
      <c r="C379" t="s">
        <v>1976</v>
      </c>
      <c r="D379" s="11">
        <v>6100062798</v>
      </c>
      <c r="E379" s="12">
        <v>45895</v>
      </c>
      <c r="F379" s="12">
        <v>45897</v>
      </c>
      <c r="G379" t="s">
        <v>2227</v>
      </c>
      <c r="H379" t="s">
        <v>1350</v>
      </c>
      <c r="I379">
        <v>1000</v>
      </c>
      <c r="J379">
        <v>3</v>
      </c>
      <c r="M379">
        <v>5.1000000000000004E-4</v>
      </c>
      <c r="N379">
        <v>0.51</v>
      </c>
      <c r="O379">
        <v>2.4900000000000002</v>
      </c>
      <c r="P379">
        <v>83</v>
      </c>
      <c r="Q379" t="s">
        <v>2228</v>
      </c>
    </row>
    <row r="380" spans="1:17" x14ac:dyDescent="0.25">
      <c r="A380" t="s">
        <v>1974</v>
      </c>
      <c r="B380" t="s">
        <v>1975</v>
      </c>
      <c r="C380" t="s">
        <v>1976</v>
      </c>
      <c r="D380" s="11">
        <v>81787</v>
      </c>
      <c r="E380" s="12">
        <v>45896</v>
      </c>
      <c r="F380" s="12">
        <v>45897</v>
      </c>
      <c r="G380" t="s">
        <v>2229</v>
      </c>
      <c r="H380" t="s">
        <v>1267</v>
      </c>
      <c r="I380">
        <v>50</v>
      </c>
      <c r="J380">
        <v>10.76</v>
      </c>
      <c r="M380">
        <v>0.16</v>
      </c>
      <c r="N380">
        <v>8</v>
      </c>
      <c r="O380">
        <v>2.76</v>
      </c>
      <c r="P380">
        <v>25.650500000000001</v>
      </c>
      <c r="Q380" t="s">
        <v>2219</v>
      </c>
    </row>
    <row r="381" spans="1:17" x14ac:dyDescent="0.25">
      <c r="A381" t="s">
        <v>1974</v>
      </c>
      <c r="B381" t="s">
        <v>1975</v>
      </c>
      <c r="C381" t="s">
        <v>1976</v>
      </c>
      <c r="D381" s="11">
        <v>81787</v>
      </c>
      <c r="E381" s="12">
        <v>45896</v>
      </c>
      <c r="F381" s="12">
        <v>45897</v>
      </c>
      <c r="G381" t="s">
        <v>2229</v>
      </c>
      <c r="H381" t="s">
        <v>1567</v>
      </c>
      <c r="I381">
        <v>100</v>
      </c>
      <c r="J381">
        <v>4.53</v>
      </c>
      <c r="M381">
        <v>4.2999999999999997E-2</v>
      </c>
      <c r="N381">
        <v>4.3</v>
      </c>
      <c r="O381">
        <v>0.23</v>
      </c>
      <c r="P381">
        <v>5.0772000000000004</v>
      </c>
      <c r="Q381" t="s">
        <v>1994</v>
      </c>
    </row>
    <row r="382" spans="1:17" x14ac:dyDescent="0.25">
      <c r="A382" t="s">
        <v>1974</v>
      </c>
      <c r="B382" t="s">
        <v>1975</v>
      </c>
      <c r="C382" t="s">
        <v>1976</v>
      </c>
      <c r="D382" s="11">
        <v>81787</v>
      </c>
      <c r="E382" s="12">
        <v>45896</v>
      </c>
      <c r="F382" s="12">
        <v>45897</v>
      </c>
      <c r="G382" t="s">
        <v>2229</v>
      </c>
      <c r="H382" t="s">
        <v>192</v>
      </c>
      <c r="I382">
        <v>25</v>
      </c>
      <c r="J382">
        <v>5.8274999999999997</v>
      </c>
      <c r="M382">
        <v>7.9000000000000001E-2</v>
      </c>
      <c r="N382">
        <v>1.9750000000000001</v>
      </c>
      <c r="O382">
        <v>3.855</v>
      </c>
      <c r="P382">
        <v>66.123400000000004</v>
      </c>
      <c r="Q382" t="s">
        <v>2220</v>
      </c>
    </row>
    <row r="383" spans="1:17" x14ac:dyDescent="0.25">
      <c r="A383" t="s">
        <v>1974</v>
      </c>
      <c r="B383" t="s">
        <v>1975</v>
      </c>
      <c r="C383" t="s">
        <v>1976</v>
      </c>
      <c r="D383" s="11">
        <v>81792</v>
      </c>
      <c r="E383" s="12">
        <v>45896</v>
      </c>
      <c r="F383" s="12">
        <v>45925</v>
      </c>
      <c r="G383" t="s">
        <v>2230</v>
      </c>
      <c r="H383" t="s">
        <v>517</v>
      </c>
      <c r="I383">
        <v>6</v>
      </c>
      <c r="J383">
        <v>78.281999999999996</v>
      </c>
      <c r="M383">
        <v>10.52</v>
      </c>
      <c r="N383">
        <v>63.12</v>
      </c>
      <c r="O383">
        <v>15.16</v>
      </c>
      <c r="P383">
        <v>19.366299999999999</v>
      </c>
      <c r="Q383" t="s">
        <v>1984</v>
      </c>
    </row>
    <row r="384" spans="1:17" x14ac:dyDescent="0.25">
      <c r="A384" t="s">
        <v>1974</v>
      </c>
      <c r="B384" t="s">
        <v>1975</v>
      </c>
      <c r="C384" t="s">
        <v>1976</v>
      </c>
      <c r="D384" s="11">
        <v>81792</v>
      </c>
      <c r="E384" s="12">
        <v>45896</v>
      </c>
      <c r="F384" s="12">
        <v>45898</v>
      </c>
      <c r="G384" t="s">
        <v>2230</v>
      </c>
      <c r="H384" t="s">
        <v>390</v>
      </c>
      <c r="I384">
        <v>6</v>
      </c>
      <c r="J384">
        <v>85.276799999999994</v>
      </c>
      <c r="M384">
        <v>11.16</v>
      </c>
      <c r="N384">
        <v>66.959999999999994</v>
      </c>
      <c r="O384">
        <v>18.32</v>
      </c>
      <c r="P384">
        <v>21.482099999999999</v>
      </c>
      <c r="Q384" t="s">
        <v>2231</v>
      </c>
    </row>
    <row r="385" spans="1:17" x14ac:dyDescent="0.25">
      <c r="A385" t="s">
        <v>1974</v>
      </c>
      <c r="B385" t="s">
        <v>1975</v>
      </c>
      <c r="C385" t="s">
        <v>1976</v>
      </c>
      <c r="D385" s="11">
        <v>81815</v>
      </c>
      <c r="E385" s="12">
        <v>45898</v>
      </c>
      <c r="F385" s="12">
        <v>45902</v>
      </c>
      <c r="G385" t="s">
        <v>2232</v>
      </c>
      <c r="H385" t="s">
        <v>39</v>
      </c>
      <c r="I385">
        <v>152</v>
      </c>
      <c r="J385">
        <v>845.05920000000003</v>
      </c>
      <c r="M385">
        <v>3.54</v>
      </c>
      <c r="N385">
        <v>538.08000000000004</v>
      </c>
      <c r="O385">
        <v>306.98</v>
      </c>
      <c r="P385">
        <v>36.3264</v>
      </c>
      <c r="Q385" t="s">
        <v>2233</v>
      </c>
    </row>
    <row r="386" spans="1:17" x14ac:dyDescent="0.25">
      <c r="A386" t="s">
        <v>1974</v>
      </c>
      <c r="B386" t="s">
        <v>1975</v>
      </c>
      <c r="C386" t="s">
        <v>1976</v>
      </c>
      <c r="D386" s="11">
        <v>81823</v>
      </c>
      <c r="E386" s="12">
        <v>45898</v>
      </c>
      <c r="F386" s="12">
        <v>45902</v>
      </c>
      <c r="G386" t="s">
        <v>2234</v>
      </c>
      <c r="H386" t="s">
        <v>1172</v>
      </c>
      <c r="I386">
        <v>30</v>
      </c>
      <c r="J386">
        <v>2.7810000000000001</v>
      </c>
      <c r="M386">
        <v>5.8599999999999999E-2</v>
      </c>
      <c r="N386">
        <v>1.758</v>
      </c>
      <c r="O386">
        <v>1.022</v>
      </c>
      <c r="P386">
        <v>36.762500000000003</v>
      </c>
      <c r="Q386" t="s">
        <v>2222</v>
      </c>
    </row>
    <row r="387" spans="1:17" x14ac:dyDescent="0.25">
      <c r="A387" t="s">
        <v>1974</v>
      </c>
      <c r="B387" t="s">
        <v>1975</v>
      </c>
      <c r="C387" t="s">
        <v>1976</v>
      </c>
      <c r="D387" s="11">
        <v>81823</v>
      </c>
      <c r="E387" s="12">
        <v>45898</v>
      </c>
      <c r="F387" s="12">
        <v>45902</v>
      </c>
      <c r="G387" t="s">
        <v>2234</v>
      </c>
      <c r="H387" t="s">
        <v>1233</v>
      </c>
      <c r="I387">
        <v>15</v>
      </c>
      <c r="J387">
        <v>59.854500000000002</v>
      </c>
      <c r="M387">
        <v>3.25</v>
      </c>
      <c r="N387">
        <v>48.75</v>
      </c>
      <c r="O387">
        <v>11.1</v>
      </c>
      <c r="P387">
        <v>18.546299999999999</v>
      </c>
      <c r="Q387" t="s">
        <v>2223</v>
      </c>
    </row>
    <row r="388" spans="1:17" x14ac:dyDescent="0.25">
      <c r="A388" t="s">
        <v>1974</v>
      </c>
      <c r="B388" t="s">
        <v>1975</v>
      </c>
      <c r="C388" t="s">
        <v>1976</v>
      </c>
      <c r="D388" s="11">
        <v>81823</v>
      </c>
      <c r="E388" s="12">
        <v>45898</v>
      </c>
      <c r="F388" s="12">
        <v>45902</v>
      </c>
      <c r="G388" t="s">
        <v>2234</v>
      </c>
      <c r="H388" t="s">
        <v>69</v>
      </c>
      <c r="I388">
        <v>6</v>
      </c>
      <c r="J388">
        <v>47.546999999999997</v>
      </c>
      <c r="M388">
        <v>4.3067000000000002</v>
      </c>
      <c r="N388">
        <v>25.840199999999999</v>
      </c>
      <c r="O388">
        <v>21.709800000000001</v>
      </c>
      <c r="P388">
        <v>45.656700000000001</v>
      </c>
      <c r="Q388" t="s">
        <v>2226</v>
      </c>
    </row>
    <row r="389" spans="1:17" x14ac:dyDescent="0.25">
      <c r="A389" t="s">
        <v>1974</v>
      </c>
      <c r="B389" t="s">
        <v>1975</v>
      </c>
      <c r="C389" t="s">
        <v>1976</v>
      </c>
      <c r="D389" s="11">
        <v>81835</v>
      </c>
      <c r="E389" s="12">
        <v>45902</v>
      </c>
      <c r="F389" s="12">
        <v>45904</v>
      </c>
      <c r="G389" t="s">
        <v>2235</v>
      </c>
      <c r="H389" t="s">
        <v>184</v>
      </c>
      <c r="I389">
        <v>200</v>
      </c>
      <c r="J389">
        <v>69.34</v>
      </c>
      <c r="M389">
        <v>9.0190000000000006E-2</v>
      </c>
      <c r="N389">
        <v>18.038</v>
      </c>
      <c r="O389">
        <v>51.302</v>
      </c>
      <c r="P389">
        <v>73.986099999999993</v>
      </c>
      <c r="Q389" t="s">
        <v>2021</v>
      </c>
    </row>
    <row r="390" spans="1:17" x14ac:dyDescent="0.25">
      <c r="A390" t="s">
        <v>1974</v>
      </c>
      <c r="B390" t="s">
        <v>1975</v>
      </c>
      <c r="C390" t="s">
        <v>1976</v>
      </c>
      <c r="D390" s="11">
        <v>81835</v>
      </c>
      <c r="E390" s="12">
        <v>45902</v>
      </c>
      <c r="F390" s="12">
        <v>45904</v>
      </c>
      <c r="G390" t="s">
        <v>2235</v>
      </c>
      <c r="H390" t="s">
        <v>517</v>
      </c>
      <c r="I390">
        <v>11</v>
      </c>
      <c r="J390">
        <v>143.517</v>
      </c>
      <c r="M390">
        <v>10.52</v>
      </c>
      <c r="N390">
        <v>115.72</v>
      </c>
      <c r="O390">
        <v>27.8</v>
      </c>
      <c r="P390">
        <v>19.370100000000001</v>
      </c>
      <c r="Q390" t="s">
        <v>1984</v>
      </c>
    </row>
    <row r="391" spans="1:17" x14ac:dyDescent="0.25">
      <c r="A391" t="s">
        <v>2060</v>
      </c>
      <c r="B391" t="s">
        <v>2061</v>
      </c>
      <c r="C391" t="s">
        <v>1976</v>
      </c>
      <c r="D391" s="11">
        <v>6100063316</v>
      </c>
      <c r="E391" s="12">
        <v>45903</v>
      </c>
      <c r="F391" s="12">
        <v>45905</v>
      </c>
      <c r="G391" t="s">
        <v>2236</v>
      </c>
      <c r="H391" t="s">
        <v>1495</v>
      </c>
      <c r="I391">
        <v>15</v>
      </c>
      <c r="J391">
        <v>10.894500000000001</v>
      </c>
      <c r="M391">
        <v>0.59499999999999997</v>
      </c>
      <c r="N391">
        <v>8.9250000000000007</v>
      </c>
      <c r="O391">
        <v>1.9650000000000001</v>
      </c>
      <c r="P391">
        <v>18.044</v>
      </c>
      <c r="Q391" t="s">
        <v>2237</v>
      </c>
    </row>
    <row r="392" spans="1:17" x14ac:dyDescent="0.25">
      <c r="A392" t="s">
        <v>1974</v>
      </c>
      <c r="B392" t="s">
        <v>1975</v>
      </c>
      <c r="C392" t="s">
        <v>1976</v>
      </c>
      <c r="D392" s="11">
        <v>81847</v>
      </c>
      <c r="E392" s="12">
        <v>45904</v>
      </c>
      <c r="F392" s="12">
        <v>45905</v>
      </c>
      <c r="G392" t="s">
        <v>2238</v>
      </c>
      <c r="H392" t="s">
        <v>101</v>
      </c>
      <c r="I392">
        <v>3</v>
      </c>
      <c r="J392">
        <v>3.7662</v>
      </c>
      <c r="M392">
        <v>1.2390000000000001</v>
      </c>
      <c r="N392">
        <v>3.7170000000000001</v>
      </c>
      <c r="O392">
        <v>5.2999999999999999E-2</v>
      </c>
      <c r="P392">
        <v>1.4057999999999999</v>
      </c>
      <c r="Q392" t="s">
        <v>2239</v>
      </c>
    </row>
    <row r="393" spans="1:17" x14ac:dyDescent="0.25">
      <c r="A393" t="s">
        <v>1974</v>
      </c>
      <c r="B393" t="s">
        <v>1975</v>
      </c>
      <c r="C393" t="s">
        <v>1976</v>
      </c>
      <c r="D393" s="11">
        <v>81847</v>
      </c>
      <c r="E393" s="12">
        <v>45904</v>
      </c>
      <c r="F393" s="12">
        <v>45905</v>
      </c>
      <c r="G393" t="s">
        <v>2238</v>
      </c>
      <c r="H393" t="s">
        <v>104</v>
      </c>
      <c r="I393">
        <v>8</v>
      </c>
      <c r="J393">
        <v>13.6296</v>
      </c>
      <c r="M393">
        <v>1.319</v>
      </c>
      <c r="N393">
        <v>10.552</v>
      </c>
      <c r="O393">
        <v>3.0779999999999998</v>
      </c>
      <c r="P393">
        <v>22.5825</v>
      </c>
      <c r="Q393" t="s">
        <v>1989</v>
      </c>
    </row>
    <row r="394" spans="1:17" x14ac:dyDescent="0.25">
      <c r="A394" t="s">
        <v>1974</v>
      </c>
      <c r="B394" t="s">
        <v>1975</v>
      </c>
      <c r="C394" t="s">
        <v>1976</v>
      </c>
      <c r="D394" s="11">
        <v>81847</v>
      </c>
      <c r="E394" s="12">
        <v>45904</v>
      </c>
      <c r="F394" s="12">
        <v>45905</v>
      </c>
      <c r="G394" t="s">
        <v>2238</v>
      </c>
      <c r="H394" t="s">
        <v>1001</v>
      </c>
      <c r="I394">
        <v>2</v>
      </c>
      <c r="J394">
        <v>21.842600000000001</v>
      </c>
      <c r="M394">
        <v>6.3902000000000001</v>
      </c>
      <c r="N394">
        <v>12.7804</v>
      </c>
      <c r="O394">
        <v>9.0595999999999997</v>
      </c>
      <c r="P394">
        <v>41.4816</v>
      </c>
      <c r="Q394" t="s">
        <v>2240</v>
      </c>
    </row>
    <row r="395" spans="1:17" x14ac:dyDescent="0.25">
      <c r="A395" t="s">
        <v>1974</v>
      </c>
      <c r="B395" t="s">
        <v>1975</v>
      </c>
      <c r="C395" t="s">
        <v>1976</v>
      </c>
      <c r="D395" s="11">
        <v>81847</v>
      </c>
      <c r="E395" s="12">
        <v>45904</v>
      </c>
      <c r="F395" s="12">
        <v>45905</v>
      </c>
      <c r="G395" t="s">
        <v>2238</v>
      </c>
      <c r="H395" t="s">
        <v>1495</v>
      </c>
      <c r="I395">
        <v>5</v>
      </c>
      <c r="J395">
        <v>3.6315</v>
      </c>
      <c r="M395">
        <v>0.59499999999999997</v>
      </c>
      <c r="N395">
        <v>2.9750000000000001</v>
      </c>
      <c r="O395">
        <v>0.65500000000000003</v>
      </c>
      <c r="P395">
        <v>18.044</v>
      </c>
      <c r="Q395" t="s">
        <v>2241</v>
      </c>
    </row>
    <row r="396" spans="1:17" x14ac:dyDescent="0.25">
      <c r="A396" t="s">
        <v>1974</v>
      </c>
      <c r="B396" t="s">
        <v>1975</v>
      </c>
      <c r="C396" t="s">
        <v>1976</v>
      </c>
      <c r="D396" s="11">
        <v>81847</v>
      </c>
      <c r="E396" s="12">
        <v>45904</v>
      </c>
      <c r="F396" s="12">
        <v>45905</v>
      </c>
      <c r="G396" t="s">
        <v>2238</v>
      </c>
      <c r="H396" t="s">
        <v>25</v>
      </c>
      <c r="I396">
        <v>20</v>
      </c>
      <c r="J396">
        <v>4.6900000000000004</v>
      </c>
      <c r="M396">
        <v>0.18</v>
      </c>
      <c r="N396">
        <v>3.6</v>
      </c>
      <c r="O396">
        <v>1.0900000000000001</v>
      </c>
      <c r="P396">
        <v>23.2409</v>
      </c>
      <c r="Q396" t="s">
        <v>1987</v>
      </c>
    </row>
    <row r="397" spans="1:17" x14ac:dyDescent="0.25">
      <c r="A397" t="s">
        <v>1974</v>
      </c>
      <c r="B397" t="s">
        <v>1975</v>
      </c>
      <c r="C397" t="s">
        <v>1976</v>
      </c>
      <c r="D397" s="11">
        <v>81871</v>
      </c>
      <c r="E397" s="12">
        <v>45905</v>
      </c>
      <c r="F397" s="12">
        <v>45908</v>
      </c>
      <c r="G397" t="s">
        <v>2242</v>
      </c>
      <c r="H397" t="s">
        <v>1071</v>
      </c>
      <c r="I397">
        <v>7</v>
      </c>
      <c r="J397">
        <v>85.575699999999998</v>
      </c>
      <c r="M397">
        <v>8.766</v>
      </c>
      <c r="N397">
        <v>61.362000000000002</v>
      </c>
      <c r="O397">
        <v>24.218</v>
      </c>
      <c r="P397">
        <v>28.2986</v>
      </c>
      <c r="Q397" t="s">
        <v>1995</v>
      </c>
    </row>
    <row r="398" spans="1:17" x14ac:dyDescent="0.25">
      <c r="A398" t="s">
        <v>1974</v>
      </c>
      <c r="B398" t="s">
        <v>1975</v>
      </c>
      <c r="C398" t="s">
        <v>1976</v>
      </c>
      <c r="D398" s="11">
        <v>81871</v>
      </c>
      <c r="E398" s="12">
        <v>45905</v>
      </c>
      <c r="F398" s="12">
        <v>45908</v>
      </c>
      <c r="G398" t="s">
        <v>2242</v>
      </c>
      <c r="H398" t="s">
        <v>500</v>
      </c>
      <c r="I398">
        <v>13</v>
      </c>
      <c r="J398">
        <v>18.3794</v>
      </c>
      <c r="M398">
        <v>7.8150000000000004</v>
      </c>
      <c r="N398">
        <v>101.595</v>
      </c>
      <c r="O398">
        <v>-83.215000000000003</v>
      </c>
      <c r="P398">
        <v>-452.7475</v>
      </c>
      <c r="Q398" t="s">
        <v>1996</v>
      </c>
    </row>
    <row r="399" spans="1:17" x14ac:dyDescent="0.25">
      <c r="A399" t="s">
        <v>1974</v>
      </c>
      <c r="B399" t="s">
        <v>1975</v>
      </c>
      <c r="C399" t="s">
        <v>1976</v>
      </c>
      <c r="D399" s="11">
        <v>81871</v>
      </c>
      <c r="E399" s="12">
        <v>45905</v>
      </c>
      <c r="F399" s="12">
        <v>45908</v>
      </c>
      <c r="G399" t="s">
        <v>2242</v>
      </c>
      <c r="H399" t="s">
        <v>210</v>
      </c>
      <c r="I399">
        <v>8</v>
      </c>
      <c r="J399">
        <v>87.16</v>
      </c>
      <c r="M399">
        <v>9.1199999999999992</v>
      </c>
      <c r="N399">
        <v>72.959999999999994</v>
      </c>
      <c r="O399">
        <v>14.2</v>
      </c>
      <c r="P399">
        <v>16.291799999999999</v>
      </c>
      <c r="Q399" t="s">
        <v>1999</v>
      </c>
    </row>
    <row r="400" spans="1:17" x14ac:dyDescent="0.25">
      <c r="A400" t="s">
        <v>1974</v>
      </c>
      <c r="B400" t="s">
        <v>1975</v>
      </c>
      <c r="C400" t="s">
        <v>1976</v>
      </c>
      <c r="D400" s="11">
        <v>81960</v>
      </c>
      <c r="E400" s="12">
        <v>45912</v>
      </c>
      <c r="F400" s="12">
        <v>45915</v>
      </c>
      <c r="G400" t="s">
        <v>2243</v>
      </c>
      <c r="H400" t="s">
        <v>25</v>
      </c>
      <c r="I400">
        <v>35</v>
      </c>
      <c r="J400">
        <v>8.2074999999999996</v>
      </c>
      <c r="M400">
        <v>0.18</v>
      </c>
      <c r="N400">
        <v>6.3</v>
      </c>
      <c r="O400">
        <v>1.91</v>
      </c>
      <c r="P400">
        <v>23.264299999999999</v>
      </c>
      <c r="Q400" t="s">
        <v>1987</v>
      </c>
    </row>
    <row r="401" spans="1:17" x14ac:dyDescent="0.25">
      <c r="A401" t="s">
        <v>1974</v>
      </c>
      <c r="B401" t="s">
        <v>1975</v>
      </c>
      <c r="C401" t="s">
        <v>1976</v>
      </c>
      <c r="D401" s="11">
        <v>81960</v>
      </c>
      <c r="E401" s="12">
        <v>45912</v>
      </c>
      <c r="F401" s="12">
        <v>45915</v>
      </c>
      <c r="G401" t="s">
        <v>2243</v>
      </c>
      <c r="H401" t="s">
        <v>665</v>
      </c>
      <c r="I401">
        <v>25</v>
      </c>
      <c r="J401">
        <v>21.447500000000002</v>
      </c>
      <c r="M401">
        <v>0.69699999999999995</v>
      </c>
      <c r="N401">
        <v>17.425000000000001</v>
      </c>
      <c r="O401">
        <v>4.0250000000000004</v>
      </c>
      <c r="P401">
        <v>18.764500000000002</v>
      </c>
      <c r="Q401" t="s">
        <v>1988</v>
      </c>
    </row>
    <row r="402" spans="1:17" x14ac:dyDescent="0.25">
      <c r="A402" t="s">
        <v>1974</v>
      </c>
      <c r="B402" t="s">
        <v>1975</v>
      </c>
      <c r="C402" t="s">
        <v>1976</v>
      </c>
      <c r="D402" s="11">
        <v>81960</v>
      </c>
      <c r="E402" s="12">
        <v>45912</v>
      </c>
      <c r="F402" s="12">
        <v>45915</v>
      </c>
      <c r="G402" t="s">
        <v>2243</v>
      </c>
      <c r="H402" t="s">
        <v>104</v>
      </c>
      <c r="I402">
        <v>7</v>
      </c>
      <c r="J402">
        <v>11.9259</v>
      </c>
      <c r="M402">
        <v>1.319</v>
      </c>
      <c r="N402">
        <v>9.2330000000000005</v>
      </c>
      <c r="O402">
        <v>2.6970000000000001</v>
      </c>
      <c r="P402">
        <v>22.6068</v>
      </c>
      <c r="Q402" t="s">
        <v>1989</v>
      </c>
    </row>
    <row r="403" spans="1:17" x14ac:dyDescent="0.25">
      <c r="A403" t="s">
        <v>1974</v>
      </c>
      <c r="B403" t="s">
        <v>1975</v>
      </c>
      <c r="C403" t="s">
        <v>1976</v>
      </c>
      <c r="D403" s="11">
        <v>81991</v>
      </c>
      <c r="E403" s="12">
        <v>45915</v>
      </c>
      <c r="F403" s="12">
        <v>45916</v>
      </c>
      <c r="G403" t="s">
        <v>2244</v>
      </c>
      <c r="H403" t="s">
        <v>25</v>
      </c>
      <c r="I403">
        <v>25</v>
      </c>
      <c r="J403">
        <v>5.8624999999999998</v>
      </c>
      <c r="M403">
        <v>0.18</v>
      </c>
      <c r="N403">
        <v>4.5</v>
      </c>
      <c r="O403">
        <v>1.36</v>
      </c>
      <c r="P403">
        <v>23.208100000000002</v>
      </c>
      <c r="Q403" t="s">
        <v>1987</v>
      </c>
    </row>
    <row r="404" spans="1:17" x14ac:dyDescent="0.25">
      <c r="A404" t="s">
        <v>1974</v>
      </c>
      <c r="B404" t="s">
        <v>1975</v>
      </c>
      <c r="C404" t="s">
        <v>1976</v>
      </c>
      <c r="D404" s="11">
        <v>81991</v>
      </c>
      <c r="E404" s="12">
        <v>45915</v>
      </c>
      <c r="F404" s="12">
        <v>45916</v>
      </c>
      <c r="G404" t="s">
        <v>2244</v>
      </c>
      <c r="H404" t="s">
        <v>665</v>
      </c>
      <c r="I404">
        <v>15</v>
      </c>
      <c r="J404">
        <v>12.4185</v>
      </c>
      <c r="M404">
        <v>0.69699999999999995</v>
      </c>
      <c r="N404">
        <v>10.455</v>
      </c>
      <c r="O404">
        <v>1.9650000000000001</v>
      </c>
      <c r="P404">
        <v>15.821199999999999</v>
      </c>
      <c r="Q404" t="s">
        <v>1988</v>
      </c>
    </row>
    <row r="405" spans="1:17" x14ac:dyDescent="0.25">
      <c r="A405" t="s">
        <v>1974</v>
      </c>
      <c r="B405" t="s">
        <v>1975</v>
      </c>
      <c r="C405" t="s">
        <v>1976</v>
      </c>
      <c r="D405" s="11">
        <v>81991</v>
      </c>
      <c r="E405" s="12">
        <v>45915</v>
      </c>
      <c r="F405" s="12">
        <v>45916</v>
      </c>
      <c r="G405" t="s">
        <v>2244</v>
      </c>
      <c r="H405" t="s">
        <v>104</v>
      </c>
      <c r="I405">
        <v>5</v>
      </c>
      <c r="J405">
        <v>8.5184999999999995</v>
      </c>
      <c r="M405">
        <v>1.319</v>
      </c>
      <c r="N405">
        <v>6.5949999999999998</v>
      </c>
      <c r="O405">
        <v>1.925</v>
      </c>
      <c r="P405">
        <v>22.593800000000002</v>
      </c>
      <c r="Q405" t="s">
        <v>1989</v>
      </c>
    </row>
    <row r="406" spans="1:17" x14ac:dyDescent="0.25">
      <c r="A406" t="s">
        <v>1974</v>
      </c>
      <c r="B406" t="s">
        <v>1975</v>
      </c>
      <c r="C406" t="s">
        <v>1976</v>
      </c>
      <c r="D406" s="11">
        <v>82125</v>
      </c>
      <c r="E406" s="12">
        <v>45923</v>
      </c>
      <c r="F406" s="12">
        <v>45924</v>
      </c>
      <c r="G406" t="s">
        <v>2245</v>
      </c>
      <c r="H406" t="s">
        <v>25</v>
      </c>
      <c r="I406">
        <v>50</v>
      </c>
      <c r="J406">
        <v>11.725</v>
      </c>
      <c r="M406">
        <v>0.18</v>
      </c>
      <c r="N406">
        <v>9</v>
      </c>
      <c r="O406">
        <v>2.73</v>
      </c>
      <c r="P406">
        <v>23.273599999999998</v>
      </c>
      <c r="Q406" t="s">
        <v>1987</v>
      </c>
    </row>
    <row r="407" spans="1:17" x14ac:dyDescent="0.25">
      <c r="A407" t="s">
        <v>1974</v>
      </c>
      <c r="B407" t="s">
        <v>1975</v>
      </c>
      <c r="C407" t="s">
        <v>1976</v>
      </c>
      <c r="D407" s="11">
        <v>82125</v>
      </c>
      <c r="E407" s="12">
        <v>45923</v>
      </c>
      <c r="F407" s="12">
        <v>45924</v>
      </c>
      <c r="G407" t="s">
        <v>2245</v>
      </c>
      <c r="H407" t="s">
        <v>665</v>
      </c>
      <c r="I407">
        <v>25</v>
      </c>
      <c r="J407">
        <v>20.697500000000002</v>
      </c>
      <c r="M407">
        <v>0.69699999999999995</v>
      </c>
      <c r="N407">
        <v>17.425000000000001</v>
      </c>
      <c r="O407">
        <v>3.2749999999999999</v>
      </c>
      <c r="P407">
        <v>15.821199999999999</v>
      </c>
      <c r="Q407" t="s">
        <v>1988</v>
      </c>
    </row>
    <row r="408" spans="1:17" x14ac:dyDescent="0.25">
      <c r="A408" t="s">
        <v>1974</v>
      </c>
      <c r="B408" t="s">
        <v>1975</v>
      </c>
      <c r="C408" t="s">
        <v>1976</v>
      </c>
      <c r="D408" s="11">
        <v>82196</v>
      </c>
      <c r="E408" s="12">
        <v>45926</v>
      </c>
      <c r="F408" s="12">
        <v>45929</v>
      </c>
      <c r="G408" t="s">
        <v>2246</v>
      </c>
      <c r="H408" t="s">
        <v>144</v>
      </c>
      <c r="I408">
        <v>100</v>
      </c>
      <c r="J408">
        <v>2.2400000000000002</v>
      </c>
      <c r="M408">
        <v>6.1700000000000001E-3</v>
      </c>
      <c r="N408">
        <v>0.61699999999999999</v>
      </c>
      <c r="O408">
        <v>1.623</v>
      </c>
      <c r="P408">
        <v>72.455299999999994</v>
      </c>
      <c r="Q408" t="s">
        <v>1978</v>
      </c>
    </row>
    <row r="409" spans="1:17" x14ac:dyDescent="0.25">
      <c r="A409" t="s">
        <v>1974</v>
      </c>
      <c r="B409" t="s">
        <v>1975</v>
      </c>
      <c r="C409" t="s">
        <v>1976</v>
      </c>
      <c r="D409" s="11">
        <v>82196</v>
      </c>
      <c r="E409" s="12">
        <v>45926</v>
      </c>
      <c r="F409" s="12">
        <v>45929</v>
      </c>
      <c r="G409" t="s">
        <v>2246</v>
      </c>
      <c r="H409" t="s">
        <v>1290</v>
      </c>
      <c r="I409">
        <v>30</v>
      </c>
      <c r="J409">
        <v>4.8</v>
      </c>
      <c r="M409">
        <v>0.121</v>
      </c>
      <c r="N409">
        <v>3.63</v>
      </c>
      <c r="O409">
        <v>1.17</v>
      </c>
      <c r="P409">
        <v>24.375</v>
      </c>
      <c r="Q409" t="s">
        <v>1289</v>
      </c>
    </row>
    <row r="410" spans="1:17" x14ac:dyDescent="0.25">
      <c r="A410" t="s">
        <v>1974</v>
      </c>
      <c r="B410" t="s">
        <v>1975</v>
      </c>
      <c r="C410" t="s">
        <v>1976</v>
      </c>
      <c r="D410" s="11">
        <v>82196</v>
      </c>
      <c r="E410" s="12">
        <v>45926</v>
      </c>
      <c r="F410" s="12">
        <v>45929</v>
      </c>
      <c r="G410" t="s">
        <v>2246</v>
      </c>
      <c r="H410" t="s">
        <v>957</v>
      </c>
      <c r="I410">
        <v>50</v>
      </c>
      <c r="J410">
        <v>20.824999999999999</v>
      </c>
      <c r="M410">
        <v>0.33048</v>
      </c>
      <c r="N410">
        <v>16.524000000000001</v>
      </c>
      <c r="O410">
        <v>4.306</v>
      </c>
      <c r="P410">
        <v>20.6721</v>
      </c>
      <c r="Q410" t="s">
        <v>956</v>
      </c>
    </row>
    <row r="411" spans="1:17" x14ac:dyDescent="0.25">
      <c r="A411" t="s">
        <v>1974</v>
      </c>
      <c r="B411" t="s">
        <v>1975</v>
      </c>
      <c r="C411" t="s">
        <v>1976</v>
      </c>
      <c r="D411" s="11">
        <v>82196</v>
      </c>
      <c r="E411" s="12">
        <v>45926</v>
      </c>
      <c r="F411" s="12">
        <v>45929</v>
      </c>
      <c r="G411" t="s">
        <v>2246</v>
      </c>
      <c r="H411" t="s">
        <v>955</v>
      </c>
      <c r="I411">
        <v>75</v>
      </c>
      <c r="J411">
        <v>52.23</v>
      </c>
      <c r="M411">
        <v>0.56499999999999995</v>
      </c>
      <c r="N411">
        <v>42.375</v>
      </c>
      <c r="O411">
        <v>9.8550000000000004</v>
      </c>
      <c r="P411">
        <v>18.868400000000001</v>
      </c>
      <c r="Q411" t="s">
        <v>954</v>
      </c>
    </row>
    <row r="412" spans="1:17" x14ac:dyDescent="0.25">
      <c r="A412" t="s">
        <v>1974</v>
      </c>
      <c r="B412" t="s">
        <v>1975</v>
      </c>
      <c r="C412" t="s">
        <v>1976</v>
      </c>
      <c r="D412" s="11">
        <v>82196</v>
      </c>
      <c r="E412" s="12">
        <v>45926</v>
      </c>
      <c r="F412" s="12">
        <v>45929</v>
      </c>
      <c r="G412" t="s">
        <v>2246</v>
      </c>
      <c r="H412" t="s">
        <v>981</v>
      </c>
      <c r="I412">
        <v>22</v>
      </c>
      <c r="J412">
        <v>286.50380000000001</v>
      </c>
      <c r="M412">
        <v>9.3109999999999999</v>
      </c>
      <c r="N412">
        <v>204.84200000000001</v>
      </c>
      <c r="O412">
        <v>81.658000000000001</v>
      </c>
      <c r="P412">
        <v>28.501899999999999</v>
      </c>
      <c r="Q412" t="s">
        <v>980</v>
      </c>
    </row>
    <row r="413" spans="1:17" x14ac:dyDescent="0.25">
      <c r="A413" t="s">
        <v>1974</v>
      </c>
      <c r="B413" t="s">
        <v>1975</v>
      </c>
      <c r="C413" t="s">
        <v>1976</v>
      </c>
      <c r="D413" s="11">
        <v>82196</v>
      </c>
      <c r="E413" s="12">
        <v>45926</v>
      </c>
      <c r="F413" s="12">
        <v>45929</v>
      </c>
      <c r="G413" t="s">
        <v>2246</v>
      </c>
      <c r="H413" t="s">
        <v>500</v>
      </c>
      <c r="I413">
        <v>50</v>
      </c>
      <c r="J413">
        <v>70.69</v>
      </c>
      <c r="M413">
        <v>7.8150000000000004</v>
      </c>
      <c r="N413">
        <v>390.75</v>
      </c>
      <c r="O413">
        <v>-320.06</v>
      </c>
      <c r="P413">
        <v>-452.76549999999997</v>
      </c>
      <c r="Q413" t="s">
        <v>1996</v>
      </c>
    </row>
    <row r="414" spans="1:17" x14ac:dyDescent="0.25">
      <c r="A414" t="s">
        <v>1974</v>
      </c>
      <c r="B414" t="s">
        <v>1975</v>
      </c>
      <c r="C414" t="s">
        <v>1976</v>
      </c>
      <c r="D414" s="11">
        <v>82196</v>
      </c>
      <c r="E414" s="12">
        <v>45926</v>
      </c>
      <c r="F414" s="12">
        <v>45929</v>
      </c>
      <c r="G414" t="s">
        <v>2246</v>
      </c>
      <c r="H414" t="s">
        <v>1249</v>
      </c>
      <c r="I414">
        <v>50</v>
      </c>
      <c r="J414">
        <v>188.08500000000001</v>
      </c>
      <c r="M414">
        <v>2.5</v>
      </c>
      <c r="N414">
        <v>125</v>
      </c>
      <c r="O414">
        <v>63.09</v>
      </c>
      <c r="P414">
        <v>33.542400000000001</v>
      </c>
      <c r="Q414" t="s">
        <v>2247</v>
      </c>
    </row>
    <row r="415" spans="1:17" x14ac:dyDescent="0.25">
      <c r="A415" t="s">
        <v>1974</v>
      </c>
      <c r="B415" t="s">
        <v>1975</v>
      </c>
      <c r="C415" t="s">
        <v>1976</v>
      </c>
      <c r="D415" s="11">
        <v>82196</v>
      </c>
      <c r="E415" s="12">
        <v>45926</v>
      </c>
      <c r="F415" s="12">
        <v>45929</v>
      </c>
      <c r="G415" t="s">
        <v>2246</v>
      </c>
      <c r="H415" t="s">
        <v>212</v>
      </c>
      <c r="I415">
        <v>11</v>
      </c>
      <c r="J415">
        <v>119.68</v>
      </c>
      <c r="M415">
        <v>7.54</v>
      </c>
      <c r="N415">
        <v>82.94</v>
      </c>
      <c r="O415">
        <v>36.74</v>
      </c>
      <c r="P415">
        <v>30.698499999999999</v>
      </c>
      <c r="Q415" t="s">
        <v>2010</v>
      </c>
    </row>
    <row r="416" spans="1:17" x14ac:dyDescent="0.25">
      <c r="A416" t="s">
        <v>1974</v>
      </c>
      <c r="B416" t="s">
        <v>1975</v>
      </c>
      <c r="C416" t="s">
        <v>1976</v>
      </c>
      <c r="D416" s="11">
        <v>82196</v>
      </c>
      <c r="E416" s="12">
        <v>45926</v>
      </c>
      <c r="F416" s="12">
        <v>45929</v>
      </c>
      <c r="G416" t="s">
        <v>2246</v>
      </c>
      <c r="H416" t="s">
        <v>1071</v>
      </c>
      <c r="I416">
        <v>23</v>
      </c>
      <c r="J416">
        <v>281.1773</v>
      </c>
      <c r="M416">
        <v>8.766</v>
      </c>
      <c r="N416">
        <v>201.61799999999999</v>
      </c>
      <c r="O416">
        <v>79.561999999999998</v>
      </c>
      <c r="P416">
        <v>28.2957</v>
      </c>
      <c r="Q416" t="s">
        <v>1995</v>
      </c>
    </row>
    <row r="417" spans="1:16" hidden="1" x14ac:dyDescent="0.25">
      <c r="A417" t="s">
        <v>2040</v>
      </c>
      <c r="B417" t="s">
        <v>2041</v>
      </c>
      <c r="C417" t="s">
        <v>1976</v>
      </c>
      <c r="D417" s="11">
        <v>4700945168</v>
      </c>
      <c r="E417" s="12">
        <v>45929</v>
      </c>
      <c r="F417" s="12">
        <v>45929</v>
      </c>
      <c r="G417" t="s">
        <v>2248</v>
      </c>
      <c r="H417" t="s">
        <v>2249</v>
      </c>
      <c r="I417">
        <v>1</v>
      </c>
      <c r="J417">
        <v>504184.94</v>
      </c>
      <c r="M417">
        <v>0</v>
      </c>
      <c r="N417">
        <v>0</v>
      </c>
      <c r="O417">
        <v>504184.94</v>
      </c>
      <c r="P417">
        <v>0</v>
      </c>
    </row>
    <row r="418" spans="1:16" hidden="1" x14ac:dyDescent="0.25">
      <c r="A418" t="s">
        <v>2040</v>
      </c>
      <c r="B418" t="s">
        <v>2041</v>
      </c>
      <c r="C418" t="s">
        <v>1976</v>
      </c>
      <c r="D418" s="11">
        <v>4700945168</v>
      </c>
      <c r="E418" s="12">
        <v>45929</v>
      </c>
      <c r="F418" s="12">
        <v>45929</v>
      </c>
      <c r="G418" t="s">
        <v>2248</v>
      </c>
      <c r="H418" t="s">
        <v>2249</v>
      </c>
      <c r="I418">
        <v>1</v>
      </c>
      <c r="J418">
        <v>-551259.05889999995</v>
      </c>
      <c r="M418">
        <v>0</v>
      </c>
      <c r="N418">
        <v>0</v>
      </c>
      <c r="O418">
        <v>-551259.06000000006</v>
      </c>
      <c r="P418">
        <v>0</v>
      </c>
    </row>
    <row r="419" spans="1:16" hidden="1" x14ac:dyDescent="0.25">
      <c r="A419" t="s">
        <v>2040</v>
      </c>
      <c r="B419" t="s">
        <v>2041</v>
      </c>
      <c r="C419" t="s">
        <v>1976</v>
      </c>
      <c r="D419" s="11" t="s">
        <v>2250</v>
      </c>
      <c r="E419" s="12">
        <v>45929</v>
      </c>
      <c r="F419" s="12">
        <v>45929</v>
      </c>
      <c r="G419" t="s">
        <v>2248</v>
      </c>
      <c r="H419" t="s">
        <v>2249</v>
      </c>
      <c r="I419">
        <v>1</v>
      </c>
      <c r="J419">
        <v>-551259.05889999995</v>
      </c>
      <c r="M419">
        <v>0</v>
      </c>
      <c r="N419">
        <v>0</v>
      </c>
      <c r="O419">
        <v>-551259.06000000006</v>
      </c>
      <c r="P419">
        <v>0</v>
      </c>
    </row>
    <row r="420" spans="1:16" hidden="1" x14ac:dyDescent="0.25">
      <c r="A420" t="s">
        <v>2040</v>
      </c>
      <c r="B420" t="s">
        <v>2041</v>
      </c>
      <c r="C420" t="s">
        <v>1976</v>
      </c>
      <c r="D420" s="11" t="s">
        <v>2250</v>
      </c>
      <c r="E420" s="12">
        <v>45929</v>
      </c>
      <c r="F420" s="12">
        <v>45929</v>
      </c>
      <c r="G420" t="s">
        <v>2248</v>
      </c>
      <c r="H420" t="s">
        <v>2249</v>
      </c>
      <c r="I420">
        <v>1</v>
      </c>
      <c r="J420">
        <v>551259.05889999995</v>
      </c>
      <c r="M420">
        <v>0</v>
      </c>
      <c r="N420">
        <v>0</v>
      </c>
      <c r="O420">
        <v>551259.06000000006</v>
      </c>
      <c r="P420">
        <v>0</v>
      </c>
    </row>
    <row r="421" spans="1:16" hidden="1" x14ac:dyDescent="0.25">
      <c r="A421" t="s">
        <v>2040</v>
      </c>
      <c r="B421" t="s">
        <v>2041</v>
      </c>
      <c r="C421" t="s">
        <v>1976</v>
      </c>
      <c r="D421" s="11" t="s">
        <v>2250</v>
      </c>
      <c r="E421" s="12">
        <v>45929</v>
      </c>
      <c r="F421" s="12">
        <v>45929</v>
      </c>
      <c r="G421" t="s">
        <v>2248</v>
      </c>
      <c r="H421" t="s">
        <v>150</v>
      </c>
      <c r="I421">
        <v>210</v>
      </c>
      <c r="J421">
        <v>0</v>
      </c>
      <c r="M421">
        <v>2.95</v>
      </c>
      <c r="N421">
        <v>619.5</v>
      </c>
      <c r="O421">
        <v>-619.5</v>
      </c>
      <c r="P421">
        <v>0</v>
      </c>
    </row>
    <row r="422" spans="1:16" hidden="1" x14ac:dyDescent="0.25">
      <c r="A422" t="s">
        <v>2040</v>
      </c>
      <c r="B422" t="s">
        <v>2041</v>
      </c>
      <c r="C422" t="s">
        <v>1976</v>
      </c>
      <c r="D422" s="11" t="s">
        <v>2250</v>
      </c>
      <c r="E422" s="12">
        <v>45929</v>
      </c>
      <c r="F422" s="12">
        <v>45929</v>
      </c>
      <c r="G422" t="s">
        <v>2248</v>
      </c>
      <c r="H422" t="s">
        <v>158</v>
      </c>
      <c r="I422">
        <v>2499</v>
      </c>
      <c r="J422">
        <v>0</v>
      </c>
      <c r="M422">
        <v>0.58599999999999997</v>
      </c>
      <c r="N422">
        <v>1464.414</v>
      </c>
      <c r="O422">
        <v>-1464.414</v>
      </c>
      <c r="P422">
        <v>0</v>
      </c>
    </row>
    <row r="423" spans="1:16" hidden="1" x14ac:dyDescent="0.25">
      <c r="A423" t="s">
        <v>2040</v>
      </c>
      <c r="B423" t="s">
        <v>2041</v>
      </c>
      <c r="C423" t="s">
        <v>1976</v>
      </c>
      <c r="D423" s="11" t="s">
        <v>2250</v>
      </c>
      <c r="E423" s="12">
        <v>45929</v>
      </c>
      <c r="F423" s="12">
        <v>45929</v>
      </c>
      <c r="G423" t="s">
        <v>2248</v>
      </c>
      <c r="H423" t="s">
        <v>234</v>
      </c>
      <c r="I423">
        <v>195</v>
      </c>
      <c r="J423">
        <v>0</v>
      </c>
      <c r="M423">
        <v>1.4610000000000001</v>
      </c>
      <c r="N423">
        <v>284.89499999999998</v>
      </c>
      <c r="O423">
        <v>-284.89499999999998</v>
      </c>
      <c r="P423">
        <v>0</v>
      </c>
    </row>
    <row r="424" spans="1:16" hidden="1" x14ac:dyDescent="0.25">
      <c r="A424" t="s">
        <v>2040</v>
      </c>
      <c r="B424" t="s">
        <v>2041</v>
      </c>
      <c r="C424" t="s">
        <v>1976</v>
      </c>
      <c r="D424" s="11" t="s">
        <v>2250</v>
      </c>
      <c r="E424" s="12">
        <v>45929</v>
      </c>
      <c r="F424" s="12">
        <v>45929</v>
      </c>
      <c r="G424" t="s">
        <v>2248</v>
      </c>
      <c r="H424" t="s">
        <v>238</v>
      </c>
      <c r="I424">
        <v>498</v>
      </c>
      <c r="J424">
        <v>0</v>
      </c>
      <c r="M424">
        <v>0.995</v>
      </c>
      <c r="N424">
        <v>495.51</v>
      </c>
      <c r="O424">
        <v>-495.51</v>
      </c>
      <c r="P424">
        <v>0</v>
      </c>
    </row>
    <row r="425" spans="1:16" hidden="1" x14ac:dyDescent="0.25">
      <c r="A425" t="s">
        <v>2040</v>
      </c>
      <c r="B425" t="s">
        <v>2041</v>
      </c>
      <c r="C425" t="s">
        <v>1976</v>
      </c>
      <c r="D425" s="11" t="s">
        <v>2250</v>
      </c>
      <c r="E425" s="12">
        <v>45929</v>
      </c>
      <c r="F425" s="12">
        <v>45929</v>
      </c>
      <c r="G425" t="s">
        <v>2248</v>
      </c>
      <c r="H425" t="s">
        <v>242</v>
      </c>
      <c r="I425">
        <v>500</v>
      </c>
      <c r="J425">
        <v>0</v>
      </c>
      <c r="M425">
        <v>1.3759999999999999</v>
      </c>
      <c r="N425">
        <v>688</v>
      </c>
      <c r="O425">
        <v>-688</v>
      </c>
      <c r="P425">
        <v>0</v>
      </c>
    </row>
    <row r="426" spans="1:16" hidden="1" x14ac:dyDescent="0.25">
      <c r="A426" t="s">
        <v>2040</v>
      </c>
      <c r="B426" t="s">
        <v>2041</v>
      </c>
      <c r="C426" t="s">
        <v>1976</v>
      </c>
      <c r="D426" s="11" t="s">
        <v>2250</v>
      </c>
      <c r="E426" s="12">
        <v>45929</v>
      </c>
      <c r="F426" s="12">
        <v>45929</v>
      </c>
      <c r="G426" t="s">
        <v>2248</v>
      </c>
      <c r="H426" t="s">
        <v>458</v>
      </c>
      <c r="I426">
        <v>980</v>
      </c>
      <c r="J426">
        <v>0</v>
      </c>
      <c r="M426">
        <v>0.216</v>
      </c>
      <c r="N426">
        <v>211.68</v>
      </c>
      <c r="O426">
        <v>-211.68</v>
      </c>
      <c r="P426">
        <v>0</v>
      </c>
    </row>
    <row r="427" spans="1:16" hidden="1" x14ac:dyDescent="0.25">
      <c r="A427" t="s">
        <v>2040</v>
      </c>
      <c r="B427" t="s">
        <v>2041</v>
      </c>
      <c r="C427" t="s">
        <v>1976</v>
      </c>
      <c r="D427" s="11" t="s">
        <v>2250</v>
      </c>
      <c r="E427" s="12">
        <v>45929</v>
      </c>
      <c r="F427" s="12">
        <v>45929</v>
      </c>
      <c r="G427" t="s">
        <v>2248</v>
      </c>
      <c r="H427" t="s">
        <v>973</v>
      </c>
      <c r="I427">
        <v>261</v>
      </c>
      <c r="J427">
        <v>0</v>
      </c>
      <c r="M427">
        <v>1.7749999999999999</v>
      </c>
      <c r="N427">
        <v>463.27499999999998</v>
      </c>
      <c r="O427">
        <v>-463.27499999999998</v>
      </c>
      <c r="P427">
        <v>0</v>
      </c>
    </row>
    <row r="428" spans="1:16" hidden="1" x14ac:dyDescent="0.25">
      <c r="A428" t="s">
        <v>2040</v>
      </c>
      <c r="B428" t="s">
        <v>2041</v>
      </c>
      <c r="C428" t="s">
        <v>1976</v>
      </c>
      <c r="D428" s="11" t="s">
        <v>2250</v>
      </c>
      <c r="E428" s="12">
        <v>45929</v>
      </c>
      <c r="F428" s="12">
        <v>45929</v>
      </c>
      <c r="G428" t="s">
        <v>2248</v>
      </c>
      <c r="H428" t="s">
        <v>1286</v>
      </c>
      <c r="I428">
        <v>60</v>
      </c>
      <c r="J428">
        <v>0</v>
      </c>
      <c r="M428">
        <v>10.7</v>
      </c>
      <c r="N428">
        <v>642</v>
      </c>
      <c r="O428">
        <v>-642</v>
      </c>
      <c r="P428">
        <v>0</v>
      </c>
    </row>
    <row r="429" spans="1:16" hidden="1" x14ac:dyDescent="0.25">
      <c r="A429" t="s">
        <v>2040</v>
      </c>
      <c r="B429" t="s">
        <v>2041</v>
      </c>
      <c r="C429" t="s">
        <v>1976</v>
      </c>
      <c r="D429" s="11" t="s">
        <v>2250</v>
      </c>
      <c r="E429" s="12">
        <v>45929</v>
      </c>
      <c r="F429" s="12">
        <v>45929</v>
      </c>
      <c r="G429" t="s">
        <v>2248</v>
      </c>
      <c r="H429" t="s">
        <v>1815</v>
      </c>
      <c r="I429">
        <v>500</v>
      </c>
      <c r="J429">
        <v>0</v>
      </c>
      <c r="M429">
        <v>0.54</v>
      </c>
      <c r="N429">
        <v>270</v>
      </c>
      <c r="O429">
        <v>-270</v>
      </c>
      <c r="P429">
        <v>0</v>
      </c>
    </row>
    <row r="430" spans="1:16" hidden="1" x14ac:dyDescent="0.25">
      <c r="A430" t="s">
        <v>2040</v>
      </c>
      <c r="B430" t="s">
        <v>2041</v>
      </c>
      <c r="C430" t="s">
        <v>1976</v>
      </c>
      <c r="D430" s="11" t="s">
        <v>2250</v>
      </c>
      <c r="E430" s="12">
        <v>45929</v>
      </c>
      <c r="F430" s="12">
        <v>45929</v>
      </c>
      <c r="G430" t="s">
        <v>2248</v>
      </c>
      <c r="H430" t="s">
        <v>101</v>
      </c>
      <c r="I430">
        <v>197</v>
      </c>
      <c r="J430">
        <v>0</v>
      </c>
      <c r="M430">
        <v>1.2390000000000001</v>
      </c>
      <c r="N430">
        <v>244.083</v>
      </c>
      <c r="O430">
        <v>-244.083</v>
      </c>
      <c r="P430">
        <v>0</v>
      </c>
    </row>
    <row r="431" spans="1:16" hidden="1" x14ac:dyDescent="0.25">
      <c r="A431" t="s">
        <v>2040</v>
      </c>
      <c r="B431" t="s">
        <v>2041</v>
      </c>
      <c r="C431" t="s">
        <v>1976</v>
      </c>
      <c r="D431" s="11" t="s">
        <v>2250</v>
      </c>
      <c r="E431" s="12">
        <v>45929</v>
      </c>
      <c r="F431" s="12">
        <v>45929</v>
      </c>
      <c r="G431" t="s">
        <v>2248</v>
      </c>
      <c r="H431" t="s">
        <v>406</v>
      </c>
      <c r="I431">
        <v>520</v>
      </c>
      <c r="J431">
        <v>0</v>
      </c>
      <c r="M431">
        <v>6.61</v>
      </c>
      <c r="N431">
        <v>3437.2</v>
      </c>
      <c r="O431">
        <v>-3437.2</v>
      </c>
      <c r="P431">
        <v>0</v>
      </c>
    </row>
    <row r="432" spans="1:16" hidden="1" x14ac:dyDescent="0.25">
      <c r="A432" t="s">
        <v>2040</v>
      </c>
      <c r="B432" t="s">
        <v>2041</v>
      </c>
      <c r="C432" t="s">
        <v>1976</v>
      </c>
      <c r="D432" s="11" t="s">
        <v>2250</v>
      </c>
      <c r="E432" s="12">
        <v>45929</v>
      </c>
      <c r="F432" s="12">
        <v>45929</v>
      </c>
      <c r="G432" t="s">
        <v>2248</v>
      </c>
      <c r="H432" t="s">
        <v>421</v>
      </c>
      <c r="I432">
        <v>487</v>
      </c>
      <c r="J432">
        <v>0</v>
      </c>
      <c r="M432">
        <v>2.1269999999999998</v>
      </c>
      <c r="N432">
        <v>1035.8489999999999</v>
      </c>
      <c r="O432">
        <v>-1035.8489999999999</v>
      </c>
      <c r="P432">
        <v>0</v>
      </c>
    </row>
    <row r="433" spans="1:16" hidden="1" x14ac:dyDescent="0.25">
      <c r="A433" t="s">
        <v>2040</v>
      </c>
      <c r="B433" t="s">
        <v>2041</v>
      </c>
      <c r="C433" t="s">
        <v>1976</v>
      </c>
      <c r="D433" s="11" t="s">
        <v>2250</v>
      </c>
      <c r="E433" s="12">
        <v>45929</v>
      </c>
      <c r="F433" s="12">
        <v>45929</v>
      </c>
      <c r="G433" t="s">
        <v>2248</v>
      </c>
      <c r="H433" t="s">
        <v>515</v>
      </c>
      <c r="I433">
        <v>100</v>
      </c>
      <c r="J433">
        <v>0</v>
      </c>
      <c r="M433">
        <v>5.55</v>
      </c>
      <c r="N433">
        <v>555</v>
      </c>
      <c r="O433">
        <v>-555</v>
      </c>
      <c r="P433">
        <v>0</v>
      </c>
    </row>
    <row r="434" spans="1:16" hidden="1" x14ac:dyDescent="0.25">
      <c r="A434" t="s">
        <v>2040</v>
      </c>
      <c r="B434" t="s">
        <v>2041</v>
      </c>
      <c r="C434" t="s">
        <v>1976</v>
      </c>
      <c r="D434" s="11" t="s">
        <v>2250</v>
      </c>
      <c r="E434" s="12">
        <v>45929</v>
      </c>
      <c r="F434" s="12">
        <v>45929</v>
      </c>
      <c r="G434" t="s">
        <v>2248</v>
      </c>
      <c r="H434" t="s">
        <v>537</v>
      </c>
      <c r="I434">
        <v>100</v>
      </c>
      <c r="J434">
        <v>0</v>
      </c>
      <c r="M434">
        <v>2.0299999999999998</v>
      </c>
      <c r="N434">
        <v>203</v>
      </c>
      <c r="O434">
        <v>-203</v>
      </c>
      <c r="P434">
        <v>0</v>
      </c>
    </row>
    <row r="435" spans="1:16" hidden="1" x14ac:dyDescent="0.25">
      <c r="A435" t="s">
        <v>2040</v>
      </c>
      <c r="B435" t="s">
        <v>2041</v>
      </c>
      <c r="C435" t="s">
        <v>1976</v>
      </c>
      <c r="D435" s="11" t="s">
        <v>2250</v>
      </c>
      <c r="E435" s="12">
        <v>45929</v>
      </c>
      <c r="F435" s="12">
        <v>45929</v>
      </c>
      <c r="G435" t="s">
        <v>2248</v>
      </c>
      <c r="H435" t="s">
        <v>659</v>
      </c>
      <c r="I435">
        <v>5000</v>
      </c>
      <c r="J435">
        <v>0</v>
      </c>
      <c r="M435">
        <v>2.46E-2</v>
      </c>
      <c r="N435">
        <v>123</v>
      </c>
      <c r="O435">
        <v>-123</v>
      </c>
      <c r="P435">
        <v>0</v>
      </c>
    </row>
    <row r="436" spans="1:16" hidden="1" x14ac:dyDescent="0.25">
      <c r="A436" t="s">
        <v>2040</v>
      </c>
      <c r="B436" t="s">
        <v>2041</v>
      </c>
      <c r="C436" t="s">
        <v>1976</v>
      </c>
      <c r="D436" s="11" t="s">
        <v>2250</v>
      </c>
      <c r="E436" s="12">
        <v>45929</v>
      </c>
      <c r="F436" s="12">
        <v>45929</v>
      </c>
      <c r="G436" t="s">
        <v>2248</v>
      </c>
      <c r="H436" t="s">
        <v>718</v>
      </c>
      <c r="I436">
        <v>400</v>
      </c>
      <c r="J436">
        <v>0</v>
      </c>
      <c r="M436">
        <v>4.8490000000000002</v>
      </c>
      <c r="N436">
        <v>1939.6</v>
      </c>
      <c r="O436">
        <v>-1939.6</v>
      </c>
      <c r="P436">
        <v>0</v>
      </c>
    </row>
    <row r="437" spans="1:16" hidden="1" x14ac:dyDescent="0.25">
      <c r="A437" t="s">
        <v>2040</v>
      </c>
      <c r="B437" t="s">
        <v>2041</v>
      </c>
      <c r="C437" t="s">
        <v>1976</v>
      </c>
      <c r="D437" s="11" t="s">
        <v>2250</v>
      </c>
      <c r="E437" s="12">
        <v>45929</v>
      </c>
      <c r="F437" s="12">
        <v>45929</v>
      </c>
      <c r="G437" t="s">
        <v>2248</v>
      </c>
      <c r="H437" t="s">
        <v>792</v>
      </c>
      <c r="I437">
        <v>10000</v>
      </c>
      <c r="J437">
        <v>0</v>
      </c>
      <c r="M437">
        <v>4.1099999999999998E-2</v>
      </c>
      <c r="N437">
        <v>411</v>
      </c>
      <c r="O437">
        <v>-411</v>
      </c>
      <c r="P437">
        <v>0</v>
      </c>
    </row>
    <row r="438" spans="1:16" hidden="1" x14ac:dyDescent="0.25">
      <c r="A438" t="s">
        <v>2040</v>
      </c>
      <c r="B438" t="s">
        <v>2041</v>
      </c>
      <c r="C438" t="s">
        <v>1976</v>
      </c>
      <c r="D438" s="11" t="s">
        <v>2250</v>
      </c>
      <c r="E438" s="12">
        <v>45929</v>
      </c>
      <c r="F438" s="12">
        <v>45929</v>
      </c>
      <c r="G438" t="s">
        <v>2248</v>
      </c>
      <c r="H438" t="s">
        <v>794</v>
      </c>
      <c r="I438">
        <v>10000</v>
      </c>
      <c r="J438">
        <v>0</v>
      </c>
      <c r="M438">
        <v>4.9000000000000002E-2</v>
      </c>
      <c r="N438">
        <v>490</v>
      </c>
      <c r="O438">
        <v>-490</v>
      </c>
      <c r="P438">
        <v>0</v>
      </c>
    </row>
    <row r="439" spans="1:16" hidden="1" x14ac:dyDescent="0.25">
      <c r="A439" t="s">
        <v>2040</v>
      </c>
      <c r="B439" t="s">
        <v>2041</v>
      </c>
      <c r="C439" t="s">
        <v>1976</v>
      </c>
      <c r="D439" s="11" t="s">
        <v>2250</v>
      </c>
      <c r="E439" s="12">
        <v>45929</v>
      </c>
      <c r="F439" s="12">
        <v>45929</v>
      </c>
      <c r="G439" t="s">
        <v>2248</v>
      </c>
      <c r="H439" t="s">
        <v>870</v>
      </c>
      <c r="I439">
        <v>4800</v>
      </c>
      <c r="J439">
        <v>0</v>
      </c>
      <c r="M439">
        <v>0.1024</v>
      </c>
      <c r="N439">
        <v>491.52</v>
      </c>
      <c r="O439">
        <v>-491.52</v>
      </c>
      <c r="P439">
        <v>0</v>
      </c>
    </row>
    <row r="440" spans="1:16" hidden="1" x14ac:dyDescent="0.25">
      <c r="A440" t="s">
        <v>2040</v>
      </c>
      <c r="B440" t="s">
        <v>2041</v>
      </c>
      <c r="C440" t="s">
        <v>1976</v>
      </c>
      <c r="D440" s="11" t="s">
        <v>2250</v>
      </c>
      <c r="E440" s="12">
        <v>45929</v>
      </c>
      <c r="F440" s="12">
        <v>45929</v>
      </c>
      <c r="G440" t="s">
        <v>2248</v>
      </c>
      <c r="H440" t="s">
        <v>37</v>
      </c>
      <c r="I440">
        <v>350</v>
      </c>
      <c r="J440">
        <v>0</v>
      </c>
      <c r="M440">
        <v>1.81</v>
      </c>
      <c r="N440">
        <v>633.5</v>
      </c>
      <c r="O440">
        <v>-633.5</v>
      </c>
      <c r="P440">
        <v>0</v>
      </c>
    </row>
    <row r="441" spans="1:16" hidden="1" x14ac:dyDescent="0.25">
      <c r="A441" t="s">
        <v>2040</v>
      </c>
      <c r="B441" t="s">
        <v>2041</v>
      </c>
      <c r="C441" t="s">
        <v>1976</v>
      </c>
      <c r="D441" s="11" t="s">
        <v>2250</v>
      </c>
      <c r="E441" s="12">
        <v>45929</v>
      </c>
      <c r="F441" s="12">
        <v>45929</v>
      </c>
      <c r="G441" t="s">
        <v>2248</v>
      </c>
      <c r="H441" t="s">
        <v>2251</v>
      </c>
      <c r="I441">
        <v>60</v>
      </c>
      <c r="J441">
        <v>0</v>
      </c>
      <c r="M441">
        <v>1.53</v>
      </c>
      <c r="N441">
        <v>91.8</v>
      </c>
      <c r="O441">
        <v>-91.8</v>
      </c>
      <c r="P441">
        <v>0</v>
      </c>
    </row>
    <row r="442" spans="1:16" hidden="1" x14ac:dyDescent="0.25">
      <c r="A442" t="s">
        <v>2040</v>
      </c>
      <c r="B442" t="s">
        <v>2041</v>
      </c>
      <c r="C442" t="s">
        <v>1976</v>
      </c>
      <c r="D442" s="11" t="s">
        <v>2250</v>
      </c>
      <c r="E442" s="12">
        <v>45929</v>
      </c>
      <c r="F442" s="12">
        <v>45929</v>
      </c>
      <c r="G442" t="s">
        <v>2248</v>
      </c>
      <c r="H442" t="s">
        <v>2252</v>
      </c>
      <c r="I442">
        <v>3000</v>
      </c>
      <c r="J442">
        <v>0</v>
      </c>
      <c r="M442">
        <v>0.64</v>
      </c>
      <c r="N442">
        <v>1920</v>
      </c>
      <c r="O442">
        <v>-1920</v>
      </c>
      <c r="P442">
        <v>0</v>
      </c>
    </row>
    <row r="443" spans="1:16" hidden="1" x14ac:dyDescent="0.25">
      <c r="A443" t="s">
        <v>2040</v>
      </c>
      <c r="B443" t="s">
        <v>2041</v>
      </c>
      <c r="C443" t="s">
        <v>1976</v>
      </c>
      <c r="D443" s="11" t="s">
        <v>2250</v>
      </c>
      <c r="E443" s="12">
        <v>45929</v>
      </c>
      <c r="F443" s="12">
        <v>45929</v>
      </c>
      <c r="G443" t="s">
        <v>2248</v>
      </c>
      <c r="H443" t="s">
        <v>310</v>
      </c>
      <c r="I443">
        <v>208</v>
      </c>
      <c r="J443">
        <v>0</v>
      </c>
      <c r="M443">
        <v>0.68</v>
      </c>
      <c r="N443">
        <v>141.44</v>
      </c>
      <c r="O443">
        <v>-141.44</v>
      </c>
      <c r="P443">
        <v>0</v>
      </c>
    </row>
    <row r="444" spans="1:16" hidden="1" x14ac:dyDescent="0.25">
      <c r="A444" t="s">
        <v>2040</v>
      </c>
      <c r="B444" t="s">
        <v>2041</v>
      </c>
      <c r="C444" t="s">
        <v>1976</v>
      </c>
      <c r="D444" s="11" t="s">
        <v>2250</v>
      </c>
      <c r="E444" s="12">
        <v>45929</v>
      </c>
      <c r="F444" s="12">
        <v>45929</v>
      </c>
      <c r="G444" t="s">
        <v>2248</v>
      </c>
      <c r="H444" t="s">
        <v>333</v>
      </c>
      <c r="I444">
        <v>200</v>
      </c>
      <c r="J444">
        <v>0</v>
      </c>
      <c r="M444">
        <v>0.12</v>
      </c>
      <c r="N444">
        <v>24</v>
      </c>
      <c r="O444">
        <v>-24</v>
      </c>
      <c r="P444">
        <v>0</v>
      </c>
    </row>
    <row r="445" spans="1:16" hidden="1" x14ac:dyDescent="0.25">
      <c r="A445" t="s">
        <v>2040</v>
      </c>
      <c r="B445" t="s">
        <v>2041</v>
      </c>
      <c r="C445" t="s">
        <v>1976</v>
      </c>
      <c r="D445" s="11" t="s">
        <v>2250</v>
      </c>
      <c r="E445" s="12">
        <v>45929</v>
      </c>
      <c r="F445" s="12">
        <v>45929</v>
      </c>
      <c r="G445" t="s">
        <v>2248</v>
      </c>
      <c r="H445" t="s">
        <v>375</v>
      </c>
      <c r="I445">
        <v>500</v>
      </c>
      <c r="J445">
        <v>0</v>
      </c>
      <c r="M445">
        <v>1.1000000000000001</v>
      </c>
      <c r="N445">
        <v>550</v>
      </c>
      <c r="O445">
        <v>-550</v>
      </c>
      <c r="P445">
        <v>0</v>
      </c>
    </row>
    <row r="446" spans="1:16" hidden="1" x14ac:dyDescent="0.25">
      <c r="A446" t="s">
        <v>2040</v>
      </c>
      <c r="B446" t="s">
        <v>2041</v>
      </c>
      <c r="C446" t="s">
        <v>1976</v>
      </c>
      <c r="D446" s="11" t="s">
        <v>2250</v>
      </c>
      <c r="E446" s="12">
        <v>45929</v>
      </c>
      <c r="F446" s="12">
        <v>45929</v>
      </c>
      <c r="G446" t="s">
        <v>2248</v>
      </c>
      <c r="H446" t="s">
        <v>404</v>
      </c>
      <c r="I446">
        <v>249</v>
      </c>
      <c r="J446">
        <v>0</v>
      </c>
      <c r="M446">
        <v>6.48</v>
      </c>
      <c r="N446">
        <v>1613.52</v>
      </c>
      <c r="O446">
        <v>-1613.52</v>
      </c>
      <c r="P446">
        <v>0</v>
      </c>
    </row>
    <row r="447" spans="1:16" hidden="1" x14ac:dyDescent="0.25">
      <c r="A447" t="s">
        <v>2040</v>
      </c>
      <c r="B447" t="s">
        <v>2041</v>
      </c>
      <c r="C447" t="s">
        <v>1976</v>
      </c>
      <c r="D447" s="11" t="s">
        <v>2250</v>
      </c>
      <c r="E447" s="12">
        <v>45929</v>
      </c>
      <c r="F447" s="12">
        <v>45929</v>
      </c>
      <c r="G447" t="s">
        <v>2248</v>
      </c>
      <c r="H447" t="s">
        <v>443</v>
      </c>
      <c r="I447">
        <v>32</v>
      </c>
      <c r="J447">
        <v>0</v>
      </c>
      <c r="M447">
        <v>0.58199999999999996</v>
      </c>
      <c r="N447">
        <v>18.623999999999999</v>
      </c>
      <c r="O447">
        <v>-18.623999999999999</v>
      </c>
      <c r="P447">
        <v>0</v>
      </c>
    </row>
    <row r="448" spans="1:16" hidden="1" x14ac:dyDescent="0.25">
      <c r="A448" t="s">
        <v>2040</v>
      </c>
      <c r="B448" t="s">
        <v>2041</v>
      </c>
      <c r="C448" t="s">
        <v>1976</v>
      </c>
      <c r="D448" s="11" t="s">
        <v>2250</v>
      </c>
      <c r="E448" s="12">
        <v>45929</v>
      </c>
      <c r="F448" s="12">
        <v>45929</v>
      </c>
      <c r="G448" t="s">
        <v>2248</v>
      </c>
      <c r="H448" t="s">
        <v>511</v>
      </c>
      <c r="I448">
        <v>2000</v>
      </c>
      <c r="J448">
        <v>0</v>
      </c>
      <c r="M448">
        <v>7.5999999999999998E-2</v>
      </c>
      <c r="N448">
        <v>152</v>
      </c>
      <c r="O448">
        <v>-152</v>
      </c>
      <c r="P448">
        <v>0</v>
      </c>
    </row>
    <row r="449" spans="1:16" hidden="1" x14ac:dyDescent="0.25">
      <c r="A449" t="s">
        <v>2040</v>
      </c>
      <c r="B449" t="s">
        <v>2041</v>
      </c>
      <c r="C449" t="s">
        <v>1976</v>
      </c>
      <c r="D449" s="11" t="s">
        <v>2250</v>
      </c>
      <c r="E449" s="12">
        <v>45929</v>
      </c>
      <c r="F449" s="12">
        <v>45929</v>
      </c>
      <c r="G449" t="s">
        <v>2248</v>
      </c>
      <c r="H449" t="s">
        <v>513</v>
      </c>
      <c r="I449">
        <v>3000</v>
      </c>
      <c r="J449">
        <v>0</v>
      </c>
      <c r="M449">
        <v>8.3000000000000004E-2</v>
      </c>
      <c r="N449">
        <v>249</v>
      </c>
      <c r="O449">
        <v>-249</v>
      </c>
      <c r="P449">
        <v>0</v>
      </c>
    </row>
    <row r="450" spans="1:16" hidden="1" x14ac:dyDescent="0.25">
      <c r="A450" t="s">
        <v>2040</v>
      </c>
      <c r="B450" t="s">
        <v>2041</v>
      </c>
      <c r="C450" t="s">
        <v>1976</v>
      </c>
      <c r="D450" s="11" t="s">
        <v>2250</v>
      </c>
      <c r="E450" s="12">
        <v>45929</v>
      </c>
      <c r="F450" s="12">
        <v>45929</v>
      </c>
      <c r="G450" t="s">
        <v>2248</v>
      </c>
      <c r="H450" t="s">
        <v>749</v>
      </c>
      <c r="I450">
        <v>100</v>
      </c>
      <c r="J450">
        <v>0</v>
      </c>
      <c r="M450">
        <v>0.96</v>
      </c>
      <c r="N450">
        <v>96</v>
      </c>
      <c r="O450">
        <v>-96</v>
      </c>
      <c r="P450">
        <v>0</v>
      </c>
    </row>
    <row r="451" spans="1:16" hidden="1" x14ac:dyDescent="0.25">
      <c r="A451" t="s">
        <v>2040</v>
      </c>
      <c r="B451" t="s">
        <v>2041</v>
      </c>
      <c r="C451" t="s">
        <v>1976</v>
      </c>
      <c r="D451" s="11" t="s">
        <v>2250</v>
      </c>
      <c r="E451" s="12">
        <v>45929</v>
      </c>
      <c r="F451" s="12">
        <v>45929</v>
      </c>
      <c r="G451" t="s">
        <v>2248</v>
      </c>
      <c r="H451" t="s">
        <v>1708</v>
      </c>
      <c r="I451">
        <v>89</v>
      </c>
      <c r="J451">
        <v>0</v>
      </c>
      <c r="M451">
        <v>0.44</v>
      </c>
      <c r="N451">
        <v>39.159999999999997</v>
      </c>
      <c r="O451">
        <v>-39.159999999999997</v>
      </c>
      <c r="P451">
        <v>0</v>
      </c>
    </row>
    <row r="452" spans="1:16" hidden="1" x14ac:dyDescent="0.25">
      <c r="A452" t="s">
        <v>2040</v>
      </c>
      <c r="B452" t="s">
        <v>2041</v>
      </c>
      <c r="C452" t="s">
        <v>1976</v>
      </c>
      <c r="D452" s="11" t="s">
        <v>2250</v>
      </c>
      <c r="E452" s="12">
        <v>45929</v>
      </c>
      <c r="F452" s="12">
        <v>45929</v>
      </c>
      <c r="G452" t="s">
        <v>2248</v>
      </c>
      <c r="H452" t="s">
        <v>1789</v>
      </c>
      <c r="I452">
        <v>200</v>
      </c>
      <c r="J452">
        <v>0</v>
      </c>
      <c r="M452">
        <v>0.93</v>
      </c>
      <c r="N452">
        <v>186</v>
      </c>
      <c r="O452">
        <v>-186</v>
      </c>
      <c r="P452">
        <v>0</v>
      </c>
    </row>
    <row r="453" spans="1:16" hidden="1" x14ac:dyDescent="0.25">
      <c r="A453" t="s">
        <v>2040</v>
      </c>
      <c r="B453" t="s">
        <v>2041</v>
      </c>
      <c r="C453" t="s">
        <v>1976</v>
      </c>
      <c r="D453" s="11" t="s">
        <v>2250</v>
      </c>
      <c r="E453" s="12">
        <v>45929</v>
      </c>
      <c r="F453" s="12">
        <v>45929</v>
      </c>
      <c r="G453" t="s">
        <v>2248</v>
      </c>
      <c r="H453" t="s">
        <v>720</v>
      </c>
      <c r="I453">
        <v>250</v>
      </c>
      <c r="J453">
        <v>0</v>
      </c>
      <c r="M453">
        <v>0.92</v>
      </c>
      <c r="N453">
        <v>230</v>
      </c>
      <c r="O453">
        <v>-230</v>
      </c>
      <c r="P453">
        <v>0</v>
      </c>
    </row>
    <row r="454" spans="1:16" hidden="1" x14ac:dyDescent="0.25">
      <c r="A454" t="s">
        <v>2040</v>
      </c>
      <c r="B454" t="s">
        <v>2041</v>
      </c>
      <c r="C454" t="s">
        <v>1976</v>
      </c>
      <c r="D454" s="11" t="s">
        <v>2250</v>
      </c>
      <c r="E454" s="12">
        <v>45929</v>
      </c>
      <c r="F454" s="12">
        <v>45929</v>
      </c>
      <c r="G454" t="s">
        <v>2248</v>
      </c>
      <c r="H454" t="s">
        <v>1069</v>
      </c>
      <c r="I454">
        <v>1000</v>
      </c>
      <c r="J454">
        <v>0</v>
      </c>
      <c r="M454">
        <v>0.24199999999999999</v>
      </c>
      <c r="N454">
        <v>242</v>
      </c>
      <c r="O454">
        <v>-242</v>
      </c>
      <c r="P454">
        <v>0</v>
      </c>
    </row>
    <row r="455" spans="1:16" hidden="1" x14ac:dyDescent="0.25">
      <c r="A455" t="s">
        <v>2040</v>
      </c>
      <c r="B455" t="s">
        <v>2041</v>
      </c>
      <c r="C455" t="s">
        <v>1976</v>
      </c>
      <c r="D455" s="11" t="s">
        <v>2250</v>
      </c>
      <c r="E455" s="12">
        <v>45929</v>
      </c>
      <c r="F455" s="12">
        <v>45929</v>
      </c>
      <c r="G455" t="s">
        <v>2248</v>
      </c>
      <c r="H455" t="s">
        <v>1085</v>
      </c>
      <c r="I455">
        <v>100</v>
      </c>
      <c r="J455">
        <v>0</v>
      </c>
      <c r="M455">
        <v>3</v>
      </c>
      <c r="N455">
        <v>300</v>
      </c>
      <c r="O455">
        <v>-300</v>
      </c>
      <c r="P455">
        <v>0</v>
      </c>
    </row>
    <row r="456" spans="1:16" hidden="1" x14ac:dyDescent="0.25">
      <c r="A456" t="s">
        <v>2040</v>
      </c>
      <c r="B456" t="s">
        <v>2041</v>
      </c>
      <c r="C456" t="s">
        <v>1976</v>
      </c>
      <c r="D456" s="11" t="s">
        <v>2250</v>
      </c>
      <c r="E456" s="12">
        <v>45929</v>
      </c>
      <c r="F456" s="12">
        <v>45929</v>
      </c>
      <c r="G456" t="s">
        <v>2248</v>
      </c>
      <c r="H456" t="s">
        <v>1768</v>
      </c>
      <c r="I456">
        <v>100</v>
      </c>
      <c r="J456">
        <v>0</v>
      </c>
      <c r="M456">
        <v>1.27</v>
      </c>
      <c r="N456">
        <v>127</v>
      </c>
      <c r="O456">
        <v>-127</v>
      </c>
      <c r="P456">
        <v>0</v>
      </c>
    </row>
    <row r="457" spans="1:16" hidden="1" x14ac:dyDescent="0.25">
      <c r="A457" t="s">
        <v>2040</v>
      </c>
      <c r="B457" t="s">
        <v>2041</v>
      </c>
      <c r="C457" t="s">
        <v>1976</v>
      </c>
      <c r="D457" s="11" t="s">
        <v>2250</v>
      </c>
      <c r="E457" s="12">
        <v>45929</v>
      </c>
      <c r="F457" s="12">
        <v>45929</v>
      </c>
      <c r="G457" t="s">
        <v>2248</v>
      </c>
      <c r="H457" t="s">
        <v>1859</v>
      </c>
      <c r="I457">
        <v>50</v>
      </c>
      <c r="J457">
        <v>0</v>
      </c>
      <c r="M457">
        <v>10</v>
      </c>
      <c r="N457">
        <v>500</v>
      </c>
      <c r="O457">
        <v>-500</v>
      </c>
      <c r="P457">
        <v>0</v>
      </c>
    </row>
    <row r="458" spans="1:16" hidden="1" x14ac:dyDescent="0.25">
      <c r="A458" t="s">
        <v>2040</v>
      </c>
      <c r="B458" t="s">
        <v>2041</v>
      </c>
      <c r="C458" t="s">
        <v>1976</v>
      </c>
      <c r="D458" s="11" t="s">
        <v>2250</v>
      </c>
      <c r="E458" s="12">
        <v>45929</v>
      </c>
      <c r="F458" s="12">
        <v>45929</v>
      </c>
      <c r="G458" t="s">
        <v>2248</v>
      </c>
      <c r="H458" t="s">
        <v>1225</v>
      </c>
      <c r="I458">
        <v>100</v>
      </c>
      <c r="J458">
        <v>0</v>
      </c>
      <c r="M458">
        <v>0.44</v>
      </c>
      <c r="N458">
        <v>44</v>
      </c>
      <c r="O458">
        <v>-44</v>
      </c>
      <c r="P458">
        <v>0</v>
      </c>
    </row>
    <row r="459" spans="1:16" hidden="1" x14ac:dyDescent="0.25">
      <c r="A459" t="s">
        <v>2040</v>
      </c>
      <c r="B459" t="s">
        <v>2041</v>
      </c>
      <c r="C459" t="s">
        <v>1976</v>
      </c>
      <c r="D459" s="11" t="s">
        <v>2250</v>
      </c>
      <c r="E459" s="12">
        <v>45929</v>
      </c>
      <c r="F459" s="12">
        <v>45929</v>
      </c>
      <c r="G459" t="s">
        <v>2248</v>
      </c>
      <c r="H459" t="s">
        <v>61</v>
      </c>
      <c r="I459">
        <v>196</v>
      </c>
      <c r="J459">
        <v>0</v>
      </c>
      <c r="M459">
        <v>9.2265999999999995</v>
      </c>
      <c r="N459">
        <v>1808.4136000000001</v>
      </c>
      <c r="O459">
        <v>-1808.4136000000001</v>
      </c>
      <c r="P459">
        <v>0</v>
      </c>
    </row>
    <row r="460" spans="1:16" hidden="1" x14ac:dyDescent="0.25">
      <c r="A460" t="s">
        <v>2040</v>
      </c>
      <c r="B460" t="s">
        <v>2041</v>
      </c>
      <c r="C460" t="s">
        <v>1976</v>
      </c>
      <c r="D460" s="11" t="s">
        <v>2250</v>
      </c>
      <c r="E460" s="12">
        <v>45929</v>
      </c>
      <c r="F460" s="12">
        <v>45929</v>
      </c>
      <c r="G460" t="s">
        <v>2248</v>
      </c>
      <c r="H460" t="s">
        <v>87</v>
      </c>
      <c r="I460">
        <v>240</v>
      </c>
      <c r="J460">
        <v>0</v>
      </c>
      <c r="M460">
        <v>1.3380000000000001</v>
      </c>
      <c r="N460">
        <v>321.12</v>
      </c>
      <c r="O460">
        <v>-321.12</v>
      </c>
      <c r="P460">
        <v>0</v>
      </c>
    </row>
    <row r="461" spans="1:16" hidden="1" x14ac:dyDescent="0.25">
      <c r="A461" t="s">
        <v>2040</v>
      </c>
      <c r="B461" t="s">
        <v>2041</v>
      </c>
      <c r="C461" t="s">
        <v>1976</v>
      </c>
      <c r="D461" s="11" t="s">
        <v>2250</v>
      </c>
      <c r="E461" s="12">
        <v>45929</v>
      </c>
      <c r="F461" s="12">
        <v>45929</v>
      </c>
      <c r="G461" t="s">
        <v>2248</v>
      </c>
      <c r="H461" t="s">
        <v>112</v>
      </c>
      <c r="I461">
        <v>100</v>
      </c>
      <c r="J461">
        <v>0</v>
      </c>
      <c r="M461">
        <v>0.79500000000000004</v>
      </c>
      <c r="N461">
        <v>79.5</v>
      </c>
      <c r="O461">
        <v>-79.5</v>
      </c>
      <c r="P461">
        <v>0</v>
      </c>
    </row>
    <row r="462" spans="1:16" hidden="1" x14ac:dyDescent="0.25">
      <c r="A462" t="s">
        <v>2040</v>
      </c>
      <c r="B462" t="s">
        <v>2041</v>
      </c>
      <c r="C462" t="s">
        <v>1976</v>
      </c>
      <c r="D462" s="11" t="s">
        <v>2250</v>
      </c>
      <c r="E462" s="12">
        <v>45929</v>
      </c>
      <c r="F462" s="12">
        <v>45929</v>
      </c>
      <c r="G462" t="s">
        <v>2248</v>
      </c>
      <c r="H462" t="s">
        <v>130</v>
      </c>
      <c r="I462">
        <v>280</v>
      </c>
      <c r="J462">
        <v>0</v>
      </c>
      <c r="M462">
        <v>11.39683</v>
      </c>
      <c r="N462">
        <v>3191.1124</v>
      </c>
      <c r="O462">
        <v>-3191.1124</v>
      </c>
      <c r="P462">
        <v>0</v>
      </c>
    </row>
    <row r="463" spans="1:16" hidden="1" x14ac:dyDescent="0.25">
      <c r="A463" t="s">
        <v>2040</v>
      </c>
      <c r="B463" t="s">
        <v>2041</v>
      </c>
      <c r="C463" t="s">
        <v>1976</v>
      </c>
      <c r="D463" s="11" t="s">
        <v>2250</v>
      </c>
      <c r="E463" s="12">
        <v>45929</v>
      </c>
      <c r="F463" s="12">
        <v>45929</v>
      </c>
      <c r="G463" t="s">
        <v>2248</v>
      </c>
      <c r="H463" t="s">
        <v>2253</v>
      </c>
      <c r="I463">
        <v>1000</v>
      </c>
      <c r="J463">
        <v>0</v>
      </c>
      <c r="M463">
        <v>2.1999999999999999E-2</v>
      </c>
      <c r="N463">
        <v>22</v>
      </c>
      <c r="O463">
        <v>-22</v>
      </c>
      <c r="P463">
        <v>0</v>
      </c>
    </row>
    <row r="464" spans="1:16" hidden="1" x14ac:dyDescent="0.25">
      <c r="A464" t="s">
        <v>2040</v>
      </c>
      <c r="B464" t="s">
        <v>2041</v>
      </c>
      <c r="C464" t="s">
        <v>1976</v>
      </c>
      <c r="D464" s="11" t="s">
        <v>2250</v>
      </c>
      <c r="E464" s="12">
        <v>45929</v>
      </c>
      <c r="F464" s="12">
        <v>45929</v>
      </c>
      <c r="G464" t="s">
        <v>2248</v>
      </c>
      <c r="H464" t="s">
        <v>359</v>
      </c>
      <c r="I464">
        <v>500</v>
      </c>
      <c r="J464">
        <v>0</v>
      </c>
      <c r="M464">
        <v>0.2</v>
      </c>
      <c r="N464">
        <v>100</v>
      </c>
      <c r="O464">
        <v>-100</v>
      </c>
      <c r="P464">
        <v>0</v>
      </c>
    </row>
    <row r="465" spans="1:16" hidden="1" x14ac:dyDescent="0.25">
      <c r="A465" t="s">
        <v>2040</v>
      </c>
      <c r="B465" t="s">
        <v>2041</v>
      </c>
      <c r="C465" t="s">
        <v>1976</v>
      </c>
      <c r="D465" s="11" t="s">
        <v>2250</v>
      </c>
      <c r="E465" s="12">
        <v>45929</v>
      </c>
      <c r="F465" s="12">
        <v>45929</v>
      </c>
      <c r="G465" t="s">
        <v>2248</v>
      </c>
      <c r="H465" t="s">
        <v>462</v>
      </c>
      <c r="I465">
        <v>10000</v>
      </c>
      <c r="J465">
        <v>0</v>
      </c>
      <c r="M465">
        <v>5.1000000000000004E-4</v>
      </c>
      <c r="N465">
        <v>5.0999999999999996</v>
      </c>
      <c r="O465">
        <v>-5.0999999999999996</v>
      </c>
      <c r="P465">
        <v>0</v>
      </c>
    </row>
    <row r="466" spans="1:16" hidden="1" x14ac:dyDescent="0.25">
      <c r="A466" t="s">
        <v>2040</v>
      </c>
      <c r="B466" t="s">
        <v>2041</v>
      </c>
      <c r="C466" t="s">
        <v>1976</v>
      </c>
      <c r="D466" s="11" t="s">
        <v>2250</v>
      </c>
      <c r="E466" s="12">
        <v>45929</v>
      </c>
      <c r="F466" s="12">
        <v>45929</v>
      </c>
      <c r="G466" t="s">
        <v>2248</v>
      </c>
      <c r="H466" t="s">
        <v>466</v>
      </c>
      <c r="I466">
        <v>10000</v>
      </c>
      <c r="J466">
        <v>0</v>
      </c>
      <c r="M466">
        <v>5.1000000000000004E-4</v>
      </c>
      <c r="N466">
        <v>5.0999999999999996</v>
      </c>
      <c r="O466">
        <v>-5.0999999999999996</v>
      </c>
      <c r="P466">
        <v>0</v>
      </c>
    </row>
    <row r="467" spans="1:16" hidden="1" x14ac:dyDescent="0.25">
      <c r="A467" t="s">
        <v>2040</v>
      </c>
      <c r="B467" t="s">
        <v>2041</v>
      </c>
      <c r="C467" t="s">
        <v>1976</v>
      </c>
      <c r="D467" s="11" t="s">
        <v>2250</v>
      </c>
      <c r="E467" s="12">
        <v>45929</v>
      </c>
      <c r="F467" s="12">
        <v>45929</v>
      </c>
      <c r="G467" t="s">
        <v>2248</v>
      </c>
      <c r="H467" t="s">
        <v>528</v>
      </c>
      <c r="I467">
        <v>4000</v>
      </c>
      <c r="J467">
        <v>0</v>
      </c>
      <c r="M467">
        <v>4.6800000000000001E-2</v>
      </c>
      <c r="N467">
        <v>187.2</v>
      </c>
      <c r="O467">
        <v>-187.2</v>
      </c>
      <c r="P467">
        <v>0</v>
      </c>
    </row>
    <row r="468" spans="1:16" hidden="1" x14ac:dyDescent="0.25">
      <c r="A468" t="s">
        <v>2040</v>
      </c>
      <c r="B468" t="s">
        <v>2041</v>
      </c>
      <c r="C468" t="s">
        <v>1976</v>
      </c>
      <c r="D468" s="11" t="s">
        <v>2250</v>
      </c>
      <c r="E468" s="12">
        <v>45929</v>
      </c>
      <c r="F468" s="12">
        <v>45929</v>
      </c>
      <c r="G468" t="s">
        <v>2248</v>
      </c>
      <c r="H468" t="s">
        <v>699</v>
      </c>
      <c r="I468">
        <v>4000</v>
      </c>
      <c r="J468">
        <v>0</v>
      </c>
      <c r="M468">
        <v>2.52E-2</v>
      </c>
      <c r="N468">
        <v>100.8</v>
      </c>
      <c r="O468">
        <v>-100.8</v>
      </c>
      <c r="P468">
        <v>0</v>
      </c>
    </row>
    <row r="469" spans="1:16" hidden="1" x14ac:dyDescent="0.25">
      <c r="A469" t="s">
        <v>2040</v>
      </c>
      <c r="B469" t="s">
        <v>2041</v>
      </c>
      <c r="C469" t="s">
        <v>1976</v>
      </c>
      <c r="D469" s="11" t="s">
        <v>2250</v>
      </c>
      <c r="E469" s="12">
        <v>45929</v>
      </c>
      <c r="F469" s="12">
        <v>45929</v>
      </c>
      <c r="G469" t="s">
        <v>2248</v>
      </c>
      <c r="H469" t="s">
        <v>777</v>
      </c>
      <c r="I469">
        <v>1000</v>
      </c>
      <c r="J469">
        <v>0</v>
      </c>
      <c r="M469">
        <v>3.9399999999999998E-2</v>
      </c>
      <c r="N469">
        <v>39.4</v>
      </c>
      <c r="O469">
        <v>-39.4</v>
      </c>
      <c r="P469">
        <v>0</v>
      </c>
    </row>
    <row r="470" spans="1:16" hidden="1" x14ac:dyDescent="0.25">
      <c r="A470" t="s">
        <v>2040</v>
      </c>
      <c r="B470" t="s">
        <v>2041</v>
      </c>
      <c r="C470" t="s">
        <v>1976</v>
      </c>
      <c r="D470" s="11" t="s">
        <v>2250</v>
      </c>
      <c r="E470" s="12">
        <v>45929</v>
      </c>
      <c r="F470" s="12">
        <v>45929</v>
      </c>
      <c r="G470" t="s">
        <v>2248</v>
      </c>
      <c r="H470" t="s">
        <v>1005</v>
      </c>
      <c r="I470">
        <v>712</v>
      </c>
      <c r="J470">
        <v>0</v>
      </c>
      <c r="M470">
        <v>6.6189200000000001</v>
      </c>
      <c r="N470">
        <v>4712.6710400000002</v>
      </c>
      <c r="O470">
        <v>-4712.6710400000002</v>
      </c>
      <c r="P470">
        <v>0</v>
      </c>
    </row>
    <row r="471" spans="1:16" hidden="1" x14ac:dyDescent="0.25">
      <c r="A471" t="s">
        <v>2040</v>
      </c>
      <c r="B471" t="s">
        <v>2041</v>
      </c>
      <c r="C471" t="s">
        <v>1976</v>
      </c>
      <c r="D471" s="11" t="s">
        <v>2250</v>
      </c>
      <c r="E471" s="12">
        <v>45929</v>
      </c>
      <c r="F471" s="12">
        <v>45929</v>
      </c>
      <c r="G471" t="s">
        <v>2248</v>
      </c>
      <c r="H471" t="s">
        <v>1310</v>
      </c>
      <c r="I471">
        <v>10000</v>
      </c>
      <c r="J471">
        <v>0</v>
      </c>
      <c r="M471">
        <v>5.1000000000000004E-4</v>
      </c>
      <c r="N471">
        <v>5.0999999999999996</v>
      </c>
      <c r="O471">
        <v>-5.0999999999999996</v>
      </c>
      <c r="P471">
        <v>0</v>
      </c>
    </row>
    <row r="472" spans="1:16" hidden="1" x14ac:dyDescent="0.25">
      <c r="A472" t="s">
        <v>2040</v>
      </c>
      <c r="B472" t="s">
        <v>2041</v>
      </c>
      <c r="C472" t="s">
        <v>1976</v>
      </c>
      <c r="D472" s="11" t="s">
        <v>2250</v>
      </c>
      <c r="E472" s="12">
        <v>45929</v>
      </c>
      <c r="F472" s="12">
        <v>45929</v>
      </c>
      <c r="G472" t="s">
        <v>2248</v>
      </c>
      <c r="H472" t="s">
        <v>1344</v>
      </c>
      <c r="I472">
        <v>10000</v>
      </c>
      <c r="J472">
        <v>0</v>
      </c>
      <c r="M472">
        <v>5.1000000000000004E-4</v>
      </c>
      <c r="N472">
        <v>5.0999999999999996</v>
      </c>
      <c r="O472">
        <v>-5.0999999999999996</v>
      </c>
      <c r="P472">
        <v>0</v>
      </c>
    </row>
    <row r="473" spans="1:16" hidden="1" x14ac:dyDescent="0.25">
      <c r="A473" t="s">
        <v>2040</v>
      </c>
      <c r="B473" t="s">
        <v>2041</v>
      </c>
      <c r="C473" t="s">
        <v>1976</v>
      </c>
      <c r="D473" s="11" t="s">
        <v>2250</v>
      </c>
      <c r="E473" s="12">
        <v>45929</v>
      </c>
      <c r="F473" s="12">
        <v>45929</v>
      </c>
      <c r="G473" t="s">
        <v>2248</v>
      </c>
      <c r="H473" t="s">
        <v>1374</v>
      </c>
      <c r="I473">
        <v>5000</v>
      </c>
      <c r="J473">
        <v>0</v>
      </c>
      <c r="M473">
        <v>1.2600000000000001E-3</v>
      </c>
      <c r="N473">
        <v>6.3</v>
      </c>
      <c r="O473">
        <v>-6.3</v>
      </c>
      <c r="P473">
        <v>0</v>
      </c>
    </row>
    <row r="474" spans="1:16" hidden="1" x14ac:dyDescent="0.25">
      <c r="A474" t="s">
        <v>2040</v>
      </c>
      <c r="B474" t="s">
        <v>2041</v>
      </c>
      <c r="C474" t="s">
        <v>1976</v>
      </c>
      <c r="D474" s="11" t="s">
        <v>2250</v>
      </c>
      <c r="E474" s="12">
        <v>45929</v>
      </c>
      <c r="F474" s="12">
        <v>45929</v>
      </c>
      <c r="G474" t="s">
        <v>2248</v>
      </c>
      <c r="H474" t="s">
        <v>1400</v>
      </c>
      <c r="I474">
        <v>5000</v>
      </c>
      <c r="J474">
        <v>0</v>
      </c>
      <c r="M474">
        <v>2.2699999999999999E-3</v>
      </c>
      <c r="N474">
        <v>11.35</v>
      </c>
      <c r="O474">
        <v>-11.35</v>
      </c>
      <c r="P474">
        <v>0</v>
      </c>
    </row>
    <row r="475" spans="1:16" hidden="1" x14ac:dyDescent="0.25">
      <c r="A475" t="s">
        <v>2040</v>
      </c>
      <c r="B475" t="s">
        <v>2041</v>
      </c>
      <c r="C475" t="s">
        <v>1976</v>
      </c>
      <c r="D475" s="11" t="s">
        <v>2250</v>
      </c>
      <c r="E475" s="12">
        <v>45929</v>
      </c>
      <c r="F475" s="12">
        <v>45929</v>
      </c>
      <c r="G475" t="s">
        <v>2248</v>
      </c>
      <c r="H475" t="s">
        <v>1459</v>
      </c>
      <c r="I475">
        <v>5000</v>
      </c>
      <c r="J475">
        <v>0</v>
      </c>
      <c r="M475">
        <v>5.203E-2</v>
      </c>
      <c r="N475">
        <v>260.14999999999998</v>
      </c>
      <c r="O475">
        <v>-260.14999999999998</v>
      </c>
      <c r="P475">
        <v>0</v>
      </c>
    </row>
    <row r="476" spans="1:16" hidden="1" x14ac:dyDescent="0.25">
      <c r="A476" t="s">
        <v>2040</v>
      </c>
      <c r="B476" t="s">
        <v>2041</v>
      </c>
      <c r="C476" t="s">
        <v>1976</v>
      </c>
      <c r="D476" s="11" t="s">
        <v>2250</v>
      </c>
      <c r="E476" s="12">
        <v>45929</v>
      </c>
      <c r="F476" s="12">
        <v>45929</v>
      </c>
      <c r="G476" t="s">
        <v>2248</v>
      </c>
      <c r="H476" t="s">
        <v>1657</v>
      </c>
      <c r="I476">
        <v>3000</v>
      </c>
      <c r="J476">
        <v>0</v>
      </c>
      <c r="M476">
        <v>4.2200000000000001E-2</v>
      </c>
      <c r="N476">
        <v>126.6</v>
      </c>
      <c r="O476">
        <v>-126.6</v>
      </c>
      <c r="P476">
        <v>0</v>
      </c>
    </row>
    <row r="477" spans="1:16" hidden="1" x14ac:dyDescent="0.25">
      <c r="A477" t="s">
        <v>2040</v>
      </c>
      <c r="B477" t="s">
        <v>2041</v>
      </c>
      <c r="C477" t="s">
        <v>1976</v>
      </c>
      <c r="D477" s="11" t="s">
        <v>2250</v>
      </c>
      <c r="E477" s="12">
        <v>45929</v>
      </c>
      <c r="F477" s="12">
        <v>45929</v>
      </c>
      <c r="G477" t="s">
        <v>2248</v>
      </c>
      <c r="H477" t="s">
        <v>2254</v>
      </c>
      <c r="I477">
        <v>50</v>
      </c>
      <c r="J477">
        <v>0</v>
      </c>
      <c r="M477">
        <v>4.133</v>
      </c>
      <c r="N477">
        <v>206.65</v>
      </c>
      <c r="O477">
        <v>-206.65</v>
      </c>
      <c r="P477">
        <v>0</v>
      </c>
    </row>
    <row r="478" spans="1:16" hidden="1" x14ac:dyDescent="0.25">
      <c r="A478" t="s">
        <v>2040</v>
      </c>
      <c r="B478" t="s">
        <v>2041</v>
      </c>
      <c r="C478" t="s">
        <v>1976</v>
      </c>
      <c r="D478" s="11" t="s">
        <v>2250</v>
      </c>
      <c r="E478" s="12">
        <v>45929</v>
      </c>
      <c r="F478" s="12">
        <v>45929</v>
      </c>
      <c r="G478" t="s">
        <v>2248</v>
      </c>
      <c r="H478" t="s">
        <v>140</v>
      </c>
      <c r="I478">
        <v>750</v>
      </c>
      <c r="J478">
        <v>0</v>
      </c>
      <c r="M478">
        <v>4.5199999999999997E-2</v>
      </c>
      <c r="N478">
        <v>33.9</v>
      </c>
      <c r="O478">
        <v>-33.9</v>
      </c>
      <c r="P478">
        <v>0</v>
      </c>
    </row>
    <row r="479" spans="1:16" hidden="1" x14ac:dyDescent="0.25">
      <c r="A479" t="s">
        <v>2040</v>
      </c>
      <c r="B479" t="s">
        <v>2041</v>
      </c>
      <c r="C479" t="s">
        <v>1976</v>
      </c>
      <c r="D479" s="11" t="s">
        <v>2250</v>
      </c>
      <c r="E479" s="12">
        <v>45929</v>
      </c>
      <c r="F479" s="12">
        <v>45929</v>
      </c>
      <c r="G479" t="s">
        <v>2248</v>
      </c>
      <c r="H479" t="s">
        <v>258</v>
      </c>
      <c r="I479">
        <v>100</v>
      </c>
      <c r="J479">
        <v>0</v>
      </c>
      <c r="M479">
        <v>0.375</v>
      </c>
      <c r="N479">
        <v>37.5</v>
      </c>
      <c r="O479">
        <v>-37.5</v>
      </c>
      <c r="P479">
        <v>0</v>
      </c>
    </row>
    <row r="480" spans="1:16" hidden="1" x14ac:dyDescent="0.25">
      <c r="A480" t="s">
        <v>2040</v>
      </c>
      <c r="B480" t="s">
        <v>2041</v>
      </c>
      <c r="C480" t="s">
        <v>1976</v>
      </c>
      <c r="D480" s="11" t="s">
        <v>2250</v>
      </c>
      <c r="E480" s="12">
        <v>45929</v>
      </c>
      <c r="F480" s="12">
        <v>45929</v>
      </c>
      <c r="G480" t="s">
        <v>2248</v>
      </c>
      <c r="H480" t="s">
        <v>533</v>
      </c>
      <c r="I480">
        <v>2900</v>
      </c>
      <c r="J480">
        <v>0</v>
      </c>
      <c r="M480">
        <v>1.38E-2</v>
      </c>
      <c r="N480">
        <v>40.020000000000003</v>
      </c>
      <c r="O480">
        <v>-40.020000000000003</v>
      </c>
      <c r="P480">
        <v>0</v>
      </c>
    </row>
    <row r="481" spans="1:16" hidden="1" x14ac:dyDescent="0.25">
      <c r="A481" t="s">
        <v>2040</v>
      </c>
      <c r="B481" t="s">
        <v>2041</v>
      </c>
      <c r="C481" t="s">
        <v>1976</v>
      </c>
      <c r="D481" s="11" t="s">
        <v>2250</v>
      </c>
      <c r="E481" s="12">
        <v>45929</v>
      </c>
      <c r="F481" s="12">
        <v>45929</v>
      </c>
      <c r="G481" t="s">
        <v>2248</v>
      </c>
      <c r="H481" t="s">
        <v>765</v>
      </c>
      <c r="I481">
        <v>500</v>
      </c>
      <c r="J481">
        <v>0</v>
      </c>
      <c r="M481">
        <v>0.193</v>
      </c>
      <c r="N481">
        <v>96.5</v>
      </c>
      <c r="O481">
        <v>-96.5</v>
      </c>
      <c r="P481">
        <v>0</v>
      </c>
    </row>
    <row r="482" spans="1:16" hidden="1" x14ac:dyDescent="0.25">
      <c r="A482" t="s">
        <v>2040</v>
      </c>
      <c r="B482" t="s">
        <v>2041</v>
      </c>
      <c r="C482" t="s">
        <v>1976</v>
      </c>
      <c r="D482" s="11" t="s">
        <v>2250</v>
      </c>
      <c r="E482" s="12">
        <v>45929</v>
      </c>
      <c r="F482" s="12">
        <v>45929</v>
      </c>
      <c r="G482" t="s">
        <v>2248</v>
      </c>
      <c r="H482" t="s">
        <v>850</v>
      </c>
      <c r="I482">
        <v>10000</v>
      </c>
      <c r="J482">
        <v>0</v>
      </c>
      <c r="M482">
        <v>2.9299999999999999E-3</v>
      </c>
      <c r="N482">
        <v>29.3</v>
      </c>
      <c r="O482">
        <v>-29.3</v>
      </c>
      <c r="P482">
        <v>0</v>
      </c>
    </row>
    <row r="483" spans="1:16" hidden="1" x14ac:dyDescent="0.25">
      <c r="A483" t="s">
        <v>2040</v>
      </c>
      <c r="B483" t="s">
        <v>2041</v>
      </c>
      <c r="C483" t="s">
        <v>1976</v>
      </c>
      <c r="D483" s="11" t="s">
        <v>2250</v>
      </c>
      <c r="E483" s="12">
        <v>45929</v>
      </c>
      <c r="F483" s="12">
        <v>45929</v>
      </c>
      <c r="G483" t="s">
        <v>2248</v>
      </c>
      <c r="H483" t="s">
        <v>854</v>
      </c>
      <c r="I483">
        <v>10000</v>
      </c>
      <c r="J483">
        <v>0</v>
      </c>
      <c r="M483">
        <v>3.0799999999999998E-3</v>
      </c>
      <c r="N483">
        <v>30.8</v>
      </c>
      <c r="O483">
        <v>-30.8</v>
      </c>
      <c r="P483">
        <v>0</v>
      </c>
    </row>
    <row r="484" spans="1:16" hidden="1" x14ac:dyDescent="0.25">
      <c r="A484" t="s">
        <v>2040</v>
      </c>
      <c r="B484" t="s">
        <v>2041</v>
      </c>
      <c r="C484" t="s">
        <v>1976</v>
      </c>
      <c r="D484" s="11" t="s">
        <v>2250</v>
      </c>
      <c r="E484" s="12">
        <v>45929</v>
      </c>
      <c r="F484" s="12">
        <v>45929</v>
      </c>
      <c r="G484" t="s">
        <v>2248</v>
      </c>
      <c r="H484" t="s">
        <v>866</v>
      </c>
      <c r="I484">
        <v>5000</v>
      </c>
      <c r="J484">
        <v>0</v>
      </c>
      <c r="M484">
        <v>7.6E-3</v>
      </c>
      <c r="N484">
        <v>38</v>
      </c>
      <c r="O484">
        <v>-38</v>
      </c>
      <c r="P484">
        <v>0</v>
      </c>
    </row>
    <row r="485" spans="1:16" hidden="1" x14ac:dyDescent="0.25">
      <c r="A485" t="s">
        <v>2040</v>
      </c>
      <c r="B485" t="s">
        <v>2041</v>
      </c>
      <c r="C485" t="s">
        <v>1976</v>
      </c>
      <c r="D485" s="11" t="s">
        <v>2250</v>
      </c>
      <c r="E485" s="12">
        <v>45929</v>
      </c>
      <c r="F485" s="12">
        <v>45929</v>
      </c>
      <c r="G485" t="s">
        <v>2248</v>
      </c>
      <c r="H485" t="s">
        <v>951</v>
      </c>
      <c r="I485">
        <v>23</v>
      </c>
      <c r="J485">
        <v>0</v>
      </c>
      <c r="M485">
        <v>1.6750400000000001</v>
      </c>
      <c r="N485">
        <v>38.525919999999999</v>
      </c>
      <c r="O485">
        <v>-38.525919999999999</v>
      </c>
      <c r="P485">
        <v>0</v>
      </c>
    </row>
    <row r="486" spans="1:16" hidden="1" x14ac:dyDescent="0.25">
      <c r="A486" t="s">
        <v>2040</v>
      </c>
      <c r="B486" t="s">
        <v>2041</v>
      </c>
      <c r="C486" t="s">
        <v>1976</v>
      </c>
      <c r="D486" s="11" t="s">
        <v>2250</v>
      </c>
      <c r="E486" s="12">
        <v>45929</v>
      </c>
      <c r="F486" s="12">
        <v>45929</v>
      </c>
      <c r="G486" t="s">
        <v>2248</v>
      </c>
      <c r="H486" t="s">
        <v>1005</v>
      </c>
      <c r="I486">
        <v>2</v>
      </c>
      <c r="J486">
        <v>0</v>
      </c>
      <c r="M486">
        <v>6.6189200000000001</v>
      </c>
      <c r="N486">
        <v>13.23784</v>
      </c>
      <c r="O486">
        <v>-13.23784</v>
      </c>
      <c r="P486">
        <v>0</v>
      </c>
    </row>
    <row r="487" spans="1:16" hidden="1" x14ac:dyDescent="0.25">
      <c r="A487" t="s">
        <v>2040</v>
      </c>
      <c r="B487" t="s">
        <v>2041</v>
      </c>
      <c r="C487" t="s">
        <v>1976</v>
      </c>
      <c r="D487" s="11" t="s">
        <v>2250</v>
      </c>
      <c r="E487" s="12">
        <v>45929</v>
      </c>
      <c r="F487" s="12">
        <v>45929</v>
      </c>
      <c r="G487" t="s">
        <v>2248</v>
      </c>
      <c r="H487" t="s">
        <v>1005</v>
      </c>
      <c r="I487">
        <v>197</v>
      </c>
      <c r="J487">
        <v>0</v>
      </c>
      <c r="M487">
        <v>7.04</v>
      </c>
      <c r="N487">
        <v>1386.88</v>
      </c>
      <c r="O487">
        <v>-1386.88</v>
      </c>
      <c r="P487">
        <v>0</v>
      </c>
    </row>
    <row r="488" spans="1:16" hidden="1" x14ac:dyDescent="0.25">
      <c r="A488" t="s">
        <v>2040</v>
      </c>
      <c r="B488" t="s">
        <v>2041</v>
      </c>
      <c r="C488" t="s">
        <v>1976</v>
      </c>
      <c r="D488" s="11" t="s">
        <v>2250</v>
      </c>
      <c r="E488" s="12">
        <v>45929</v>
      </c>
      <c r="F488" s="12">
        <v>45929</v>
      </c>
      <c r="G488" t="s">
        <v>2248</v>
      </c>
      <c r="H488" t="s">
        <v>1595</v>
      </c>
      <c r="I488">
        <v>250</v>
      </c>
      <c r="J488">
        <v>0</v>
      </c>
      <c r="M488">
        <v>0.32</v>
      </c>
      <c r="N488">
        <v>80</v>
      </c>
      <c r="O488">
        <v>-80</v>
      </c>
      <c r="P488">
        <v>0</v>
      </c>
    </row>
    <row r="489" spans="1:16" hidden="1" x14ac:dyDescent="0.25">
      <c r="A489" t="s">
        <v>2040</v>
      </c>
      <c r="B489" t="s">
        <v>2041</v>
      </c>
      <c r="C489" t="s">
        <v>1976</v>
      </c>
      <c r="D489" s="11" t="s">
        <v>2250</v>
      </c>
      <c r="E489" s="12">
        <v>45929</v>
      </c>
      <c r="F489" s="12">
        <v>45929</v>
      </c>
      <c r="G489" t="s">
        <v>2248</v>
      </c>
      <c r="H489" t="s">
        <v>1747</v>
      </c>
      <c r="I489">
        <v>60</v>
      </c>
      <c r="J489">
        <v>0</v>
      </c>
      <c r="M489">
        <v>33.889000000000003</v>
      </c>
      <c r="N489">
        <v>2033.34</v>
      </c>
      <c r="O489">
        <v>-2033.34</v>
      </c>
      <c r="P489">
        <v>0</v>
      </c>
    </row>
    <row r="490" spans="1:16" hidden="1" x14ac:dyDescent="0.25">
      <c r="A490" t="s">
        <v>2040</v>
      </c>
      <c r="B490" t="s">
        <v>2041</v>
      </c>
      <c r="C490" t="s">
        <v>1976</v>
      </c>
      <c r="D490" s="11" t="s">
        <v>2250</v>
      </c>
      <c r="E490" s="12">
        <v>45929</v>
      </c>
      <c r="F490" s="12">
        <v>45929</v>
      </c>
      <c r="G490" t="s">
        <v>2248</v>
      </c>
      <c r="H490" t="s">
        <v>1755</v>
      </c>
      <c r="I490">
        <v>1</v>
      </c>
      <c r="J490">
        <v>0</v>
      </c>
      <c r="M490">
        <v>2.7709999999999999</v>
      </c>
      <c r="N490">
        <v>2.7709999999999999</v>
      </c>
      <c r="O490">
        <v>-2.7709999999999999</v>
      </c>
      <c r="P490">
        <v>0</v>
      </c>
    </row>
    <row r="491" spans="1:16" hidden="1" x14ac:dyDescent="0.25">
      <c r="A491" t="s">
        <v>2040</v>
      </c>
      <c r="B491" t="s">
        <v>2041</v>
      </c>
      <c r="C491" t="s">
        <v>1976</v>
      </c>
      <c r="D491" s="11" t="s">
        <v>2250</v>
      </c>
      <c r="E491" s="12">
        <v>45929</v>
      </c>
      <c r="F491" s="12">
        <v>45929</v>
      </c>
      <c r="G491" t="s">
        <v>2248</v>
      </c>
      <c r="H491" t="s">
        <v>535</v>
      </c>
      <c r="I491">
        <v>3000</v>
      </c>
      <c r="J491">
        <v>0</v>
      </c>
      <c r="M491">
        <v>1.9099999999999999E-2</v>
      </c>
      <c r="N491">
        <v>57.3</v>
      </c>
      <c r="O491">
        <v>-57.3</v>
      </c>
      <c r="P491">
        <v>0</v>
      </c>
    </row>
    <row r="492" spans="1:16" hidden="1" x14ac:dyDescent="0.25">
      <c r="A492" t="s">
        <v>2040</v>
      </c>
      <c r="B492" t="s">
        <v>2041</v>
      </c>
      <c r="C492" t="s">
        <v>1976</v>
      </c>
      <c r="D492" s="11" t="s">
        <v>2250</v>
      </c>
      <c r="E492" s="12">
        <v>45929</v>
      </c>
      <c r="F492" s="12">
        <v>45929</v>
      </c>
      <c r="G492" t="s">
        <v>2248</v>
      </c>
      <c r="H492" t="s">
        <v>741</v>
      </c>
      <c r="I492">
        <v>3000</v>
      </c>
      <c r="J492">
        <v>0</v>
      </c>
      <c r="M492">
        <v>7.2499999999999995E-2</v>
      </c>
      <c r="N492">
        <v>217.5</v>
      </c>
      <c r="O492">
        <v>-217.5</v>
      </c>
      <c r="P492">
        <v>0</v>
      </c>
    </row>
    <row r="493" spans="1:16" hidden="1" x14ac:dyDescent="0.25">
      <c r="A493" t="s">
        <v>2040</v>
      </c>
      <c r="B493" t="s">
        <v>2041</v>
      </c>
      <c r="C493" t="s">
        <v>1976</v>
      </c>
      <c r="D493" s="11" t="s">
        <v>2250</v>
      </c>
      <c r="E493" s="12">
        <v>45929</v>
      </c>
      <c r="F493" s="12">
        <v>45929</v>
      </c>
      <c r="G493" t="s">
        <v>2248</v>
      </c>
      <c r="H493" t="s">
        <v>816</v>
      </c>
      <c r="I493">
        <v>5000</v>
      </c>
      <c r="J493">
        <v>0</v>
      </c>
      <c r="M493">
        <v>2.8299999999999999E-2</v>
      </c>
      <c r="N493">
        <v>141.5</v>
      </c>
      <c r="O493">
        <v>-141.5</v>
      </c>
      <c r="P493">
        <v>0</v>
      </c>
    </row>
    <row r="494" spans="1:16" hidden="1" x14ac:dyDescent="0.25">
      <c r="A494" t="s">
        <v>2040</v>
      </c>
      <c r="B494" t="s">
        <v>2041</v>
      </c>
      <c r="C494" t="s">
        <v>1976</v>
      </c>
      <c r="D494" s="11" t="s">
        <v>2250</v>
      </c>
      <c r="E494" s="12">
        <v>45929</v>
      </c>
      <c r="F494" s="12">
        <v>45929</v>
      </c>
      <c r="G494" t="s">
        <v>2248</v>
      </c>
      <c r="H494" t="s">
        <v>852</v>
      </c>
      <c r="I494">
        <v>10000</v>
      </c>
      <c r="J494">
        <v>0</v>
      </c>
      <c r="M494">
        <v>2.5699999999999998E-3</v>
      </c>
      <c r="N494">
        <v>25.7</v>
      </c>
      <c r="O494">
        <v>-25.7</v>
      </c>
      <c r="P494">
        <v>0</v>
      </c>
    </row>
    <row r="495" spans="1:16" hidden="1" x14ac:dyDescent="0.25">
      <c r="A495" t="s">
        <v>2040</v>
      </c>
      <c r="B495" t="s">
        <v>2041</v>
      </c>
      <c r="C495" t="s">
        <v>1976</v>
      </c>
      <c r="D495" s="11" t="s">
        <v>2250</v>
      </c>
      <c r="E495" s="12">
        <v>45929</v>
      </c>
      <c r="F495" s="12">
        <v>45929</v>
      </c>
      <c r="G495" t="s">
        <v>2248</v>
      </c>
      <c r="H495" t="s">
        <v>858</v>
      </c>
      <c r="I495">
        <v>10000</v>
      </c>
      <c r="J495">
        <v>0</v>
      </c>
      <c r="M495">
        <v>3.0799999999999998E-3</v>
      </c>
      <c r="N495">
        <v>30.8</v>
      </c>
      <c r="O495">
        <v>-30.8</v>
      </c>
      <c r="P495">
        <v>0</v>
      </c>
    </row>
    <row r="496" spans="1:16" hidden="1" x14ac:dyDescent="0.25">
      <c r="A496" t="s">
        <v>2040</v>
      </c>
      <c r="B496" t="s">
        <v>2041</v>
      </c>
      <c r="C496" t="s">
        <v>1976</v>
      </c>
      <c r="D496" s="11" t="s">
        <v>2250</v>
      </c>
      <c r="E496" s="12">
        <v>45929</v>
      </c>
      <c r="F496" s="12">
        <v>45929</v>
      </c>
      <c r="G496" t="s">
        <v>2248</v>
      </c>
      <c r="H496" t="s">
        <v>925</v>
      </c>
      <c r="I496">
        <v>10000</v>
      </c>
      <c r="J496">
        <v>0</v>
      </c>
      <c r="M496">
        <v>1.46E-2</v>
      </c>
      <c r="N496">
        <v>146</v>
      </c>
      <c r="O496">
        <v>-146</v>
      </c>
      <c r="P496">
        <v>0</v>
      </c>
    </row>
    <row r="497" spans="1:16" hidden="1" x14ac:dyDescent="0.25">
      <c r="A497" t="s">
        <v>2040</v>
      </c>
      <c r="B497" t="s">
        <v>2041</v>
      </c>
      <c r="C497" t="s">
        <v>1976</v>
      </c>
      <c r="D497" s="11" t="s">
        <v>2250</v>
      </c>
      <c r="E497" s="12">
        <v>45929</v>
      </c>
      <c r="F497" s="12">
        <v>45929</v>
      </c>
      <c r="G497" t="s">
        <v>2248</v>
      </c>
      <c r="H497" t="s">
        <v>1104</v>
      </c>
      <c r="I497">
        <v>500</v>
      </c>
      <c r="J497">
        <v>0</v>
      </c>
      <c r="M497">
        <v>3.73E-2</v>
      </c>
      <c r="N497">
        <v>18.649999999999999</v>
      </c>
      <c r="O497">
        <v>-18.649999999999999</v>
      </c>
      <c r="P497">
        <v>0</v>
      </c>
    </row>
    <row r="498" spans="1:16" hidden="1" x14ac:dyDescent="0.25">
      <c r="A498" t="s">
        <v>2040</v>
      </c>
      <c r="B498" t="s">
        <v>2041</v>
      </c>
      <c r="C498" t="s">
        <v>1976</v>
      </c>
      <c r="D498" s="11" t="s">
        <v>2250</v>
      </c>
      <c r="E498" s="12">
        <v>45929</v>
      </c>
      <c r="F498" s="12">
        <v>45929</v>
      </c>
      <c r="G498" t="s">
        <v>2248</v>
      </c>
      <c r="H498" t="s">
        <v>1312</v>
      </c>
      <c r="I498">
        <v>10000</v>
      </c>
      <c r="J498">
        <v>0</v>
      </c>
      <c r="M498">
        <v>2.5000000000000001E-4</v>
      </c>
      <c r="N498">
        <v>2.5</v>
      </c>
      <c r="O498">
        <v>-2.5</v>
      </c>
      <c r="P498">
        <v>0</v>
      </c>
    </row>
    <row r="499" spans="1:16" hidden="1" x14ac:dyDescent="0.25">
      <c r="A499" t="s">
        <v>2040</v>
      </c>
      <c r="B499" t="s">
        <v>2041</v>
      </c>
      <c r="C499" t="s">
        <v>1976</v>
      </c>
      <c r="D499" s="11" t="s">
        <v>2250</v>
      </c>
      <c r="E499" s="12">
        <v>45929</v>
      </c>
      <c r="F499" s="12">
        <v>45929</v>
      </c>
      <c r="G499" t="s">
        <v>2248</v>
      </c>
      <c r="H499" t="s">
        <v>1388</v>
      </c>
      <c r="I499">
        <v>4600</v>
      </c>
      <c r="J499">
        <v>0</v>
      </c>
      <c r="M499">
        <v>3.0899999999999999E-3</v>
      </c>
      <c r="N499">
        <v>14.214</v>
      </c>
      <c r="O499">
        <v>-14.214</v>
      </c>
      <c r="P499">
        <v>0</v>
      </c>
    </row>
    <row r="500" spans="1:16" hidden="1" x14ac:dyDescent="0.25">
      <c r="A500" t="s">
        <v>2040</v>
      </c>
      <c r="B500" t="s">
        <v>2041</v>
      </c>
      <c r="C500" t="s">
        <v>1976</v>
      </c>
      <c r="D500" s="11" t="s">
        <v>2250</v>
      </c>
      <c r="E500" s="12">
        <v>45929</v>
      </c>
      <c r="F500" s="12">
        <v>45929</v>
      </c>
      <c r="G500" t="s">
        <v>2248</v>
      </c>
      <c r="H500" t="s">
        <v>1418</v>
      </c>
      <c r="I500">
        <v>5000</v>
      </c>
      <c r="J500">
        <v>0</v>
      </c>
      <c r="M500">
        <v>2.82E-3</v>
      </c>
      <c r="N500">
        <v>14.1</v>
      </c>
      <c r="O500">
        <v>-14.1</v>
      </c>
      <c r="P500">
        <v>0</v>
      </c>
    </row>
    <row r="501" spans="1:16" hidden="1" x14ac:dyDescent="0.25">
      <c r="A501" t="s">
        <v>2040</v>
      </c>
      <c r="B501" t="s">
        <v>2041</v>
      </c>
      <c r="C501" t="s">
        <v>1976</v>
      </c>
      <c r="D501" s="11" t="s">
        <v>2250</v>
      </c>
      <c r="E501" s="12">
        <v>45929</v>
      </c>
      <c r="F501" s="12">
        <v>45929</v>
      </c>
      <c r="G501" t="s">
        <v>2248</v>
      </c>
      <c r="H501" t="s">
        <v>1430</v>
      </c>
      <c r="I501">
        <v>5000</v>
      </c>
      <c r="J501">
        <v>0</v>
      </c>
      <c r="M501">
        <v>2.7499999999999998E-3</v>
      </c>
      <c r="N501">
        <v>13.75</v>
      </c>
      <c r="O501">
        <v>-13.75</v>
      </c>
      <c r="P501">
        <v>0</v>
      </c>
    </row>
    <row r="502" spans="1:16" hidden="1" x14ac:dyDescent="0.25">
      <c r="A502" t="s">
        <v>2040</v>
      </c>
      <c r="B502" t="s">
        <v>2041</v>
      </c>
      <c r="C502" t="s">
        <v>1976</v>
      </c>
      <c r="D502" s="11" t="s">
        <v>2250</v>
      </c>
      <c r="E502" s="12">
        <v>45929</v>
      </c>
      <c r="F502" s="12">
        <v>45929</v>
      </c>
      <c r="G502" t="s">
        <v>2248</v>
      </c>
      <c r="H502" t="s">
        <v>1495</v>
      </c>
      <c r="I502">
        <v>940</v>
      </c>
      <c r="J502">
        <v>0</v>
      </c>
      <c r="M502">
        <v>0.59499999999999997</v>
      </c>
      <c r="N502">
        <v>559.29999999999995</v>
      </c>
      <c r="O502">
        <v>-559.29999999999995</v>
      </c>
      <c r="P502">
        <v>0</v>
      </c>
    </row>
    <row r="503" spans="1:16" hidden="1" x14ac:dyDescent="0.25">
      <c r="A503" t="s">
        <v>2040</v>
      </c>
      <c r="B503" t="s">
        <v>2041</v>
      </c>
      <c r="C503" t="s">
        <v>1976</v>
      </c>
      <c r="D503" s="11" t="s">
        <v>2250</v>
      </c>
      <c r="E503" s="12">
        <v>45929</v>
      </c>
      <c r="F503" s="12">
        <v>45929</v>
      </c>
      <c r="G503" t="s">
        <v>2248</v>
      </c>
      <c r="H503" t="s">
        <v>1591</v>
      </c>
      <c r="I503">
        <v>100</v>
      </c>
      <c r="J503">
        <v>0</v>
      </c>
      <c r="M503">
        <v>0.183</v>
      </c>
      <c r="N503">
        <v>18.3</v>
      </c>
      <c r="O503">
        <v>-18.3</v>
      </c>
      <c r="P503">
        <v>0</v>
      </c>
    </row>
    <row r="504" spans="1:16" hidden="1" x14ac:dyDescent="0.25">
      <c r="A504" t="s">
        <v>2040</v>
      </c>
      <c r="B504" t="s">
        <v>2041</v>
      </c>
      <c r="C504" t="s">
        <v>1976</v>
      </c>
      <c r="D504" s="11" t="s">
        <v>2250</v>
      </c>
      <c r="E504" s="12">
        <v>45929</v>
      </c>
      <c r="F504" s="12">
        <v>45929</v>
      </c>
      <c r="G504" t="s">
        <v>2248</v>
      </c>
      <c r="H504" t="s">
        <v>37</v>
      </c>
      <c r="I504">
        <v>100</v>
      </c>
      <c r="J504">
        <v>0</v>
      </c>
      <c r="M504">
        <v>2.2709999999999999</v>
      </c>
      <c r="N504">
        <v>227.1</v>
      </c>
      <c r="O504">
        <v>-227.1</v>
      </c>
      <c r="P504">
        <v>0</v>
      </c>
    </row>
    <row r="505" spans="1:16" hidden="1" x14ac:dyDescent="0.25">
      <c r="A505" t="s">
        <v>2040</v>
      </c>
      <c r="B505" t="s">
        <v>2041</v>
      </c>
      <c r="C505" t="s">
        <v>1976</v>
      </c>
      <c r="D505" s="11" t="s">
        <v>2250</v>
      </c>
      <c r="E505" s="12">
        <v>45929</v>
      </c>
      <c r="F505" s="12">
        <v>45929</v>
      </c>
      <c r="G505" t="s">
        <v>2248</v>
      </c>
      <c r="H505" t="s">
        <v>110</v>
      </c>
      <c r="I505">
        <v>200</v>
      </c>
      <c r="J505">
        <v>0</v>
      </c>
      <c r="M505">
        <v>0.78</v>
      </c>
      <c r="N505">
        <v>156</v>
      </c>
      <c r="O505">
        <v>-156</v>
      </c>
      <c r="P505">
        <v>0</v>
      </c>
    </row>
    <row r="506" spans="1:16" hidden="1" x14ac:dyDescent="0.25">
      <c r="A506" t="s">
        <v>2040</v>
      </c>
      <c r="B506" t="s">
        <v>2041</v>
      </c>
      <c r="C506" t="s">
        <v>1976</v>
      </c>
      <c r="D506" s="11" t="s">
        <v>2250</v>
      </c>
      <c r="E506" s="12">
        <v>45929</v>
      </c>
      <c r="F506" s="12">
        <v>45929</v>
      </c>
      <c r="G506" t="s">
        <v>2248</v>
      </c>
      <c r="H506" t="s">
        <v>2255</v>
      </c>
      <c r="I506">
        <v>999</v>
      </c>
      <c r="J506">
        <v>0</v>
      </c>
      <c r="M506">
        <v>1.94</v>
      </c>
      <c r="N506">
        <v>1938.06</v>
      </c>
      <c r="O506">
        <v>-1938.06</v>
      </c>
      <c r="P506">
        <v>0</v>
      </c>
    </row>
    <row r="507" spans="1:16" hidden="1" x14ac:dyDescent="0.25">
      <c r="A507" t="s">
        <v>2040</v>
      </c>
      <c r="B507" t="s">
        <v>2041</v>
      </c>
      <c r="C507" t="s">
        <v>1976</v>
      </c>
      <c r="D507" s="11" t="s">
        <v>2250</v>
      </c>
      <c r="E507" s="12">
        <v>45929</v>
      </c>
      <c r="F507" s="12">
        <v>45929</v>
      </c>
      <c r="G507" t="s">
        <v>2248</v>
      </c>
      <c r="H507" t="s">
        <v>240</v>
      </c>
      <c r="I507">
        <v>250</v>
      </c>
      <c r="J507">
        <v>0</v>
      </c>
      <c r="M507">
        <v>1.47</v>
      </c>
      <c r="N507">
        <v>367.5</v>
      </c>
      <c r="O507">
        <v>-367.5</v>
      </c>
      <c r="P507">
        <v>0</v>
      </c>
    </row>
    <row r="508" spans="1:16" hidden="1" x14ac:dyDescent="0.25">
      <c r="A508" t="s">
        <v>2040</v>
      </c>
      <c r="B508" t="s">
        <v>2041</v>
      </c>
      <c r="C508" t="s">
        <v>1976</v>
      </c>
      <c r="D508" s="11" t="s">
        <v>2250</v>
      </c>
      <c r="E508" s="12">
        <v>45929</v>
      </c>
      <c r="F508" s="12">
        <v>45929</v>
      </c>
      <c r="G508" t="s">
        <v>2248</v>
      </c>
      <c r="H508" t="s">
        <v>314</v>
      </c>
      <c r="I508">
        <v>81</v>
      </c>
      <c r="J508">
        <v>0</v>
      </c>
      <c r="M508">
        <v>0.54</v>
      </c>
      <c r="N508">
        <v>43.74</v>
      </c>
      <c r="O508">
        <v>-43.74</v>
      </c>
      <c r="P508">
        <v>0</v>
      </c>
    </row>
    <row r="509" spans="1:16" hidden="1" x14ac:dyDescent="0.25">
      <c r="A509" t="s">
        <v>2040</v>
      </c>
      <c r="B509" t="s">
        <v>2041</v>
      </c>
      <c r="C509" t="s">
        <v>1976</v>
      </c>
      <c r="D509" s="11" t="s">
        <v>2250</v>
      </c>
      <c r="E509" s="12">
        <v>45929</v>
      </c>
      <c r="F509" s="12">
        <v>45929</v>
      </c>
      <c r="G509" t="s">
        <v>2248</v>
      </c>
      <c r="H509" t="s">
        <v>579</v>
      </c>
      <c r="I509">
        <v>4000</v>
      </c>
      <c r="J509">
        <v>0</v>
      </c>
      <c r="M509">
        <v>0.83899999999999997</v>
      </c>
      <c r="N509">
        <v>3356</v>
      </c>
      <c r="O509">
        <v>-3356</v>
      </c>
      <c r="P509">
        <v>0</v>
      </c>
    </row>
    <row r="510" spans="1:16" hidden="1" x14ac:dyDescent="0.25">
      <c r="A510" t="s">
        <v>2040</v>
      </c>
      <c r="B510" t="s">
        <v>2041</v>
      </c>
      <c r="C510" t="s">
        <v>1976</v>
      </c>
      <c r="D510" s="11" t="s">
        <v>2250</v>
      </c>
      <c r="E510" s="12">
        <v>45929</v>
      </c>
      <c r="F510" s="12">
        <v>45929</v>
      </c>
      <c r="G510" t="s">
        <v>2248</v>
      </c>
      <c r="H510" t="s">
        <v>687</v>
      </c>
      <c r="I510">
        <v>9500</v>
      </c>
      <c r="J510">
        <v>0</v>
      </c>
      <c r="M510">
        <v>6.0000000000000001E-3</v>
      </c>
      <c r="N510">
        <v>57</v>
      </c>
      <c r="O510">
        <v>-57</v>
      </c>
      <c r="P510">
        <v>0</v>
      </c>
    </row>
    <row r="511" spans="1:16" hidden="1" x14ac:dyDescent="0.25">
      <c r="A511" t="s">
        <v>2040</v>
      </c>
      <c r="B511" t="s">
        <v>2041</v>
      </c>
      <c r="C511" t="s">
        <v>1976</v>
      </c>
      <c r="D511" s="11" t="s">
        <v>2250</v>
      </c>
      <c r="E511" s="12">
        <v>45929</v>
      </c>
      <c r="F511" s="12">
        <v>45929</v>
      </c>
      <c r="G511" t="s">
        <v>2248</v>
      </c>
      <c r="H511" t="s">
        <v>724</v>
      </c>
      <c r="I511">
        <v>70</v>
      </c>
      <c r="J511">
        <v>0</v>
      </c>
      <c r="M511">
        <v>22.59</v>
      </c>
      <c r="N511">
        <v>1581.3</v>
      </c>
      <c r="O511">
        <v>-1581.3</v>
      </c>
      <c r="P511">
        <v>0</v>
      </c>
    </row>
    <row r="512" spans="1:16" hidden="1" x14ac:dyDescent="0.25">
      <c r="A512" t="s">
        <v>2040</v>
      </c>
      <c r="B512" t="s">
        <v>2041</v>
      </c>
      <c r="C512" t="s">
        <v>1976</v>
      </c>
      <c r="D512" s="11" t="s">
        <v>2250</v>
      </c>
      <c r="E512" s="12">
        <v>45929</v>
      </c>
      <c r="F512" s="12">
        <v>45929</v>
      </c>
      <c r="G512" t="s">
        <v>2248</v>
      </c>
      <c r="H512" t="s">
        <v>726</v>
      </c>
      <c r="I512">
        <v>60</v>
      </c>
      <c r="J512">
        <v>0</v>
      </c>
      <c r="M512">
        <v>15.85</v>
      </c>
      <c r="N512">
        <v>951</v>
      </c>
      <c r="O512">
        <v>-951</v>
      </c>
      <c r="P512">
        <v>0</v>
      </c>
    </row>
    <row r="513" spans="1:16" hidden="1" x14ac:dyDescent="0.25">
      <c r="A513" t="s">
        <v>2040</v>
      </c>
      <c r="B513" t="s">
        <v>2041</v>
      </c>
      <c r="C513" t="s">
        <v>1976</v>
      </c>
      <c r="D513" s="11" t="s">
        <v>2250</v>
      </c>
      <c r="E513" s="12">
        <v>45929</v>
      </c>
      <c r="F513" s="12">
        <v>45929</v>
      </c>
      <c r="G513" t="s">
        <v>2248</v>
      </c>
      <c r="H513" t="s">
        <v>728</v>
      </c>
      <c r="I513">
        <v>30</v>
      </c>
      <c r="J513">
        <v>0</v>
      </c>
      <c r="M513">
        <v>13.6</v>
      </c>
      <c r="N513">
        <v>408</v>
      </c>
      <c r="O513">
        <v>-408</v>
      </c>
      <c r="P513">
        <v>0</v>
      </c>
    </row>
    <row r="514" spans="1:16" hidden="1" x14ac:dyDescent="0.25">
      <c r="A514" t="s">
        <v>2040</v>
      </c>
      <c r="B514" t="s">
        <v>2041</v>
      </c>
      <c r="C514" t="s">
        <v>1976</v>
      </c>
      <c r="D514" s="11" t="s">
        <v>2250</v>
      </c>
      <c r="E514" s="12">
        <v>45929</v>
      </c>
      <c r="F514" s="12">
        <v>45929</v>
      </c>
      <c r="G514" t="s">
        <v>2248</v>
      </c>
      <c r="H514" t="s">
        <v>733</v>
      </c>
      <c r="I514">
        <v>100</v>
      </c>
      <c r="J514">
        <v>0</v>
      </c>
      <c r="M514">
        <v>13.65</v>
      </c>
      <c r="N514">
        <v>1365</v>
      </c>
      <c r="O514">
        <v>-1365</v>
      </c>
      <c r="P514">
        <v>0</v>
      </c>
    </row>
    <row r="515" spans="1:16" hidden="1" x14ac:dyDescent="0.25">
      <c r="A515" t="s">
        <v>2040</v>
      </c>
      <c r="B515" t="s">
        <v>2041</v>
      </c>
      <c r="C515" t="s">
        <v>1976</v>
      </c>
      <c r="D515" s="11" t="s">
        <v>2250</v>
      </c>
      <c r="E515" s="12">
        <v>45929</v>
      </c>
      <c r="F515" s="12">
        <v>45929</v>
      </c>
      <c r="G515" t="s">
        <v>2248</v>
      </c>
      <c r="H515" t="s">
        <v>1376</v>
      </c>
      <c r="I515">
        <v>5000</v>
      </c>
      <c r="J515">
        <v>0</v>
      </c>
      <c r="M515">
        <v>1.5900000000000001E-3</v>
      </c>
      <c r="N515">
        <v>7.95</v>
      </c>
      <c r="O515">
        <v>-7.95</v>
      </c>
      <c r="P515">
        <v>0</v>
      </c>
    </row>
    <row r="516" spans="1:16" hidden="1" x14ac:dyDescent="0.25">
      <c r="A516" t="s">
        <v>2040</v>
      </c>
      <c r="B516" t="s">
        <v>2041</v>
      </c>
      <c r="C516" t="s">
        <v>1976</v>
      </c>
      <c r="D516" s="11" t="s">
        <v>2250</v>
      </c>
      <c r="E516" s="12">
        <v>45929</v>
      </c>
      <c r="F516" s="12">
        <v>45929</v>
      </c>
      <c r="G516" t="s">
        <v>2248</v>
      </c>
      <c r="H516" t="s">
        <v>1378</v>
      </c>
      <c r="I516">
        <v>5000</v>
      </c>
      <c r="J516">
        <v>0</v>
      </c>
      <c r="M516">
        <v>1.7899999999999999E-3</v>
      </c>
      <c r="N516">
        <v>8.9499999999999993</v>
      </c>
      <c r="O516">
        <v>-8.9499999999999993</v>
      </c>
      <c r="P516">
        <v>0</v>
      </c>
    </row>
    <row r="517" spans="1:16" hidden="1" x14ac:dyDescent="0.25">
      <c r="A517" t="s">
        <v>2040</v>
      </c>
      <c r="B517" t="s">
        <v>2041</v>
      </c>
      <c r="C517" t="s">
        <v>1976</v>
      </c>
      <c r="D517" s="11" t="s">
        <v>2250</v>
      </c>
      <c r="E517" s="12">
        <v>45929</v>
      </c>
      <c r="F517" s="12">
        <v>45929</v>
      </c>
      <c r="G517" t="s">
        <v>2248</v>
      </c>
      <c r="H517" t="s">
        <v>1380</v>
      </c>
      <c r="I517">
        <v>5000</v>
      </c>
      <c r="J517">
        <v>0</v>
      </c>
      <c r="M517">
        <v>1.7899999999999999E-3</v>
      </c>
      <c r="N517">
        <v>8.9499999999999993</v>
      </c>
      <c r="O517">
        <v>-8.9499999999999993</v>
      </c>
      <c r="P517">
        <v>0</v>
      </c>
    </row>
    <row r="518" spans="1:16" hidden="1" x14ac:dyDescent="0.25">
      <c r="A518" t="s">
        <v>2040</v>
      </c>
      <c r="B518" t="s">
        <v>2041</v>
      </c>
      <c r="C518" t="s">
        <v>1976</v>
      </c>
      <c r="D518" s="11" t="s">
        <v>2250</v>
      </c>
      <c r="E518" s="12">
        <v>45929</v>
      </c>
      <c r="F518" s="12">
        <v>45929</v>
      </c>
      <c r="G518" t="s">
        <v>2248</v>
      </c>
      <c r="H518" t="s">
        <v>1434</v>
      </c>
      <c r="I518">
        <v>5000</v>
      </c>
      <c r="J518">
        <v>0</v>
      </c>
      <c r="M518">
        <v>2.4499999999999999E-3</v>
      </c>
      <c r="N518">
        <v>12.25</v>
      </c>
      <c r="O518">
        <v>-12.25</v>
      </c>
      <c r="P518">
        <v>0</v>
      </c>
    </row>
    <row r="519" spans="1:16" hidden="1" x14ac:dyDescent="0.25">
      <c r="A519" t="s">
        <v>2040</v>
      </c>
      <c r="B519" t="s">
        <v>2041</v>
      </c>
      <c r="C519" t="s">
        <v>1976</v>
      </c>
      <c r="D519" s="11" t="s">
        <v>2250</v>
      </c>
      <c r="E519" s="12">
        <v>45929</v>
      </c>
      <c r="F519" s="12">
        <v>45929</v>
      </c>
      <c r="G519" t="s">
        <v>2248</v>
      </c>
      <c r="H519" t="s">
        <v>1436</v>
      </c>
      <c r="I519">
        <v>5000</v>
      </c>
      <c r="J519">
        <v>0</v>
      </c>
      <c r="M519">
        <v>2.6199999999999999E-3</v>
      </c>
      <c r="N519">
        <v>13.1</v>
      </c>
      <c r="O519">
        <v>-13.1</v>
      </c>
      <c r="P519">
        <v>0</v>
      </c>
    </row>
    <row r="520" spans="1:16" hidden="1" x14ac:dyDescent="0.25">
      <c r="A520" t="s">
        <v>2040</v>
      </c>
      <c r="B520" t="s">
        <v>2041</v>
      </c>
      <c r="C520" t="s">
        <v>1976</v>
      </c>
      <c r="D520" s="11" t="s">
        <v>2250</v>
      </c>
      <c r="E520" s="12">
        <v>45929</v>
      </c>
      <c r="F520" s="12">
        <v>45929</v>
      </c>
      <c r="G520" t="s">
        <v>2248</v>
      </c>
      <c r="H520" t="s">
        <v>1545</v>
      </c>
      <c r="I520">
        <v>10000</v>
      </c>
      <c r="J520">
        <v>0</v>
      </c>
      <c r="M520">
        <v>0.04</v>
      </c>
      <c r="N520">
        <v>400</v>
      </c>
      <c r="O520">
        <v>-400</v>
      </c>
      <c r="P520">
        <v>0</v>
      </c>
    </row>
    <row r="521" spans="1:16" hidden="1" x14ac:dyDescent="0.25">
      <c r="A521" t="s">
        <v>2040</v>
      </c>
      <c r="B521" t="s">
        <v>2041</v>
      </c>
      <c r="C521" t="s">
        <v>1976</v>
      </c>
      <c r="D521" s="11" t="s">
        <v>2250</v>
      </c>
      <c r="E521" s="12">
        <v>45929</v>
      </c>
      <c r="F521" s="12">
        <v>45929</v>
      </c>
      <c r="G521" t="s">
        <v>2248</v>
      </c>
      <c r="H521" t="s">
        <v>1587</v>
      </c>
      <c r="I521">
        <v>250</v>
      </c>
      <c r="J521">
        <v>0</v>
      </c>
      <c r="M521">
        <v>0.33</v>
      </c>
      <c r="N521">
        <v>82.5</v>
      </c>
      <c r="O521">
        <v>-82.5</v>
      </c>
      <c r="P521">
        <v>0</v>
      </c>
    </row>
    <row r="522" spans="1:16" hidden="1" x14ac:dyDescent="0.25">
      <c r="A522" t="s">
        <v>2040</v>
      </c>
      <c r="B522" t="s">
        <v>2041</v>
      </c>
      <c r="C522" t="s">
        <v>1976</v>
      </c>
      <c r="D522" s="11" t="s">
        <v>2250</v>
      </c>
      <c r="E522" s="12">
        <v>45929</v>
      </c>
      <c r="F522" s="12">
        <v>45929</v>
      </c>
      <c r="G522" t="s">
        <v>2248</v>
      </c>
      <c r="H522" t="s">
        <v>1633</v>
      </c>
      <c r="I522">
        <v>999</v>
      </c>
      <c r="J522">
        <v>0</v>
      </c>
      <c r="M522">
        <v>0.49299999999999999</v>
      </c>
      <c r="N522">
        <v>492.50700000000001</v>
      </c>
      <c r="O522">
        <v>-492.50700000000001</v>
      </c>
      <c r="P522">
        <v>0</v>
      </c>
    </row>
    <row r="523" spans="1:16" hidden="1" x14ac:dyDescent="0.25">
      <c r="A523" t="s">
        <v>2040</v>
      </c>
      <c r="B523" t="s">
        <v>2041</v>
      </c>
      <c r="C523" t="s">
        <v>1976</v>
      </c>
      <c r="D523" s="11" t="s">
        <v>2250</v>
      </c>
      <c r="E523" s="12">
        <v>45929</v>
      </c>
      <c r="F523" s="12">
        <v>45929</v>
      </c>
      <c r="G523" t="s">
        <v>2248</v>
      </c>
      <c r="H523" t="s">
        <v>1774</v>
      </c>
      <c r="I523">
        <v>5000</v>
      </c>
      <c r="J523">
        <v>0</v>
      </c>
      <c r="M523">
        <v>0.17199999999999999</v>
      </c>
      <c r="N523">
        <v>860</v>
      </c>
      <c r="O523">
        <v>-860</v>
      </c>
      <c r="P523">
        <v>0</v>
      </c>
    </row>
    <row r="524" spans="1:16" hidden="1" x14ac:dyDescent="0.25">
      <c r="A524" t="s">
        <v>2040</v>
      </c>
      <c r="B524" t="s">
        <v>2041</v>
      </c>
      <c r="C524" t="s">
        <v>1976</v>
      </c>
      <c r="D524" s="11" t="s">
        <v>2250</v>
      </c>
      <c r="E524" s="12">
        <v>45929</v>
      </c>
      <c r="F524" s="12">
        <v>45929</v>
      </c>
      <c r="G524" t="s">
        <v>2248</v>
      </c>
      <c r="H524" t="s">
        <v>43</v>
      </c>
      <c r="I524">
        <v>216</v>
      </c>
      <c r="J524">
        <v>0</v>
      </c>
      <c r="M524">
        <v>4.32</v>
      </c>
      <c r="N524">
        <v>933.12</v>
      </c>
      <c r="O524">
        <v>-933.12</v>
      </c>
      <c r="P524">
        <v>0</v>
      </c>
    </row>
    <row r="525" spans="1:16" hidden="1" x14ac:dyDescent="0.25">
      <c r="A525" t="s">
        <v>2040</v>
      </c>
      <c r="B525" t="s">
        <v>2041</v>
      </c>
      <c r="C525" t="s">
        <v>1976</v>
      </c>
      <c r="D525" s="11" t="s">
        <v>2250</v>
      </c>
      <c r="E525" s="12">
        <v>45929</v>
      </c>
      <c r="F525" s="12">
        <v>45929</v>
      </c>
      <c r="G525" t="s">
        <v>2248</v>
      </c>
      <c r="H525" t="s">
        <v>509</v>
      </c>
      <c r="I525">
        <v>1000</v>
      </c>
      <c r="J525">
        <v>0</v>
      </c>
      <c r="M525">
        <v>0.76400000000000001</v>
      </c>
      <c r="N525">
        <v>764</v>
      </c>
      <c r="O525">
        <v>-764</v>
      </c>
      <c r="P525">
        <v>0</v>
      </c>
    </row>
    <row r="526" spans="1:16" hidden="1" x14ac:dyDescent="0.25">
      <c r="A526" t="s">
        <v>2040</v>
      </c>
      <c r="B526" t="s">
        <v>2041</v>
      </c>
      <c r="C526" t="s">
        <v>1976</v>
      </c>
      <c r="D526" s="11" t="s">
        <v>2250</v>
      </c>
      <c r="E526" s="12">
        <v>45929</v>
      </c>
      <c r="F526" s="12">
        <v>45929</v>
      </c>
      <c r="G526" t="s">
        <v>2248</v>
      </c>
      <c r="H526" t="s">
        <v>667</v>
      </c>
      <c r="I526">
        <v>1000</v>
      </c>
      <c r="J526">
        <v>0</v>
      </c>
      <c r="M526">
        <v>0.13300000000000001</v>
      </c>
      <c r="N526">
        <v>133</v>
      </c>
      <c r="O526">
        <v>-133</v>
      </c>
      <c r="P526">
        <v>0</v>
      </c>
    </row>
    <row r="527" spans="1:16" hidden="1" x14ac:dyDescent="0.25">
      <c r="A527" t="s">
        <v>2040</v>
      </c>
      <c r="B527" t="s">
        <v>2041</v>
      </c>
      <c r="C527" t="s">
        <v>1976</v>
      </c>
      <c r="D527" s="11" t="s">
        <v>2250</v>
      </c>
      <c r="E527" s="12">
        <v>45929</v>
      </c>
      <c r="F527" s="12">
        <v>45929</v>
      </c>
      <c r="G527" t="s">
        <v>2248</v>
      </c>
      <c r="H527" t="s">
        <v>775</v>
      </c>
      <c r="I527">
        <v>70</v>
      </c>
      <c r="J527">
        <v>0</v>
      </c>
      <c r="M527">
        <v>0.73499999999999999</v>
      </c>
      <c r="N527">
        <v>51.45</v>
      </c>
      <c r="O527">
        <v>-51.45</v>
      </c>
      <c r="P527">
        <v>0</v>
      </c>
    </row>
    <row r="528" spans="1:16" hidden="1" x14ac:dyDescent="0.25">
      <c r="A528" t="s">
        <v>2040</v>
      </c>
      <c r="B528" t="s">
        <v>2041</v>
      </c>
      <c r="C528" t="s">
        <v>1976</v>
      </c>
      <c r="D528" s="11" t="s">
        <v>2250</v>
      </c>
      <c r="E528" s="12">
        <v>45929</v>
      </c>
      <c r="F528" s="12">
        <v>45929</v>
      </c>
      <c r="G528" t="s">
        <v>2248</v>
      </c>
      <c r="H528" t="s">
        <v>1487</v>
      </c>
      <c r="I528">
        <v>5000</v>
      </c>
      <c r="J528">
        <v>0</v>
      </c>
      <c r="M528">
        <v>2.5000000000000001E-2</v>
      </c>
      <c r="N528">
        <v>125</v>
      </c>
      <c r="O528">
        <v>-125</v>
      </c>
      <c r="P528">
        <v>0</v>
      </c>
    </row>
    <row r="529" spans="1:16" hidden="1" x14ac:dyDescent="0.25">
      <c r="A529" t="s">
        <v>2040</v>
      </c>
      <c r="B529" t="s">
        <v>2041</v>
      </c>
      <c r="C529" t="s">
        <v>1976</v>
      </c>
      <c r="D529" s="11" t="s">
        <v>2250</v>
      </c>
      <c r="E529" s="12">
        <v>45929</v>
      </c>
      <c r="F529" s="12">
        <v>45929</v>
      </c>
      <c r="G529" t="s">
        <v>2248</v>
      </c>
      <c r="H529" t="s">
        <v>1497</v>
      </c>
      <c r="I529">
        <v>5000</v>
      </c>
      <c r="J529">
        <v>0</v>
      </c>
      <c r="M529">
        <v>2E-3</v>
      </c>
      <c r="N529">
        <v>10</v>
      </c>
      <c r="O529">
        <v>-10</v>
      </c>
      <c r="P529">
        <v>0</v>
      </c>
    </row>
    <row r="530" spans="1:16" hidden="1" x14ac:dyDescent="0.25">
      <c r="A530" t="s">
        <v>2040</v>
      </c>
      <c r="B530" t="s">
        <v>2041</v>
      </c>
      <c r="C530" t="s">
        <v>1976</v>
      </c>
      <c r="D530" s="11" t="s">
        <v>2250</v>
      </c>
      <c r="E530" s="12">
        <v>45929</v>
      </c>
      <c r="F530" s="12">
        <v>45929</v>
      </c>
      <c r="G530" t="s">
        <v>2248</v>
      </c>
      <c r="H530" t="s">
        <v>1513</v>
      </c>
      <c r="I530">
        <v>4262</v>
      </c>
      <c r="J530">
        <v>0</v>
      </c>
      <c r="M530">
        <v>0.128</v>
      </c>
      <c r="N530">
        <v>545.53599999999994</v>
      </c>
      <c r="O530">
        <v>-545.53599999999994</v>
      </c>
      <c r="P530">
        <v>0</v>
      </c>
    </row>
    <row r="531" spans="1:16" hidden="1" x14ac:dyDescent="0.25">
      <c r="A531" t="s">
        <v>2040</v>
      </c>
      <c r="B531" t="s">
        <v>2041</v>
      </c>
      <c r="C531" t="s">
        <v>1976</v>
      </c>
      <c r="D531" s="11" t="s">
        <v>2250</v>
      </c>
      <c r="E531" s="12">
        <v>45929</v>
      </c>
      <c r="F531" s="12">
        <v>45929</v>
      </c>
      <c r="G531" t="s">
        <v>2248</v>
      </c>
      <c r="H531" t="s">
        <v>1623</v>
      </c>
      <c r="I531">
        <v>12943</v>
      </c>
      <c r="J531">
        <v>0</v>
      </c>
      <c r="M531">
        <v>1.4999999999999999E-2</v>
      </c>
      <c r="N531">
        <v>194.14500000000001</v>
      </c>
      <c r="O531">
        <v>-194.14500000000001</v>
      </c>
      <c r="P531">
        <v>0</v>
      </c>
    </row>
    <row r="532" spans="1:16" hidden="1" x14ac:dyDescent="0.25">
      <c r="A532" t="s">
        <v>2040</v>
      </c>
      <c r="B532" t="s">
        <v>2041</v>
      </c>
      <c r="C532" t="s">
        <v>1976</v>
      </c>
      <c r="D532" s="11" t="s">
        <v>2250</v>
      </c>
      <c r="E532" s="12">
        <v>45929</v>
      </c>
      <c r="F532" s="12">
        <v>45929</v>
      </c>
      <c r="G532" t="s">
        <v>2248</v>
      </c>
      <c r="H532" t="s">
        <v>1847</v>
      </c>
      <c r="I532">
        <v>50</v>
      </c>
      <c r="J532">
        <v>0</v>
      </c>
      <c r="M532">
        <v>3.11</v>
      </c>
      <c r="N532">
        <v>155.5</v>
      </c>
      <c r="O532">
        <v>-155.5</v>
      </c>
      <c r="P532">
        <v>0</v>
      </c>
    </row>
    <row r="533" spans="1:16" hidden="1" x14ac:dyDescent="0.25">
      <c r="A533" t="s">
        <v>2040</v>
      </c>
      <c r="B533" t="s">
        <v>2041</v>
      </c>
      <c r="C533" t="s">
        <v>1976</v>
      </c>
      <c r="D533" s="11" t="s">
        <v>2250</v>
      </c>
      <c r="E533" s="12">
        <v>45929</v>
      </c>
      <c r="F533" s="12">
        <v>45929</v>
      </c>
      <c r="G533" t="s">
        <v>2248</v>
      </c>
      <c r="H533" t="s">
        <v>120</v>
      </c>
      <c r="I533">
        <v>200</v>
      </c>
      <c r="J533">
        <v>0</v>
      </c>
      <c r="M533">
        <v>1.48</v>
      </c>
      <c r="N533">
        <v>296</v>
      </c>
      <c r="O533">
        <v>-296</v>
      </c>
      <c r="P533">
        <v>0</v>
      </c>
    </row>
    <row r="534" spans="1:16" hidden="1" x14ac:dyDescent="0.25">
      <c r="A534" t="s">
        <v>2040</v>
      </c>
      <c r="B534" t="s">
        <v>2041</v>
      </c>
      <c r="C534" t="s">
        <v>1976</v>
      </c>
      <c r="D534" s="11" t="s">
        <v>2250</v>
      </c>
      <c r="E534" s="12">
        <v>45929</v>
      </c>
      <c r="F534" s="12">
        <v>45929</v>
      </c>
      <c r="G534" t="s">
        <v>2248</v>
      </c>
      <c r="H534" t="s">
        <v>122</v>
      </c>
      <c r="I534">
        <v>200</v>
      </c>
      <c r="J534">
        <v>0</v>
      </c>
      <c r="M534">
        <v>3.05</v>
      </c>
      <c r="N534">
        <v>610</v>
      </c>
      <c r="O534">
        <v>-610</v>
      </c>
      <c r="P534">
        <v>0</v>
      </c>
    </row>
    <row r="535" spans="1:16" hidden="1" x14ac:dyDescent="0.25">
      <c r="A535" t="s">
        <v>2040</v>
      </c>
      <c r="B535" t="s">
        <v>2041</v>
      </c>
      <c r="C535" t="s">
        <v>1976</v>
      </c>
      <c r="D535" s="11" t="s">
        <v>2250</v>
      </c>
      <c r="E535" s="12">
        <v>45929</v>
      </c>
      <c r="F535" s="12">
        <v>45929</v>
      </c>
      <c r="G535" t="s">
        <v>2248</v>
      </c>
      <c r="H535" t="s">
        <v>262</v>
      </c>
      <c r="I535">
        <v>500</v>
      </c>
      <c r="J535">
        <v>0</v>
      </c>
      <c r="M535">
        <v>0.53500000000000003</v>
      </c>
      <c r="N535">
        <v>267.5</v>
      </c>
      <c r="O535">
        <v>-267.5</v>
      </c>
      <c r="P535">
        <v>0</v>
      </c>
    </row>
    <row r="536" spans="1:16" hidden="1" x14ac:dyDescent="0.25">
      <c r="A536" t="s">
        <v>2040</v>
      </c>
      <c r="B536" t="s">
        <v>2041</v>
      </c>
      <c r="C536" t="s">
        <v>1976</v>
      </c>
      <c r="D536" s="11" t="s">
        <v>2250</v>
      </c>
      <c r="E536" s="12">
        <v>45929</v>
      </c>
      <c r="F536" s="12">
        <v>45929</v>
      </c>
      <c r="G536" t="s">
        <v>2248</v>
      </c>
      <c r="H536" t="s">
        <v>268</v>
      </c>
      <c r="I536">
        <v>2500</v>
      </c>
      <c r="J536">
        <v>0</v>
      </c>
      <c r="M536">
        <v>0.18</v>
      </c>
      <c r="N536">
        <v>450</v>
      </c>
      <c r="O536">
        <v>-450</v>
      </c>
      <c r="P536">
        <v>0</v>
      </c>
    </row>
    <row r="537" spans="1:16" hidden="1" x14ac:dyDescent="0.25">
      <c r="A537" t="s">
        <v>2040</v>
      </c>
      <c r="B537" t="s">
        <v>2041</v>
      </c>
      <c r="C537" t="s">
        <v>1976</v>
      </c>
      <c r="D537" s="11" t="s">
        <v>2250</v>
      </c>
      <c r="E537" s="12">
        <v>45929</v>
      </c>
      <c r="F537" s="12">
        <v>45929</v>
      </c>
      <c r="G537" t="s">
        <v>2248</v>
      </c>
      <c r="H537" t="s">
        <v>303</v>
      </c>
      <c r="I537">
        <v>2000</v>
      </c>
      <c r="J537">
        <v>0</v>
      </c>
      <c r="M537">
        <v>0.3</v>
      </c>
      <c r="N537">
        <v>600</v>
      </c>
      <c r="O537">
        <v>-600</v>
      </c>
      <c r="P537">
        <v>0</v>
      </c>
    </row>
    <row r="538" spans="1:16" hidden="1" x14ac:dyDescent="0.25">
      <c r="A538" t="s">
        <v>2040</v>
      </c>
      <c r="B538" t="s">
        <v>2041</v>
      </c>
      <c r="C538" t="s">
        <v>1976</v>
      </c>
      <c r="D538" s="11" t="s">
        <v>2250</v>
      </c>
      <c r="E538" s="12">
        <v>45929</v>
      </c>
      <c r="F538" s="12">
        <v>45929</v>
      </c>
      <c r="G538" t="s">
        <v>2248</v>
      </c>
      <c r="H538" t="s">
        <v>339</v>
      </c>
      <c r="I538">
        <v>66</v>
      </c>
      <c r="J538">
        <v>0</v>
      </c>
      <c r="M538">
        <v>0.66500000000000004</v>
      </c>
      <c r="N538">
        <v>43.89</v>
      </c>
      <c r="O538">
        <v>-43.89</v>
      </c>
      <c r="P538">
        <v>0</v>
      </c>
    </row>
    <row r="539" spans="1:16" hidden="1" x14ac:dyDescent="0.25">
      <c r="A539" t="s">
        <v>2040</v>
      </c>
      <c r="B539" t="s">
        <v>2041</v>
      </c>
      <c r="C539" t="s">
        <v>1976</v>
      </c>
      <c r="D539" s="11" t="s">
        <v>2250</v>
      </c>
      <c r="E539" s="12">
        <v>45929</v>
      </c>
      <c r="F539" s="12">
        <v>45929</v>
      </c>
      <c r="G539" t="s">
        <v>2248</v>
      </c>
      <c r="H539" t="s">
        <v>339</v>
      </c>
      <c r="I539">
        <v>134</v>
      </c>
      <c r="J539">
        <v>0</v>
      </c>
      <c r="M539">
        <v>0.66500000000000004</v>
      </c>
      <c r="N539">
        <v>89.11</v>
      </c>
      <c r="O539">
        <v>-89.11</v>
      </c>
      <c r="P539">
        <v>0</v>
      </c>
    </row>
    <row r="540" spans="1:16" hidden="1" x14ac:dyDescent="0.25">
      <c r="A540" t="s">
        <v>2040</v>
      </c>
      <c r="B540" t="s">
        <v>2041</v>
      </c>
      <c r="C540" t="s">
        <v>1976</v>
      </c>
      <c r="D540" s="11" t="s">
        <v>2250</v>
      </c>
      <c r="E540" s="12">
        <v>45929</v>
      </c>
      <c r="F540" s="12">
        <v>45929</v>
      </c>
      <c r="G540" t="s">
        <v>2248</v>
      </c>
      <c r="H540" t="s">
        <v>343</v>
      </c>
      <c r="I540">
        <v>332</v>
      </c>
      <c r="J540">
        <v>0</v>
      </c>
      <c r="M540">
        <v>0.56999999999999995</v>
      </c>
      <c r="N540">
        <v>189.24</v>
      </c>
      <c r="O540">
        <v>-189.24</v>
      </c>
      <c r="P540">
        <v>0</v>
      </c>
    </row>
    <row r="541" spans="1:16" hidden="1" x14ac:dyDescent="0.25">
      <c r="A541" t="s">
        <v>2040</v>
      </c>
      <c r="B541" t="s">
        <v>2041</v>
      </c>
      <c r="C541" t="s">
        <v>1976</v>
      </c>
      <c r="D541" s="11" t="s">
        <v>2250</v>
      </c>
      <c r="E541" s="12">
        <v>45929</v>
      </c>
      <c r="F541" s="12">
        <v>45929</v>
      </c>
      <c r="G541" t="s">
        <v>2248</v>
      </c>
      <c r="H541" t="s">
        <v>343</v>
      </c>
      <c r="I541">
        <v>168</v>
      </c>
      <c r="J541">
        <v>0</v>
      </c>
      <c r="M541">
        <v>0.56999999999999995</v>
      </c>
      <c r="N541">
        <v>95.76</v>
      </c>
      <c r="O541">
        <v>-95.76</v>
      </c>
      <c r="P541">
        <v>0</v>
      </c>
    </row>
    <row r="542" spans="1:16" hidden="1" x14ac:dyDescent="0.25">
      <c r="A542" t="s">
        <v>2040</v>
      </c>
      <c r="B542" t="s">
        <v>2041</v>
      </c>
      <c r="C542" t="s">
        <v>1976</v>
      </c>
      <c r="D542" s="11" t="s">
        <v>2250</v>
      </c>
      <c r="E542" s="12">
        <v>45929</v>
      </c>
      <c r="F542" s="12">
        <v>45929</v>
      </c>
      <c r="G542" t="s">
        <v>2248</v>
      </c>
      <c r="H542" t="s">
        <v>441</v>
      </c>
      <c r="I542">
        <v>1000</v>
      </c>
      <c r="J542">
        <v>0</v>
      </c>
      <c r="M542">
        <v>0.13500000000000001</v>
      </c>
      <c r="N542">
        <v>135</v>
      </c>
      <c r="O542">
        <v>-135</v>
      </c>
      <c r="P542">
        <v>0</v>
      </c>
    </row>
    <row r="543" spans="1:16" hidden="1" x14ac:dyDescent="0.25">
      <c r="A543" t="s">
        <v>2040</v>
      </c>
      <c r="B543" t="s">
        <v>2041</v>
      </c>
      <c r="C543" t="s">
        <v>1976</v>
      </c>
      <c r="D543" s="11" t="s">
        <v>2250</v>
      </c>
      <c r="E543" s="12">
        <v>45929</v>
      </c>
      <c r="F543" s="12">
        <v>45929</v>
      </c>
      <c r="G543" t="s">
        <v>2248</v>
      </c>
      <c r="H543" t="s">
        <v>460</v>
      </c>
      <c r="I543">
        <v>1000</v>
      </c>
      <c r="J543">
        <v>0</v>
      </c>
      <c r="M543">
        <v>0.14299999999999999</v>
      </c>
      <c r="N543">
        <v>143</v>
      </c>
      <c r="O543">
        <v>-143</v>
      </c>
      <c r="P543">
        <v>0</v>
      </c>
    </row>
    <row r="544" spans="1:16" hidden="1" x14ac:dyDescent="0.25">
      <c r="A544" t="s">
        <v>2040</v>
      </c>
      <c r="B544" t="s">
        <v>2041</v>
      </c>
      <c r="C544" t="s">
        <v>1976</v>
      </c>
      <c r="D544" s="11" t="s">
        <v>2250</v>
      </c>
      <c r="E544" s="12">
        <v>45929</v>
      </c>
      <c r="F544" s="12">
        <v>45929</v>
      </c>
      <c r="G544" t="s">
        <v>2248</v>
      </c>
      <c r="H544" t="s">
        <v>531</v>
      </c>
      <c r="I544">
        <v>500</v>
      </c>
      <c r="J544">
        <v>0</v>
      </c>
      <c r="M544">
        <v>9.5000000000000001E-2</v>
      </c>
      <c r="N544">
        <v>47.5</v>
      </c>
      <c r="O544">
        <v>-47.5</v>
      </c>
      <c r="P544">
        <v>0</v>
      </c>
    </row>
    <row r="545" spans="1:16" hidden="1" x14ac:dyDescent="0.25">
      <c r="A545" t="s">
        <v>2040</v>
      </c>
      <c r="B545" t="s">
        <v>2041</v>
      </c>
      <c r="C545" t="s">
        <v>1976</v>
      </c>
      <c r="D545" s="11" t="s">
        <v>2250</v>
      </c>
      <c r="E545" s="12">
        <v>45929</v>
      </c>
      <c r="F545" s="12">
        <v>45929</v>
      </c>
      <c r="G545" t="s">
        <v>2248</v>
      </c>
      <c r="H545" t="s">
        <v>543</v>
      </c>
      <c r="I545">
        <v>499</v>
      </c>
      <c r="J545">
        <v>0</v>
      </c>
      <c r="M545">
        <v>0.61</v>
      </c>
      <c r="N545">
        <v>304.39</v>
      </c>
      <c r="O545">
        <v>-304.39</v>
      </c>
      <c r="P545">
        <v>0</v>
      </c>
    </row>
    <row r="546" spans="1:16" hidden="1" x14ac:dyDescent="0.25">
      <c r="A546" t="s">
        <v>2040</v>
      </c>
      <c r="B546" t="s">
        <v>2041</v>
      </c>
      <c r="C546" t="s">
        <v>1976</v>
      </c>
      <c r="D546" s="11" t="s">
        <v>2250</v>
      </c>
      <c r="E546" s="12">
        <v>45929</v>
      </c>
      <c r="F546" s="12">
        <v>45929</v>
      </c>
      <c r="G546" t="s">
        <v>2248</v>
      </c>
      <c r="H546" t="s">
        <v>583</v>
      </c>
      <c r="I546">
        <v>10000</v>
      </c>
      <c r="J546">
        <v>0</v>
      </c>
      <c r="M546">
        <v>3.2399999999999998E-2</v>
      </c>
      <c r="N546">
        <v>324</v>
      </c>
      <c r="O546">
        <v>-324</v>
      </c>
      <c r="P546">
        <v>0</v>
      </c>
    </row>
    <row r="547" spans="1:16" hidden="1" x14ac:dyDescent="0.25">
      <c r="A547" t="s">
        <v>2040</v>
      </c>
      <c r="B547" t="s">
        <v>2041</v>
      </c>
      <c r="C547" t="s">
        <v>1976</v>
      </c>
      <c r="D547" s="11" t="s">
        <v>2250</v>
      </c>
      <c r="E547" s="12">
        <v>45929</v>
      </c>
      <c r="F547" s="12">
        <v>45929</v>
      </c>
      <c r="G547" t="s">
        <v>2248</v>
      </c>
      <c r="H547" t="s">
        <v>653</v>
      </c>
      <c r="I547">
        <v>2000</v>
      </c>
      <c r="J547">
        <v>0</v>
      </c>
      <c r="M547">
        <v>2.87E-2</v>
      </c>
      <c r="N547">
        <v>57.4</v>
      </c>
      <c r="O547">
        <v>-57.4</v>
      </c>
      <c r="P547">
        <v>0</v>
      </c>
    </row>
    <row r="548" spans="1:16" hidden="1" x14ac:dyDescent="0.25">
      <c r="A548" t="s">
        <v>2040</v>
      </c>
      <c r="B548" t="s">
        <v>2041</v>
      </c>
      <c r="C548" t="s">
        <v>1976</v>
      </c>
      <c r="D548" s="11" t="s">
        <v>2250</v>
      </c>
      <c r="E548" s="12">
        <v>45929</v>
      </c>
      <c r="F548" s="12">
        <v>45929</v>
      </c>
      <c r="G548" t="s">
        <v>2248</v>
      </c>
      <c r="H548" t="s">
        <v>657</v>
      </c>
      <c r="I548">
        <v>2000</v>
      </c>
      <c r="J548">
        <v>0</v>
      </c>
      <c r="M548">
        <v>5.0500000000000003E-2</v>
      </c>
      <c r="N548">
        <v>101</v>
      </c>
      <c r="O548">
        <v>-101</v>
      </c>
      <c r="P548">
        <v>0</v>
      </c>
    </row>
    <row r="549" spans="1:16" hidden="1" x14ac:dyDescent="0.25">
      <c r="A549" t="s">
        <v>2040</v>
      </c>
      <c r="B549" t="s">
        <v>2041</v>
      </c>
      <c r="C549" t="s">
        <v>1976</v>
      </c>
      <c r="D549" s="11" t="s">
        <v>2250</v>
      </c>
      <c r="E549" s="12">
        <v>45929</v>
      </c>
      <c r="F549" s="12">
        <v>45929</v>
      </c>
      <c r="G549" t="s">
        <v>2248</v>
      </c>
      <c r="H549" t="s">
        <v>707</v>
      </c>
      <c r="I549">
        <v>4000</v>
      </c>
      <c r="J549">
        <v>0</v>
      </c>
      <c r="M549">
        <v>3.5299999999999998E-2</v>
      </c>
      <c r="N549">
        <v>141.19999999999999</v>
      </c>
      <c r="O549">
        <v>-141.19999999999999</v>
      </c>
      <c r="P549">
        <v>0</v>
      </c>
    </row>
    <row r="550" spans="1:16" hidden="1" x14ac:dyDescent="0.25">
      <c r="A550" t="s">
        <v>2040</v>
      </c>
      <c r="B550" t="s">
        <v>2041</v>
      </c>
      <c r="C550" t="s">
        <v>1976</v>
      </c>
      <c r="D550" s="11" t="s">
        <v>2250</v>
      </c>
      <c r="E550" s="12">
        <v>45929</v>
      </c>
      <c r="F550" s="12">
        <v>45929</v>
      </c>
      <c r="G550" t="s">
        <v>2248</v>
      </c>
      <c r="H550" t="s">
        <v>709</v>
      </c>
      <c r="I550">
        <v>2000</v>
      </c>
      <c r="J550">
        <v>0</v>
      </c>
      <c r="M550">
        <v>3.2199999999999999E-2</v>
      </c>
      <c r="N550">
        <v>64.400000000000006</v>
      </c>
      <c r="O550">
        <v>-64.400000000000006</v>
      </c>
      <c r="P550">
        <v>0</v>
      </c>
    </row>
    <row r="551" spans="1:16" hidden="1" x14ac:dyDescent="0.25">
      <c r="A551" t="s">
        <v>2040</v>
      </c>
      <c r="B551" t="s">
        <v>2041</v>
      </c>
      <c r="C551" t="s">
        <v>1976</v>
      </c>
      <c r="D551" s="11" t="s">
        <v>2250</v>
      </c>
      <c r="E551" s="12">
        <v>45929</v>
      </c>
      <c r="F551" s="12">
        <v>45929</v>
      </c>
      <c r="G551" t="s">
        <v>2248</v>
      </c>
      <c r="H551" t="s">
        <v>761</v>
      </c>
      <c r="I551">
        <v>1000</v>
      </c>
      <c r="J551">
        <v>0</v>
      </c>
      <c r="M551">
        <v>0.05</v>
      </c>
      <c r="N551">
        <v>50</v>
      </c>
      <c r="O551">
        <v>-50</v>
      </c>
      <c r="P551">
        <v>0</v>
      </c>
    </row>
    <row r="552" spans="1:16" hidden="1" x14ac:dyDescent="0.25">
      <c r="A552" t="s">
        <v>2040</v>
      </c>
      <c r="B552" t="s">
        <v>2041</v>
      </c>
      <c r="C552" t="s">
        <v>1976</v>
      </c>
      <c r="D552" s="11" t="s">
        <v>2250</v>
      </c>
      <c r="E552" s="12">
        <v>45929</v>
      </c>
      <c r="F552" s="12">
        <v>45929</v>
      </c>
      <c r="G552" t="s">
        <v>2248</v>
      </c>
      <c r="H552" t="s">
        <v>763</v>
      </c>
      <c r="I552">
        <v>1000</v>
      </c>
      <c r="J552">
        <v>0</v>
      </c>
      <c r="M552">
        <v>5.4800000000000001E-2</v>
      </c>
      <c r="N552">
        <v>54.8</v>
      </c>
      <c r="O552">
        <v>-54.8</v>
      </c>
      <c r="P552">
        <v>0</v>
      </c>
    </row>
    <row r="553" spans="1:16" hidden="1" x14ac:dyDescent="0.25">
      <c r="A553" t="s">
        <v>2040</v>
      </c>
      <c r="B553" t="s">
        <v>2041</v>
      </c>
      <c r="C553" t="s">
        <v>1976</v>
      </c>
      <c r="D553" s="11" t="s">
        <v>2250</v>
      </c>
      <c r="E553" s="12">
        <v>45929</v>
      </c>
      <c r="F553" s="12">
        <v>45929</v>
      </c>
      <c r="G553" t="s">
        <v>2248</v>
      </c>
      <c r="H553" t="s">
        <v>780</v>
      </c>
      <c r="I553">
        <v>10000</v>
      </c>
      <c r="J553">
        <v>0</v>
      </c>
      <c r="M553">
        <v>0.04</v>
      </c>
      <c r="N553">
        <v>400</v>
      </c>
      <c r="O553">
        <v>-400</v>
      </c>
      <c r="P553">
        <v>0</v>
      </c>
    </row>
    <row r="554" spans="1:16" hidden="1" x14ac:dyDescent="0.25">
      <c r="A554" t="s">
        <v>2040</v>
      </c>
      <c r="B554" t="s">
        <v>2041</v>
      </c>
      <c r="C554" t="s">
        <v>1976</v>
      </c>
      <c r="D554" s="11" t="s">
        <v>2250</v>
      </c>
      <c r="E554" s="12">
        <v>45929</v>
      </c>
      <c r="F554" s="12">
        <v>45929</v>
      </c>
      <c r="G554" t="s">
        <v>2248</v>
      </c>
      <c r="H554" t="s">
        <v>802</v>
      </c>
      <c r="I554">
        <v>5000</v>
      </c>
      <c r="J554">
        <v>0</v>
      </c>
      <c r="M554">
        <v>2.7E-2</v>
      </c>
      <c r="N554">
        <v>135</v>
      </c>
      <c r="O554">
        <v>-135</v>
      </c>
      <c r="P554">
        <v>0</v>
      </c>
    </row>
    <row r="555" spans="1:16" hidden="1" x14ac:dyDescent="0.25">
      <c r="A555" t="s">
        <v>2040</v>
      </c>
      <c r="B555" t="s">
        <v>2041</v>
      </c>
      <c r="C555" t="s">
        <v>1976</v>
      </c>
      <c r="D555" s="11" t="s">
        <v>2250</v>
      </c>
      <c r="E555" s="12">
        <v>45929</v>
      </c>
      <c r="F555" s="12">
        <v>45929</v>
      </c>
      <c r="G555" t="s">
        <v>2248</v>
      </c>
      <c r="H555" t="s">
        <v>812</v>
      </c>
      <c r="I555">
        <v>5000</v>
      </c>
      <c r="J555">
        <v>0</v>
      </c>
      <c r="M555">
        <v>2.8799999999999999E-2</v>
      </c>
      <c r="N555">
        <v>144</v>
      </c>
      <c r="O555">
        <v>-144</v>
      </c>
      <c r="P555">
        <v>0</v>
      </c>
    </row>
    <row r="556" spans="1:16" hidden="1" x14ac:dyDescent="0.25">
      <c r="A556" t="s">
        <v>2040</v>
      </c>
      <c r="B556" t="s">
        <v>2041</v>
      </c>
      <c r="C556" t="s">
        <v>1976</v>
      </c>
      <c r="D556" s="11" t="s">
        <v>2250</v>
      </c>
      <c r="E556" s="12">
        <v>45929</v>
      </c>
      <c r="F556" s="12">
        <v>45929</v>
      </c>
      <c r="G556" t="s">
        <v>2248</v>
      </c>
      <c r="H556" t="s">
        <v>824</v>
      </c>
      <c r="I556">
        <v>5000</v>
      </c>
      <c r="J556">
        <v>0</v>
      </c>
      <c r="M556">
        <v>2.5499999999999998E-2</v>
      </c>
      <c r="N556">
        <v>127.5</v>
      </c>
      <c r="O556">
        <v>-127.5</v>
      </c>
      <c r="P556">
        <v>0</v>
      </c>
    </row>
    <row r="557" spans="1:16" hidden="1" x14ac:dyDescent="0.25">
      <c r="A557" t="s">
        <v>2040</v>
      </c>
      <c r="B557" t="s">
        <v>2041</v>
      </c>
      <c r="C557" t="s">
        <v>1976</v>
      </c>
      <c r="D557" s="11" t="s">
        <v>2250</v>
      </c>
      <c r="E557" s="12">
        <v>45929</v>
      </c>
      <c r="F557" s="12">
        <v>45929</v>
      </c>
      <c r="G557" t="s">
        <v>2248</v>
      </c>
      <c r="H557" t="s">
        <v>828</v>
      </c>
      <c r="I557">
        <v>5000</v>
      </c>
      <c r="J557">
        <v>0</v>
      </c>
      <c r="M557">
        <v>2.8799999999999999E-2</v>
      </c>
      <c r="N557">
        <v>144</v>
      </c>
      <c r="O557">
        <v>-144</v>
      </c>
      <c r="P557">
        <v>0</v>
      </c>
    </row>
    <row r="558" spans="1:16" hidden="1" x14ac:dyDescent="0.25">
      <c r="A558" t="s">
        <v>2040</v>
      </c>
      <c r="B558" t="s">
        <v>2041</v>
      </c>
      <c r="C558" t="s">
        <v>1976</v>
      </c>
      <c r="D558" s="11" t="s">
        <v>2250</v>
      </c>
      <c r="E558" s="12">
        <v>45929</v>
      </c>
      <c r="F558" s="12">
        <v>45929</v>
      </c>
      <c r="G558" t="s">
        <v>2248</v>
      </c>
      <c r="H558" t="s">
        <v>836</v>
      </c>
      <c r="I558">
        <v>5000</v>
      </c>
      <c r="J558">
        <v>0</v>
      </c>
      <c r="M558">
        <v>8.3400000000000002E-2</v>
      </c>
      <c r="N558">
        <v>417</v>
      </c>
      <c r="O558">
        <v>-417</v>
      </c>
      <c r="P558">
        <v>0</v>
      </c>
    </row>
    <row r="559" spans="1:16" hidden="1" x14ac:dyDescent="0.25">
      <c r="A559" t="s">
        <v>2040</v>
      </c>
      <c r="B559" t="s">
        <v>2041</v>
      </c>
      <c r="C559" t="s">
        <v>1976</v>
      </c>
      <c r="D559" s="11" t="s">
        <v>2250</v>
      </c>
      <c r="E559" s="12">
        <v>45929</v>
      </c>
      <c r="F559" s="12">
        <v>45929</v>
      </c>
      <c r="G559" t="s">
        <v>2248</v>
      </c>
      <c r="H559" t="s">
        <v>862</v>
      </c>
      <c r="I559">
        <v>5000</v>
      </c>
      <c r="J559">
        <v>0</v>
      </c>
      <c r="M559">
        <v>8.77E-3</v>
      </c>
      <c r="N559">
        <v>43.85</v>
      </c>
      <c r="O559">
        <v>-43.85</v>
      </c>
      <c r="P559">
        <v>0</v>
      </c>
    </row>
    <row r="560" spans="1:16" hidden="1" x14ac:dyDescent="0.25">
      <c r="A560" t="s">
        <v>2040</v>
      </c>
      <c r="B560" t="s">
        <v>2041</v>
      </c>
      <c r="C560" t="s">
        <v>1976</v>
      </c>
      <c r="D560" s="11" t="s">
        <v>2250</v>
      </c>
      <c r="E560" s="12">
        <v>45929</v>
      </c>
      <c r="F560" s="12">
        <v>45929</v>
      </c>
      <c r="G560" t="s">
        <v>2248</v>
      </c>
      <c r="H560" t="s">
        <v>864</v>
      </c>
      <c r="I560">
        <v>5000</v>
      </c>
      <c r="J560">
        <v>0</v>
      </c>
      <c r="M560">
        <v>7.6E-3</v>
      </c>
      <c r="N560">
        <v>38</v>
      </c>
      <c r="O560">
        <v>-38</v>
      </c>
      <c r="P560">
        <v>0</v>
      </c>
    </row>
    <row r="561" spans="1:16" hidden="1" x14ac:dyDescent="0.25">
      <c r="A561" t="s">
        <v>2040</v>
      </c>
      <c r="B561" t="s">
        <v>2041</v>
      </c>
      <c r="C561" t="s">
        <v>1976</v>
      </c>
      <c r="D561" s="11" t="s">
        <v>2250</v>
      </c>
      <c r="E561" s="12">
        <v>45929</v>
      </c>
      <c r="F561" s="12">
        <v>45929</v>
      </c>
      <c r="G561" t="s">
        <v>2248</v>
      </c>
      <c r="H561" t="s">
        <v>912</v>
      </c>
      <c r="I561">
        <v>10000</v>
      </c>
      <c r="J561">
        <v>0</v>
      </c>
      <c r="M561">
        <v>2.0299999999999999E-2</v>
      </c>
      <c r="N561">
        <v>203</v>
      </c>
      <c r="O561">
        <v>-203</v>
      </c>
      <c r="P561">
        <v>0</v>
      </c>
    </row>
    <row r="562" spans="1:16" hidden="1" x14ac:dyDescent="0.25">
      <c r="A562" t="s">
        <v>2040</v>
      </c>
      <c r="B562" t="s">
        <v>2041</v>
      </c>
      <c r="C562" t="s">
        <v>1976</v>
      </c>
      <c r="D562" s="11" t="s">
        <v>2250</v>
      </c>
      <c r="E562" s="12">
        <v>45929</v>
      </c>
      <c r="F562" s="12">
        <v>45929</v>
      </c>
      <c r="G562" t="s">
        <v>2248</v>
      </c>
      <c r="H562" t="s">
        <v>929</v>
      </c>
      <c r="I562">
        <v>4000</v>
      </c>
      <c r="J562">
        <v>0</v>
      </c>
      <c r="M562">
        <v>5.0799999999999998E-2</v>
      </c>
      <c r="N562">
        <v>203.2</v>
      </c>
      <c r="O562">
        <v>-203.2</v>
      </c>
      <c r="P562">
        <v>0</v>
      </c>
    </row>
    <row r="563" spans="1:16" hidden="1" x14ac:dyDescent="0.25">
      <c r="A563" t="s">
        <v>2040</v>
      </c>
      <c r="B563" t="s">
        <v>2041</v>
      </c>
      <c r="C563" t="s">
        <v>1976</v>
      </c>
      <c r="D563" s="11" t="s">
        <v>2250</v>
      </c>
      <c r="E563" s="12">
        <v>45929</v>
      </c>
      <c r="F563" s="12">
        <v>45929</v>
      </c>
      <c r="G563" t="s">
        <v>2248</v>
      </c>
      <c r="H563" t="s">
        <v>1009</v>
      </c>
      <c r="I563">
        <v>75</v>
      </c>
      <c r="J563">
        <v>0</v>
      </c>
      <c r="M563">
        <v>1.43</v>
      </c>
      <c r="N563">
        <v>107.25</v>
      </c>
      <c r="O563">
        <v>-107.25</v>
      </c>
      <c r="P563">
        <v>0</v>
      </c>
    </row>
    <row r="564" spans="1:16" hidden="1" x14ac:dyDescent="0.25">
      <c r="A564" t="s">
        <v>2040</v>
      </c>
      <c r="B564" t="s">
        <v>2041</v>
      </c>
      <c r="C564" t="s">
        <v>1976</v>
      </c>
      <c r="D564" s="11" t="s">
        <v>2250</v>
      </c>
      <c r="E564" s="12">
        <v>45929</v>
      </c>
      <c r="F564" s="12">
        <v>45929</v>
      </c>
      <c r="G564" t="s">
        <v>2248</v>
      </c>
      <c r="H564" t="s">
        <v>1115</v>
      </c>
      <c r="I564">
        <v>8000</v>
      </c>
      <c r="J564">
        <v>0</v>
      </c>
      <c r="M564">
        <v>2.4899999999999999E-2</v>
      </c>
      <c r="N564">
        <v>199.2</v>
      </c>
      <c r="O564">
        <v>-199.2</v>
      </c>
      <c r="P564">
        <v>0</v>
      </c>
    </row>
    <row r="565" spans="1:16" hidden="1" x14ac:dyDescent="0.25">
      <c r="A565" t="s">
        <v>2040</v>
      </c>
      <c r="B565" t="s">
        <v>2041</v>
      </c>
      <c r="C565" t="s">
        <v>1976</v>
      </c>
      <c r="D565" s="11" t="s">
        <v>2250</v>
      </c>
      <c r="E565" s="12">
        <v>45929</v>
      </c>
      <c r="F565" s="12">
        <v>45929</v>
      </c>
      <c r="G565" t="s">
        <v>2248</v>
      </c>
      <c r="H565" t="s">
        <v>1515</v>
      </c>
      <c r="I565">
        <v>10000</v>
      </c>
      <c r="J565">
        <v>0</v>
      </c>
      <c r="M565">
        <v>1.66E-2</v>
      </c>
      <c r="N565">
        <v>166</v>
      </c>
      <c r="O565">
        <v>-166</v>
      </c>
      <c r="P565">
        <v>0</v>
      </c>
    </row>
    <row r="566" spans="1:16" hidden="1" x14ac:dyDescent="0.25">
      <c r="A566" t="s">
        <v>2040</v>
      </c>
      <c r="B566" t="s">
        <v>2041</v>
      </c>
      <c r="C566" t="s">
        <v>1976</v>
      </c>
      <c r="D566" s="11" t="s">
        <v>2250</v>
      </c>
      <c r="E566" s="12">
        <v>45929</v>
      </c>
      <c r="F566" s="12">
        <v>45929</v>
      </c>
      <c r="G566" t="s">
        <v>2248</v>
      </c>
      <c r="H566" t="s">
        <v>1529</v>
      </c>
      <c r="I566">
        <v>9350</v>
      </c>
      <c r="J566">
        <v>0</v>
      </c>
      <c r="M566">
        <v>1.7999999999999999E-2</v>
      </c>
      <c r="N566">
        <v>168.3</v>
      </c>
      <c r="O566">
        <v>-168.3</v>
      </c>
      <c r="P566">
        <v>0</v>
      </c>
    </row>
    <row r="567" spans="1:16" hidden="1" x14ac:dyDescent="0.25">
      <c r="A567" t="s">
        <v>2040</v>
      </c>
      <c r="B567" t="s">
        <v>2041</v>
      </c>
      <c r="C567" t="s">
        <v>1976</v>
      </c>
      <c r="D567" s="11" t="s">
        <v>2250</v>
      </c>
      <c r="E567" s="12">
        <v>45929</v>
      </c>
      <c r="F567" s="12">
        <v>45929</v>
      </c>
      <c r="G567" t="s">
        <v>2248</v>
      </c>
      <c r="H567" t="s">
        <v>1533</v>
      </c>
      <c r="I567">
        <v>10000</v>
      </c>
      <c r="J567">
        <v>0</v>
      </c>
      <c r="M567">
        <v>1.7999999999999999E-2</v>
      </c>
      <c r="N567">
        <v>180</v>
      </c>
      <c r="O567">
        <v>-180</v>
      </c>
      <c r="P567">
        <v>0</v>
      </c>
    </row>
    <row r="568" spans="1:16" hidden="1" x14ac:dyDescent="0.25">
      <c r="A568" t="s">
        <v>2040</v>
      </c>
      <c r="B568" t="s">
        <v>2041</v>
      </c>
      <c r="C568" t="s">
        <v>1976</v>
      </c>
      <c r="D568" s="11" t="s">
        <v>2250</v>
      </c>
      <c r="E568" s="12">
        <v>45929</v>
      </c>
      <c r="F568" s="12">
        <v>45929</v>
      </c>
      <c r="G568" t="s">
        <v>2248</v>
      </c>
      <c r="H568" t="s">
        <v>1549</v>
      </c>
      <c r="I568">
        <v>10000</v>
      </c>
      <c r="J568">
        <v>0</v>
      </c>
      <c r="M568">
        <v>1.6799999999999999E-2</v>
      </c>
      <c r="N568">
        <v>168</v>
      </c>
      <c r="O568">
        <v>-168</v>
      </c>
      <c r="P568">
        <v>0</v>
      </c>
    </row>
    <row r="569" spans="1:16" hidden="1" x14ac:dyDescent="0.25">
      <c r="A569" t="s">
        <v>2040</v>
      </c>
      <c r="B569" t="s">
        <v>2041</v>
      </c>
      <c r="C569" t="s">
        <v>1976</v>
      </c>
      <c r="D569" s="11" t="s">
        <v>2250</v>
      </c>
      <c r="E569" s="12">
        <v>45929</v>
      </c>
      <c r="F569" s="12">
        <v>45929</v>
      </c>
      <c r="G569" t="s">
        <v>2248</v>
      </c>
      <c r="H569" t="s">
        <v>1553</v>
      </c>
      <c r="I569">
        <v>10000</v>
      </c>
      <c r="J569">
        <v>0</v>
      </c>
      <c r="M569">
        <v>1.67E-2</v>
      </c>
      <c r="N569">
        <v>167</v>
      </c>
      <c r="O569">
        <v>-167</v>
      </c>
      <c r="P569">
        <v>0</v>
      </c>
    </row>
    <row r="570" spans="1:16" hidden="1" x14ac:dyDescent="0.25">
      <c r="A570" t="s">
        <v>2040</v>
      </c>
      <c r="B570" t="s">
        <v>2041</v>
      </c>
      <c r="C570" t="s">
        <v>1976</v>
      </c>
      <c r="D570" s="11" t="s">
        <v>2250</v>
      </c>
      <c r="E570" s="12">
        <v>45929</v>
      </c>
      <c r="F570" s="12">
        <v>45929</v>
      </c>
      <c r="G570" t="s">
        <v>2248</v>
      </c>
      <c r="H570" t="s">
        <v>1563</v>
      </c>
      <c r="I570">
        <v>10000</v>
      </c>
      <c r="J570">
        <v>0</v>
      </c>
      <c r="M570">
        <v>1.7999999999999999E-2</v>
      </c>
      <c r="N570">
        <v>180</v>
      </c>
      <c r="O570">
        <v>-180</v>
      </c>
      <c r="P570">
        <v>0</v>
      </c>
    </row>
    <row r="571" spans="1:16" hidden="1" x14ac:dyDescent="0.25">
      <c r="A571" t="s">
        <v>2040</v>
      </c>
      <c r="B571" t="s">
        <v>2041</v>
      </c>
      <c r="C571" t="s">
        <v>1976</v>
      </c>
      <c r="D571" s="11" t="s">
        <v>2250</v>
      </c>
      <c r="E571" s="12">
        <v>45929</v>
      </c>
      <c r="F571" s="12">
        <v>45929</v>
      </c>
      <c r="G571" t="s">
        <v>2248</v>
      </c>
      <c r="H571" t="s">
        <v>1597</v>
      </c>
      <c r="I571">
        <v>250</v>
      </c>
      <c r="J571">
        <v>0</v>
      </c>
      <c r="M571">
        <v>0.39500000000000002</v>
      </c>
      <c r="N571">
        <v>98.75</v>
      </c>
      <c r="O571">
        <v>-98.75</v>
      </c>
      <c r="P571">
        <v>0</v>
      </c>
    </row>
    <row r="572" spans="1:16" hidden="1" x14ac:dyDescent="0.25">
      <c r="A572" t="s">
        <v>2040</v>
      </c>
      <c r="B572" t="s">
        <v>2041</v>
      </c>
      <c r="C572" t="s">
        <v>1976</v>
      </c>
      <c r="D572" s="11" t="s">
        <v>2250</v>
      </c>
      <c r="E572" s="12">
        <v>45929</v>
      </c>
      <c r="F572" s="12">
        <v>45929</v>
      </c>
      <c r="G572" t="s">
        <v>2248</v>
      </c>
      <c r="H572" t="s">
        <v>1610</v>
      </c>
      <c r="I572">
        <v>500</v>
      </c>
      <c r="J572">
        <v>0</v>
      </c>
      <c r="M572">
        <v>0.10199999999999999</v>
      </c>
      <c r="N572">
        <v>51</v>
      </c>
      <c r="O572">
        <v>-51</v>
      </c>
      <c r="P572">
        <v>0</v>
      </c>
    </row>
    <row r="573" spans="1:16" hidden="1" x14ac:dyDescent="0.25">
      <c r="A573" t="s">
        <v>2040</v>
      </c>
      <c r="B573" t="s">
        <v>2041</v>
      </c>
      <c r="C573" t="s">
        <v>1976</v>
      </c>
      <c r="D573" s="11" t="s">
        <v>2250</v>
      </c>
      <c r="E573" s="12">
        <v>45929</v>
      </c>
      <c r="F573" s="12">
        <v>45929</v>
      </c>
      <c r="G573" t="s">
        <v>2248</v>
      </c>
      <c r="H573" t="s">
        <v>1647</v>
      </c>
      <c r="I573">
        <v>1000</v>
      </c>
      <c r="J573">
        <v>0</v>
      </c>
      <c r="M573">
        <v>0.375</v>
      </c>
      <c r="N573">
        <v>375</v>
      </c>
      <c r="O573">
        <v>-375</v>
      </c>
      <c r="P573">
        <v>0</v>
      </c>
    </row>
    <row r="574" spans="1:16" hidden="1" x14ac:dyDescent="0.25">
      <c r="A574" t="s">
        <v>2040</v>
      </c>
      <c r="B574" t="s">
        <v>2041</v>
      </c>
      <c r="C574" t="s">
        <v>1976</v>
      </c>
      <c r="D574" s="11" t="s">
        <v>2250</v>
      </c>
      <c r="E574" s="12">
        <v>45929</v>
      </c>
      <c r="F574" s="12">
        <v>45929</v>
      </c>
      <c r="G574" t="s">
        <v>2248</v>
      </c>
      <c r="H574" t="s">
        <v>1655</v>
      </c>
      <c r="I574">
        <v>27000</v>
      </c>
      <c r="J574">
        <v>0</v>
      </c>
      <c r="M574">
        <v>4.99E-2</v>
      </c>
      <c r="N574">
        <v>1347.3</v>
      </c>
      <c r="O574">
        <v>-1347.3</v>
      </c>
      <c r="P574">
        <v>0</v>
      </c>
    </row>
    <row r="575" spans="1:16" hidden="1" x14ac:dyDescent="0.25">
      <c r="A575" t="s">
        <v>2040</v>
      </c>
      <c r="B575" t="s">
        <v>2041</v>
      </c>
      <c r="C575" t="s">
        <v>1976</v>
      </c>
      <c r="D575" s="11" t="s">
        <v>2250</v>
      </c>
      <c r="E575" s="12">
        <v>45929</v>
      </c>
      <c r="F575" s="12">
        <v>45929</v>
      </c>
      <c r="G575" t="s">
        <v>2248</v>
      </c>
      <c r="H575" t="s">
        <v>1655</v>
      </c>
      <c r="I575">
        <v>15000</v>
      </c>
      <c r="J575">
        <v>0</v>
      </c>
      <c r="M575">
        <v>4.99E-2</v>
      </c>
      <c r="N575">
        <v>748.5</v>
      </c>
      <c r="O575">
        <v>-748.5</v>
      </c>
      <c r="P575">
        <v>0</v>
      </c>
    </row>
    <row r="576" spans="1:16" hidden="1" x14ac:dyDescent="0.25">
      <c r="A576" t="s">
        <v>2040</v>
      </c>
      <c r="B576" t="s">
        <v>2041</v>
      </c>
      <c r="C576" t="s">
        <v>1976</v>
      </c>
      <c r="D576" s="11" t="s">
        <v>2250</v>
      </c>
      <c r="E576" s="12">
        <v>45929</v>
      </c>
      <c r="F576" s="12">
        <v>45929</v>
      </c>
      <c r="G576" t="s">
        <v>2248</v>
      </c>
      <c r="H576" t="s">
        <v>1777</v>
      </c>
      <c r="I576">
        <v>5000</v>
      </c>
      <c r="J576">
        <v>0</v>
      </c>
      <c r="M576">
        <v>0.13100000000000001</v>
      </c>
      <c r="N576">
        <v>655</v>
      </c>
      <c r="O576">
        <v>-655</v>
      </c>
      <c r="P576">
        <v>0</v>
      </c>
    </row>
    <row r="577" spans="1:16" hidden="1" x14ac:dyDescent="0.25">
      <c r="A577" t="s">
        <v>2040</v>
      </c>
      <c r="B577" t="s">
        <v>2041</v>
      </c>
      <c r="C577" t="s">
        <v>1976</v>
      </c>
      <c r="D577" s="11" t="s">
        <v>2250</v>
      </c>
      <c r="E577" s="12">
        <v>45929</v>
      </c>
      <c r="F577" s="12">
        <v>45929</v>
      </c>
      <c r="G577" t="s">
        <v>2248</v>
      </c>
      <c r="H577" t="s">
        <v>1805</v>
      </c>
      <c r="I577">
        <v>500</v>
      </c>
      <c r="J577">
        <v>0</v>
      </c>
      <c r="M577">
        <v>0.22</v>
      </c>
      <c r="N577">
        <v>110</v>
      </c>
      <c r="O577">
        <v>-110</v>
      </c>
      <c r="P577">
        <v>0</v>
      </c>
    </row>
    <row r="578" spans="1:16" hidden="1" x14ac:dyDescent="0.25">
      <c r="A578" t="s">
        <v>2040</v>
      </c>
      <c r="B578" t="s">
        <v>2041</v>
      </c>
      <c r="C578" t="s">
        <v>1976</v>
      </c>
      <c r="D578" s="11" t="s">
        <v>2250</v>
      </c>
      <c r="E578" s="12">
        <v>45929</v>
      </c>
      <c r="F578" s="12">
        <v>45929</v>
      </c>
      <c r="G578" t="s">
        <v>2248</v>
      </c>
      <c r="H578" t="s">
        <v>1807</v>
      </c>
      <c r="I578">
        <v>400</v>
      </c>
      <c r="J578">
        <v>0</v>
      </c>
      <c r="M578">
        <v>0.62</v>
      </c>
      <c r="N578">
        <v>248</v>
      </c>
      <c r="O578">
        <v>-248</v>
      </c>
      <c r="P578">
        <v>0</v>
      </c>
    </row>
    <row r="579" spans="1:16" hidden="1" x14ac:dyDescent="0.25">
      <c r="A579" t="s">
        <v>2040</v>
      </c>
      <c r="B579" t="s">
        <v>2041</v>
      </c>
      <c r="C579" t="s">
        <v>1976</v>
      </c>
      <c r="D579" s="11" t="s">
        <v>2250</v>
      </c>
      <c r="E579" s="12">
        <v>45929</v>
      </c>
      <c r="F579" s="12">
        <v>45929</v>
      </c>
      <c r="G579" t="s">
        <v>2248</v>
      </c>
      <c r="H579" t="s">
        <v>1837</v>
      </c>
      <c r="I579">
        <v>3000</v>
      </c>
      <c r="J579">
        <v>0</v>
      </c>
      <c r="M579">
        <v>5.0999999999999997E-2</v>
      </c>
      <c r="N579">
        <v>153</v>
      </c>
      <c r="O579">
        <v>-153</v>
      </c>
      <c r="P579">
        <v>0</v>
      </c>
    </row>
    <row r="580" spans="1:16" hidden="1" x14ac:dyDescent="0.25">
      <c r="A580" t="s">
        <v>2040</v>
      </c>
      <c r="B580" t="s">
        <v>2041</v>
      </c>
      <c r="C580" t="s">
        <v>1976</v>
      </c>
      <c r="D580" s="11" t="s">
        <v>2250</v>
      </c>
      <c r="E580" s="12">
        <v>45929</v>
      </c>
      <c r="F580" s="12">
        <v>45929</v>
      </c>
      <c r="G580" t="s">
        <v>2248</v>
      </c>
      <c r="H580" t="s">
        <v>52</v>
      </c>
      <c r="I580">
        <v>3000</v>
      </c>
      <c r="J580">
        <v>0</v>
      </c>
      <c r="M580">
        <v>0.37</v>
      </c>
      <c r="N580">
        <v>1110</v>
      </c>
      <c r="O580">
        <v>-1110</v>
      </c>
      <c r="P580">
        <v>0</v>
      </c>
    </row>
    <row r="581" spans="1:16" hidden="1" x14ac:dyDescent="0.25">
      <c r="A581" t="s">
        <v>2040</v>
      </c>
      <c r="B581" t="s">
        <v>2041</v>
      </c>
      <c r="C581" t="s">
        <v>1976</v>
      </c>
      <c r="D581" s="11" t="s">
        <v>2250</v>
      </c>
      <c r="E581" s="12">
        <v>45929</v>
      </c>
      <c r="F581" s="12">
        <v>45929</v>
      </c>
      <c r="G581" t="s">
        <v>2248</v>
      </c>
      <c r="H581" t="s">
        <v>174</v>
      </c>
      <c r="I581">
        <v>19</v>
      </c>
      <c r="J581">
        <v>0</v>
      </c>
      <c r="M581">
        <v>7.64</v>
      </c>
      <c r="N581">
        <v>145.16</v>
      </c>
      <c r="O581">
        <v>-145.16</v>
      </c>
      <c r="P581">
        <v>0</v>
      </c>
    </row>
    <row r="582" spans="1:16" hidden="1" x14ac:dyDescent="0.25">
      <c r="A582" t="s">
        <v>2040</v>
      </c>
      <c r="B582" t="s">
        <v>2041</v>
      </c>
      <c r="C582" t="s">
        <v>1976</v>
      </c>
      <c r="D582" s="11" t="s">
        <v>2250</v>
      </c>
      <c r="E582" s="12">
        <v>45929</v>
      </c>
      <c r="F582" s="12">
        <v>45929</v>
      </c>
      <c r="G582" t="s">
        <v>2248</v>
      </c>
      <c r="H582" t="s">
        <v>274</v>
      </c>
      <c r="I582">
        <v>600</v>
      </c>
      <c r="J582">
        <v>0</v>
      </c>
      <c r="M582">
        <v>0.42</v>
      </c>
      <c r="N582">
        <v>252</v>
      </c>
      <c r="O582">
        <v>-252</v>
      </c>
      <c r="P582">
        <v>0</v>
      </c>
    </row>
    <row r="583" spans="1:16" hidden="1" x14ac:dyDescent="0.25">
      <c r="A583" t="s">
        <v>2040</v>
      </c>
      <c r="B583" t="s">
        <v>2041</v>
      </c>
      <c r="C583" t="s">
        <v>1976</v>
      </c>
      <c r="D583" s="11" t="s">
        <v>2250</v>
      </c>
      <c r="E583" s="12">
        <v>45929</v>
      </c>
      <c r="F583" s="12">
        <v>45929</v>
      </c>
      <c r="G583" t="s">
        <v>2248</v>
      </c>
      <c r="H583" t="s">
        <v>312</v>
      </c>
      <c r="I583">
        <v>500</v>
      </c>
      <c r="J583">
        <v>0</v>
      </c>
      <c r="M583">
        <v>0.51</v>
      </c>
      <c r="N583">
        <v>255</v>
      </c>
      <c r="O583">
        <v>-255</v>
      </c>
      <c r="P583">
        <v>0</v>
      </c>
    </row>
    <row r="584" spans="1:16" hidden="1" x14ac:dyDescent="0.25">
      <c r="A584" t="s">
        <v>2040</v>
      </c>
      <c r="B584" t="s">
        <v>2041</v>
      </c>
      <c r="C584" t="s">
        <v>1976</v>
      </c>
      <c r="D584" s="11" t="s">
        <v>2250</v>
      </c>
      <c r="E584" s="12">
        <v>45929</v>
      </c>
      <c r="F584" s="12">
        <v>45929</v>
      </c>
      <c r="G584" t="s">
        <v>2248</v>
      </c>
      <c r="H584" t="s">
        <v>575</v>
      </c>
      <c r="I584">
        <v>15000</v>
      </c>
      <c r="J584">
        <v>0</v>
      </c>
      <c r="M584">
        <v>1.7399999999999999E-2</v>
      </c>
      <c r="N584">
        <v>261</v>
      </c>
      <c r="O584">
        <v>-261</v>
      </c>
      <c r="P584">
        <v>0</v>
      </c>
    </row>
    <row r="585" spans="1:16" hidden="1" x14ac:dyDescent="0.25">
      <c r="A585" t="s">
        <v>2040</v>
      </c>
      <c r="B585" t="s">
        <v>2041</v>
      </c>
      <c r="C585" t="s">
        <v>1976</v>
      </c>
      <c r="D585" s="11" t="s">
        <v>2250</v>
      </c>
      <c r="E585" s="12">
        <v>45929</v>
      </c>
      <c r="F585" s="12">
        <v>45929</v>
      </c>
      <c r="G585" t="s">
        <v>2248</v>
      </c>
      <c r="H585" t="s">
        <v>735</v>
      </c>
      <c r="I585">
        <v>60</v>
      </c>
      <c r="J585">
        <v>0</v>
      </c>
      <c r="M585">
        <v>5.9029999999999996</v>
      </c>
      <c r="N585">
        <v>354.18</v>
      </c>
      <c r="O585">
        <v>-354.18</v>
      </c>
      <c r="P585">
        <v>0</v>
      </c>
    </row>
    <row r="586" spans="1:16" hidden="1" x14ac:dyDescent="0.25">
      <c r="A586" t="s">
        <v>2040</v>
      </c>
      <c r="B586" t="s">
        <v>2041</v>
      </c>
      <c r="C586" t="s">
        <v>1976</v>
      </c>
      <c r="D586" s="11" t="s">
        <v>2250</v>
      </c>
      <c r="E586" s="12">
        <v>45929</v>
      </c>
      <c r="F586" s="12">
        <v>45929</v>
      </c>
      <c r="G586" t="s">
        <v>2248</v>
      </c>
      <c r="H586" t="s">
        <v>757</v>
      </c>
      <c r="I586">
        <v>3000</v>
      </c>
      <c r="J586">
        <v>0</v>
      </c>
      <c r="M586">
        <v>0.14499999999999999</v>
      </c>
      <c r="N586">
        <v>435</v>
      </c>
      <c r="O586">
        <v>-435</v>
      </c>
      <c r="P586">
        <v>0</v>
      </c>
    </row>
    <row r="587" spans="1:16" hidden="1" x14ac:dyDescent="0.25">
      <c r="A587" t="s">
        <v>2040</v>
      </c>
      <c r="B587" t="s">
        <v>2041</v>
      </c>
      <c r="C587" t="s">
        <v>1976</v>
      </c>
      <c r="D587" s="11" t="s">
        <v>2250</v>
      </c>
      <c r="E587" s="12">
        <v>45929</v>
      </c>
      <c r="F587" s="12">
        <v>45929</v>
      </c>
      <c r="G587" t="s">
        <v>2248</v>
      </c>
      <c r="H587" t="s">
        <v>894</v>
      </c>
      <c r="I587">
        <v>2940</v>
      </c>
      <c r="J587">
        <v>0</v>
      </c>
      <c r="M587">
        <v>0.92</v>
      </c>
      <c r="N587">
        <v>2704.8</v>
      </c>
      <c r="O587">
        <v>-2704.8</v>
      </c>
      <c r="P587">
        <v>0</v>
      </c>
    </row>
    <row r="588" spans="1:16" hidden="1" x14ac:dyDescent="0.25">
      <c r="A588" t="s">
        <v>2040</v>
      </c>
      <c r="B588" t="s">
        <v>2041</v>
      </c>
      <c r="C588" t="s">
        <v>1976</v>
      </c>
      <c r="D588" s="11" t="s">
        <v>2250</v>
      </c>
      <c r="E588" s="12">
        <v>45929</v>
      </c>
      <c r="F588" s="12">
        <v>45929</v>
      </c>
      <c r="G588" t="s">
        <v>2248</v>
      </c>
      <c r="H588" t="s">
        <v>898</v>
      </c>
      <c r="I588">
        <v>5000</v>
      </c>
      <c r="J588">
        <v>0</v>
      </c>
      <c r="M588">
        <v>0.46</v>
      </c>
      <c r="N588">
        <v>2300</v>
      </c>
      <c r="O588">
        <v>-2300</v>
      </c>
      <c r="P588">
        <v>0</v>
      </c>
    </row>
    <row r="589" spans="1:16" hidden="1" x14ac:dyDescent="0.25">
      <c r="A589" t="s">
        <v>2040</v>
      </c>
      <c r="B589" t="s">
        <v>2041</v>
      </c>
      <c r="C589" t="s">
        <v>1976</v>
      </c>
      <c r="D589" s="11" t="s">
        <v>2250</v>
      </c>
      <c r="E589" s="12">
        <v>45929</v>
      </c>
      <c r="F589" s="12">
        <v>45929</v>
      </c>
      <c r="G589" t="s">
        <v>2248</v>
      </c>
      <c r="H589" t="s">
        <v>1041</v>
      </c>
      <c r="I589">
        <v>2500</v>
      </c>
      <c r="J589">
        <v>0</v>
      </c>
      <c r="M589">
        <v>0.249</v>
      </c>
      <c r="N589">
        <v>622.5</v>
      </c>
      <c r="O589">
        <v>-622.5</v>
      </c>
      <c r="P589">
        <v>0</v>
      </c>
    </row>
    <row r="590" spans="1:16" hidden="1" x14ac:dyDescent="0.25">
      <c r="A590" t="s">
        <v>2040</v>
      </c>
      <c r="B590" t="s">
        <v>2041</v>
      </c>
      <c r="C590" t="s">
        <v>1976</v>
      </c>
      <c r="D590" s="11" t="s">
        <v>2250</v>
      </c>
      <c r="E590" s="12">
        <v>45929</v>
      </c>
      <c r="F590" s="12">
        <v>45929</v>
      </c>
      <c r="G590" t="s">
        <v>2248</v>
      </c>
      <c r="H590" t="s">
        <v>1053</v>
      </c>
      <c r="I590">
        <v>2500</v>
      </c>
      <c r="J590">
        <v>0</v>
      </c>
      <c r="M590">
        <v>1.2</v>
      </c>
      <c r="N590">
        <v>3000</v>
      </c>
      <c r="O590">
        <v>-3000</v>
      </c>
      <c r="P590">
        <v>0</v>
      </c>
    </row>
    <row r="591" spans="1:16" hidden="1" x14ac:dyDescent="0.25">
      <c r="A591" t="s">
        <v>2040</v>
      </c>
      <c r="B591" t="s">
        <v>2041</v>
      </c>
      <c r="C591" t="s">
        <v>1976</v>
      </c>
      <c r="D591" s="11" t="s">
        <v>2250</v>
      </c>
      <c r="E591" s="12">
        <v>45929</v>
      </c>
      <c r="F591" s="12">
        <v>45929</v>
      </c>
      <c r="G591" t="s">
        <v>2248</v>
      </c>
      <c r="H591" t="s">
        <v>1063</v>
      </c>
      <c r="I591">
        <v>15000</v>
      </c>
      <c r="J591">
        <v>0</v>
      </c>
      <c r="M591">
        <v>1.52E-2</v>
      </c>
      <c r="N591">
        <v>228</v>
      </c>
      <c r="O591">
        <v>-228</v>
      </c>
      <c r="P591">
        <v>0</v>
      </c>
    </row>
    <row r="592" spans="1:16" hidden="1" x14ac:dyDescent="0.25">
      <c r="A592" t="s">
        <v>2040</v>
      </c>
      <c r="B592" t="s">
        <v>2041</v>
      </c>
      <c r="C592" t="s">
        <v>1976</v>
      </c>
      <c r="D592" s="11" t="s">
        <v>2250</v>
      </c>
      <c r="E592" s="12">
        <v>45929</v>
      </c>
      <c r="F592" s="12">
        <v>45929</v>
      </c>
      <c r="G592" t="s">
        <v>2248</v>
      </c>
      <c r="H592" t="s">
        <v>1152</v>
      </c>
      <c r="I592">
        <v>2880</v>
      </c>
      <c r="J592">
        <v>0</v>
      </c>
      <c r="M592">
        <v>8.5099999999999995E-2</v>
      </c>
      <c r="N592">
        <v>245.08799999999999</v>
      </c>
      <c r="O592">
        <v>-245.08799999999999</v>
      </c>
      <c r="P592">
        <v>0</v>
      </c>
    </row>
    <row r="593" spans="1:16" hidden="1" x14ac:dyDescent="0.25">
      <c r="A593" t="s">
        <v>2040</v>
      </c>
      <c r="B593" t="s">
        <v>2041</v>
      </c>
      <c r="C593" t="s">
        <v>1976</v>
      </c>
      <c r="D593" s="11" t="s">
        <v>2250</v>
      </c>
      <c r="E593" s="12">
        <v>45929</v>
      </c>
      <c r="F593" s="12">
        <v>45929</v>
      </c>
      <c r="G593" t="s">
        <v>2248</v>
      </c>
      <c r="H593" t="s">
        <v>1207</v>
      </c>
      <c r="I593">
        <v>3000</v>
      </c>
      <c r="J593">
        <v>0</v>
      </c>
      <c r="M593">
        <v>0.12</v>
      </c>
      <c r="N593">
        <v>360</v>
      </c>
      <c r="O593">
        <v>-360</v>
      </c>
      <c r="P593">
        <v>0</v>
      </c>
    </row>
    <row r="594" spans="1:16" hidden="1" x14ac:dyDescent="0.25">
      <c r="A594" t="s">
        <v>2040</v>
      </c>
      <c r="B594" t="s">
        <v>2041</v>
      </c>
      <c r="C594" t="s">
        <v>1976</v>
      </c>
      <c r="D594" s="11" t="s">
        <v>2250</v>
      </c>
      <c r="E594" s="12">
        <v>45929</v>
      </c>
      <c r="F594" s="12">
        <v>45929</v>
      </c>
      <c r="G594" t="s">
        <v>2248</v>
      </c>
      <c r="H594" t="s">
        <v>1215</v>
      </c>
      <c r="I594">
        <v>1833</v>
      </c>
      <c r="J594">
        <v>0</v>
      </c>
      <c r="M594">
        <v>0.22</v>
      </c>
      <c r="N594">
        <v>403.26</v>
      </c>
      <c r="O594">
        <v>-403.26</v>
      </c>
      <c r="P594">
        <v>0</v>
      </c>
    </row>
    <row r="595" spans="1:16" hidden="1" x14ac:dyDescent="0.25">
      <c r="A595" t="s">
        <v>2040</v>
      </c>
      <c r="B595" t="s">
        <v>2041</v>
      </c>
      <c r="C595" t="s">
        <v>1976</v>
      </c>
      <c r="D595" s="11" t="s">
        <v>2250</v>
      </c>
      <c r="E595" s="12">
        <v>45929</v>
      </c>
      <c r="F595" s="12">
        <v>45929</v>
      </c>
      <c r="G595" t="s">
        <v>2248</v>
      </c>
      <c r="H595" t="s">
        <v>1267</v>
      </c>
      <c r="I595">
        <v>4850</v>
      </c>
      <c r="J595">
        <v>0</v>
      </c>
      <c r="M595">
        <v>0.16</v>
      </c>
      <c r="N595">
        <v>776</v>
      </c>
      <c r="O595">
        <v>-776</v>
      </c>
      <c r="P595">
        <v>0</v>
      </c>
    </row>
    <row r="596" spans="1:16" hidden="1" x14ac:dyDescent="0.25">
      <c r="A596" t="s">
        <v>2040</v>
      </c>
      <c r="B596" t="s">
        <v>2041</v>
      </c>
      <c r="C596" t="s">
        <v>1976</v>
      </c>
      <c r="D596" s="11" t="s">
        <v>2250</v>
      </c>
      <c r="E596" s="12">
        <v>45929</v>
      </c>
      <c r="F596" s="12">
        <v>45929</v>
      </c>
      <c r="G596" t="s">
        <v>2248</v>
      </c>
      <c r="H596" t="s">
        <v>1284</v>
      </c>
      <c r="I596">
        <v>92</v>
      </c>
      <c r="J596">
        <v>0</v>
      </c>
      <c r="M596">
        <v>7.79</v>
      </c>
      <c r="N596">
        <v>716.68</v>
      </c>
      <c r="O596">
        <v>-716.68</v>
      </c>
      <c r="P596">
        <v>0</v>
      </c>
    </row>
    <row r="597" spans="1:16" hidden="1" x14ac:dyDescent="0.25">
      <c r="A597" t="s">
        <v>2040</v>
      </c>
      <c r="B597" t="s">
        <v>2041</v>
      </c>
      <c r="C597" t="s">
        <v>1976</v>
      </c>
      <c r="D597" s="11" t="s">
        <v>2250</v>
      </c>
      <c r="E597" s="12">
        <v>45929</v>
      </c>
      <c r="F597" s="12">
        <v>45929</v>
      </c>
      <c r="G597" t="s">
        <v>2248</v>
      </c>
      <c r="H597" t="s">
        <v>1440</v>
      </c>
      <c r="I597">
        <v>9900</v>
      </c>
      <c r="J597">
        <v>0</v>
      </c>
      <c r="M597">
        <v>0.24</v>
      </c>
      <c r="N597">
        <v>2376</v>
      </c>
      <c r="O597">
        <v>-2376</v>
      </c>
      <c r="P597">
        <v>0</v>
      </c>
    </row>
    <row r="598" spans="1:16" hidden="1" x14ac:dyDescent="0.25">
      <c r="A598" t="s">
        <v>2040</v>
      </c>
      <c r="B598" t="s">
        <v>2041</v>
      </c>
      <c r="C598" t="s">
        <v>1976</v>
      </c>
      <c r="D598" s="11" t="s">
        <v>2250</v>
      </c>
      <c r="E598" s="12">
        <v>45929</v>
      </c>
      <c r="F598" s="12">
        <v>45929</v>
      </c>
      <c r="G598" t="s">
        <v>2248</v>
      </c>
      <c r="H598" t="s">
        <v>1443</v>
      </c>
      <c r="I598">
        <v>3000</v>
      </c>
      <c r="J598">
        <v>0</v>
      </c>
      <c r="M598">
        <v>0.38</v>
      </c>
      <c r="N598">
        <v>1140</v>
      </c>
      <c r="O598">
        <v>-1140</v>
      </c>
      <c r="P598">
        <v>0</v>
      </c>
    </row>
    <row r="599" spans="1:16" hidden="1" x14ac:dyDescent="0.25">
      <c r="A599" t="s">
        <v>2040</v>
      </c>
      <c r="B599" t="s">
        <v>2041</v>
      </c>
      <c r="C599" t="s">
        <v>1976</v>
      </c>
      <c r="D599" s="11" t="s">
        <v>2250</v>
      </c>
      <c r="E599" s="12">
        <v>45929</v>
      </c>
      <c r="F599" s="12">
        <v>45929</v>
      </c>
      <c r="G599" t="s">
        <v>2248</v>
      </c>
      <c r="H599" t="s">
        <v>1580</v>
      </c>
      <c r="I599">
        <v>60</v>
      </c>
      <c r="J599">
        <v>0</v>
      </c>
      <c r="M599">
        <v>2.8</v>
      </c>
      <c r="N599">
        <v>168</v>
      </c>
      <c r="O599">
        <v>-168</v>
      </c>
      <c r="P599">
        <v>0</v>
      </c>
    </row>
    <row r="600" spans="1:16" hidden="1" x14ac:dyDescent="0.25">
      <c r="A600" t="s">
        <v>2040</v>
      </c>
      <c r="B600" t="s">
        <v>2041</v>
      </c>
      <c r="C600" t="s">
        <v>1976</v>
      </c>
      <c r="D600" s="11" t="s">
        <v>2250</v>
      </c>
      <c r="E600" s="12">
        <v>45929</v>
      </c>
      <c r="F600" s="12">
        <v>45929</v>
      </c>
      <c r="G600" t="s">
        <v>2248</v>
      </c>
      <c r="H600" t="s">
        <v>1679</v>
      </c>
      <c r="I600">
        <v>2500</v>
      </c>
      <c r="J600">
        <v>0</v>
      </c>
      <c r="M600">
        <v>5.3999999999999999E-2</v>
      </c>
      <c r="N600">
        <v>135</v>
      </c>
      <c r="O600">
        <v>-135</v>
      </c>
      <c r="P600">
        <v>0</v>
      </c>
    </row>
    <row r="601" spans="1:16" hidden="1" x14ac:dyDescent="0.25">
      <c r="A601" t="s">
        <v>2040</v>
      </c>
      <c r="B601" t="s">
        <v>2041</v>
      </c>
      <c r="C601" t="s">
        <v>1976</v>
      </c>
      <c r="D601" s="11" t="s">
        <v>2250</v>
      </c>
      <c r="E601" s="12">
        <v>45929</v>
      </c>
      <c r="F601" s="12">
        <v>45929</v>
      </c>
      <c r="G601" t="s">
        <v>2248</v>
      </c>
      <c r="H601" t="s">
        <v>1684</v>
      </c>
      <c r="I601">
        <v>2970</v>
      </c>
      <c r="J601">
        <v>0</v>
      </c>
      <c r="M601">
        <v>2.7E-2</v>
      </c>
      <c r="N601">
        <v>80.19</v>
      </c>
      <c r="O601">
        <v>-80.19</v>
      </c>
      <c r="P601">
        <v>0</v>
      </c>
    </row>
    <row r="602" spans="1:16" hidden="1" x14ac:dyDescent="0.25">
      <c r="A602" t="s">
        <v>2040</v>
      </c>
      <c r="B602" t="s">
        <v>2041</v>
      </c>
      <c r="C602" t="s">
        <v>1976</v>
      </c>
      <c r="D602" s="11" t="s">
        <v>2250</v>
      </c>
      <c r="E602" s="12">
        <v>45929</v>
      </c>
      <c r="F602" s="12">
        <v>45929</v>
      </c>
      <c r="G602" t="s">
        <v>2248</v>
      </c>
      <c r="H602" t="s">
        <v>1706</v>
      </c>
      <c r="I602">
        <v>2000</v>
      </c>
      <c r="J602">
        <v>0</v>
      </c>
      <c r="M602">
        <v>1.05</v>
      </c>
      <c r="N602">
        <v>2100</v>
      </c>
      <c r="O602">
        <v>-2100</v>
      </c>
      <c r="P602">
        <v>0</v>
      </c>
    </row>
    <row r="603" spans="1:16" hidden="1" x14ac:dyDescent="0.25">
      <c r="A603" t="s">
        <v>2040</v>
      </c>
      <c r="B603" t="s">
        <v>2041</v>
      </c>
      <c r="C603" t="s">
        <v>1976</v>
      </c>
      <c r="D603" s="11" t="s">
        <v>2250</v>
      </c>
      <c r="E603" s="12">
        <v>45929</v>
      </c>
      <c r="F603" s="12">
        <v>45929</v>
      </c>
      <c r="G603" t="s">
        <v>2248</v>
      </c>
      <c r="H603" t="s">
        <v>1839</v>
      </c>
      <c r="I603">
        <v>10000</v>
      </c>
      <c r="J603">
        <v>0</v>
      </c>
      <c r="M603">
        <v>2.1999999999999999E-2</v>
      </c>
      <c r="N603">
        <v>220</v>
      </c>
      <c r="O603">
        <v>-220</v>
      </c>
      <c r="P603">
        <v>0</v>
      </c>
    </row>
    <row r="604" spans="1:16" hidden="1" x14ac:dyDescent="0.25">
      <c r="A604" t="s">
        <v>2040</v>
      </c>
      <c r="B604" t="s">
        <v>2041</v>
      </c>
      <c r="C604" t="s">
        <v>1976</v>
      </c>
      <c r="D604" s="11" t="s">
        <v>2250</v>
      </c>
      <c r="E604" s="12">
        <v>45929</v>
      </c>
      <c r="F604" s="12">
        <v>45929</v>
      </c>
      <c r="G604" t="s">
        <v>2248</v>
      </c>
      <c r="H604" t="s">
        <v>172</v>
      </c>
      <c r="I604">
        <v>52</v>
      </c>
      <c r="J604">
        <v>0</v>
      </c>
      <c r="M604">
        <v>3.19</v>
      </c>
      <c r="N604">
        <v>165.88</v>
      </c>
      <c r="O604">
        <v>-165.88</v>
      </c>
      <c r="P604">
        <v>0</v>
      </c>
    </row>
    <row r="605" spans="1:16" hidden="1" x14ac:dyDescent="0.25">
      <c r="A605" t="s">
        <v>2040</v>
      </c>
      <c r="B605" t="s">
        <v>2041</v>
      </c>
      <c r="C605" t="s">
        <v>1976</v>
      </c>
      <c r="D605" s="11" t="s">
        <v>2250</v>
      </c>
      <c r="E605" s="12">
        <v>45929</v>
      </c>
      <c r="F605" s="12">
        <v>45929</v>
      </c>
      <c r="G605" t="s">
        <v>2248</v>
      </c>
      <c r="H605" t="s">
        <v>248</v>
      </c>
      <c r="I605">
        <v>100</v>
      </c>
      <c r="J605">
        <v>0</v>
      </c>
      <c r="M605">
        <v>16.725999999999999</v>
      </c>
      <c r="N605">
        <v>1672.6</v>
      </c>
      <c r="O605">
        <v>-1672.6</v>
      </c>
      <c r="P605">
        <v>0</v>
      </c>
    </row>
    <row r="606" spans="1:16" hidden="1" x14ac:dyDescent="0.25">
      <c r="A606" t="s">
        <v>2040</v>
      </c>
      <c r="B606" t="s">
        <v>2041</v>
      </c>
      <c r="C606" t="s">
        <v>1976</v>
      </c>
      <c r="D606" s="11" t="s">
        <v>2250</v>
      </c>
      <c r="E606" s="12">
        <v>45929</v>
      </c>
      <c r="F606" s="12">
        <v>45929</v>
      </c>
      <c r="G606" t="s">
        <v>2248</v>
      </c>
      <c r="H606" t="s">
        <v>347</v>
      </c>
      <c r="I606">
        <v>400</v>
      </c>
      <c r="J606">
        <v>0</v>
      </c>
      <c r="M606">
        <v>1.24</v>
      </c>
      <c r="N606">
        <v>496</v>
      </c>
      <c r="O606">
        <v>-496</v>
      </c>
      <c r="P606">
        <v>0</v>
      </c>
    </row>
    <row r="607" spans="1:16" hidden="1" x14ac:dyDescent="0.25">
      <c r="A607" t="s">
        <v>2040</v>
      </c>
      <c r="B607" t="s">
        <v>2041</v>
      </c>
      <c r="C607" t="s">
        <v>1976</v>
      </c>
      <c r="D607" s="11" t="s">
        <v>2250</v>
      </c>
      <c r="E607" s="12">
        <v>45929</v>
      </c>
      <c r="F607" s="12">
        <v>45929</v>
      </c>
      <c r="G607" t="s">
        <v>2248</v>
      </c>
      <c r="H607" t="s">
        <v>373</v>
      </c>
      <c r="I607">
        <v>100</v>
      </c>
      <c r="J607">
        <v>0</v>
      </c>
      <c r="M607">
        <v>11.84</v>
      </c>
      <c r="N607">
        <v>1184</v>
      </c>
      <c r="O607">
        <v>-1184</v>
      </c>
      <c r="P607">
        <v>0</v>
      </c>
    </row>
    <row r="608" spans="1:16" hidden="1" x14ac:dyDescent="0.25">
      <c r="A608" t="s">
        <v>2040</v>
      </c>
      <c r="B608" t="s">
        <v>2041</v>
      </c>
      <c r="C608" t="s">
        <v>1976</v>
      </c>
      <c r="D608" s="11" t="s">
        <v>2250</v>
      </c>
      <c r="E608" s="12">
        <v>45929</v>
      </c>
      <c r="F608" s="12">
        <v>45929</v>
      </c>
      <c r="G608" t="s">
        <v>2248</v>
      </c>
      <c r="H608" t="s">
        <v>557</v>
      </c>
      <c r="I608">
        <v>60</v>
      </c>
      <c r="J608">
        <v>0</v>
      </c>
      <c r="M608">
        <v>74.275000000000006</v>
      </c>
      <c r="N608">
        <v>4456.5</v>
      </c>
      <c r="O608">
        <v>-4456.5</v>
      </c>
      <c r="P608">
        <v>0</v>
      </c>
    </row>
    <row r="609" spans="1:16" hidden="1" x14ac:dyDescent="0.25">
      <c r="A609" t="s">
        <v>2040</v>
      </c>
      <c r="B609" t="s">
        <v>2041</v>
      </c>
      <c r="C609" t="s">
        <v>1976</v>
      </c>
      <c r="D609" s="11" t="s">
        <v>2250</v>
      </c>
      <c r="E609" s="12">
        <v>45929</v>
      </c>
      <c r="F609" s="12">
        <v>45929</v>
      </c>
      <c r="G609" t="s">
        <v>2248</v>
      </c>
      <c r="H609" t="s">
        <v>622</v>
      </c>
      <c r="I609">
        <v>3000</v>
      </c>
      <c r="J609">
        <v>0</v>
      </c>
      <c r="M609">
        <v>0.50600000000000001</v>
      </c>
      <c r="N609">
        <v>1518</v>
      </c>
      <c r="O609">
        <v>-1518</v>
      </c>
      <c r="P609">
        <v>0</v>
      </c>
    </row>
    <row r="610" spans="1:16" hidden="1" x14ac:dyDescent="0.25">
      <c r="A610" t="s">
        <v>2040</v>
      </c>
      <c r="B610" t="s">
        <v>2041</v>
      </c>
      <c r="C610" t="s">
        <v>1976</v>
      </c>
      <c r="D610" s="11" t="s">
        <v>2250</v>
      </c>
      <c r="E610" s="12">
        <v>45929</v>
      </c>
      <c r="F610" s="12">
        <v>45929</v>
      </c>
      <c r="G610" t="s">
        <v>2248</v>
      </c>
      <c r="H610" t="s">
        <v>711</v>
      </c>
      <c r="I610">
        <v>2000</v>
      </c>
      <c r="J610">
        <v>0</v>
      </c>
      <c r="M610">
        <v>4.2999999999999997E-2</v>
      </c>
      <c r="N610">
        <v>86</v>
      </c>
      <c r="O610">
        <v>-86</v>
      </c>
      <c r="P610">
        <v>0</v>
      </c>
    </row>
    <row r="611" spans="1:16" hidden="1" x14ac:dyDescent="0.25">
      <c r="A611" t="s">
        <v>2040</v>
      </c>
      <c r="B611" t="s">
        <v>2041</v>
      </c>
      <c r="C611" t="s">
        <v>1976</v>
      </c>
      <c r="D611" s="11" t="s">
        <v>2250</v>
      </c>
      <c r="E611" s="12">
        <v>45929</v>
      </c>
      <c r="F611" s="12">
        <v>45929</v>
      </c>
      <c r="G611" t="s">
        <v>2248</v>
      </c>
      <c r="H611" t="s">
        <v>753</v>
      </c>
      <c r="I611">
        <v>500</v>
      </c>
      <c r="J611">
        <v>0</v>
      </c>
      <c r="M611">
        <v>3.68</v>
      </c>
      <c r="N611">
        <v>1840</v>
      </c>
      <c r="O611">
        <v>-1840</v>
      </c>
      <c r="P611">
        <v>0</v>
      </c>
    </row>
    <row r="612" spans="1:16" hidden="1" x14ac:dyDescent="0.25">
      <c r="A612" t="s">
        <v>2040</v>
      </c>
      <c r="B612" t="s">
        <v>2041</v>
      </c>
      <c r="C612" t="s">
        <v>1976</v>
      </c>
      <c r="D612" s="11" t="s">
        <v>2250</v>
      </c>
      <c r="E612" s="12">
        <v>45929</v>
      </c>
      <c r="F612" s="12">
        <v>45929</v>
      </c>
      <c r="G612" t="s">
        <v>2248</v>
      </c>
      <c r="H612" t="s">
        <v>872</v>
      </c>
      <c r="I612">
        <v>5000</v>
      </c>
      <c r="J612">
        <v>0</v>
      </c>
      <c r="M612">
        <v>1.4999999999999999E-2</v>
      </c>
      <c r="N612">
        <v>75</v>
      </c>
      <c r="O612">
        <v>-75</v>
      </c>
      <c r="P612">
        <v>0</v>
      </c>
    </row>
    <row r="613" spans="1:16" hidden="1" x14ac:dyDescent="0.25">
      <c r="A613" t="s">
        <v>2040</v>
      </c>
      <c r="B613" t="s">
        <v>2041</v>
      </c>
      <c r="C613" t="s">
        <v>1976</v>
      </c>
      <c r="D613" s="11" t="s">
        <v>2250</v>
      </c>
      <c r="E613" s="12">
        <v>45929</v>
      </c>
      <c r="F613" s="12">
        <v>45929</v>
      </c>
      <c r="G613" t="s">
        <v>2248</v>
      </c>
      <c r="H613" t="s">
        <v>892</v>
      </c>
      <c r="I613">
        <v>2500</v>
      </c>
      <c r="J613">
        <v>0</v>
      </c>
      <c r="M613">
        <v>0.78</v>
      </c>
      <c r="N613">
        <v>1950</v>
      </c>
      <c r="O613">
        <v>-1950</v>
      </c>
      <c r="P613">
        <v>0</v>
      </c>
    </row>
    <row r="614" spans="1:16" hidden="1" x14ac:dyDescent="0.25">
      <c r="A614" t="s">
        <v>2040</v>
      </c>
      <c r="B614" t="s">
        <v>2041</v>
      </c>
      <c r="C614" t="s">
        <v>1976</v>
      </c>
      <c r="D614" s="11" t="s">
        <v>2250</v>
      </c>
      <c r="E614" s="12">
        <v>45929</v>
      </c>
      <c r="F614" s="12">
        <v>45929</v>
      </c>
      <c r="G614" t="s">
        <v>2248</v>
      </c>
      <c r="H614" t="s">
        <v>995</v>
      </c>
      <c r="I614">
        <v>270</v>
      </c>
      <c r="J614">
        <v>0</v>
      </c>
      <c r="M614">
        <v>6.3209999999999997</v>
      </c>
      <c r="N614">
        <v>1706.67</v>
      </c>
      <c r="O614">
        <v>-1706.67</v>
      </c>
      <c r="P614">
        <v>0</v>
      </c>
    </row>
    <row r="615" spans="1:16" hidden="1" x14ac:dyDescent="0.25">
      <c r="A615" t="s">
        <v>2040</v>
      </c>
      <c r="B615" t="s">
        <v>2041</v>
      </c>
      <c r="C615" t="s">
        <v>1976</v>
      </c>
      <c r="D615" s="11" t="s">
        <v>2250</v>
      </c>
      <c r="E615" s="12">
        <v>45929</v>
      </c>
      <c r="F615" s="12">
        <v>45929</v>
      </c>
      <c r="G615" t="s">
        <v>2248</v>
      </c>
      <c r="H615" t="s">
        <v>1065</v>
      </c>
      <c r="I615">
        <v>2000</v>
      </c>
      <c r="J615">
        <v>0</v>
      </c>
      <c r="M615">
        <v>0.13800000000000001</v>
      </c>
      <c r="N615">
        <v>276</v>
      </c>
      <c r="O615">
        <v>-276</v>
      </c>
      <c r="P615">
        <v>0</v>
      </c>
    </row>
    <row r="616" spans="1:16" hidden="1" x14ac:dyDescent="0.25">
      <c r="A616" t="s">
        <v>2040</v>
      </c>
      <c r="B616" t="s">
        <v>2041</v>
      </c>
      <c r="C616" t="s">
        <v>1976</v>
      </c>
      <c r="D616" s="11" t="s">
        <v>2250</v>
      </c>
      <c r="E616" s="12">
        <v>45929</v>
      </c>
      <c r="F616" s="12">
        <v>45929</v>
      </c>
      <c r="G616" t="s">
        <v>2248</v>
      </c>
      <c r="H616" t="s">
        <v>1123</v>
      </c>
      <c r="I616">
        <v>1000</v>
      </c>
      <c r="J616">
        <v>0</v>
      </c>
      <c r="M616">
        <v>1.879</v>
      </c>
      <c r="N616">
        <v>1879</v>
      </c>
      <c r="O616">
        <v>-1879</v>
      </c>
      <c r="P616">
        <v>0</v>
      </c>
    </row>
    <row r="617" spans="1:16" hidden="1" x14ac:dyDescent="0.25">
      <c r="A617" t="s">
        <v>2040</v>
      </c>
      <c r="B617" t="s">
        <v>2041</v>
      </c>
      <c r="C617" t="s">
        <v>1976</v>
      </c>
      <c r="D617" s="11" t="s">
        <v>2250</v>
      </c>
      <c r="E617" s="12">
        <v>45929</v>
      </c>
      <c r="F617" s="12">
        <v>45929</v>
      </c>
      <c r="G617" t="s">
        <v>2248</v>
      </c>
      <c r="H617" t="s">
        <v>1489</v>
      </c>
      <c r="I617">
        <v>500</v>
      </c>
      <c r="J617">
        <v>0</v>
      </c>
      <c r="M617">
        <v>0.19800000000000001</v>
      </c>
      <c r="N617">
        <v>99</v>
      </c>
      <c r="O617">
        <v>-99</v>
      </c>
      <c r="P617">
        <v>0</v>
      </c>
    </row>
    <row r="618" spans="1:16" hidden="1" x14ac:dyDescent="0.25">
      <c r="A618" t="s">
        <v>2040</v>
      </c>
      <c r="B618" t="s">
        <v>2041</v>
      </c>
      <c r="C618" t="s">
        <v>1976</v>
      </c>
      <c r="D618" s="11" t="s">
        <v>2250</v>
      </c>
      <c r="E618" s="12">
        <v>45929</v>
      </c>
      <c r="F618" s="12">
        <v>45929</v>
      </c>
      <c r="G618" t="s">
        <v>2248</v>
      </c>
      <c r="H618" t="s">
        <v>1511</v>
      </c>
      <c r="I618">
        <v>2769</v>
      </c>
      <c r="J618">
        <v>0</v>
      </c>
      <c r="M618">
        <v>0.29599999999999999</v>
      </c>
      <c r="N618">
        <v>819.62400000000002</v>
      </c>
      <c r="O618">
        <v>-819.62400000000002</v>
      </c>
      <c r="P618">
        <v>0</v>
      </c>
    </row>
    <row r="619" spans="1:16" hidden="1" x14ac:dyDescent="0.25">
      <c r="A619" t="s">
        <v>2040</v>
      </c>
      <c r="B619" t="s">
        <v>2041</v>
      </c>
      <c r="C619" t="s">
        <v>1976</v>
      </c>
      <c r="D619" s="11" t="s">
        <v>2250</v>
      </c>
      <c r="E619" s="12">
        <v>45929</v>
      </c>
      <c r="F619" s="12">
        <v>45929</v>
      </c>
      <c r="G619" t="s">
        <v>2248</v>
      </c>
      <c r="H619" t="s">
        <v>1757</v>
      </c>
      <c r="I619">
        <v>3000</v>
      </c>
      <c r="J619">
        <v>0</v>
      </c>
      <c r="M619">
        <v>0.94499999999999995</v>
      </c>
      <c r="N619">
        <v>2835</v>
      </c>
      <c r="O619">
        <v>-2835</v>
      </c>
      <c r="P619">
        <v>0</v>
      </c>
    </row>
    <row r="620" spans="1:16" hidden="1" x14ac:dyDescent="0.25">
      <c r="A620" t="s">
        <v>2040</v>
      </c>
      <c r="B620" t="s">
        <v>2041</v>
      </c>
      <c r="C620" t="s">
        <v>1976</v>
      </c>
      <c r="D620" s="11" t="s">
        <v>2250</v>
      </c>
      <c r="E620" s="12">
        <v>45929</v>
      </c>
      <c r="F620" s="12">
        <v>45929</v>
      </c>
      <c r="G620" t="s">
        <v>2248</v>
      </c>
      <c r="H620" t="s">
        <v>12</v>
      </c>
      <c r="I620">
        <v>5000</v>
      </c>
      <c r="J620">
        <v>0</v>
      </c>
      <c r="M620">
        <v>0.122</v>
      </c>
      <c r="N620">
        <v>610</v>
      </c>
      <c r="O620">
        <v>-610</v>
      </c>
      <c r="P620">
        <v>0</v>
      </c>
    </row>
    <row r="621" spans="1:16" hidden="1" x14ac:dyDescent="0.25">
      <c r="A621" t="s">
        <v>2040</v>
      </c>
      <c r="B621" t="s">
        <v>2041</v>
      </c>
      <c r="C621" t="s">
        <v>1976</v>
      </c>
      <c r="D621" s="11" t="s">
        <v>2250</v>
      </c>
      <c r="E621" s="12">
        <v>45929</v>
      </c>
      <c r="F621" s="12">
        <v>45929</v>
      </c>
      <c r="G621" t="s">
        <v>2248</v>
      </c>
      <c r="H621" t="s">
        <v>35</v>
      </c>
      <c r="I621">
        <v>772</v>
      </c>
      <c r="J621">
        <v>0</v>
      </c>
      <c r="M621">
        <v>1.39</v>
      </c>
      <c r="N621">
        <v>1073.08</v>
      </c>
      <c r="O621">
        <v>-1073.08</v>
      </c>
      <c r="P621">
        <v>0</v>
      </c>
    </row>
    <row r="622" spans="1:16" hidden="1" x14ac:dyDescent="0.25">
      <c r="A622" t="s">
        <v>2040</v>
      </c>
      <c r="B622" t="s">
        <v>2041</v>
      </c>
      <c r="C622" t="s">
        <v>1976</v>
      </c>
      <c r="D622" s="11" t="s">
        <v>2250</v>
      </c>
      <c r="E622" s="12">
        <v>45929</v>
      </c>
      <c r="F622" s="12">
        <v>45929</v>
      </c>
      <c r="G622" t="s">
        <v>2248</v>
      </c>
      <c r="H622" t="s">
        <v>2256</v>
      </c>
      <c r="I622">
        <v>210</v>
      </c>
      <c r="J622">
        <v>0</v>
      </c>
      <c r="M622">
        <v>1.83</v>
      </c>
      <c r="N622">
        <v>384.3</v>
      </c>
      <c r="O622">
        <v>-384.3</v>
      </c>
      <c r="P622">
        <v>0</v>
      </c>
    </row>
    <row r="623" spans="1:16" hidden="1" x14ac:dyDescent="0.25">
      <c r="A623" t="s">
        <v>2040</v>
      </c>
      <c r="B623" t="s">
        <v>2041</v>
      </c>
      <c r="C623" t="s">
        <v>1976</v>
      </c>
      <c r="D623" s="11" t="s">
        <v>2250</v>
      </c>
      <c r="E623" s="12">
        <v>45929</v>
      </c>
      <c r="F623" s="12">
        <v>45929</v>
      </c>
      <c r="G623" t="s">
        <v>2248</v>
      </c>
      <c r="H623" t="s">
        <v>148</v>
      </c>
      <c r="I623">
        <v>2470</v>
      </c>
      <c r="J623">
        <v>0</v>
      </c>
      <c r="M623">
        <v>7.1999999999999995E-2</v>
      </c>
      <c r="N623">
        <v>177.84</v>
      </c>
      <c r="O623">
        <v>-177.84</v>
      </c>
      <c r="P623">
        <v>0</v>
      </c>
    </row>
    <row r="624" spans="1:16" hidden="1" x14ac:dyDescent="0.25">
      <c r="A624" t="s">
        <v>2040</v>
      </c>
      <c r="B624" t="s">
        <v>2041</v>
      </c>
      <c r="C624" t="s">
        <v>1976</v>
      </c>
      <c r="D624" s="11" t="s">
        <v>2250</v>
      </c>
      <c r="E624" s="12">
        <v>45929</v>
      </c>
      <c r="F624" s="12">
        <v>45929</v>
      </c>
      <c r="G624" t="s">
        <v>2248</v>
      </c>
      <c r="H624" t="s">
        <v>200</v>
      </c>
      <c r="I624">
        <v>140</v>
      </c>
      <c r="J624">
        <v>0</v>
      </c>
      <c r="M624">
        <v>16.75</v>
      </c>
      <c r="N624">
        <v>2345</v>
      </c>
      <c r="O624">
        <v>-2345</v>
      </c>
      <c r="P624">
        <v>0</v>
      </c>
    </row>
    <row r="625" spans="1:16" hidden="1" x14ac:dyDescent="0.25">
      <c r="A625" t="s">
        <v>2040</v>
      </c>
      <c r="B625" t="s">
        <v>2041</v>
      </c>
      <c r="C625" t="s">
        <v>1976</v>
      </c>
      <c r="D625" s="11" t="s">
        <v>2250</v>
      </c>
      <c r="E625" s="12">
        <v>45929</v>
      </c>
      <c r="F625" s="12">
        <v>45929</v>
      </c>
      <c r="G625" t="s">
        <v>2248</v>
      </c>
      <c r="H625" t="s">
        <v>270</v>
      </c>
      <c r="I625">
        <v>286</v>
      </c>
      <c r="J625">
        <v>0</v>
      </c>
      <c r="M625">
        <v>1.2937000000000001</v>
      </c>
      <c r="N625">
        <v>369.9982</v>
      </c>
      <c r="O625">
        <v>-369.9982</v>
      </c>
      <c r="P625">
        <v>0</v>
      </c>
    </row>
    <row r="626" spans="1:16" hidden="1" x14ac:dyDescent="0.25">
      <c r="A626" t="s">
        <v>2040</v>
      </c>
      <c r="B626" t="s">
        <v>2041</v>
      </c>
      <c r="C626" t="s">
        <v>1976</v>
      </c>
      <c r="D626" s="11" t="s">
        <v>2250</v>
      </c>
      <c r="E626" s="12">
        <v>45929</v>
      </c>
      <c r="F626" s="12">
        <v>45929</v>
      </c>
      <c r="G626" t="s">
        <v>2248</v>
      </c>
      <c r="H626" t="s">
        <v>325</v>
      </c>
      <c r="I626">
        <v>290</v>
      </c>
      <c r="J626">
        <v>0</v>
      </c>
      <c r="M626">
        <v>2.68</v>
      </c>
      <c r="N626">
        <v>777.2</v>
      </c>
      <c r="O626">
        <v>-777.2</v>
      </c>
      <c r="P626">
        <v>0</v>
      </c>
    </row>
    <row r="627" spans="1:16" hidden="1" x14ac:dyDescent="0.25">
      <c r="A627" t="s">
        <v>2040</v>
      </c>
      <c r="B627" t="s">
        <v>2041</v>
      </c>
      <c r="C627" t="s">
        <v>1976</v>
      </c>
      <c r="D627" s="11" t="s">
        <v>2250</v>
      </c>
      <c r="E627" s="12">
        <v>45929</v>
      </c>
      <c r="F627" s="12">
        <v>45929</v>
      </c>
      <c r="G627" t="s">
        <v>2248</v>
      </c>
      <c r="H627" t="s">
        <v>357</v>
      </c>
      <c r="I627">
        <v>208</v>
      </c>
      <c r="J627">
        <v>0</v>
      </c>
      <c r="M627">
        <v>5.891</v>
      </c>
      <c r="N627">
        <v>1225.328</v>
      </c>
      <c r="O627">
        <v>-1225.328</v>
      </c>
      <c r="P627">
        <v>0</v>
      </c>
    </row>
    <row r="628" spans="1:16" hidden="1" x14ac:dyDescent="0.25">
      <c r="A628" t="s">
        <v>2040</v>
      </c>
      <c r="B628" t="s">
        <v>2041</v>
      </c>
      <c r="C628" t="s">
        <v>1976</v>
      </c>
      <c r="D628" s="11" t="s">
        <v>2250</v>
      </c>
      <c r="E628" s="12">
        <v>45929</v>
      </c>
      <c r="F628" s="12">
        <v>45929</v>
      </c>
      <c r="G628" t="s">
        <v>2248</v>
      </c>
      <c r="H628" t="s">
        <v>388</v>
      </c>
      <c r="I628">
        <v>400</v>
      </c>
      <c r="J628">
        <v>0</v>
      </c>
      <c r="M628">
        <v>0.44929999999999998</v>
      </c>
      <c r="N628">
        <v>179.72</v>
      </c>
      <c r="O628">
        <v>-179.72</v>
      </c>
      <c r="P628">
        <v>0</v>
      </c>
    </row>
    <row r="629" spans="1:16" hidden="1" x14ac:dyDescent="0.25">
      <c r="A629" t="s">
        <v>2040</v>
      </c>
      <c r="B629" t="s">
        <v>2041</v>
      </c>
      <c r="C629" t="s">
        <v>1976</v>
      </c>
      <c r="D629" s="11" t="s">
        <v>2250</v>
      </c>
      <c r="E629" s="12">
        <v>45929</v>
      </c>
      <c r="F629" s="12">
        <v>45929</v>
      </c>
      <c r="G629" t="s">
        <v>2248</v>
      </c>
      <c r="H629" t="s">
        <v>543</v>
      </c>
      <c r="I629">
        <v>490</v>
      </c>
      <c r="J629">
        <v>0</v>
      </c>
      <c r="M629">
        <v>0.72</v>
      </c>
      <c r="N629">
        <v>352.8</v>
      </c>
      <c r="O629">
        <v>-352.8</v>
      </c>
      <c r="P629">
        <v>0</v>
      </c>
    </row>
    <row r="630" spans="1:16" hidden="1" x14ac:dyDescent="0.25">
      <c r="A630" t="s">
        <v>2040</v>
      </c>
      <c r="B630" t="s">
        <v>2041</v>
      </c>
      <c r="C630" t="s">
        <v>1976</v>
      </c>
      <c r="D630" s="11" t="s">
        <v>2250</v>
      </c>
      <c r="E630" s="12">
        <v>45929</v>
      </c>
      <c r="F630" s="12">
        <v>45929</v>
      </c>
      <c r="G630" t="s">
        <v>2248</v>
      </c>
      <c r="H630" t="s">
        <v>593</v>
      </c>
      <c r="I630">
        <v>1000</v>
      </c>
      <c r="J630">
        <v>0</v>
      </c>
      <c r="M630">
        <v>0.19400000000000001</v>
      </c>
      <c r="N630">
        <v>194</v>
      </c>
      <c r="O630">
        <v>-194</v>
      </c>
      <c r="P630">
        <v>0</v>
      </c>
    </row>
    <row r="631" spans="1:16" hidden="1" x14ac:dyDescent="0.25">
      <c r="A631" t="s">
        <v>2040</v>
      </c>
      <c r="B631" t="s">
        <v>2041</v>
      </c>
      <c r="C631" t="s">
        <v>1976</v>
      </c>
      <c r="D631" s="11" t="s">
        <v>2250</v>
      </c>
      <c r="E631" s="12">
        <v>45929</v>
      </c>
      <c r="F631" s="12">
        <v>45929</v>
      </c>
      <c r="G631" t="s">
        <v>2248</v>
      </c>
      <c r="H631" t="s">
        <v>713</v>
      </c>
      <c r="I631">
        <v>5000</v>
      </c>
      <c r="J631">
        <v>0</v>
      </c>
      <c r="M631">
        <v>1.9E-2</v>
      </c>
      <c r="N631">
        <v>95</v>
      </c>
      <c r="O631">
        <v>-95</v>
      </c>
      <c r="P631">
        <v>0</v>
      </c>
    </row>
    <row r="632" spans="1:16" hidden="1" x14ac:dyDescent="0.25">
      <c r="A632" t="s">
        <v>2040</v>
      </c>
      <c r="B632" t="s">
        <v>2041</v>
      </c>
      <c r="C632" t="s">
        <v>1976</v>
      </c>
      <c r="D632" s="11" t="s">
        <v>2250</v>
      </c>
      <c r="E632" s="12">
        <v>45929</v>
      </c>
      <c r="F632" s="12">
        <v>45929</v>
      </c>
      <c r="G632" t="s">
        <v>2248</v>
      </c>
      <c r="H632" t="s">
        <v>800</v>
      </c>
      <c r="I632">
        <v>7129</v>
      </c>
      <c r="J632">
        <v>0</v>
      </c>
      <c r="M632">
        <v>7.0000000000000001E-3</v>
      </c>
      <c r="N632">
        <v>49.902999999999999</v>
      </c>
      <c r="O632">
        <v>-49.902999999999999</v>
      </c>
      <c r="P632">
        <v>0</v>
      </c>
    </row>
    <row r="633" spans="1:16" hidden="1" x14ac:dyDescent="0.25">
      <c r="A633" t="s">
        <v>2040</v>
      </c>
      <c r="B633" t="s">
        <v>2041</v>
      </c>
      <c r="C633" t="s">
        <v>1976</v>
      </c>
      <c r="D633" s="11" t="s">
        <v>2250</v>
      </c>
      <c r="E633" s="12">
        <v>45929</v>
      </c>
      <c r="F633" s="12">
        <v>45929</v>
      </c>
      <c r="G633" t="s">
        <v>2248</v>
      </c>
      <c r="H633" t="s">
        <v>987</v>
      </c>
      <c r="I633">
        <v>1000</v>
      </c>
      <c r="J633">
        <v>0</v>
      </c>
      <c r="M633">
        <v>0.17</v>
      </c>
      <c r="N633">
        <v>170</v>
      </c>
      <c r="O633">
        <v>-170</v>
      </c>
      <c r="P633">
        <v>0</v>
      </c>
    </row>
    <row r="634" spans="1:16" hidden="1" x14ac:dyDescent="0.25">
      <c r="A634" t="s">
        <v>2040</v>
      </c>
      <c r="B634" t="s">
        <v>2041</v>
      </c>
      <c r="C634" t="s">
        <v>1976</v>
      </c>
      <c r="D634" s="11" t="s">
        <v>2250</v>
      </c>
      <c r="E634" s="12">
        <v>45929</v>
      </c>
      <c r="F634" s="12">
        <v>45929</v>
      </c>
      <c r="G634" t="s">
        <v>2248</v>
      </c>
      <c r="H634" t="s">
        <v>989</v>
      </c>
      <c r="I634">
        <v>500</v>
      </c>
      <c r="J634">
        <v>0</v>
      </c>
      <c r="M634">
        <v>0.19</v>
      </c>
      <c r="N634">
        <v>95</v>
      </c>
      <c r="O634">
        <v>-95</v>
      </c>
      <c r="P634">
        <v>0</v>
      </c>
    </row>
    <row r="635" spans="1:16" hidden="1" x14ac:dyDescent="0.25">
      <c r="A635" t="s">
        <v>2040</v>
      </c>
      <c r="B635" t="s">
        <v>2041</v>
      </c>
      <c r="C635" t="s">
        <v>1976</v>
      </c>
      <c r="D635" s="11" t="s">
        <v>2250</v>
      </c>
      <c r="E635" s="12">
        <v>45929</v>
      </c>
      <c r="F635" s="12">
        <v>45929</v>
      </c>
      <c r="G635" t="s">
        <v>2248</v>
      </c>
      <c r="H635" t="s">
        <v>999</v>
      </c>
      <c r="I635">
        <v>39</v>
      </c>
      <c r="J635">
        <v>0</v>
      </c>
      <c r="M635">
        <v>6.72</v>
      </c>
      <c r="N635">
        <v>262.08</v>
      </c>
      <c r="O635">
        <v>-262.08</v>
      </c>
      <c r="P635">
        <v>0</v>
      </c>
    </row>
    <row r="636" spans="1:16" hidden="1" x14ac:dyDescent="0.25">
      <c r="A636" t="s">
        <v>2040</v>
      </c>
      <c r="B636" t="s">
        <v>2041</v>
      </c>
      <c r="C636" t="s">
        <v>1976</v>
      </c>
      <c r="D636" s="11" t="s">
        <v>2250</v>
      </c>
      <c r="E636" s="12">
        <v>45929</v>
      </c>
      <c r="F636" s="12">
        <v>45929</v>
      </c>
      <c r="G636" t="s">
        <v>2248</v>
      </c>
      <c r="H636" t="s">
        <v>1033</v>
      </c>
      <c r="I636">
        <v>60</v>
      </c>
      <c r="J636">
        <v>0</v>
      </c>
      <c r="M636">
        <v>12.3</v>
      </c>
      <c r="N636">
        <v>738</v>
      </c>
      <c r="O636">
        <v>-738</v>
      </c>
      <c r="P636">
        <v>0</v>
      </c>
    </row>
    <row r="637" spans="1:16" hidden="1" x14ac:dyDescent="0.25">
      <c r="A637" t="s">
        <v>2040</v>
      </c>
      <c r="B637" t="s">
        <v>2041</v>
      </c>
      <c r="C637" t="s">
        <v>1976</v>
      </c>
      <c r="D637" s="11" t="s">
        <v>2250</v>
      </c>
      <c r="E637" s="12">
        <v>45929</v>
      </c>
      <c r="F637" s="12">
        <v>45929</v>
      </c>
      <c r="G637" t="s">
        <v>2248</v>
      </c>
      <c r="H637" t="s">
        <v>1471</v>
      </c>
      <c r="I637">
        <v>10000</v>
      </c>
      <c r="J637">
        <v>0</v>
      </c>
      <c r="M637">
        <v>2E-3</v>
      </c>
      <c r="N637">
        <v>20</v>
      </c>
      <c r="O637">
        <v>-20</v>
      </c>
      <c r="P637">
        <v>0</v>
      </c>
    </row>
    <row r="638" spans="1:16" hidden="1" x14ac:dyDescent="0.25">
      <c r="A638" t="s">
        <v>2040</v>
      </c>
      <c r="B638" t="s">
        <v>2041</v>
      </c>
      <c r="C638" t="s">
        <v>1976</v>
      </c>
      <c r="D638" s="11" t="s">
        <v>2250</v>
      </c>
      <c r="E638" s="12">
        <v>45929</v>
      </c>
      <c r="F638" s="12">
        <v>45929</v>
      </c>
      <c r="G638" t="s">
        <v>2248</v>
      </c>
      <c r="H638" t="s">
        <v>1576</v>
      </c>
      <c r="I638">
        <v>5000</v>
      </c>
      <c r="J638">
        <v>0</v>
      </c>
      <c r="M638">
        <v>1.9E-2</v>
      </c>
      <c r="N638">
        <v>95</v>
      </c>
      <c r="O638">
        <v>-95</v>
      </c>
      <c r="P638">
        <v>0</v>
      </c>
    </row>
    <row r="639" spans="1:16" hidden="1" x14ac:dyDescent="0.25">
      <c r="A639" t="s">
        <v>2040</v>
      </c>
      <c r="B639" t="s">
        <v>2041</v>
      </c>
      <c r="C639" t="s">
        <v>1976</v>
      </c>
      <c r="D639" s="11" t="s">
        <v>2250</v>
      </c>
      <c r="E639" s="12">
        <v>45929</v>
      </c>
      <c r="F639" s="12">
        <v>45929</v>
      </c>
      <c r="G639" t="s">
        <v>2248</v>
      </c>
      <c r="H639" t="s">
        <v>1653</v>
      </c>
      <c r="I639">
        <v>2920</v>
      </c>
      <c r="J639">
        <v>0</v>
      </c>
      <c r="M639">
        <v>4.6899999999999997E-2</v>
      </c>
      <c r="N639">
        <v>136.94800000000001</v>
      </c>
      <c r="O639">
        <v>-136.94800000000001</v>
      </c>
      <c r="P639">
        <v>0</v>
      </c>
    </row>
    <row r="640" spans="1:16" hidden="1" x14ac:dyDescent="0.25">
      <c r="A640" t="s">
        <v>2040</v>
      </c>
      <c r="B640" t="s">
        <v>2041</v>
      </c>
      <c r="C640" t="s">
        <v>1976</v>
      </c>
      <c r="D640" s="11" t="s">
        <v>2250</v>
      </c>
      <c r="E640" s="12">
        <v>45929</v>
      </c>
      <c r="F640" s="12">
        <v>45929</v>
      </c>
      <c r="G640" t="s">
        <v>2248</v>
      </c>
      <c r="H640" t="s">
        <v>1710</v>
      </c>
      <c r="I640">
        <v>750</v>
      </c>
      <c r="J640">
        <v>0</v>
      </c>
      <c r="M640">
        <v>0.123</v>
      </c>
      <c r="N640">
        <v>92.25</v>
      </c>
      <c r="O640">
        <v>-92.25</v>
      </c>
      <c r="P640">
        <v>0</v>
      </c>
    </row>
    <row r="641" spans="1:16" hidden="1" x14ac:dyDescent="0.25">
      <c r="A641" t="s">
        <v>2040</v>
      </c>
      <c r="B641" t="s">
        <v>2041</v>
      </c>
      <c r="C641" t="s">
        <v>1976</v>
      </c>
      <c r="D641" s="11" t="s">
        <v>2250</v>
      </c>
      <c r="E641" s="12">
        <v>45929</v>
      </c>
      <c r="F641" s="12">
        <v>45929</v>
      </c>
      <c r="G641" t="s">
        <v>2248</v>
      </c>
      <c r="H641" t="s">
        <v>1712</v>
      </c>
      <c r="I641">
        <v>1000</v>
      </c>
      <c r="J641">
        <v>0</v>
      </c>
      <c r="M641">
        <v>0.11799999999999999</v>
      </c>
      <c r="N641">
        <v>118</v>
      </c>
      <c r="O641">
        <v>-118</v>
      </c>
      <c r="P641">
        <v>0</v>
      </c>
    </row>
    <row r="642" spans="1:16" hidden="1" x14ac:dyDescent="0.25">
      <c r="A642" t="s">
        <v>2040</v>
      </c>
      <c r="B642" t="s">
        <v>2041</v>
      </c>
      <c r="C642" t="s">
        <v>1976</v>
      </c>
      <c r="D642" s="11" t="s">
        <v>2250</v>
      </c>
      <c r="E642" s="12">
        <v>45929</v>
      </c>
      <c r="F642" s="12">
        <v>45929</v>
      </c>
      <c r="G642" t="s">
        <v>2248</v>
      </c>
      <c r="H642" t="s">
        <v>1728</v>
      </c>
      <c r="I642">
        <v>278</v>
      </c>
      <c r="J642">
        <v>0</v>
      </c>
      <c r="M642">
        <v>0.111</v>
      </c>
      <c r="N642">
        <v>30.858000000000001</v>
      </c>
      <c r="O642">
        <v>-30.858000000000001</v>
      </c>
      <c r="P642">
        <v>0</v>
      </c>
    </row>
    <row r="643" spans="1:16" hidden="1" x14ac:dyDescent="0.25">
      <c r="A643" t="s">
        <v>2040</v>
      </c>
      <c r="B643" t="s">
        <v>2041</v>
      </c>
      <c r="C643" t="s">
        <v>1976</v>
      </c>
      <c r="D643" s="11" t="s">
        <v>2250</v>
      </c>
      <c r="E643" s="12">
        <v>45929</v>
      </c>
      <c r="F643" s="12">
        <v>45929</v>
      </c>
      <c r="G643" t="s">
        <v>2248</v>
      </c>
      <c r="H643" t="s">
        <v>1841</v>
      </c>
      <c r="I643">
        <v>500</v>
      </c>
      <c r="J643">
        <v>0</v>
      </c>
      <c r="M643">
        <v>0.37990000000000002</v>
      </c>
      <c r="N643">
        <v>189.95</v>
      </c>
      <c r="O643">
        <v>-189.95</v>
      </c>
      <c r="P643">
        <v>0</v>
      </c>
    </row>
    <row r="644" spans="1:16" hidden="1" x14ac:dyDescent="0.25">
      <c r="A644" t="s">
        <v>2040</v>
      </c>
      <c r="B644" t="s">
        <v>2041</v>
      </c>
      <c r="C644" t="s">
        <v>1976</v>
      </c>
      <c r="D644" s="11" t="s">
        <v>2250</v>
      </c>
      <c r="E644" s="12">
        <v>45929</v>
      </c>
      <c r="F644" s="12">
        <v>45929</v>
      </c>
      <c r="G644" t="s">
        <v>2248</v>
      </c>
      <c r="H644" t="s">
        <v>1843</v>
      </c>
      <c r="I644">
        <v>200</v>
      </c>
      <c r="J644">
        <v>0</v>
      </c>
      <c r="M644">
        <v>1.0900000000000001</v>
      </c>
      <c r="N644">
        <v>218</v>
      </c>
      <c r="O644">
        <v>-218</v>
      </c>
      <c r="P644">
        <v>0</v>
      </c>
    </row>
    <row r="645" spans="1:16" hidden="1" x14ac:dyDescent="0.25">
      <c r="A645" t="s">
        <v>2040</v>
      </c>
      <c r="B645" t="s">
        <v>2041</v>
      </c>
      <c r="C645" t="s">
        <v>1976</v>
      </c>
      <c r="D645" s="11" t="s">
        <v>2250</v>
      </c>
      <c r="E645" s="12">
        <v>45929</v>
      </c>
      <c r="F645" s="12">
        <v>45929</v>
      </c>
      <c r="G645" t="s">
        <v>2248</v>
      </c>
      <c r="H645" t="s">
        <v>1857</v>
      </c>
      <c r="I645">
        <v>4</v>
      </c>
      <c r="J645">
        <v>0</v>
      </c>
      <c r="M645">
        <v>15.936999999999999</v>
      </c>
      <c r="N645">
        <v>63.747999999999998</v>
      </c>
      <c r="O645">
        <v>-63.747999999999998</v>
      </c>
      <c r="P645">
        <v>0</v>
      </c>
    </row>
    <row r="646" spans="1:16" hidden="1" x14ac:dyDescent="0.25">
      <c r="A646" t="s">
        <v>2040</v>
      </c>
      <c r="B646" t="s">
        <v>2041</v>
      </c>
      <c r="C646" t="s">
        <v>1976</v>
      </c>
      <c r="D646" s="11" t="s">
        <v>2250</v>
      </c>
      <c r="E646" s="12">
        <v>45929</v>
      </c>
      <c r="F646" s="12">
        <v>45929</v>
      </c>
      <c r="G646" t="s">
        <v>2248</v>
      </c>
      <c r="H646" t="s">
        <v>10</v>
      </c>
      <c r="I646">
        <v>916</v>
      </c>
      <c r="J646">
        <v>0</v>
      </c>
      <c r="M646">
        <v>0.317</v>
      </c>
      <c r="N646">
        <v>290.37200000000001</v>
      </c>
      <c r="O646">
        <v>-290.37200000000001</v>
      </c>
      <c r="P646">
        <v>0</v>
      </c>
    </row>
    <row r="647" spans="1:16" hidden="1" x14ac:dyDescent="0.25">
      <c r="A647" t="s">
        <v>2040</v>
      </c>
      <c r="B647" t="s">
        <v>2041</v>
      </c>
      <c r="C647" t="s">
        <v>1976</v>
      </c>
      <c r="D647" s="11" t="s">
        <v>2250</v>
      </c>
      <c r="E647" s="12">
        <v>45929</v>
      </c>
      <c r="F647" s="12">
        <v>45929</v>
      </c>
      <c r="G647" t="s">
        <v>2248</v>
      </c>
      <c r="H647" t="s">
        <v>18</v>
      </c>
      <c r="I647">
        <v>3800</v>
      </c>
      <c r="J647">
        <v>0</v>
      </c>
      <c r="M647">
        <v>0.09</v>
      </c>
      <c r="N647">
        <v>342</v>
      </c>
      <c r="O647">
        <v>-342</v>
      </c>
      <c r="P647">
        <v>0</v>
      </c>
    </row>
    <row r="648" spans="1:16" hidden="1" x14ac:dyDescent="0.25">
      <c r="A648" t="s">
        <v>2040</v>
      </c>
      <c r="B648" t="s">
        <v>2041</v>
      </c>
      <c r="C648" t="s">
        <v>1976</v>
      </c>
      <c r="D648" s="11" t="s">
        <v>2250</v>
      </c>
      <c r="E648" s="12">
        <v>45929</v>
      </c>
      <c r="F648" s="12">
        <v>45929</v>
      </c>
      <c r="G648" t="s">
        <v>2248</v>
      </c>
      <c r="H648" t="s">
        <v>27</v>
      </c>
      <c r="I648">
        <v>3000</v>
      </c>
      <c r="J648">
        <v>0</v>
      </c>
      <c r="M648">
        <v>0.17</v>
      </c>
      <c r="N648">
        <v>510</v>
      </c>
      <c r="O648">
        <v>-510</v>
      </c>
      <c r="P648">
        <v>0</v>
      </c>
    </row>
    <row r="649" spans="1:16" hidden="1" x14ac:dyDescent="0.25">
      <c r="A649" t="s">
        <v>2040</v>
      </c>
      <c r="B649" t="s">
        <v>2041</v>
      </c>
      <c r="C649" t="s">
        <v>1976</v>
      </c>
      <c r="D649" s="11" t="s">
        <v>2250</v>
      </c>
      <c r="E649" s="12">
        <v>45929</v>
      </c>
      <c r="F649" s="12">
        <v>45929</v>
      </c>
      <c r="G649" t="s">
        <v>2248</v>
      </c>
      <c r="H649" t="s">
        <v>97</v>
      </c>
      <c r="I649">
        <v>100</v>
      </c>
      <c r="J649">
        <v>0</v>
      </c>
      <c r="M649">
        <v>21.9846</v>
      </c>
      <c r="N649">
        <v>2198.46</v>
      </c>
      <c r="O649">
        <v>-2198.46</v>
      </c>
      <c r="P649">
        <v>0</v>
      </c>
    </row>
    <row r="650" spans="1:16" hidden="1" x14ac:dyDescent="0.25">
      <c r="A650" t="s">
        <v>2040</v>
      </c>
      <c r="B650" t="s">
        <v>2041</v>
      </c>
      <c r="C650" t="s">
        <v>1976</v>
      </c>
      <c r="D650" s="11" t="s">
        <v>2250</v>
      </c>
      <c r="E650" s="12">
        <v>45929</v>
      </c>
      <c r="F650" s="12">
        <v>45929</v>
      </c>
      <c r="G650" t="s">
        <v>2248</v>
      </c>
      <c r="H650" t="s">
        <v>99</v>
      </c>
      <c r="I650">
        <v>100</v>
      </c>
      <c r="J650">
        <v>0</v>
      </c>
      <c r="M650">
        <v>33.64</v>
      </c>
      <c r="N650">
        <v>3364</v>
      </c>
      <c r="O650">
        <v>-3364</v>
      </c>
      <c r="P650">
        <v>0</v>
      </c>
    </row>
    <row r="651" spans="1:16" hidden="1" x14ac:dyDescent="0.25">
      <c r="A651" t="s">
        <v>2040</v>
      </c>
      <c r="B651" t="s">
        <v>2041</v>
      </c>
      <c r="C651" t="s">
        <v>1976</v>
      </c>
      <c r="D651" s="11" t="s">
        <v>2250</v>
      </c>
      <c r="E651" s="12">
        <v>45929</v>
      </c>
      <c r="F651" s="12">
        <v>45929</v>
      </c>
      <c r="G651" t="s">
        <v>2248</v>
      </c>
      <c r="H651" t="s">
        <v>124</v>
      </c>
      <c r="I651">
        <v>187</v>
      </c>
      <c r="J651">
        <v>0</v>
      </c>
      <c r="M651">
        <v>8.64</v>
      </c>
      <c r="N651">
        <v>1615.68</v>
      </c>
      <c r="O651">
        <v>-1615.68</v>
      </c>
      <c r="P651">
        <v>0</v>
      </c>
    </row>
    <row r="652" spans="1:16" hidden="1" x14ac:dyDescent="0.25">
      <c r="A652" t="s">
        <v>2040</v>
      </c>
      <c r="B652" t="s">
        <v>2041</v>
      </c>
      <c r="C652" t="s">
        <v>1976</v>
      </c>
      <c r="D652" s="11" t="s">
        <v>2250</v>
      </c>
      <c r="E652" s="12">
        <v>45929</v>
      </c>
      <c r="F652" s="12">
        <v>45929</v>
      </c>
      <c r="G652" t="s">
        <v>2248</v>
      </c>
      <c r="H652" t="s">
        <v>134</v>
      </c>
      <c r="I652">
        <v>2000</v>
      </c>
      <c r="J652">
        <v>0</v>
      </c>
      <c r="M652">
        <v>0.15</v>
      </c>
      <c r="N652">
        <v>300</v>
      </c>
      <c r="O652">
        <v>-300</v>
      </c>
      <c r="P652">
        <v>0</v>
      </c>
    </row>
    <row r="653" spans="1:16" hidden="1" x14ac:dyDescent="0.25">
      <c r="A653" t="s">
        <v>2040</v>
      </c>
      <c r="B653" t="s">
        <v>2041</v>
      </c>
      <c r="C653" t="s">
        <v>1976</v>
      </c>
      <c r="D653" s="11" t="s">
        <v>2250</v>
      </c>
      <c r="E653" s="12">
        <v>45929</v>
      </c>
      <c r="F653" s="12">
        <v>45929</v>
      </c>
      <c r="G653" t="s">
        <v>2248</v>
      </c>
      <c r="H653" t="s">
        <v>2257</v>
      </c>
      <c r="I653">
        <v>100</v>
      </c>
      <c r="J653">
        <v>0</v>
      </c>
      <c r="M653">
        <v>0.37990000000000002</v>
      </c>
      <c r="N653">
        <v>37.99</v>
      </c>
      <c r="O653">
        <v>-37.99</v>
      </c>
      <c r="P653">
        <v>0</v>
      </c>
    </row>
    <row r="654" spans="1:16" hidden="1" x14ac:dyDescent="0.25">
      <c r="A654" t="s">
        <v>2040</v>
      </c>
      <c r="B654" t="s">
        <v>2041</v>
      </c>
      <c r="C654" t="s">
        <v>1976</v>
      </c>
      <c r="D654" s="11" t="s">
        <v>2250</v>
      </c>
      <c r="E654" s="12">
        <v>45929</v>
      </c>
      <c r="F654" s="12">
        <v>45929</v>
      </c>
      <c r="G654" t="s">
        <v>2248</v>
      </c>
      <c r="H654" t="s">
        <v>182</v>
      </c>
      <c r="I654">
        <v>299</v>
      </c>
      <c r="J654">
        <v>0</v>
      </c>
      <c r="M654">
        <v>2.1560000000000001</v>
      </c>
      <c r="N654">
        <v>644.64400000000001</v>
      </c>
      <c r="O654">
        <v>-644.64400000000001</v>
      </c>
      <c r="P654">
        <v>0</v>
      </c>
    </row>
    <row r="655" spans="1:16" hidden="1" x14ac:dyDescent="0.25">
      <c r="A655" t="s">
        <v>2040</v>
      </c>
      <c r="B655" t="s">
        <v>2041</v>
      </c>
      <c r="C655" t="s">
        <v>1976</v>
      </c>
      <c r="D655" s="11" t="s">
        <v>2250</v>
      </c>
      <c r="E655" s="12">
        <v>45929</v>
      </c>
      <c r="F655" s="12">
        <v>45929</v>
      </c>
      <c r="G655" t="s">
        <v>2248</v>
      </c>
      <c r="H655" t="s">
        <v>208</v>
      </c>
      <c r="I655">
        <v>80</v>
      </c>
      <c r="J655">
        <v>0</v>
      </c>
      <c r="M655">
        <v>0.59499999999999997</v>
      </c>
      <c r="N655">
        <v>47.6</v>
      </c>
      <c r="O655">
        <v>-47.6</v>
      </c>
      <c r="P655">
        <v>0</v>
      </c>
    </row>
    <row r="656" spans="1:16" hidden="1" x14ac:dyDescent="0.25">
      <c r="A656" t="s">
        <v>2040</v>
      </c>
      <c r="B656" t="s">
        <v>2041</v>
      </c>
      <c r="C656" t="s">
        <v>1976</v>
      </c>
      <c r="D656" s="11" t="s">
        <v>2250</v>
      </c>
      <c r="E656" s="12">
        <v>45929</v>
      </c>
      <c r="F656" s="12">
        <v>45929</v>
      </c>
      <c r="G656" t="s">
        <v>2248</v>
      </c>
      <c r="H656" t="s">
        <v>226</v>
      </c>
      <c r="I656">
        <v>200</v>
      </c>
      <c r="J656">
        <v>0</v>
      </c>
      <c r="M656">
        <v>0.28470000000000001</v>
      </c>
      <c r="N656">
        <v>56.94</v>
      </c>
      <c r="O656">
        <v>-56.94</v>
      </c>
      <c r="P656">
        <v>0</v>
      </c>
    </row>
    <row r="657" spans="1:16" hidden="1" x14ac:dyDescent="0.25">
      <c r="A657" t="s">
        <v>2040</v>
      </c>
      <c r="B657" t="s">
        <v>2041</v>
      </c>
      <c r="C657" t="s">
        <v>1976</v>
      </c>
      <c r="D657" s="11" t="s">
        <v>2250</v>
      </c>
      <c r="E657" s="12">
        <v>45929</v>
      </c>
      <c r="F657" s="12">
        <v>45929</v>
      </c>
      <c r="G657" t="s">
        <v>2248</v>
      </c>
      <c r="H657" t="s">
        <v>2258</v>
      </c>
      <c r="I657">
        <v>119</v>
      </c>
      <c r="J657">
        <v>0</v>
      </c>
      <c r="M657">
        <v>0.66400000000000003</v>
      </c>
      <c r="N657">
        <v>79.016000000000005</v>
      </c>
      <c r="O657">
        <v>-79.016000000000005</v>
      </c>
      <c r="P657">
        <v>0</v>
      </c>
    </row>
    <row r="658" spans="1:16" hidden="1" x14ac:dyDescent="0.25">
      <c r="A658" t="s">
        <v>2040</v>
      </c>
      <c r="B658" t="s">
        <v>2041</v>
      </c>
      <c r="C658" t="s">
        <v>1976</v>
      </c>
      <c r="D658" s="11" t="s">
        <v>2250</v>
      </c>
      <c r="E658" s="12">
        <v>45929</v>
      </c>
      <c r="F658" s="12">
        <v>45929</v>
      </c>
      <c r="G658" t="s">
        <v>2248</v>
      </c>
      <c r="H658" t="s">
        <v>266</v>
      </c>
      <c r="I658">
        <v>200</v>
      </c>
      <c r="J658">
        <v>0</v>
      </c>
      <c r="M658">
        <v>0.27200000000000002</v>
      </c>
      <c r="N658">
        <v>54.4</v>
      </c>
      <c r="O658">
        <v>-54.4</v>
      </c>
      <c r="P658">
        <v>0</v>
      </c>
    </row>
    <row r="659" spans="1:16" hidden="1" x14ac:dyDescent="0.25">
      <c r="A659" t="s">
        <v>2040</v>
      </c>
      <c r="B659" t="s">
        <v>2041</v>
      </c>
      <c r="C659" t="s">
        <v>1976</v>
      </c>
      <c r="D659" s="11" t="s">
        <v>2250</v>
      </c>
      <c r="E659" s="12">
        <v>45929</v>
      </c>
      <c r="F659" s="12">
        <v>45929</v>
      </c>
      <c r="G659" t="s">
        <v>2248</v>
      </c>
      <c r="H659" t="s">
        <v>2259</v>
      </c>
      <c r="I659">
        <v>100</v>
      </c>
      <c r="J659">
        <v>0</v>
      </c>
      <c r="M659">
        <v>0.752</v>
      </c>
      <c r="N659">
        <v>75.2</v>
      </c>
      <c r="O659">
        <v>-75.2</v>
      </c>
      <c r="P659">
        <v>0</v>
      </c>
    </row>
    <row r="660" spans="1:16" hidden="1" x14ac:dyDescent="0.25">
      <c r="A660" t="s">
        <v>2040</v>
      </c>
      <c r="B660" t="s">
        <v>2041</v>
      </c>
      <c r="C660" t="s">
        <v>1976</v>
      </c>
      <c r="D660" s="11" t="s">
        <v>2250</v>
      </c>
      <c r="E660" s="12">
        <v>45929</v>
      </c>
      <c r="F660" s="12">
        <v>45929</v>
      </c>
      <c r="G660" t="s">
        <v>2248</v>
      </c>
      <c r="H660" t="s">
        <v>294</v>
      </c>
      <c r="I660">
        <v>60</v>
      </c>
      <c r="J660">
        <v>0</v>
      </c>
      <c r="M660">
        <v>4.7649999999999997</v>
      </c>
      <c r="N660">
        <v>285.89999999999998</v>
      </c>
      <c r="O660">
        <v>-285.89999999999998</v>
      </c>
      <c r="P660">
        <v>0</v>
      </c>
    </row>
    <row r="661" spans="1:16" hidden="1" x14ac:dyDescent="0.25">
      <c r="A661" t="s">
        <v>2040</v>
      </c>
      <c r="B661" t="s">
        <v>2041</v>
      </c>
      <c r="C661" t="s">
        <v>1976</v>
      </c>
      <c r="D661" s="11" t="s">
        <v>2250</v>
      </c>
      <c r="E661" s="12">
        <v>45929</v>
      </c>
      <c r="F661" s="12">
        <v>45929</v>
      </c>
      <c r="G661" t="s">
        <v>2248</v>
      </c>
      <c r="H661" t="s">
        <v>299</v>
      </c>
      <c r="I661">
        <v>100</v>
      </c>
      <c r="J661">
        <v>0</v>
      </c>
      <c r="M661">
        <v>1.7</v>
      </c>
      <c r="N661">
        <v>170</v>
      </c>
      <c r="O661">
        <v>-170</v>
      </c>
      <c r="P661">
        <v>0</v>
      </c>
    </row>
    <row r="662" spans="1:16" hidden="1" x14ac:dyDescent="0.25">
      <c r="A662" t="s">
        <v>2040</v>
      </c>
      <c r="B662" t="s">
        <v>2041</v>
      </c>
      <c r="C662" t="s">
        <v>1976</v>
      </c>
      <c r="D662" s="11" t="s">
        <v>2250</v>
      </c>
      <c r="E662" s="12">
        <v>45929</v>
      </c>
      <c r="F662" s="12">
        <v>45929</v>
      </c>
      <c r="G662" t="s">
        <v>2248</v>
      </c>
      <c r="H662" t="s">
        <v>306</v>
      </c>
      <c r="I662">
        <v>208</v>
      </c>
      <c r="J662">
        <v>0</v>
      </c>
      <c r="M662">
        <v>0.58599999999999997</v>
      </c>
      <c r="N662">
        <v>121.88800000000001</v>
      </c>
      <c r="O662">
        <v>-121.88800000000001</v>
      </c>
      <c r="P662">
        <v>0</v>
      </c>
    </row>
    <row r="663" spans="1:16" hidden="1" x14ac:dyDescent="0.25">
      <c r="A663" t="s">
        <v>2040</v>
      </c>
      <c r="B663" t="s">
        <v>2041</v>
      </c>
      <c r="C663" t="s">
        <v>1976</v>
      </c>
      <c r="D663" s="11" t="s">
        <v>2250</v>
      </c>
      <c r="E663" s="12">
        <v>45929</v>
      </c>
      <c r="F663" s="12">
        <v>45929</v>
      </c>
      <c r="G663" t="s">
        <v>2248</v>
      </c>
      <c r="H663" t="s">
        <v>341</v>
      </c>
      <c r="I663">
        <v>570</v>
      </c>
      <c r="J663">
        <v>0</v>
      </c>
      <c r="M663">
        <v>4.5383300000000002</v>
      </c>
      <c r="N663">
        <v>2586.8481000000002</v>
      </c>
      <c r="O663">
        <v>-2586.8481000000002</v>
      </c>
      <c r="P663">
        <v>0</v>
      </c>
    </row>
    <row r="664" spans="1:16" hidden="1" x14ac:dyDescent="0.25">
      <c r="A664" t="s">
        <v>2040</v>
      </c>
      <c r="B664" t="s">
        <v>2041</v>
      </c>
      <c r="C664" t="s">
        <v>1976</v>
      </c>
      <c r="D664" s="11" t="s">
        <v>2250</v>
      </c>
      <c r="E664" s="12">
        <v>45929</v>
      </c>
      <c r="F664" s="12">
        <v>45929</v>
      </c>
      <c r="G664" t="s">
        <v>2248</v>
      </c>
      <c r="H664" t="s">
        <v>367</v>
      </c>
      <c r="I664">
        <v>50</v>
      </c>
      <c r="J664">
        <v>0</v>
      </c>
      <c r="M664">
        <v>2.6456</v>
      </c>
      <c r="N664">
        <v>132.28</v>
      </c>
      <c r="O664">
        <v>-132.28</v>
      </c>
      <c r="P664">
        <v>0</v>
      </c>
    </row>
    <row r="665" spans="1:16" hidden="1" x14ac:dyDescent="0.25">
      <c r="A665" t="s">
        <v>2040</v>
      </c>
      <c r="B665" t="s">
        <v>2041</v>
      </c>
      <c r="C665" t="s">
        <v>1976</v>
      </c>
      <c r="D665" s="11" t="s">
        <v>2250</v>
      </c>
      <c r="E665" s="12">
        <v>45929</v>
      </c>
      <c r="F665" s="12">
        <v>45929</v>
      </c>
      <c r="G665" t="s">
        <v>2248</v>
      </c>
      <c r="H665" t="s">
        <v>2260</v>
      </c>
      <c r="I665">
        <v>100</v>
      </c>
      <c r="J665">
        <v>0</v>
      </c>
      <c r="M665">
        <v>0.38800000000000001</v>
      </c>
      <c r="N665">
        <v>38.799999999999997</v>
      </c>
      <c r="O665">
        <v>-38.799999999999997</v>
      </c>
      <c r="P665">
        <v>0</v>
      </c>
    </row>
    <row r="666" spans="1:16" hidden="1" x14ac:dyDescent="0.25">
      <c r="A666" t="s">
        <v>2040</v>
      </c>
      <c r="B666" t="s">
        <v>2041</v>
      </c>
      <c r="C666" t="s">
        <v>1976</v>
      </c>
      <c r="D666" s="11" t="s">
        <v>2250</v>
      </c>
      <c r="E666" s="12">
        <v>45929</v>
      </c>
      <c r="F666" s="12">
        <v>45929</v>
      </c>
      <c r="G666" t="s">
        <v>2248</v>
      </c>
      <c r="H666" t="s">
        <v>2261</v>
      </c>
      <c r="I666">
        <v>200</v>
      </c>
      <c r="J666">
        <v>0</v>
      </c>
      <c r="M666">
        <v>0.18179999999999999</v>
      </c>
      <c r="N666">
        <v>36.36</v>
      </c>
      <c r="O666">
        <v>-36.36</v>
      </c>
      <c r="P666">
        <v>0</v>
      </c>
    </row>
    <row r="667" spans="1:16" hidden="1" x14ac:dyDescent="0.25">
      <c r="A667" t="s">
        <v>2040</v>
      </c>
      <c r="B667" t="s">
        <v>2041</v>
      </c>
      <c r="C667" t="s">
        <v>1976</v>
      </c>
      <c r="D667" s="11" t="s">
        <v>2250</v>
      </c>
      <c r="E667" s="12">
        <v>45929</v>
      </c>
      <c r="F667" s="12">
        <v>45929</v>
      </c>
      <c r="G667" t="s">
        <v>2248</v>
      </c>
      <c r="H667" t="s">
        <v>434</v>
      </c>
      <c r="I667">
        <v>500</v>
      </c>
      <c r="J667">
        <v>0</v>
      </c>
      <c r="M667">
        <v>1.7230000000000001</v>
      </c>
      <c r="N667">
        <v>861.5</v>
      </c>
      <c r="O667">
        <v>-861.5</v>
      </c>
      <c r="P667">
        <v>0</v>
      </c>
    </row>
    <row r="668" spans="1:16" hidden="1" x14ac:dyDescent="0.25">
      <c r="A668" t="s">
        <v>2040</v>
      </c>
      <c r="B668" t="s">
        <v>2041</v>
      </c>
      <c r="C668" t="s">
        <v>1976</v>
      </c>
      <c r="D668" s="11" t="s">
        <v>2250</v>
      </c>
      <c r="E668" s="12">
        <v>45929</v>
      </c>
      <c r="F668" s="12">
        <v>45929</v>
      </c>
      <c r="G668" t="s">
        <v>2248</v>
      </c>
      <c r="H668" t="s">
        <v>436</v>
      </c>
      <c r="I668">
        <v>250</v>
      </c>
      <c r="J668">
        <v>0</v>
      </c>
      <c r="M668">
        <v>1.42</v>
      </c>
      <c r="N668">
        <v>355</v>
      </c>
      <c r="O668">
        <v>-355</v>
      </c>
      <c r="P668">
        <v>0</v>
      </c>
    </row>
    <row r="669" spans="1:16" hidden="1" x14ac:dyDescent="0.25">
      <c r="A669" t="s">
        <v>2040</v>
      </c>
      <c r="B669" t="s">
        <v>2041</v>
      </c>
      <c r="C669" t="s">
        <v>1976</v>
      </c>
      <c r="D669" s="11" t="s">
        <v>2250</v>
      </c>
      <c r="E669" s="12">
        <v>45929</v>
      </c>
      <c r="F669" s="12">
        <v>45929</v>
      </c>
      <c r="G669" t="s">
        <v>2248</v>
      </c>
      <c r="H669" t="s">
        <v>436</v>
      </c>
      <c r="I669">
        <v>250</v>
      </c>
      <c r="J669">
        <v>0</v>
      </c>
      <c r="M669">
        <v>1.42</v>
      </c>
      <c r="N669">
        <v>355</v>
      </c>
      <c r="O669">
        <v>-355</v>
      </c>
      <c r="P669">
        <v>0</v>
      </c>
    </row>
    <row r="670" spans="1:16" hidden="1" x14ac:dyDescent="0.25">
      <c r="A670" t="s">
        <v>2040</v>
      </c>
      <c r="B670" t="s">
        <v>2041</v>
      </c>
      <c r="C670" t="s">
        <v>1976</v>
      </c>
      <c r="D670" s="11" t="s">
        <v>2250</v>
      </c>
      <c r="E670" s="12">
        <v>45929</v>
      </c>
      <c r="F670" s="12">
        <v>45929</v>
      </c>
      <c r="G670" t="s">
        <v>2248</v>
      </c>
      <c r="H670" t="s">
        <v>438</v>
      </c>
      <c r="I670">
        <v>500</v>
      </c>
      <c r="J670">
        <v>0</v>
      </c>
      <c r="M670">
        <v>1.44</v>
      </c>
      <c r="N670">
        <v>720</v>
      </c>
      <c r="O670">
        <v>-720</v>
      </c>
      <c r="P670">
        <v>0</v>
      </c>
    </row>
    <row r="671" spans="1:16" hidden="1" x14ac:dyDescent="0.25">
      <c r="A671" t="s">
        <v>2040</v>
      </c>
      <c r="B671" t="s">
        <v>2041</v>
      </c>
      <c r="C671" t="s">
        <v>1976</v>
      </c>
      <c r="D671" s="11" t="s">
        <v>2250</v>
      </c>
      <c r="E671" s="12">
        <v>45929</v>
      </c>
      <c r="F671" s="12">
        <v>45929</v>
      </c>
      <c r="G671" t="s">
        <v>2248</v>
      </c>
      <c r="H671" t="s">
        <v>447</v>
      </c>
      <c r="I671">
        <v>1008</v>
      </c>
      <c r="J671">
        <v>0</v>
      </c>
      <c r="M671">
        <v>1.4256200000000001</v>
      </c>
      <c r="N671">
        <v>1437.02496</v>
      </c>
      <c r="O671">
        <v>-1437.02496</v>
      </c>
      <c r="P671">
        <v>0</v>
      </c>
    </row>
    <row r="672" spans="1:16" hidden="1" x14ac:dyDescent="0.25">
      <c r="A672" t="s">
        <v>2040</v>
      </c>
      <c r="B672" t="s">
        <v>2041</v>
      </c>
      <c r="C672" t="s">
        <v>1976</v>
      </c>
      <c r="D672" s="11" t="s">
        <v>2250</v>
      </c>
      <c r="E672" s="12">
        <v>45929</v>
      </c>
      <c r="F672" s="12">
        <v>45929</v>
      </c>
      <c r="G672" t="s">
        <v>2248</v>
      </c>
      <c r="H672" t="s">
        <v>468</v>
      </c>
      <c r="I672">
        <v>5000</v>
      </c>
      <c r="J672">
        <v>0</v>
      </c>
      <c r="M672">
        <v>3.0000000000000001E-3</v>
      </c>
      <c r="N672">
        <v>15</v>
      </c>
      <c r="O672">
        <v>-15</v>
      </c>
      <c r="P672">
        <v>0</v>
      </c>
    </row>
    <row r="673" spans="1:16" hidden="1" x14ac:dyDescent="0.25">
      <c r="A673" t="s">
        <v>2040</v>
      </c>
      <c r="B673" t="s">
        <v>2041</v>
      </c>
      <c r="C673" t="s">
        <v>1976</v>
      </c>
      <c r="D673" s="11" t="s">
        <v>2250</v>
      </c>
      <c r="E673" s="12">
        <v>45929</v>
      </c>
      <c r="F673" s="12">
        <v>45929</v>
      </c>
      <c r="G673" t="s">
        <v>2248</v>
      </c>
      <c r="H673" t="s">
        <v>470</v>
      </c>
      <c r="I673">
        <v>4850</v>
      </c>
      <c r="J673">
        <v>0</v>
      </c>
      <c r="M673">
        <v>4.0000000000000001E-3</v>
      </c>
      <c r="N673">
        <v>19.399999999999999</v>
      </c>
      <c r="O673">
        <v>-19.399999999999999</v>
      </c>
      <c r="P673">
        <v>0</v>
      </c>
    </row>
    <row r="674" spans="1:16" hidden="1" x14ac:dyDescent="0.25">
      <c r="A674" t="s">
        <v>2040</v>
      </c>
      <c r="B674" t="s">
        <v>2041</v>
      </c>
      <c r="C674" t="s">
        <v>1976</v>
      </c>
      <c r="D674" s="11" t="s">
        <v>2250</v>
      </c>
      <c r="E674" s="12">
        <v>45929</v>
      </c>
      <c r="F674" s="12">
        <v>45929</v>
      </c>
      <c r="G674" t="s">
        <v>2248</v>
      </c>
      <c r="H674" t="s">
        <v>474</v>
      </c>
      <c r="I674">
        <v>5000</v>
      </c>
      <c r="J674">
        <v>0</v>
      </c>
      <c r="M674">
        <v>4.0000000000000001E-3</v>
      </c>
      <c r="N674">
        <v>20</v>
      </c>
      <c r="O674">
        <v>-20</v>
      </c>
      <c r="P674">
        <v>0</v>
      </c>
    </row>
    <row r="675" spans="1:16" hidden="1" x14ac:dyDescent="0.25">
      <c r="A675" t="s">
        <v>2040</v>
      </c>
      <c r="B675" t="s">
        <v>2041</v>
      </c>
      <c r="C675" t="s">
        <v>1976</v>
      </c>
      <c r="D675" s="11" t="s">
        <v>2250</v>
      </c>
      <c r="E675" s="12">
        <v>45929</v>
      </c>
      <c r="F675" s="12">
        <v>45929</v>
      </c>
      <c r="G675" t="s">
        <v>2248</v>
      </c>
      <c r="H675" t="s">
        <v>478</v>
      </c>
      <c r="I675">
        <v>5000</v>
      </c>
      <c r="J675">
        <v>0</v>
      </c>
      <c r="M675">
        <v>5.0000000000000001E-3</v>
      </c>
      <c r="N675">
        <v>25</v>
      </c>
      <c r="O675">
        <v>-25</v>
      </c>
      <c r="P675">
        <v>0</v>
      </c>
    </row>
    <row r="676" spans="1:16" hidden="1" x14ac:dyDescent="0.25">
      <c r="A676" t="s">
        <v>2040</v>
      </c>
      <c r="B676" t="s">
        <v>2041</v>
      </c>
      <c r="C676" t="s">
        <v>1976</v>
      </c>
      <c r="D676" s="11" t="s">
        <v>2250</v>
      </c>
      <c r="E676" s="12">
        <v>45929</v>
      </c>
      <c r="F676" s="12">
        <v>45929</v>
      </c>
      <c r="G676" t="s">
        <v>2248</v>
      </c>
      <c r="H676" t="s">
        <v>509</v>
      </c>
      <c r="I676">
        <v>4000</v>
      </c>
      <c r="J676">
        <v>0</v>
      </c>
      <c r="M676">
        <v>0.76356000000000002</v>
      </c>
      <c r="N676">
        <v>3054.24</v>
      </c>
      <c r="O676">
        <v>-3054.24</v>
      </c>
      <c r="P676">
        <v>0</v>
      </c>
    </row>
    <row r="677" spans="1:16" hidden="1" x14ac:dyDescent="0.25">
      <c r="A677" t="s">
        <v>2040</v>
      </c>
      <c r="B677" t="s">
        <v>2041</v>
      </c>
      <c r="C677" t="s">
        <v>1976</v>
      </c>
      <c r="D677" s="11" t="s">
        <v>2250</v>
      </c>
      <c r="E677" s="12">
        <v>45929</v>
      </c>
      <c r="F677" s="12">
        <v>45929</v>
      </c>
      <c r="G677" t="s">
        <v>2248</v>
      </c>
      <c r="H677" t="s">
        <v>547</v>
      </c>
      <c r="I677">
        <v>1000</v>
      </c>
      <c r="J677">
        <v>0</v>
      </c>
      <c r="M677">
        <v>1</v>
      </c>
      <c r="N677">
        <v>1000</v>
      </c>
      <c r="O677">
        <v>-1000</v>
      </c>
      <c r="P677">
        <v>0</v>
      </c>
    </row>
    <row r="678" spans="1:16" hidden="1" x14ac:dyDescent="0.25">
      <c r="A678" t="s">
        <v>2040</v>
      </c>
      <c r="B678" t="s">
        <v>2041</v>
      </c>
      <c r="C678" t="s">
        <v>1976</v>
      </c>
      <c r="D678" s="11" t="s">
        <v>2250</v>
      </c>
      <c r="E678" s="12">
        <v>45929</v>
      </c>
      <c r="F678" s="12">
        <v>45929</v>
      </c>
      <c r="G678" t="s">
        <v>2248</v>
      </c>
      <c r="H678" t="s">
        <v>555</v>
      </c>
      <c r="I678">
        <v>200</v>
      </c>
      <c r="J678">
        <v>0</v>
      </c>
      <c r="M678">
        <v>3.1080000000000001</v>
      </c>
      <c r="N678">
        <v>621.6</v>
      </c>
      <c r="O678">
        <v>-621.6</v>
      </c>
      <c r="P678">
        <v>0</v>
      </c>
    </row>
    <row r="679" spans="1:16" hidden="1" x14ac:dyDescent="0.25">
      <c r="A679" t="s">
        <v>2040</v>
      </c>
      <c r="B679" t="s">
        <v>2041</v>
      </c>
      <c r="C679" t="s">
        <v>1976</v>
      </c>
      <c r="D679" s="11" t="s">
        <v>2250</v>
      </c>
      <c r="E679" s="12">
        <v>45929</v>
      </c>
      <c r="F679" s="12">
        <v>45929</v>
      </c>
      <c r="G679" t="s">
        <v>2248</v>
      </c>
      <c r="H679" t="s">
        <v>559</v>
      </c>
      <c r="I679">
        <v>10000</v>
      </c>
      <c r="J679">
        <v>0</v>
      </c>
      <c r="M679">
        <v>6.3E-2</v>
      </c>
      <c r="N679">
        <v>630</v>
      </c>
      <c r="O679">
        <v>-630</v>
      </c>
      <c r="P679">
        <v>0</v>
      </c>
    </row>
    <row r="680" spans="1:16" hidden="1" x14ac:dyDescent="0.25">
      <c r="A680" t="s">
        <v>2040</v>
      </c>
      <c r="B680" t="s">
        <v>2041</v>
      </c>
      <c r="C680" t="s">
        <v>1976</v>
      </c>
      <c r="D680" s="11" t="s">
        <v>2250</v>
      </c>
      <c r="E680" s="12">
        <v>45929</v>
      </c>
      <c r="F680" s="12">
        <v>45929</v>
      </c>
      <c r="G680" t="s">
        <v>2248</v>
      </c>
      <c r="H680" t="s">
        <v>563</v>
      </c>
      <c r="I680">
        <v>4000</v>
      </c>
      <c r="J680">
        <v>0</v>
      </c>
      <c r="M680">
        <v>0.08</v>
      </c>
      <c r="N680">
        <v>320</v>
      </c>
      <c r="O680">
        <v>-320</v>
      </c>
      <c r="P680">
        <v>0</v>
      </c>
    </row>
    <row r="681" spans="1:16" hidden="1" x14ac:dyDescent="0.25">
      <c r="A681" t="s">
        <v>2040</v>
      </c>
      <c r="B681" t="s">
        <v>2041</v>
      </c>
      <c r="C681" t="s">
        <v>1976</v>
      </c>
      <c r="D681" s="11" t="s">
        <v>2250</v>
      </c>
      <c r="E681" s="12">
        <v>45929</v>
      </c>
      <c r="F681" s="12">
        <v>45929</v>
      </c>
      <c r="G681" t="s">
        <v>2248</v>
      </c>
      <c r="H681" t="s">
        <v>565</v>
      </c>
      <c r="I681">
        <v>4000</v>
      </c>
      <c r="J681">
        <v>0</v>
      </c>
      <c r="M681">
        <v>5.6000000000000001E-2</v>
      </c>
      <c r="N681">
        <v>224</v>
      </c>
      <c r="O681">
        <v>-224</v>
      </c>
      <c r="P681">
        <v>0</v>
      </c>
    </row>
    <row r="682" spans="1:16" hidden="1" x14ac:dyDescent="0.25">
      <c r="A682" t="s">
        <v>2040</v>
      </c>
      <c r="B682" t="s">
        <v>2041</v>
      </c>
      <c r="C682" t="s">
        <v>1976</v>
      </c>
      <c r="D682" s="11" t="s">
        <v>2250</v>
      </c>
      <c r="E682" s="12">
        <v>45929</v>
      </c>
      <c r="F682" s="12">
        <v>45929</v>
      </c>
      <c r="G682" t="s">
        <v>2248</v>
      </c>
      <c r="H682" t="s">
        <v>569</v>
      </c>
      <c r="I682">
        <v>4000</v>
      </c>
      <c r="J682">
        <v>0</v>
      </c>
      <c r="M682">
        <v>5.7000000000000002E-2</v>
      </c>
      <c r="N682">
        <v>228</v>
      </c>
      <c r="O682">
        <v>-228</v>
      </c>
      <c r="P682">
        <v>0</v>
      </c>
    </row>
    <row r="683" spans="1:16" hidden="1" x14ac:dyDescent="0.25">
      <c r="A683" t="s">
        <v>2040</v>
      </c>
      <c r="B683" t="s">
        <v>2041</v>
      </c>
      <c r="C683" t="s">
        <v>1976</v>
      </c>
      <c r="D683" s="11" t="s">
        <v>2250</v>
      </c>
      <c r="E683" s="12">
        <v>45929</v>
      </c>
      <c r="F683" s="12">
        <v>45929</v>
      </c>
      <c r="G683" t="s">
        <v>2248</v>
      </c>
      <c r="H683" t="s">
        <v>573</v>
      </c>
      <c r="I683">
        <v>4000</v>
      </c>
      <c r="J683">
        <v>0</v>
      </c>
      <c r="M683">
        <v>2.6012599999999999</v>
      </c>
      <c r="N683">
        <v>10405.040000000001</v>
      </c>
      <c r="O683">
        <v>-10405.040000000001</v>
      </c>
      <c r="P683">
        <v>0</v>
      </c>
    </row>
    <row r="684" spans="1:16" hidden="1" x14ac:dyDescent="0.25">
      <c r="A684" t="s">
        <v>2040</v>
      </c>
      <c r="B684" t="s">
        <v>2041</v>
      </c>
      <c r="C684" t="s">
        <v>1976</v>
      </c>
      <c r="D684" s="11" t="s">
        <v>2250</v>
      </c>
      <c r="E684" s="12">
        <v>45929</v>
      </c>
      <c r="F684" s="12">
        <v>45929</v>
      </c>
      <c r="G684" t="s">
        <v>2248</v>
      </c>
      <c r="H684" t="s">
        <v>581</v>
      </c>
      <c r="I684">
        <v>4000</v>
      </c>
      <c r="J684">
        <v>0</v>
      </c>
      <c r="M684">
        <v>0.04</v>
      </c>
      <c r="N684">
        <v>160</v>
      </c>
      <c r="O684">
        <v>-160</v>
      </c>
      <c r="P684">
        <v>0</v>
      </c>
    </row>
    <row r="685" spans="1:16" hidden="1" x14ac:dyDescent="0.25">
      <c r="A685" t="s">
        <v>2040</v>
      </c>
      <c r="B685" t="s">
        <v>2041</v>
      </c>
      <c r="C685" t="s">
        <v>1976</v>
      </c>
      <c r="D685" s="11" t="s">
        <v>2250</v>
      </c>
      <c r="E685" s="12">
        <v>45929</v>
      </c>
      <c r="F685" s="12">
        <v>45929</v>
      </c>
      <c r="G685" t="s">
        <v>2248</v>
      </c>
      <c r="H685" t="s">
        <v>589</v>
      </c>
      <c r="I685">
        <v>4000</v>
      </c>
      <c r="J685">
        <v>0</v>
      </c>
      <c r="M685">
        <v>3.5200000000000002E-2</v>
      </c>
      <c r="N685">
        <v>140.80000000000001</v>
      </c>
      <c r="O685">
        <v>-140.80000000000001</v>
      </c>
      <c r="P685">
        <v>0</v>
      </c>
    </row>
    <row r="686" spans="1:16" hidden="1" x14ac:dyDescent="0.25">
      <c r="A686" t="s">
        <v>2040</v>
      </c>
      <c r="B686" t="s">
        <v>2041</v>
      </c>
      <c r="C686" t="s">
        <v>1976</v>
      </c>
      <c r="D686" s="11" t="s">
        <v>2250</v>
      </c>
      <c r="E686" s="12">
        <v>45929</v>
      </c>
      <c r="F686" s="12">
        <v>45929</v>
      </c>
      <c r="G686" t="s">
        <v>2248</v>
      </c>
      <c r="H686" t="s">
        <v>591</v>
      </c>
      <c r="I686">
        <v>1000</v>
      </c>
      <c r="J686">
        <v>0</v>
      </c>
      <c r="M686">
        <v>0.30399999999999999</v>
      </c>
      <c r="N686">
        <v>304</v>
      </c>
      <c r="O686">
        <v>-304</v>
      </c>
      <c r="P686">
        <v>0</v>
      </c>
    </row>
    <row r="687" spans="1:16" hidden="1" x14ac:dyDescent="0.25">
      <c r="A687" t="s">
        <v>2040</v>
      </c>
      <c r="B687" t="s">
        <v>2041</v>
      </c>
      <c r="C687" t="s">
        <v>1976</v>
      </c>
      <c r="D687" s="11" t="s">
        <v>2250</v>
      </c>
      <c r="E687" s="12">
        <v>45929</v>
      </c>
      <c r="F687" s="12">
        <v>45929</v>
      </c>
      <c r="G687" t="s">
        <v>2248</v>
      </c>
      <c r="H687" t="s">
        <v>628</v>
      </c>
      <c r="I687">
        <v>200</v>
      </c>
      <c r="J687">
        <v>0</v>
      </c>
      <c r="M687">
        <v>0.58699999999999997</v>
      </c>
      <c r="N687">
        <v>117.4</v>
      </c>
      <c r="O687">
        <v>-117.4</v>
      </c>
      <c r="P687">
        <v>0</v>
      </c>
    </row>
    <row r="688" spans="1:16" hidden="1" x14ac:dyDescent="0.25">
      <c r="A688" t="s">
        <v>2040</v>
      </c>
      <c r="B688" t="s">
        <v>2041</v>
      </c>
      <c r="C688" t="s">
        <v>1976</v>
      </c>
      <c r="D688" s="11" t="s">
        <v>2250</v>
      </c>
      <c r="E688" s="12">
        <v>45929</v>
      </c>
      <c r="F688" s="12">
        <v>45929</v>
      </c>
      <c r="G688" t="s">
        <v>2248</v>
      </c>
      <c r="H688" t="s">
        <v>640</v>
      </c>
      <c r="I688">
        <v>10000</v>
      </c>
      <c r="J688">
        <v>0</v>
      </c>
      <c r="M688">
        <v>6.7299999999999999E-3</v>
      </c>
      <c r="N688">
        <v>67.3</v>
      </c>
      <c r="O688">
        <v>-67.3</v>
      </c>
      <c r="P688">
        <v>0</v>
      </c>
    </row>
    <row r="689" spans="1:16" hidden="1" x14ac:dyDescent="0.25">
      <c r="A689" t="s">
        <v>2040</v>
      </c>
      <c r="B689" t="s">
        <v>2041</v>
      </c>
      <c r="C689" t="s">
        <v>1976</v>
      </c>
      <c r="D689" s="11" t="s">
        <v>2250</v>
      </c>
      <c r="E689" s="12">
        <v>45929</v>
      </c>
      <c r="F689" s="12">
        <v>45929</v>
      </c>
      <c r="G689" t="s">
        <v>2248</v>
      </c>
      <c r="H689" t="s">
        <v>655</v>
      </c>
      <c r="I689">
        <v>2000</v>
      </c>
      <c r="J689">
        <v>0</v>
      </c>
      <c r="M689">
        <v>7.4999999999999997E-2</v>
      </c>
      <c r="N689">
        <v>150</v>
      </c>
      <c r="O689">
        <v>-150</v>
      </c>
      <c r="P689">
        <v>0</v>
      </c>
    </row>
    <row r="690" spans="1:16" hidden="1" x14ac:dyDescent="0.25">
      <c r="A690" t="s">
        <v>2040</v>
      </c>
      <c r="B690" t="s">
        <v>2041</v>
      </c>
      <c r="C690" t="s">
        <v>1976</v>
      </c>
      <c r="D690" s="11" t="s">
        <v>2250</v>
      </c>
      <c r="E690" s="12">
        <v>45929</v>
      </c>
      <c r="F690" s="12">
        <v>45929</v>
      </c>
      <c r="G690" t="s">
        <v>2248</v>
      </c>
      <c r="H690" t="s">
        <v>669</v>
      </c>
      <c r="I690">
        <v>9880</v>
      </c>
      <c r="J690">
        <v>0</v>
      </c>
      <c r="M690">
        <v>9.5600000000000008E-3</v>
      </c>
      <c r="N690">
        <v>94.452799999999996</v>
      </c>
      <c r="O690">
        <v>-94.452799999999996</v>
      </c>
      <c r="P690">
        <v>0</v>
      </c>
    </row>
    <row r="691" spans="1:16" hidden="1" x14ac:dyDescent="0.25">
      <c r="A691" t="s">
        <v>2040</v>
      </c>
      <c r="B691" t="s">
        <v>2041</v>
      </c>
      <c r="C691" t="s">
        <v>1976</v>
      </c>
      <c r="D691" s="11" t="s">
        <v>2250</v>
      </c>
      <c r="E691" s="12">
        <v>45929</v>
      </c>
      <c r="F691" s="12">
        <v>45929</v>
      </c>
      <c r="G691" t="s">
        <v>2248</v>
      </c>
      <c r="H691" t="s">
        <v>690</v>
      </c>
      <c r="I691">
        <v>5000</v>
      </c>
      <c r="J691">
        <v>0</v>
      </c>
      <c r="M691">
        <v>6.7299999999999999E-3</v>
      </c>
      <c r="N691">
        <v>33.65</v>
      </c>
      <c r="O691">
        <v>-33.65</v>
      </c>
      <c r="P691">
        <v>0</v>
      </c>
    </row>
    <row r="692" spans="1:16" hidden="1" x14ac:dyDescent="0.25">
      <c r="A692" t="s">
        <v>2040</v>
      </c>
      <c r="B692" t="s">
        <v>2041</v>
      </c>
      <c r="C692" t="s">
        <v>1976</v>
      </c>
      <c r="D692" s="11" t="s">
        <v>2250</v>
      </c>
      <c r="E692" s="12">
        <v>45929</v>
      </c>
      <c r="F692" s="12">
        <v>45929</v>
      </c>
      <c r="G692" t="s">
        <v>2248</v>
      </c>
      <c r="H692" t="s">
        <v>703</v>
      </c>
      <c r="I692">
        <v>4000</v>
      </c>
      <c r="J692">
        <v>0</v>
      </c>
      <c r="M692">
        <v>4.4999999999999998E-2</v>
      </c>
      <c r="N692">
        <v>180</v>
      </c>
      <c r="O692">
        <v>-180</v>
      </c>
      <c r="P692">
        <v>0</v>
      </c>
    </row>
    <row r="693" spans="1:16" hidden="1" x14ac:dyDescent="0.25">
      <c r="A693" t="s">
        <v>2040</v>
      </c>
      <c r="B693" t="s">
        <v>2041</v>
      </c>
      <c r="C693" t="s">
        <v>1976</v>
      </c>
      <c r="D693" s="11" t="s">
        <v>2250</v>
      </c>
      <c r="E693" s="12">
        <v>45929</v>
      </c>
      <c r="F693" s="12">
        <v>45929</v>
      </c>
      <c r="G693" t="s">
        <v>2248</v>
      </c>
      <c r="H693" t="s">
        <v>705</v>
      </c>
      <c r="I693">
        <v>4000</v>
      </c>
      <c r="J693">
        <v>0</v>
      </c>
      <c r="M693">
        <v>2.6599999999999999E-2</v>
      </c>
      <c r="N693">
        <v>106.4</v>
      </c>
      <c r="O693">
        <v>-106.4</v>
      </c>
      <c r="P693">
        <v>0</v>
      </c>
    </row>
    <row r="694" spans="1:16" hidden="1" x14ac:dyDescent="0.25">
      <c r="A694" t="s">
        <v>2040</v>
      </c>
      <c r="B694" t="s">
        <v>2041</v>
      </c>
      <c r="C694" t="s">
        <v>1976</v>
      </c>
      <c r="D694" s="11" t="s">
        <v>2250</v>
      </c>
      <c r="E694" s="12">
        <v>45929</v>
      </c>
      <c r="F694" s="12">
        <v>45929</v>
      </c>
      <c r="G694" t="s">
        <v>2248</v>
      </c>
      <c r="H694" t="s">
        <v>737</v>
      </c>
      <c r="I694">
        <v>100</v>
      </c>
      <c r="J694">
        <v>0</v>
      </c>
      <c r="M694">
        <v>8.83</v>
      </c>
      <c r="N694">
        <v>883</v>
      </c>
      <c r="O694">
        <v>-883</v>
      </c>
      <c r="P694">
        <v>0</v>
      </c>
    </row>
    <row r="695" spans="1:16" hidden="1" x14ac:dyDescent="0.25">
      <c r="A695" t="s">
        <v>2040</v>
      </c>
      <c r="B695" t="s">
        <v>2041</v>
      </c>
      <c r="C695" t="s">
        <v>1976</v>
      </c>
      <c r="D695" s="11" t="s">
        <v>2250</v>
      </c>
      <c r="E695" s="12">
        <v>45929</v>
      </c>
      <c r="F695" s="12">
        <v>45929</v>
      </c>
      <c r="G695" t="s">
        <v>2248</v>
      </c>
      <c r="H695" t="s">
        <v>769</v>
      </c>
      <c r="I695">
        <v>500</v>
      </c>
      <c r="J695">
        <v>0</v>
      </c>
      <c r="M695">
        <v>1.1599999999999999</v>
      </c>
      <c r="N695">
        <v>580</v>
      </c>
      <c r="O695">
        <v>-580</v>
      </c>
      <c r="P695">
        <v>0</v>
      </c>
    </row>
    <row r="696" spans="1:16" hidden="1" x14ac:dyDescent="0.25">
      <c r="A696" t="s">
        <v>2040</v>
      </c>
      <c r="B696" t="s">
        <v>2041</v>
      </c>
      <c r="C696" t="s">
        <v>1976</v>
      </c>
      <c r="D696" s="11" t="s">
        <v>2250</v>
      </c>
      <c r="E696" s="12">
        <v>45929</v>
      </c>
      <c r="F696" s="12">
        <v>45929</v>
      </c>
      <c r="G696" t="s">
        <v>2248</v>
      </c>
      <c r="H696" t="s">
        <v>773</v>
      </c>
      <c r="I696">
        <v>125</v>
      </c>
      <c r="J696">
        <v>0</v>
      </c>
      <c r="M696">
        <v>1.25</v>
      </c>
      <c r="N696">
        <v>156.25</v>
      </c>
      <c r="O696">
        <v>-156.25</v>
      </c>
      <c r="P696">
        <v>0</v>
      </c>
    </row>
    <row r="697" spans="1:16" hidden="1" x14ac:dyDescent="0.25">
      <c r="A697" t="s">
        <v>2040</v>
      </c>
      <c r="B697" t="s">
        <v>2041</v>
      </c>
      <c r="C697" t="s">
        <v>1976</v>
      </c>
      <c r="D697" s="11" t="s">
        <v>2250</v>
      </c>
      <c r="E697" s="12">
        <v>45929</v>
      </c>
      <c r="F697" s="12">
        <v>45929</v>
      </c>
      <c r="G697" t="s">
        <v>2248</v>
      </c>
      <c r="H697" t="s">
        <v>773</v>
      </c>
      <c r="I697">
        <v>125</v>
      </c>
      <c r="J697">
        <v>0</v>
      </c>
      <c r="M697">
        <v>1.25</v>
      </c>
      <c r="N697">
        <v>156.25</v>
      </c>
      <c r="O697">
        <v>-156.25</v>
      </c>
      <c r="P697">
        <v>0</v>
      </c>
    </row>
    <row r="698" spans="1:16" hidden="1" x14ac:dyDescent="0.25">
      <c r="A698" t="s">
        <v>2040</v>
      </c>
      <c r="B698" t="s">
        <v>2041</v>
      </c>
      <c r="C698" t="s">
        <v>1976</v>
      </c>
      <c r="D698" s="11" t="s">
        <v>2250</v>
      </c>
      <c r="E698" s="12">
        <v>45929</v>
      </c>
      <c r="F698" s="12">
        <v>45929</v>
      </c>
      <c r="G698" t="s">
        <v>2248</v>
      </c>
      <c r="H698" t="s">
        <v>784</v>
      </c>
      <c r="I698">
        <v>10000</v>
      </c>
      <c r="J698">
        <v>0</v>
      </c>
      <c r="M698">
        <v>3.4000000000000002E-2</v>
      </c>
      <c r="N698">
        <v>340</v>
      </c>
      <c r="O698">
        <v>-340</v>
      </c>
      <c r="P698">
        <v>0</v>
      </c>
    </row>
    <row r="699" spans="1:16" hidden="1" x14ac:dyDescent="0.25">
      <c r="A699" t="s">
        <v>2040</v>
      </c>
      <c r="B699" t="s">
        <v>2041</v>
      </c>
      <c r="C699" t="s">
        <v>1976</v>
      </c>
      <c r="D699" s="11" t="s">
        <v>2250</v>
      </c>
      <c r="E699" s="12">
        <v>45929</v>
      </c>
      <c r="F699" s="12">
        <v>45929</v>
      </c>
      <c r="G699" t="s">
        <v>2248</v>
      </c>
      <c r="H699" t="s">
        <v>790</v>
      </c>
      <c r="I699">
        <v>10000</v>
      </c>
      <c r="J699">
        <v>0</v>
      </c>
      <c r="M699">
        <v>4.0250000000000001E-2</v>
      </c>
      <c r="N699">
        <v>402.5</v>
      </c>
      <c r="O699">
        <v>-402.5</v>
      </c>
      <c r="P699">
        <v>0</v>
      </c>
    </row>
    <row r="700" spans="1:16" hidden="1" x14ac:dyDescent="0.25">
      <c r="A700" t="s">
        <v>2040</v>
      </c>
      <c r="B700" t="s">
        <v>2041</v>
      </c>
      <c r="C700" t="s">
        <v>1976</v>
      </c>
      <c r="D700" s="11" t="s">
        <v>2250</v>
      </c>
      <c r="E700" s="12">
        <v>45929</v>
      </c>
      <c r="F700" s="12">
        <v>45929</v>
      </c>
      <c r="G700" t="s">
        <v>2248</v>
      </c>
      <c r="H700" t="s">
        <v>796</v>
      </c>
      <c r="I700">
        <v>10000</v>
      </c>
      <c r="J700">
        <v>0</v>
      </c>
      <c r="M700">
        <v>4.2999999999999997E-2</v>
      </c>
      <c r="N700">
        <v>430</v>
      </c>
      <c r="O700">
        <v>-430</v>
      </c>
      <c r="P700">
        <v>0</v>
      </c>
    </row>
    <row r="701" spans="1:16" hidden="1" x14ac:dyDescent="0.25">
      <c r="A701" t="s">
        <v>2040</v>
      </c>
      <c r="B701" t="s">
        <v>2041</v>
      </c>
      <c r="C701" t="s">
        <v>1976</v>
      </c>
      <c r="D701" s="11" t="s">
        <v>2250</v>
      </c>
      <c r="E701" s="12">
        <v>45929</v>
      </c>
      <c r="F701" s="12">
        <v>45929</v>
      </c>
      <c r="G701" t="s">
        <v>2248</v>
      </c>
      <c r="H701" t="s">
        <v>798</v>
      </c>
      <c r="I701">
        <v>10000</v>
      </c>
      <c r="J701">
        <v>0</v>
      </c>
      <c r="M701">
        <v>4.2000000000000003E-2</v>
      </c>
      <c r="N701">
        <v>420</v>
      </c>
      <c r="O701">
        <v>-420</v>
      </c>
      <c r="P701">
        <v>0</v>
      </c>
    </row>
    <row r="702" spans="1:16" hidden="1" x14ac:dyDescent="0.25">
      <c r="A702" t="s">
        <v>2040</v>
      </c>
      <c r="B702" t="s">
        <v>2041</v>
      </c>
      <c r="C702" t="s">
        <v>1976</v>
      </c>
      <c r="D702" s="11" t="s">
        <v>2250</v>
      </c>
      <c r="E702" s="12">
        <v>45929</v>
      </c>
      <c r="F702" s="12">
        <v>45929</v>
      </c>
      <c r="G702" t="s">
        <v>2248</v>
      </c>
      <c r="H702" t="s">
        <v>810</v>
      </c>
      <c r="I702">
        <v>5000</v>
      </c>
      <c r="J702">
        <v>0</v>
      </c>
      <c r="M702">
        <v>3.2000000000000001E-2</v>
      </c>
      <c r="N702">
        <v>160</v>
      </c>
      <c r="O702">
        <v>-160</v>
      </c>
      <c r="P702">
        <v>0</v>
      </c>
    </row>
    <row r="703" spans="1:16" hidden="1" x14ac:dyDescent="0.25">
      <c r="A703" t="s">
        <v>2040</v>
      </c>
      <c r="B703" t="s">
        <v>2041</v>
      </c>
      <c r="C703" t="s">
        <v>1976</v>
      </c>
      <c r="D703" s="11" t="s">
        <v>2250</v>
      </c>
      <c r="E703" s="12">
        <v>45929</v>
      </c>
      <c r="F703" s="12">
        <v>45929</v>
      </c>
      <c r="G703" t="s">
        <v>2248</v>
      </c>
      <c r="H703" t="s">
        <v>814</v>
      </c>
      <c r="I703">
        <v>5000</v>
      </c>
      <c r="J703">
        <v>0</v>
      </c>
      <c r="M703">
        <v>3.5999999999999997E-2</v>
      </c>
      <c r="N703">
        <v>180</v>
      </c>
      <c r="O703">
        <v>-180</v>
      </c>
      <c r="P703">
        <v>0</v>
      </c>
    </row>
    <row r="704" spans="1:16" hidden="1" x14ac:dyDescent="0.25">
      <c r="A704" t="s">
        <v>2040</v>
      </c>
      <c r="B704" t="s">
        <v>2041</v>
      </c>
      <c r="C704" t="s">
        <v>1976</v>
      </c>
      <c r="D704" s="11" t="s">
        <v>2250</v>
      </c>
      <c r="E704" s="12">
        <v>45929</v>
      </c>
      <c r="F704" s="12">
        <v>45929</v>
      </c>
      <c r="G704" t="s">
        <v>2248</v>
      </c>
      <c r="H704" t="s">
        <v>818</v>
      </c>
      <c r="I704">
        <v>4999</v>
      </c>
      <c r="J704">
        <v>0</v>
      </c>
      <c r="M704">
        <v>3.5000000000000003E-2</v>
      </c>
      <c r="N704">
        <v>174.965</v>
      </c>
      <c r="O704">
        <v>-174.965</v>
      </c>
      <c r="P704">
        <v>0</v>
      </c>
    </row>
    <row r="705" spans="1:16" hidden="1" x14ac:dyDescent="0.25">
      <c r="A705" t="s">
        <v>2040</v>
      </c>
      <c r="B705" t="s">
        <v>2041</v>
      </c>
      <c r="C705" t="s">
        <v>1976</v>
      </c>
      <c r="D705" s="11" t="s">
        <v>2250</v>
      </c>
      <c r="E705" s="12">
        <v>45929</v>
      </c>
      <c r="F705" s="12">
        <v>45929</v>
      </c>
      <c r="G705" t="s">
        <v>2248</v>
      </c>
      <c r="H705" t="s">
        <v>832</v>
      </c>
      <c r="I705">
        <v>5000</v>
      </c>
      <c r="J705">
        <v>0</v>
      </c>
      <c r="M705">
        <v>3.2000000000000001E-2</v>
      </c>
      <c r="N705">
        <v>160</v>
      </c>
      <c r="O705">
        <v>-160</v>
      </c>
      <c r="P705">
        <v>0</v>
      </c>
    </row>
    <row r="706" spans="1:16" hidden="1" x14ac:dyDescent="0.25">
      <c r="A706" t="s">
        <v>2040</v>
      </c>
      <c r="B706" t="s">
        <v>2041</v>
      </c>
      <c r="C706" t="s">
        <v>1976</v>
      </c>
      <c r="D706" s="11" t="s">
        <v>2250</v>
      </c>
      <c r="E706" s="12">
        <v>45929</v>
      </c>
      <c r="F706" s="12">
        <v>45929</v>
      </c>
      <c r="G706" t="s">
        <v>2248</v>
      </c>
      <c r="H706" t="s">
        <v>844</v>
      </c>
      <c r="I706">
        <v>4000</v>
      </c>
      <c r="J706">
        <v>0</v>
      </c>
      <c r="M706">
        <v>0.1668</v>
      </c>
      <c r="N706">
        <v>667.2</v>
      </c>
      <c r="O706">
        <v>-667.2</v>
      </c>
      <c r="P706">
        <v>0</v>
      </c>
    </row>
    <row r="707" spans="1:16" hidden="1" x14ac:dyDescent="0.25">
      <c r="A707" t="s">
        <v>2040</v>
      </c>
      <c r="B707" t="s">
        <v>2041</v>
      </c>
      <c r="C707" t="s">
        <v>1976</v>
      </c>
      <c r="D707" s="11" t="s">
        <v>2250</v>
      </c>
      <c r="E707" s="12">
        <v>45929</v>
      </c>
      <c r="F707" s="12">
        <v>45929</v>
      </c>
      <c r="G707" t="s">
        <v>2248</v>
      </c>
      <c r="H707" t="s">
        <v>880</v>
      </c>
      <c r="I707">
        <v>5000</v>
      </c>
      <c r="J707">
        <v>0</v>
      </c>
      <c r="M707">
        <v>1.6E-2</v>
      </c>
      <c r="N707">
        <v>80</v>
      </c>
      <c r="O707">
        <v>-80</v>
      </c>
      <c r="P707">
        <v>0</v>
      </c>
    </row>
    <row r="708" spans="1:16" hidden="1" x14ac:dyDescent="0.25">
      <c r="A708" t="s">
        <v>2040</v>
      </c>
      <c r="B708" t="s">
        <v>2041</v>
      </c>
      <c r="C708" t="s">
        <v>1976</v>
      </c>
      <c r="D708" s="11" t="s">
        <v>2250</v>
      </c>
      <c r="E708" s="12">
        <v>45929</v>
      </c>
      <c r="F708" s="12">
        <v>45929</v>
      </c>
      <c r="G708" t="s">
        <v>2248</v>
      </c>
      <c r="H708" t="s">
        <v>886</v>
      </c>
      <c r="I708">
        <v>55</v>
      </c>
      <c r="J708">
        <v>0</v>
      </c>
      <c r="M708">
        <v>6.75</v>
      </c>
      <c r="N708">
        <v>371.25</v>
      </c>
      <c r="O708">
        <v>-371.25</v>
      </c>
      <c r="P708">
        <v>0</v>
      </c>
    </row>
    <row r="709" spans="1:16" hidden="1" x14ac:dyDescent="0.25">
      <c r="A709" t="s">
        <v>2040</v>
      </c>
      <c r="B709" t="s">
        <v>2041</v>
      </c>
      <c r="C709" t="s">
        <v>1976</v>
      </c>
      <c r="D709" s="11" t="s">
        <v>2250</v>
      </c>
      <c r="E709" s="12">
        <v>45929</v>
      </c>
      <c r="F709" s="12">
        <v>45929</v>
      </c>
      <c r="G709" t="s">
        <v>2248</v>
      </c>
      <c r="H709" t="s">
        <v>910</v>
      </c>
      <c r="I709">
        <v>10000</v>
      </c>
      <c r="J709">
        <v>0</v>
      </c>
      <c r="M709">
        <v>8.9999999999999993E-3</v>
      </c>
      <c r="N709">
        <v>90</v>
      </c>
      <c r="O709">
        <v>-90</v>
      </c>
      <c r="P709">
        <v>0</v>
      </c>
    </row>
    <row r="710" spans="1:16" hidden="1" x14ac:dyDescent="0.25">
      <c r="A710" t="s">
        <v>2040</v>
      </c>
      <c r="B710" t="s">
        <v>2041</v>
      </c>
      <c r="C710" t="s">
        <v>1976</v>
      </c>
      <c r="D710" s="11" t="s">
        <v>2250</v>
      </c>
      <c r="E710" s="12">
        <v>45929</v>
      </c>
      <c r="F710" s="12">
        <v>45929</v>
      </c>
      <c r="G710" t="s">
        <v>2248</v>
      </c>
      <c r="H710" t="s">
        <v>1011</v>
      </c>
      <c r="I710">
        <v>1000</v>
      </c>
      <c r="J710">
        <v>0</v>
      </c>
      <c r="M710">
        <v>1.35</v>
      </c>
      <c r="N710">
        <v>1350</v>
      </c>
      <c r="O710">
        <v>-1350</v>
      </c>
      <c r="P710">
        <v>0</v>
      </c>
    </row>
    <row r="711" spans="1:16" hidden="1" x14ac:dyDescent="0.25">
      <c r="A711" t="s">
        <v>2040</v>
      </c>
      <c r="B711" t="s">
        <v>2041</v>
      </c>
      <c r="C711" t="s">
        <v>1976</v>
      </c>
      <c r="D711" s="11" t="s">
        <v>2250</v>
      </c>
      <c r="E711" s="12">
        <v>45929</v>
      </c>
      <c r="F711" s="12">
        <v>45929</v>
      </c>
      <c r="G711" t="s">
        <v>2248</v>
      </c>
      <c r="H711" t="s">
        <v>1019</v>
      </c>
      <c r="I711">
        <v>100</v>
      </c>
      <c r="J711">
        <v>0</v>
      </c>
      <c r="M711">
        <v>9.69</v>
      </c>
      <c r="N711">
        <v>969</v>
      </c>
      <c r="O711">
        <v>-969</v>
      </c>
      <c r="P711">
        <v>0</v>
      </c>
    </row>
    <row r="712" spans="1:16" hidden="1" x14ac:dyDescent="0.25">
      <c r="A712" t="s">
        <v>2040</v>
      </c>
      <c r="B712" t="s">
        <v>2041</v>
      </c>
      <c r="C712" t="s">
        <v>1976</v>
      </c>
      <c r="D712" s="11" t="s">
        <v>2250</v>
      </c>
      <c r="E712" s="12">
        <v>45929</v>
      </c>
      <c r="F712" s="12">
        <v>45929</v>
      </c>
      <c r="G712" t="s">
        <v>2248</v>
      </c>
      <c r="H712" t="s">
        <v>1031</v>
      </c>
      <c r="I712">
        <v>4000</v>
      </c>
      <c r="J712">
        <v>0</v>
      </c>
      <c r="M712">
        <v>6.0999999999999999E-2</v>
      </c>
      <c r="N712">
        <v>244</v>
      </c>
      <c r="O712">
        <v>-244</v>
      </c>
      <c r="P712">
        <v>0</v>
      </c>
    </row>
    <row r="713" spans="1:16" hidden="1" x14ac:dyDescent="0.25">
      <c r="A713" t="s">
        <v>2040</v>
      </c>
      <c r="B713" t="s">
        <v>2041</v>
      </c>
      <c r="C713" t="s">
        <v>1976</v>
      </c>
      <c r="D713" s="11" t="s">
        <v>2250</v>
      </c>
      <c r="E713" s="12">
        <v>45929</v>
      </c>
      <c r="F713" s="12">
        <v>45929</v>
      </c>
      <c r="G713" t="s">
        <v>2248</v>
      </c>
      <c r="H713" t="s">
        <v>1113</v>
      </c>
      <c r="I713">
        <v>3850</v>
      </c>
      <c r="J713">
        <v>0</v>
      </c>
      <c r="M713">
        <v>7.1999999999999995E-2</v>
      </c>
      <c r="N713">
        <v>277.2</v>
      </c>
      <c r="O713">
        <v>-277.2</v>
      </c>
      <c r="P713">
        <v>0</v>
      </c>
    </row>
    <row r="714" spans="1:16" hidden="1" x14ac:dyDescent="0.25">
      <c r="A714" t="s">
        <v>2040</v>
      </c>
      <c r="B714" t="s">
        <v>2041</v>
      </c>
      <c r="C714" t="s">
        <v>1976</v>
      </c>
      <c r="D714" s="11" t="s">
        <v>2250</v>
      </c>
      <c r="E714" s="12">
        <v>45929</v>
      </c>
      <c r="F714" s="12">
        <v>45929</v>
      </c>
      <c r="G714" t="s">
        <v>2248</v>
      </c>
      <c r="H714" t="s">
        <v>1119</v>
      </c>
      <c r="I714">
        <v>4900</v>
      </c>
      <c r="J714">
        <v>0</v>
      </c>
      <c r="M714">
        <v>0.31480999999999998</v>
      </c>
      <c r="N714">
        <v>1542.569</v>
      </c>
      <c r="O714">
        <v>-1542.569</v>
      </c>
      <c r="P714">
        <v>0</v>
      </c>
    </row>
    <row r="715" spans="1:16" hidden="1" x14ac:dyDescent="0.25">
      <c r="A715" t="s">
        <v>2040</v>
      </c>
      <c r="B715" t="s">
        <v>2041</v>
      </c>
      <c r="C715" t="s">
        <v>1976</v>
      </c>
      <c r="D715" s="11" t="s">
        <v>2250</v>
      </c>
      <c r="E715" s="12">
        <v>45929</v>
      </c>
      <c r="F715" s="12">
        <v>45929</v>
      </c>
      <c r="G715" t="s">
        <v>2248</v>
      </c>
      <c r="H715" t="s">
        <v>1168</v>
      </c>
      <c r="I715">
        <v>50</v>
      </c>
      <c r="J715">
        <v>0</v>
      </c>
      <c r="M715">
        <v>3.512</v>
      </c>
      <c r="N715">
        <v>175.6</v>
      </c>
      <c r="O715">
        <v>-175.6</v>
      </c>
      <c r="P715">
        <v>0</v>
      </c>
    </row>
    <row r="716" spans="1:16" hidden="1" x14ac:dyDescent="0.25">
      <c r="A716" t="s">
        <v>2040</v>
      </c>
      <c r="B716" t="s">
        <v>2041</v>
      </c>
      <c r="C716" t="s">
        <v>1976</v>
      </c>
      <c r="D716" s="11" t="s">
        <v>2250</v>
      </c>
      <c r="E716" s="12">
        <v>45929</v>
      </c>
      <c r="F716" s="12">
        <v>45929</v>
      </c>
      <c r="G716" t="s">
        <v>2248</v>
      </c>
      <c r="H716" t="s">
        <v>1170</v>
      </c>
      <c r="I716">
        <v>4000</v>
      </c>
      <c r="J716">
        <v>0</v>
      </c>
      <c r="M716">
        <v>0.36599999999999999</v>
      </c>
      <c r="N716">
        <v>1464</v>
      </c>
      <c r="O716">
        <v>-1464</v>
      </c>
      <c r="P716">
        <v>0</v>
      </c>
    </row>
    <row r="717" spans="1:16" hidden="1" x14ac:dyDescent="0.25">
      <c r="A717" t="s">
        <v>2040</v>
      </c>
      <c r="B717" t="s">
        <v>2041</v>
      </c>
      <c r="C717" t="s">
        <v>1976</v>
      </c>
      <c r="D717" s="11" t="s">
        <v>2250</v>
      </c>
      <c r="E717" s="12">
        <v>45929</v>
      </c>
      <c r="F717" s="12">
        <v>45929</v>
      </c>
      <c r="G717" t="s">
        <v>2248</v>
      </c>
      <c r="H717" t="s">
        <v>1182</v>
      </c>
      <c r="I717">
        <v>2900</v>
      </c>
      <c r="J717">
        <v>0</v>
      </c>
      <c r="M717">
        <v>4.2000000000000003E-2</v>
      </c>
      <c r="N717">
        <v>121.8</v>
      </c>
      <c r="O717">
        <v>-121.8</v>
      </c>
      <c r="P717">
        <v>0</v>
      </c>
    </row>
    <row r="718" spans="1:16" hidden="1" x14ac:dyDescent="0.25">
      <c r="A718" t="s">
        <v>2040</v>
      </c>
      <c r="B718" t="s">
        <v>2041</v>
      </c>
      <c r="C718" t="s">
        <v>1976</v>
      </c>
      <c r="D718" s="11" t="s">
        <v>2250</v>
      </c>
      <c r="E718" s="12">
        <v>45929</v>
      </c>
      <c r="F718" s="12">
        <v>45929</v>
      </c>
      <c r="G718" t="s">
        <v>2248</v>
      </c>
      <c r="H718" t="s">
        <v>1189</v>
      </c>
      <c r="I718">
        <v>9800</v>
      </c>
      <c r="J718">
        <v>0</v>
      </c>
      <c r="M718">
        <v>7.2999999999999995E-2</v>
      </c>
      <c r="N718">
        <v>715.4</v>
      </c>
      <c r="O718">
        <v>-715.4</v>
      </c>
      <c r="P718">
        <v>0</v>
      </c>
    </row>
    <row r="719" spans="1:16" hidden="1" x14ac:dyDescent="0.25">
      <c r="A719" t="s">
        <v>2040</v>
      </c>
      <c r="B719" t="s">
        <v>2041</v>
      </c>
      <c r="C719" t="s">
        <v>1976</v>
      </c>
      <c r="D719" s="11" t="s">
        <v>2250</v>
      </c>
      <c r="E719" s="12">
        <v>45929</v>
      </c>
      <c r="F719" s="12">
        <v>45929</v>
      </c>
      <c r="G719" t="s">
        <v>2248</v>
      </c>
      <c r="H719" t="s">
        <v>1235</v>
      </c>
      <c r="I719">
        <v>1000</v>
      </c>
      <c r="J719">
        <v>0</v>
      </c>
      <c r="M719">
        <v>0.53136000000000005</v>
      </c>
      <c r="N719">
        <v>531.36</v>
      </c>
      <c r="O719">
        <v>-531.36</v>
      </c>
      <c r="P719">
        <v>0</v>
      </c>
    </row>
    <row r="720" spans="1:16" hidden="1" x14ac:dyDescent="0.25">
      <c r="A720" t="s">
        <v>2040</v>
      </c>
      <c r="B720" t="s">
        <v>2041</v>
      </c>
      <c r="C720" t="s">
        <v>1976</v>
      </c>
      <c r="D720" s="11" t="s">
        <v>2250</v>
      </c>
      <c r="E720" s="12">
        <v>45929</v>
      </c>
      <c r="F720" s="12">
        <v>45929</v>
      </c>
      <c r="G720" t="s">
        <v>2248</v>
      </c>
      <c r="H720" t="s">
        <v>1251</v>
      </c>
      <c r="I720">
        <v>4000</v>
      </c>
      <c r="J720">
        <v>0</v>
      </c>
      <c r="M720">
        <v>9.4100000000000003E-2</v>
      </c>
      <c r="N720">
        <v>376.4</v>
      </c>
      <c r="O720">
        <v>-376.4</v>
      </c>
      <c r="P720">
        <v>0</v>
      </c>
    </row>
    <row r="721" spans="1:16" hidden="1" x14ac:dyDescent="0.25">
      <c r="A721" t="s">
        <v>2040</v>
      </c>
      <c r="B721" t="s">
        <v>2041</v>
      </c>
      <c r="C721" t="s">
        <v>1976</v>
      </c>
      <c r="D721" s="11" t="s">
        <v>2250</v>
      </c>
      <c r="E721" s="12">
        <v>45929</v>
      </c>
      <c r="F721" s="12">
        <v>45929</v>
      </c>
      <c r="G721" t="s">
        <v>2248</v>
      </c>
      <c r="H721" t="s">
        <v>1271</v>
      </c>
      <c r="I721">
        <v>4700</v>
      </c>
      <c r="J721">
        <v>0</v>
      </c>
      <c r="M721">
        <v>0.13600000000000001</v>
      </c>
      <c r="N721">
        <v>639.20000000000005</v>
      </c>
      <c r="O721">
        <v>-639.20000000000005</v>
      </c>
      <c r="P721">
        <v>0</v>
      </c>
    </row>
    <row r="722" spans="1:16" hidden="1" x14ac:dyDescent="0.25">
      <c r="A722" t="s">
        <v>2040</v>
      </c>
      <c r="B722" t="s">
        <v>2041</v>
      </c>
      <c r="C722" t="s">
        <v>1976</v>
      </c>
      <c r="D722" s="11" t="s">
        <v>2250</v>
      </c>
      <c r="E722" s="12">
        <v>45929</v>
      </c>
      <c r="F722" s="12">
        <v>45929</v>
      </c>
      <c r="G722" t="s">
        <v>2248</v>
      </c>
      <c r="H722" t="s">
        <v>1275</v>
      </c>
      <c r="I722">
        <v>500</v>
      </c>
      <c r="J722">
        <v>0</v>
      </c>
      <c r="M722">
        <v>1.8089999999999999</v>
      </c>
      <c r="N722">
        <v>904.5</v>
      </c>
      <c r="O722">
        <v>-904.5</v>
      </c>
      <c r="P722">
        <v>0</v>
      </c>
    </row>
    <row r="723" spans="1:16" hidden="1" x14ac:dyDescent="0.25">
      <c r="A723" t="s">
        <v>2040</v>
      </c>
      <c r="B723" t="s">
        <v>2041</v>
      </c>
      <c r="C723" t="s">
        <v>1976</v>
      </c>
      <c r="D723" s="11" t="s">
        <v>2250</v>
      </c>
      <c r="E723" s="12">
        <v>45929</v>
      </c>
      <c r="F723" s="12">
        <v>45929</v>
      </c>
      <c r="G723" t="s">
        <v>2248</v>
      </c>
      <c r="H723" t="s">
        <v>1320</v>
      </c>
      <c r="I723">
        <v>10000</v>
      </c>
      <c r="J723">
        <v>0</v>
      </c>
      <c r="M723">
        <v>3.0000000000000001E-3</v>
      </c>
      <c r="N723">
        <v>30</v>
      </c>
      <c r="O723">
        <v>-30</v>
      </c>
      <c r="P723">
        <v>0</v>
      </c>
    </row>
    <row r="724" spans="1:16" hidden="1" x14ac:dyDescent="0.25">
      <c r="A724" t="s">
        <v>2040</v>
      </c>
      <c r="B724" t="s">
        <v>2041</v>
      </c>
      <c r="C724" t="s">
        <v>1976</v>
      </c>
      <c r="D724" s="11" t="s">
        <v>2250</v>
      </c>
      <c r="E724" s="12">
        <v>45929</v>
      </c>
      <c r="F724" s="12">
        <v>45929</v>
      </c>
      <c r="G724" t="s">
        <v>2248</v>
      </c>
      <c r="H724" t="s">
        <v>1445</v>
      </c>
      <c r="I724">
        <v>5000</v>
      </c>
      <c r="J724">
        <v>0</v>
      </c>
      <c r="M724">
        <v>1.3899999999999999E-2</v>
      </c>
      <c r="N724">
        <v>69.5</v>
      </c>
      <c r="O724">
        <v>-69.5</v>
      </c>
      <c r="P724">
        <v>0</v>
      </c>
    </row>
    <row r="725" spans="1:16" hidden="1" x14ac:dyDescent="0.25">
      <c r="A725" t="s">
        <v>2040</v>
      </c>
      <c r="B725" t="s">
        <v>2041</v>
      </c>
      <c r="C725" t="s">
        <v>1976</v>
      </c>
      <c r="D725" s="11" t="s">
        <v>2250</v>
      </c>
      <c r="E725" s="12">
        <v>45929</v>
      </c>
      <c r="F725" s="12">
        <v>45929</v>
      </c>
      <c r="G725" t="s">
        <v>2248</v>
      </c>
      <c r="H725" t="s">
        <v>1467</v>
      </c>
      <c r="I725">
        <v>10000</v>
      </c>
      <c r="J725">
        <v>0</v>
      </c>
      <c r="M725">
        <v>2.97E-3</v>
      </c>
      <c r="N725">
        <v>29.7</v>
      </c>
      <c r="O725">
        <v>-29.7</v>
      </c>
      <c r="P725">
        <v>0</v>
      </c>
    </row>
    <row r="726" spans="1:16" hidden="1" x14ac:dyDescent="0.25">
      <c r="A726" t="s">
        <v>2040</v>
      </c>
      <c r="B726" t="s">
        <v>2041</v>
      </c>
      <c r="C726" t="s">
        <v>1976</v>
      </c>
      <c r="D726" s="11" t="s">
        <v>2250</v>
      </c>
      <c r="E726" s="12">
        <v>45929</v>
      </c>
      <c r="F726" s="12">
        <v>45929</v>
      </c>
      <c r="G726" t="s">
        <v>2248</v>
      </c>
      <c r="H726" t="s">
        <v>1469</v>
      </c>
      <c r="I726">
        <v>10000</v>
      </c>
      <c r="J726">
        <v>0</v>
      </c>
      <c r="M726">
        <v>2.97E-3</v>
      </c>
      <c r="N726">
        <v>29.7</v>
      </c>
      <c r="O726">
        <v>-29.7</v>
      </c>
      <c r="P726">
        <v>0</v>
      </c>
    </row>
    <row r="727" spans="1:16" hidden="1" x14ac:dyDescent="0.25">
      <c r="A727" t="s">
        <v>2040</v>
      </c>
      <c r="B727" t="s">
        <v>2041</v>
      </c>
      <c r="C727" t="s">
        <v>1976</v>
      </c>
      <c r="D727" s="11" t="s">
        <v>2250</v>
      </c>
      <c r="E727" s="12">
        <v>45929</v>
      </c>
      <c r="F727" s="12">
        <v>45929</v>
      </c>
      <c r="G727" t="s">
        <v>2248</v>
      </c>
      <c r="H727" t="s">
        <v>1473</v>
      </c>
      <c r="I727">
        <v>10000</v>
      </c>
      <c r="J727">
        <v>0</v>
      </c>
      <c r="M727">
        <v>2.97E-3</v>
      </c>
      <c r="N727">
        <v>29.7</v>
      </c>
      <c r="O727">
        <v>-29.7</v>
      </c>
      <c r="P727">
        <v>0</v>
      </c>
    </row>
    <row r="728" spans="1:16" hidden="1" x14ac:dyDescent="0.25">
      <c r="A728" t="s">
        <v>2040</v>
      </c>
      <c r="B728" t="s">
        <v>2041</v>
      </c>
      <c r="C728" t="s">
        <v>1976</v>
      </c>
      <c r="D728" s="11" t="s">
        <v>2250</v>
      </c>
      <c r="E728" s="12">
        <v>45929</v>
      </c>
      <c r="F728" s="12">
        <v>45929</v>
      </c>
      <c r="G728" t="s">
        <v>2248</v>
      </c>
      <c r="H728" t="s">
        <v>1475</v>
      </c>
      <c r="I728">
        <v>10000</v>
      </c>
      <c r="J728">
        <v>0</v>
      </c>
      <c r="M728">
        <v>2.97E-3</v>
      </c>
      <c r="N728">
        <v>29.7</v>
      </c>
      <c r="O728">
        <v>-29.7</v>
      </c>
      <c r="P728">
        <v>0</v>
      </c>
    </row>
    <row r="729" spans="1:16" hidden="1" x14ac:dyDescent="0.25">
      <c r="A729" t="s">
        <v>2040</v>
      </c>
      <c r="B729" t="s">
        <v>2041</v>
      </c>
      <c r="C729" t="s">
        <v>1976</v>
      </c>
      <c r="D729" s="11" t="s">
        <v>2250</v>
      </c>
      <c r="E729" s="12">
        <v>45929</v>
      </c>
      <c r="F729" s="12">
        <v>45929</v>
      </c>
      <c r="G729" t="s">
        <v>2248</v>
      </c>
      <c r="H729" t="s">
        <v>1477</v>
      </c>
      <c r="I729">
        <v>10000</v>
      </c>
      <c r="J729">
        <v>0</v>
      </c>
      <c r="M729">
        <v>2.97E-3</v>
      </c>
      <c r="N729">
        <v>29.7</v>
      </c>
      <c r="O729">
        <v>-29.7</v>
      </c>
      <c r="P729">
        <v>0</v>
      </c>
    </row>
    <row r="730" spans="1:16" hidden="1" x14ac:dyDescent="0.25">
      <c r="A730" t="s">
        <v>2040</v>
      </c>
      <c r="B730" t="s">
        <v>2041</v>
      </c>
      <c r="C730" t="s">
        <v>1976</v>
      </c>
      <c r="D730" s="11" t="s">
        <v>2250</v>
      </c>
      <c r="E730" s="12">
        <v>45929</v>
      </c>
      <c r="F730" s="12">
        <v>45929</v>
      </c>
      <c r="G730" t="s">
        <v>2248</v>
      </c>
      <c r="H730" t="s">
        <v>1479</v>
      </c>
      <c r="I730">
        <v>10000</v>
      </c>
      <c r="J730">
        <v>0</v>
      </c>
      <c r="M730">
        <v>3.0200000000000001E-3</v>
      </c>
      <c r="N730">
        <v>30.2</v>
      </c>
      <c r="O730">
        <v>-30.2</v>
      </c>
      <c r="P730">
        <v>0</v>
      </c>
    </row>
    <row r="731" spans="1:16" hidden="1" x14ac:dyDescent="0.25">
      <c r="A731" t="s">
        <v>2040</v>
      </c>
      <c r="B731" t="s">
        <v>2041</v>
      </c>
      <c r="C731" t="s">
        <v>1976</v>
      </c>
      <c r="D731" s="11" t="s">
        <v>2250</v>
      </c>
      <c r="E731" s="12">
        <v>45929</v>
      </c>
      <c r="F731" s="12">
        <v>45929</v>
      </c>
      <c r="G731" t="s">
        <v>2248</v>
      </c>
      <c r="H731" t="s">
        <v>1481</v>
      </c>
      <c r="I731">
        <v>10000</v>
      </c>
      <c r="J731">
        <v>0</v>
      </c>
      <c r="M731">
        <v>3.0000000000000001E-3</v>
      </c>
      <c r="N731">
        <v>30</v>
      </c>
      <c r="O731">
        <v>-30</v>
      </c>
      <c r="P731">
        <v>0</v>
      </c>
    </row>
    <row r="732" spans="1:16" hidden="1" x14ac:dyDescent="0.25">
      <c r="A732" t="s">
        <v>2040</v>
      </c>
      <c r="B732" t="s">
        <v>2041</v>
      </c>
      <c r="C732" t="s">
        <v>1976</v>
      </c>
      <c r="D732" s="11" t="s">
        <v>2250</v>
      </c>
      <c r="E732" s="12">
        <v>45929</v>
      </c>
      <c r="F732" s="12">
        <v>45929</v>
      </c>
      <c r="G732" t="s">
        <v>2248</v>
      </c>
      <c r="H732" t="s">
        <v>1483</v>
      </c>
      <c r="I732">
        <v>10000</v>
      </c>
      <c r="J732">
        <v>0</v>
      </c>
      <c r="M732">
        <v>3.0000000000000001E-3</v>
      </c>
      <c r="N732">
        <v>30</v>
      </c>
      <c r="O732">
        <v>-30</v>
      </c>
      <c r="P732">
        <v>0</v>
      </c>
    </row>
    <row r="733" spans="1:16" hidden="1" x14ac:dyDescent="0.25">
      <c r="A733" t="s">
        <v>2040</v>
      </c>
      <c r="B733" t="s">
        <v>2041</v>
      </c>
      <c r="C733" t="s">
        <v>1976</v>
      </c>
      <c r="D733" s="11" t="s">
        <v>2250</v>
      </c>
      <c r="E733" s="12">
        <v>45929</v>
      </c>
      <c r="F733" s="12">
        <v>45929</v>
      </c>
      <c r="G733" t="s">
        <v>2248</v>
      </c>
      <c r="H733" t="s">
        <v>1485</v>
      </c>
      <c r="I733">
        <v>10000</v>
      </c>
      <c r="J733">
        <v>0</v>
      </c>
      <c r="M733">
        <v>3.0000000000000001E-3</v>
      </c>
      <c r="N733">
        <v>30</v>
      </c>
      <c r="O733">
        <v>-30</v>
      </c>
      <c r="P733">
        <v>0</v>
      </c>
    </row>
    <row r="734" spans="1:16" hidden="1" x14ac:dyDescent="0.25">
      <c r="A734" t="s">
        <v>2040</v>
      </c>
      <c r="B734" t="s">
        <v>2041</v>
      </c>
      <c r="C734" t="s">
        <v>1976</v>
      </c>
      <c r="D734" s="11" t="s">
        <v>2250</v>
      </c>
      <c r="E734" s="12">
        <v>45929</v>
      </c>
      <c r="F734" s="12">
        <v>45929</v>
      </c>
      <c r="G734" t="s">
        <v>2248</v>
      </c>
      <c r="H734" t="s">
        <v>1493</v>
      </c>
      <c r="I734">
        <v>500</v>
      </c>
      <c r="J734">
        <v>0</v>
      </c>
      <c r="M734">
        <v>0.27100000000000002</v>
      </c>
      <c r="N734">
        <v>135.5</v>
      </c>
      <c r="O734">
        <v>-135.5</v>
      </c>
      <c r="P734">
        <v>0</v>
      </c>
    </row>
    <row r="735" spans="1:16" hidden="1" x14ac:dyDescent="0.25">
      <c r="A735" t="s">
        <v>2040</v>
      </c>
      <c r="B735" t="s">
        <v>2041</v>
      </c>
      <c r="C735" t="s">
        <v>1976</v>
      </c>
      <c r="D735" s="11" t="s">
        <v>2250</v>
      </c>
      <c r="E735" s="12">
        <v>45929</v>
      </c>
      <c r="F735" s="12">
        <v>45929</v>
      </c>
      <c r="G735" t="s">
        <v>2248</v>
      </c>
      <c r="H735" t="s">
        <v>1501</v>
      </c>
      <c r="I735">
        <v>5000</v>
      </c>
      <c r="J735">
        <v>0</v>
      </c>
      <c r="M735">
        <v>1.4E-2</v>
      </c>
      <c r="N735">
        <v>70</v>
      </c>
      <c r="O735">
        <v>-70</v>
      </c>
      <c r="P735">
        <v>0</v>
      </c>
    </row>
    <row r="736" spans="1:16" hidden="1" x14ac:dyDescent="0.25">
      <c r="A736" t="s">
        <v>2040</v>
      </c>
      <c r="B736" t="s">
        <v>2041</v>
      </c>
      <c r="C736" t="s">
        <v>1976</v>
      </c>
      <c r="D736" s="11" t="s">
        <v>2250</v>
      </c>
      <c r="E736" s="12">
        <v>45929</v>
      </c>
      <c r="F736" s="12">
        <v>45929</v>
      </c>
      <c r="G736" t="s">
        <v>2248</v>
      </c>
      <c r="H736" t="s">
        <v>1503</v>
      </c>
      <c r="I736">
        <v>5000</v>
      </c>
      <c r="J736">
        <v>0</v>
      </c>
      <c r="M736">
        <v>6.4000000000000003E-3</v>
      </c>
      <c r="N736">
        <v>32</v>
      </c>
      <c r="O736">
        <v>-32</v>
      </c>
      <c r="P736">
        <v>0</v>
      </c>
    </row>
    <row r="737" spans="1:16" hidden="1" x14ac:dyDescent="0.25">
      <c r="A737" t="s">
        <v>2040</v>
      </c>
      <c r="B737" t="s">
        <v>2041</v>
      </c>
      <c r="C737" t="s">
        <v>1976</v>
      </c>
      <c r="D737" s="11" t="s">
        <v>2250</v>
      </c>
      <c r="E737" s="12">
        <v>45929</v>
      </c>
      <c r="F737" s="12">
        <v>45929</v>
      </c>
      <c r="G737" t="s">
        <v>2248</v>
      </c>
      <c r="H737" t="s">
        <v>1505</v>
      </c>
      <c r="I737">
        <v>4999</v>
      </c>
      <c r="J737">
        <v>0</v>
      </c>
      <c r="M737">
        <v>0.10934000000000001</v>
      </c>
      <c r="N737">
        <v>546.59065999999996</v>
      </c>
      <c r="O737">
        <v>-546.59065999999996</v>
      </c>
      <c r="P737">
        <v>0</v>
      </c>
    </row>
    <row r="738" spans="1:16" hidden="1" x14ac:dyDescent="0.25">
      <c r="A738" t="s">
        <v>2040</v>
      </c>
      <c r="B738" t="s">
        <v>2041</v>
      </c>
      <c r="C738" t="s">
        <v>1976</v>
      </c>
      <c r="D738" s="11" t="s">
        <v>2250</v>
      </c>
      <c r="E738" s="12">
        <v>45929</v>
      </c>
      <c r="F738" s="12">
        <v>45929</v>
      </c>
      <c r="G738" t="s">
        <v>2248</v>
      </c>
      <c r="H738" t="s">
        <v>1517</v>
      </c>
      <c r="I738">
        <v>9400</v>
      </c>
      <c r="J738">
        <v>0</v>
      </c>
      <c r="M738">
        <v>3.4200000000000001E-2</v>
      </c>
      <c r="N738">
        <v>321.48</v>
      </c>
      <c r="O738">
        <v>-321.48</v>
      </c>
      <c r="P738">
        <v>0</v>
      </c>
    </row>
    <row r="739" spans="1:16" hidden="1" x14ac:dyDescent="0.25">
      <c r="A739" t="s">
        <v>2040</v>
      </c>
      <c r="B739" t="s">
        <v>2041</v>
      </c>
      <c r="C739" t="s">
        <v>1976</v>
      </c>
      <c r="D739" s="11" t="s">
        <v>2250</v>
      </c>
      <c r="E739" s="12">
        <v>45929</v>
      </c>
      <c r="F739" s="12">
        <v>45929</v>
      </c>
      <c r="G739" t="s">
        <v>2248</v>
      </c>
      <c r="H739" t="s">
        <v>1523</v>
      </c>
      <c r="I739">
        <v>10000</v>
      </c>
      <c r="J739">
        <v>0</v>
      </c>
      <c r="M739">
        <v>2.41E-2</v>
      </c>
      <c r="N739">
        <v>241</v>
      </c>
      <c r="O739">
        <v>-241</v>
      </c>
      <c r="P739">
        <v>0</v>
      </c>
    </row>
    <row r="740" spans="1:16" hidden="1" x14ac:dyDescent="0.25">
      <c r="A740" t="s">
        <v>2040</v>
      </c>
      <c r="B740" t="s">
        <v>2041</v>
      </c>
      <c r="C740" t="s">
        <v>1976</v>
      </c>
      <c r="D740" s="11" t="s">
        <v>2250</v>
      </c>
      <c r="E740" s="12">
        <v>45929</v>
      </c>
      <c r="F740" s="12">
        <v>45929</v>
      </c>
      <c r="G740" t="s">
        <v>2248</v>
      </c>
      <c r="H740" t="s">
        <v>1531</v>
      </c>
      <c r="I740">
        <v>10000</v>
      </c>
      <c r="J740">
        <v>0</v>
      </c>
      <c r="M740">
        <v>2.41E-2</v>
      </c>
      <c r="N740">
        <v>241</v>
      </c>
      <c r="O740">
        <v>-241</v>
      </c>
      <c r="P740">
        <v>0</v>
      </c>
    </row>
    <row r="741" spans="1:16" hidden="1" x14ac:dyDescent="0.25">
      <c r="A741" t="s">
        <v>2040</v>
      </c>
      <c r="B741" t="s">
        <v>2041</v>
      </c>
      <c r="C741" t="s">
        <v>1976</v>
      </c>
      <c r="D741" s="11" t="s">
        <v>2250</v>
      </c>
      <c r="E741" s="12">
        <v>45929</v>
      </c>
      <c r="F741" s="12">
        <v>45929</v>
      </c>
      <c r="G741" t="s">
        <v>2248</v>
      </c>
      <c r="H741" t="s">
        <v>1567</v>
      </c>
      <c r="I741">
        <v>9700</v>
      </c>
      <c r="J741">
        <v>0</v>
      </c>
      <c r="M741">
        <v>4.2999999999999997E-2</v>
      </c>
      <c r="N741">
        <v>417.1</v>
      </c>
      <c r="O741">
        <v>-417.1</v>
      </c>
      <c r="P741">
        <v>0</v>
      </c>
    </row>
    <row r="742" spans="1:16" hidden="1" x14ac:dyDescent="0.25">
      <c r="A742" t="s">
        <v>2040</v>
      </c>
      <c r="B742" t="s">
        <v>2041</v>
      </c>
      <c r="C742" t="s">
        <v>1976</v>
      </c>
      <c r="D742" s="11" t="s">
        <v>2250</v>
      </c>
      <c r="E742" s="12">
        <v>45929</v>
      </c>
      <c r="F742" s="12">
        <v>45929</v>
      </c>
      <c r="G742" t="s">
        <v>2248</v>
      </c>
      <c r="H742" t="s">
        <v>1569</v>
      </c>
      <c r="I742">
        <v>5000</v>
      </c>
      <c r="J742">
        <v>0</v>
      </c>
      <c r="M742">
        <v>3.7400000000000003E-2</v>
      </c>
      <c r="N742">
        <v>187</v>
      </c>
      <c r="O742">
        <v>-187</v>
      </c>
      <c r="P742">
        <v>0</v>
      </c>
    </row>
    <row r="743" spans="1:16" hidden="1" x14ac:dyDescent="0.25">
      <c r="A743" t="s">
        <v>2040</v>
      </c>
      <c r="B743" t="s">
        <v>2041</v>
      </c>
      <c r="C743" t="s">
        <v>1976</v>
      </c>
      <c r="D743" s="11" t="s">
        <v>2250</v>
      </c>
      <c r="E743" s="12">
        <v>45929</v>
      </c>
      <c r="F743" s="12">
        <v>45929</v>
      </c>
      <c r="G743" t="s">
        <v>2248</v>
      </c>
      <c r="H743" t="s">
        <v>1571</v>
      </c>
      <c r="I743">
        <v>5000</v>
      </c>
      <c r="J743">
        <v>0</v>
      </c>
      <c r="M743">
        <v>4.3999999999999997E-2</v>
      </c>
      <c r="N743">
        <v>220</v>
      </c>
      <c r="O743">
        <v>-220</v>
      </c>
      <c r="P743">
        <v>0</v>
      </c>
    </row>
    <row r="744" spans="1:16" hidden="1" x14ac:dyDescent="0.25">
      <c r="A744" t="s">
        <v>2040</v>
      </c>
      <c r="B744" t="s">
        <v>2041</v>
      </c>
      <c r="C744" t="s">
        <v>1976</v>
      </c>
      <c r="D744" s="11" t="s">
        <v>2250</v>
      </c>
      <c r="E744" s="12">
        <v>45929</v>
      </c>
      <c r="F744" s="12">
        <v>45929</v>
      </c>
      <c r="G744" t="s">
        <v>2248</v>
      </c>
      <c r="H744" t="s">
        <v>1573</v>
      </c>
      <c r="I744">
        <v>5000</v>
      </c>
      <c r="J744">
        <v>0</v>
      </c>
      <c r="M744">
        <v>4.1000000000000002E-2</v>
      </c>
      <c r="N744">
        <v>205</v>
      </c>
      <c r="O744">
        <v>-205</v>
      </c>
      <c r="P744">
        <v>0</v>
      </c>
    </row>
    <row r="745" spans="1:16" hidden="1" x14ac:dyDescent="0.25">
      <c r="A745" t="s">
        <v>2040</v>
      </c>
      <c r="B745" t="s">
        <v>2041</v>
      </c>
      <c r="C745" t="s">
        <v>1976</v>
      </c>
      <c r="D745" s="11" t="s">
        <v>2250</v>
      </c>
      <c r="E745" s="12">
        <v>45929</v>
      </c>
      <c r="F745" s="12">
        <v>45929</v>
      </c>
      <c r="G745" t="s">
        <v>2248</v>
      </c>
      <c r="H745" t="s">
        <v>1578</v>
      </c>
      <c r="I745">
        <v>10000</v>
      </c>
      <c r="J745">
        <v>0</v>
      </c>
      <c r="M745">
        <v>0.01</v>
      </c>
      <c r="N745">
        <v>100</v>
      </c>
      <c r="O745">
        <v>-100</v>
      </c>
      <c r="P745">
        <v>0</v>
      </c>
    </row>
    <row r="746" spans="1:16" hidden="1" x14ac:dyDescent="0.25">
      <c r="A746" t="s">
        <v>2040</v>
      </c>
      <c r="B746" t="s">
        <v>2041</v>
      </c>
      <c r="C746" t="s">
        <v>1976</v>
      </c>
      <c r="D746" s="11" t="s">
        <v>2250</v>
      </c>
      <c r="E746" s="12">
        <v>45929</v>
      </c>
      <c r="F746" s="12">
        <v>45929</v>
      </c>
      <c r="G746" t="s">
        <v>2248</v>
      </c>
      <c r="H746" t="s">
        <v>1593</v>
      </c>
      <c r="I746">
        <v>1440</v>
      </c>
      <c r="J746">
        <v>0</v>
      </c>
      <c r="M746">
        <v>0.23100000000000001</v>
      </c>
      <c r="N746">
        <v>332.64</v>
      </c>
      <c r="O746">
        <v>-332.64</v>
      </c>
      <c r="P746">
        <v>0</v>
      </c>
    </row>
    <row r="747" spans="1:16" hidden="1" x14ac:dyDescent="0.25">
      <c r="A747" t="s">
        <v>2040</v>
      </c>
      <c r="B747" t="s">
        <v>2041</v>
      </c>
      <c r="C747" t="s">
        <v>1976</v>
      </c>
      <c r="D747" s="11" t="s">
        <v>2250</v>
      </c>
      <c r="E747" s="12">
        <v>45929</v>
      </c>
      <c r="F747" s="12">
        <v>45929</v>
      </c>
      <c r="G747" t="s">
        <v>2248</v>
      </c>
      <c r="H747" t="s">
        <v>1608</v>
      </c>
      <c r="I747">
        <v>3000</v>
      </c>
      <c r="J747">
        <v>0</v>
      </c>
      <c r="M747">
        <v>0.11</v>
      </c>
      <c r="N747">
        <v>330</v>
      </c>
      <c r="O747">
        <v>-330</v>
      </c>
      <c r="P747">
        <v>0</v>
      </c>
    </row>
    <row r="748" spans="1:16" hidden="1" x14ac:dyDescent="0.25">
      <c r="A748" t="s">
        <v>2040</v>
      </c>
      <c r="B748" t="s">
        <v>2041</v>
      </c>
      <c r="C748" t="s">
        <v>1976</v>
      </c>
      <c r="D748" s="11" t="s">
        <v>2250</v>
      </c>
      <c r="E748" s="12">
        <v>45929</v>
      </c>
      <c r="F748" s="12">
        <v>45929</v>
      </c>
      <c r="G748" t="s">
        <v>2248</v>
      </c>
      <c r="H748" t="s">
        <v>1615</v>
      </c>
      <c r="I748">
        <v>1299</v>
      </c>
      <c r="J748">
        <v>0</v>
      </c>
      <c r="M748">
        <v>0.12</v>
      </c>
      <c r="N748">
        <v>155.88</v>
      </c>
      <c r="O748">
        <v>-155.88</v>
      </c>
      <c r="P748">
        <v>0</v>
      </c>
    </row>
    <row r="749" spans="1:16" hidden="1" x14ac:dyDescent="0.25">
      <c r="A749" t="s">
        <v>2040</v>
      </c>
      <c r="B749" t="s">
        <v>2041</v>
      </c>
      <c r="C749" t="s">
        <v>1976</v>
      </c>
      <c r="D749" s="11" t="s">
        <v>2250</v>
      </c>
      <c r="E749" s="12">
        <v>45929</v>
      </c>
      <c r="F749" s="12">
        <v>45929</v>
      </c>
      <c r="G749" t="s">
        <v>2248</v>
      </c>
      <c r="H749" t="s">
        <v>1631</v>
      </c>
      <c r="I749">
        <v>500</v>
      </c>
      <c r="J749">
        <v>0</v>
      </c>
      <c r="M749">
        <v>1</v>
      </c>
      <c r="N749">
        <v>500</v>
      </c>
      <c r="O749">
        <v>-500</v>
      </c>
      <c r="P749">
        <v>0</v>
      </c>
    </row>
    <row r="750" spans="1:16" hidden="1" x14ac:dyDescent="0.25">
      <c r="A750" t="s">
        <v>2040</v>
      </c>
      <c r="B750" t="s">
        <v>2041</v>
      </c>
      <c r="C750" t="s">
        <v>1976</v>
      </c>
      <c r="D750" s="11" t="s">
        <v>2250</v>
      </c>
      <c r="E750" s="12">
        <v>45929</v>
      </c>
      <c r="F750" s="12">
        <v>45929</v>
      </c>
      <c r="G750" t="s">
        <v>2248</v>
      </c>
      <c r="H750" t="s">
        <v>1633</v>
      </c>
      <c r="I750">
        <v>1000</v>
      </c>
      <c r="J750">
        <v>0</v>
      </c>
      <c r="M750">
        <v>0.48327999999999999</v>
      </c>
      <c r="N750">
        <v>483.28</v>
      </c>
      <c r="O750">
        <v>-483.28</v>
      </c>
      <c r="P750">
        <v>0</v>
      </c>
    </row>
    <row r="751" spans="1:16" hidden="1" x14ac:dyDescent="0.25">
      <c r="A751" t="s">
        <v>2040</v>
      </c>
      <c r="B751" t="s">
        <v>2041</v>
      </c>
      <c r="C751" t="s">
        <v>1976</v>
      </c>
      <c r="D751" s="11" t="s">
        <v>2250</v>
      </c>
      <c r="E751" s="12">
        <v>45929</v>
      </c>
      <c r="F751" s="12">
        <v>45929</v>
      </c>
      <c r="G751" t="s">
        <v>2248</v>
      </c>
      <c r="H751" t="s">
        <v>1635</v>
      </c>
      <c r="I751">
        <v>229</v>
      </c>
      <c r="J751">
        <v>0</v>
      </c>
      <c r="M751">
        <v>1.61</v>
      </c>
      <c r="N751">
        <v>368.69</v>
      </c>
      <c r="O751">
        <v>-368.69</v>
      </c>
      <c r="P751">
        <v>0</v>
      </c>
    </row>
    <row r="752" spans="1:16" hidden="1" x14ac:dyDescent="0.25">
      <c r="A752" t="s">
        <v>2040</v>
      </c>
      <c r="B752" t="s">
        <v>2041</v>
      </c>
      <c r="C752" t="s">
        <v>1976</v>
      </c>
      <c r="D752" s="11" t="s">
        <v>2250</v>
      </c>
      <c r="E752" s="12">
        <v>45929</v>
      </c>
      <c r="F752" s="12">
        <v>45929</v>
      </c>
      <c r="G752" t="s">
        <v>2248</v>
      </c>
      <c r="H752" t="s">
        <v>1639</v>
      </c>
      <c r="I752">
        <v>100</v>
      </c>
      <c r="J752">
        <v>0</v>
      </c>
      <c r="M752">
        <v>6.07</v>
      </c>
      <c r="N752">
        <v>607</v>
      </c>
      <c r="O752">
        <v>-607</v>
      </c>
      <c r="P752">
        <v>0</v>
      </c>
    </row>
    <row r="753" spans="1:16" hidden="1" x14ac:dyDescent="0.25">
      <c r="A753" t="s">
        <v>2040</v>
      </c>
      <c r="B753" t="s">
        <v>2041</v>
      </c>
      <c r="C753" t="s">
        <v>1976</v>
      </c>
      <c r="D753" s="11" t="s">
        <v>2250</v>
      </c>
      <c r="E753" s="12">
        <v>45929</v>
      </c>
      <c r="F753" s="12">
        <v>45929</v>
      </c>
      <c r="G753" t="s">
        <v>2248</v>
      </c>
      <c r="H753" t="s">
        <v>1643</v>
      </c>
      <c r="I753">
        <v>30</v>
      </c>
      <c r="J753">
        <v>0</v>
      </c>
      <c r="M753">
        <v>9.5609999999999999</v>
      </c>
      <c r="N753">
        <v>286.83</v>
      </c>
      <c r="O753">
        <v>-286.83</v>
      </c>
      <c r="P753">
        <v>0</v>
      </c>
    </row>
    <row r="754" spans="1:16" hidden="1" x14ac:dyDescent="0.25">
      <c r="A754" t="s">
        <v>2040</v>
      </c>
      <c r="B754" t="s">
        <v>2041</v>
      </c>
      <c r="C754" t="s">
        <v>1976</v>
      </c>
      <c r="D754" s="11" t="s">
        <v>2250</v>
      </c>
      <c r="E754" s="12">
        <v>45929</v>
      </c>
      <c r="F754" s="12">
        <v>45929</v>
      </c>
      <c r="G754" t="s">
        <v>2248</v>
      </c>
      <c r="H754" t="s">
        <v>1645</v>
      </c>
      <c r="I754">
        <v>200</v>
      </c>
      <c r="J754">
        <v>0</v>
      </c>
      <c r="M754">
        <v>2.17</v>
      </c>
      <c r="N754">
        <v>434</v>
      </c>
      <c r="O754">
        <v>-434</v>
      </c>
      <c r="P754">
        <v>0</v>
      </c>
    </row>
    <row r="755" spans="1:16" hidden="1" x14ac:dyDescent="0.25">
      <c r="A755" t="s">
        <v>2040</v>
      </c>
      <c r="B755" t="s">
        <v>2041</v>
      </c>
      <c r="C755" t="s">
        <v>1976</v>
      </c>
      <c r="D755" s="11" t="s">
        <v>2250</v>
      </c>
      <c r="E755" s="12">
        <v>45929</v>
      </c>
      <c r="F755" s="12">
        <v>45929</v>
      </c>
      <c r="G755" t="s">
        <v>2248</v>
      </c>
      <c r="H755" t="s">
        <v>1649</v>
      </c>
      <c r="I755">
        <v>3500</v>
      </c>
      <c r="J755">
        <v>0</v>
      </c>
      <c r="M755">
        <v>0.64397000000000004</v>
      </c>
      <c r="N755">
        <v>2253.895</v>
      </c>
      <c r="O755">
        <v>-2253.895</v>
      </c>
      <c r="P755">
        <v>0</v>
      </c>
    </row>
    <row r="756" spans="1:16" hidden="1" x14ac:dyDescent="0.25">
      <c r="A756" t="s">
        <v>2040</v>
      </c>
      <c r="B756" t="s">
        <v>2041</v>
      </c>
      <c r="C756" t="s">
        <v>1976</v>
      </c>
      <c r="D756" s="11" t="s">
        <v>2250</v>
      </c>
      <c r="E756" s="12">
        <v>45929</v>
      </c>
      <c r="F756" s="12">
        <v>45929</v>
      </c>
      <c r="G756" t="s">
        <v>2248</v>
      </c>
      <c r="H756" t="s">
        <v>1673</v>
      </c>
      <c r="I756">
        <v>182</v>
      </c>
      <c r="J756">
        <v>0</v>
      </c>
      <c r="M756">
        <v>0.27400000000000002</v>
      </c>
      <c r="N756">
        <v>49.868000000000002</v>
      </c>
      <c r="O756">
        <v>-49.868000000000002</v>
      </c>
      <c r="P756">
        <v>0</v>
      </c>
    </row>
    <row r="757" spans="1:16" hidden="1" x14ac:dyDescent="0.25">
      <c r="A757" t="s">
        <v>2040</v>
      </c>
      <c r="B757" t="s">
        <v>2041</v>
      </c>
      <c r="C757" t="s">
        <v>1976</v>
      </c>
      <c r="D757" s="11" t="s">
        <v>2250</v>
      </c>
      <c r="E757" s="12">
        <v>45929</v>
      </c>
      <c r="F757" s="12">
        <v>45929</v>
      </c>
      <c r="G757" t="s">
        <v>2248</v>
      </c>
      <c r="H757" t="s">
        <v>1728</v>
      </c>
      <c r="I757">
        <v>2000</v>
      </c>
      <c r="J757">
        <v>0</v>
      </c>
      <c r="M757">
        <v>0.125</v>
      </c>
      <c r="N757">
        <v>250</v>
      </c>
      <c r="O757">
        <v>-250</v>
      </c>
      <c r="P757">
        <v>0</v>
      </c>
    </row>
    <row r="758" spans="1:16" hidden="1" x14ac:dyDescent="0.25">
      <c r="A758" t="s">
        <v>2040</v>
      </c>
      <c r="B758" t="s">
        <v>2041</v>
      </c>
      <c r="C758" t="s">
        <v>1976</v>
      </c>
      <c r="D758" s="11" t="s">
        <v>2250</v>
      </c>
      <c r="E758" s="12">
        <v>45929</v>
      </c>
      <c r="F758" s="12">
        <v>45929</v>
      </c>
      <c r="G758" t="s">
        <v>2248</v>
      </c>
      <c r="H758" t="s">
        <v>1730</v>
      </c>
      <c r="I758">
        <v>500</v>
      </c>
      <c r="J758">
        <v>0</v>
      </c>
      <c r="M758">
        <v>3.1</v>
      </c>
      <c r="N758">
        <v>1550</v>
      </c>
      <c r="O758">
        <v>-1550</v>
      </c>
      <c r="P758">
        <v>0</v>
      </c>
    </row>
    <row r="759" spans="1:16" hidden="1" x14ac:dyDescent="0.25">
      <c r="A759" t="s">
        <v>2040</v>
      </c>
      <c r="B759" t="s">
        <v>2041</v>
      </c>
      <c r="C759" t="s">
        <v>1976</v>
      </c>
      <c r="D759" s="11" t="s">
        <v>2250</v>
      </c>
      <c r="E759" s="12">
        <v>45929</v>
      </c>
      <c r="F759" s="12">
        <v>45929</v>
      </c>
      <c r="G759" t="s">
        <v>2248</v>
      </c>
      <c r="H759" t="s">
        <v>1742</v>
      </c>
      <c r="I759">
        <v>60</v>
      </c>
      <c r="J759">
        <v>0</v>
      </c>
      <c r="M759">
        <v>26.1418</v>
      </c>
      <c r="N759">
        <v>1568.508</v>
      </c>
      <c r="O759">
        <v>-1568.508</v>
      </c>
      <c r="P759">
        <v>0</v>
      </c>
    </row>
    <row r="760" spans="1:16" hidden="1" x14ac:dyDescent="0.25">
      <c r="A760" t="s">
        <v>2040</v>
      </c>
      <c r="B760" t="s">
        <v>2041</v>
      </c>
      <c r="C760" t="s">
        <v>1976</v>
      </c>
      <c r="D760" s="11" t="s">
        <v>2250</v>
      </c>
      <c r="E760" s="12">
        <v>45929</v>
      </c>
      <c r="F760" s="12">
        <v>45929</v>
      </c>
      <c r="G760" t="s">
        <v>2248</v>
      </c>
      <c r="H760" t="s">
        <v>1762</v>
      </c>
      <c r="I760">
        <v>3900</v>
      </c>
      <c r="J760">
        <v>0</v>
      </c>
      <c r="M760">
        <v>0.19600000000000001</v>
      </c>
      <c r="N760">
        <v>764.4</v>
      </c>
      <c r="O760">
        <v>-764.4</v>
      </c>
      <c r="P760">
        <v>0</v>
      </c>
    </row>
    <row r="761" spans="1:16" hidden="1" x14ac:dyDescent="0.25">
      <c r="A761" t="s">
        <v>2040</v>
      </c>
      <c r="B761" t="s">
        <v>2041</v>
      </c>
      <c r="C761" t="s">
        <v>1976</v>
      </c>
      <c r="D761" s="11" t="s">
        <v>2250</v>
      </c>
      <c r="E761" s="12">
        <v>45929</v>
      </c>
      <c r="F761" s="12">
        <v>45929</v>
      </c>
      <c r="G761" t="s">
        <v>2248</v>
      </c>
      <c r="H761" t="s">
        <v>1764</v>
      </c>
      <c r="I761">
        <v>4000</v>
      </c>
      <c r="J761">
        <v>0</v>
      </c>
      <c r="M761">
        <v>1.5100000000000001E-2</v>
      </c>
      <c r="N761">
        <v>60.4</v>
      </c>
      <c r="O761">
        <v>-60.4</v>
      </c>
      <c r="P761">
        <v>0</v>
      </c>
    </row>
    <row r="762" spans="1:16" hidden="1" x14ac:dyDescent="0.25">
      <c r="A762" t="s">
        <v>2040</v>
      </c>
      <c r="B762" t="s">
        <v>2041</v>
      </c>
      <c r="C762" t="s">
        <v>1976</v>
      </c>
      <c r="D762" s="11" t="s">
        <v>2250</v>
      </c>
      <c r="E762" s="12">
        <v>45929</v>
      </c>
      <c r="F762" s="12">
        <v>45929</v>
      </c>
      <c r="G762" t="s">
        <v>2248</v>
      </c>
      <c r="H762" t="s">
        <v>1783</v>
      </c>
      <c r="I762">
        <v>250</v>
      </c>
      <c r="J762">
        <v>0</v>
      </c>
      <c r="M762">
        <v>1.6379999999999999</v>
      </c>
      <c r="N762">
        <v>409.5</v>
      </c>
      <c r="O762">
        <v>-409.5</v>
      </c>
      <c r="P762">
        <v>0</v>
      </c>
    </row>
    <row r="763" spans="1:16" hidden="1" x14ac:dyDescent="0.25">
      <c r="A763" t="s">
        <v>2040</v>
      </c>
      <c r="B763" t="s">
        <v>2041</v>
      </c>
      <c r="C763" t="s">
        <v>1976</v>
      </c>
      <c r="D763" s="11" t="s">
        <v>2250</v>
      </c>
      <c r="E763" s="12">
        <v>45929</v>
      </c>
      <c r="F763" s="12">
        <v>45929</v>
      </c>
      <c r="G763" t="s">
        <v>2248</v>
      </c>
      <c r="H763" t="s">
        <v>1783</v>
      </c>
      <c r="I763">
        <v>250</v>
      </c>
      <c r="J763">
        <v>0</v>
      </c>
      <c r="M763">
        <v>1.6379999999999999</v>
      </c>
      <c r="N763">
        <v>409.5</v>
      </c>
      <c r="O763">
        <v>-409.5</v>
      </c>
      <c r="P763">
        <v>0</v>
      </c>
    </row>
    <row r="764" spans="1:16" hidden="1" x14ac:dyDescent="0.25">
      <c r="A764" t="s">
        <v>2040</v>
      </c>
      <c r="B764" t="s">
        <v>2041</v>
      </c>
      <c r="C764" t="s">
        <v>1976</v>
      </c>
      <c r="D764" s="11" t="s">
        <v>2250</v>
      </c>
      <c r="E764" s="12">
        <v>45929</v>
      </c>
      <c r="F764" s="12">
        <v>45929</v>
      </c>
      <c r="G764" t="s">
        <v>2248</v>
      </c>
      <c r="H764" t="s">
        <v>1783</v>
      </c>
      <c r="I764">
        <v>250</v>
      </c>
      <c r="J764">
        <v>0</v>
      </c>
      <c r="M764">
        <v>1.6379999999999999</v>
      </c>
      <c r="N764">
        <v>409.5</v>
      </c>
      <c r="O764">
        <v>-409.5</v>
      </c>
      <c r="P764">
        <v>0</v>
      </c>
    </row>
    <row r="765" spans="1:16" hidden="1" x14ac:dyDescent="0.25">
      <c r="A765" t="s">
        <v>2040</v>
      </c>
      <c r="B765" t="s">
        <v>2041</v>
      </c>
      <c r="C765" t="s">
        <v>1976</v>
      </c>
      <c r="D765" s="11" t="s">
        <v>2250</v>
      </c>
      <c r="E765" s="12">
        <v>45929</v>
      </c>
      <c r="F765" s="12">
        <v>45929</v>
      </c>
      <c r="G765" t="s">
        <v>2248</v>
      </c>
      <c r="H765" t="s">
        <v>1783</v>
      </c>
      <c r="I765">
        <v>250</v>
      </c>
      <c r="J765">
        <v>0</v>
      </c>
      <c r="M765">
        <v>1.6379999999999999</v>
      </c>
      <c r="N765">
        <v>409.5</v>
      </c>
      <c r="O765">
        <v>-409.5</v>
      </c>
      <c r="P765">
        <v>0</v>
      </c>
    </row>
    <row r="766" spans="1:16" hidden="1" x14ac:dyDescent="0.25">
      <c r="A766" t="s">
        <v>2040</v>
      </c>
      <c r="B766" t="s">
        <v>2041</v>
      </c>
      <c r="C766" t="s">
        <v>1976</v>
      </c>
      <c r="D766" s="11" t="s">
        <v>2250</v>
      </c>
      <c r="E766" s="12">
        <v>45929</v>
      </c>
      <c r="F766" s="12">
        <v>45929</v>
      </c>
      <c r="G766" t="s">
        <v>2248</v>
      </c>
      <c r="H766" t="s">
        <v>1783</v>
      </c>
      <c r="I766">
        <v>250</v>
      </c>
      <c r="J766">
        <v>0</v>
      </c>
      <c r="M766">
        <v>1.6379999999999999</v>
      </c>
      <c r="N766">
        <v>409.5</v>
      </c>
      <c r="O766">
        <v>-409.5</v>
      </c>
      <c r="P766">
        <v>0</v>
      </c>
    </row>
    <row r="767" spans="1:16" hidden="1" x14ac:dyDescent="0.25">
      <c r="A767" t="s">
        <v>2040</v>
      </c>
      <c r="B767" t="s">
        <v>2041</v>
      </c>
      <c r="C767" t="s">
        <v>1976</v>
      </c>
      <c r="D767" s="11" t="s">
        <v>2250</v>
      </c>
      <c r="E767" s="12">
        <v>45929</v>
      </c>
      <c r="F767" s="12">
        <v>45929</v>
      </c>
      <c r="G767" t="s">
        <v>2248</v>
      </c>
      <c r="H767" t="s">
        <v>1783</v>
      </c>
      <c r="I767">
        <v>250</v>
      </c>
      <c r="J767">
        <v>0</v>
      </c>
      <c r="M767">
        <v>1.6379999999999999</v>
      </c>
      <c r="N767">
        <v>409.5</v>
      </c>
      <c r="O767">
        <v>-409.5</v>
      </c>
      <c r="P767">
        <v>0</v>
      </c>
    </row>
    <row r="768" spans="1:16" hidden="1" x14ac:dyDescent="0.25">
      <c r="A768" t="s">
        <v>2040</v>
      </c>
      <c r="B768" t="s">
        <v>2041</v>
      </c>
      <c r="C768" t="s">
        <v>1976</v>
      </c>
      <c r="D768" s="11" t="s">
        <v>2250</v>
      </c>
      <c r="E768" s="12">
        <v>45929</v>
      </c>
      <c r="F768" s="12">
        <v>45929</v>
      </c>
      <c r="G768" t="s">
        <v>2248</v>
      </c>
      <c r="H768" t="s">
        <v>1783</v>
      </c>
      <c r="I768">
        <v>250</v>
      </c>
      <c r="J768">
        <v>0</v>
      </c>
      <c r="M768">
        <v>1.6379999999999999</v>
      </c>
      <c r="N768">
        <v>409.5</v>
      </c>
      <c r="O768">
        <v>-409.5</v>
      </c>
      <c r="P768">
        <v>0</v>
      </c>
    </row>
    <row r="769" spans="1:16" hidden="1" x14ac:dyDescent="0.25">
      <c r="A769" t="s">
        <v>2040</v>
      </c>
      <c r="B769" t="s">
        <v>2041</v>
      </c>
      <c r="C769" t="s">
        <v>1976</v>
      </c>
      <c r="D769" s="11" t="s">
        <v>2250</v>
      </c>
      <c r="E769" s="12">
        <v>45929</v>
      </c>
      <c r="F769" s="12">
        <v>45929</v>
      </c>
      <c r="G769" t="s">
        <v>2248</v>
      </c>
      <c r="H769" t="s">
        <v>1783</v>
      </c>
      <c r="I769">
        <v>250</v>
      </c>
      <c r="J769">
        <v>0</v>
      </c>
      <c r="M769">
        <v>1.6379999999999999</v>
      </c>
      <c r="N769">
        <v>409.5</v>
      </c>
      <c r="O769">
        <v>-409.5</v>
      </c>
      <c r="P769">
        <v>0</v>
      </c>
    </row>
    <row r="770" spans="1:16" hidden="1" x14ac:dyDescent="0.25">
      <c r="A770" t="s">
        <v>2040</v>
      </c>
      <c r="B770" t="s">
        <v>2041</v>
      </c>
      <c r="C770" t="s">
        <v>1976</v>
      </c>
      <c r="D770" s="11" t="s">
        <v>2250</v>
      </c>
      <c r="E770" s="12">
        <v>45929</v>
      </c>
      <c r="F770" s="12">
        <v>45929</v>
      </c>
      <c r="G770" t="s">
        <v>2248</v>
      </c>
      <c r="H770" t="s">
        <v>1845</v>
      </c>
      <c r="I770">
        <v>200</v>
      </c>
      <c r="J770">
        <v>0</v>
      </c>
      <c r="M770">
        <v>0.16300000000000001</v>
      </c>
      <c r="N770">
        <v>32.6</v>
      </c>
      <c r="O770">
        <v>-32.6</v>
      </c>
      <c r="P770">
        <v>0</v>
      </c>
    </row>
    <row r="771" spans="1:16" hidden="1" x14ac:dyDescent="0.25">
      <c r="A771" t="s">
        <v>2040</v>
      </c>
      <c r="B771" t="s">
        <v>2041</v>
      </c>
      <c r="C771" t="s">
        <v>1976</v>
      </c>
      <c r="D771" s="11" t="s">
        <v>2250</v>
      </c>
      <c r="E771" s="12">
        <v>45929</v>
      </c>
      <c r="F771" s="12">
        <v>45929</v>
      </c>
      <c r="G771" t="s">
        <v>2248</v>
      </c>
      <c r="H771" t="s">
        <v>1857</v>
      </c>
      <c r="I771">
        <v>13</v>
      </c>
      <c r="J771">
        <v>0</v>
      </c>
      <c r="M771">
        <v>15.936999999999999</v>
      </c>
      <c r="N771">
        <v>207.18100000000001</v>
      </c>
      <c r="O771">
        <v>-207.18100000000001</v>
      </c>
      <c r="P771">
        <v>0</v>
      </c>
    </row>
    <row r="772" spans="1:16" hidden="1" x14ac:dyDescent="0.25">
      <c r="A772" t="s">
        <v>2040</v>
      </c>
      <c r="B772" t="s">
        <v>2041</v>
      </c>
      <c r="C772" t="s">
        <v>1976</v>
      </c>
      <c r="D772" s="11" t="s">
        <v>2250</v>
      </c>
      <c r="E772" s="12">
        <v>45929</v>
      </c>
      <c r="F772" s="12">
        <v>45929</v>
      </c>
      <c r="G772" t="s">
        <v>2248</v>
      </c>
      <c r="H772" t="s">
        <v>1863</v>
      </c>
      <c r="I772">
        <v>1000</v>
      </c>
      <c r="J772">
        <v>0</v>
      </c>
      <c r="M772">
        <v>0.81899999999999995</v>
      </c>
      <c r="N772">
        <v>819</v>
      </c>
      <c r="O772">
        <v>-819</v>
      </c>
      <c r="P772">
        <v>0</v>
      </c>
    </row>
    <row r="773" spans="1:16" hidden="1" x14ac:dyDescent="0.25">
      <c r="A773" t="s">
        <v>2040</v>
      </c>
      <c r="B773" t="s">
        <v>2041</v>
      </c>
      <c r="C773" t="s">
        <v>1976</v>
      </c>
      <c r="D773" s="11" t="s">
        <v>2250</v>
      </c>
      <c r="E773" s="12">
        <v>45929</v>
      </c>
      <c r="F773" s="12">
        <v>45929</v>
      </c>
      <c r="G773" t="s">
        <v>2248</v>
      </c>
      <c r="H773" t="s">
        <v>1088</v>
      </c>
      <c r="I773">
        <v>499</v>
      </c>
      <c r="J773">
        <v>0</v>
      </c>
      <c r="M773">
        <v>3.5</v>
      </c>
      <c r="N773">
        <v>1746.5</v>
      </c>
      <c r="O773">
        <v>-1746.5</v>
      </c>
      <c r="P773">
        <v>0</v>
      </c>
    </row>
    <row r="774" spans="1:16" hidden="1" x14ac:dyDescent="0.25">
      <c r="A774" t="s">
        <v>2040</v>
      </c>
      <c r="B774" t="s">
        <v>2041</v>
      </c>
      <c r="C774" t="s">
        <v>1976</v>
      </c>
      <c r="D774" s="11" t="s">
        <v>2250</v>
      </c>
      <c r="E774" s="12">
        <v>45929</v>
      </c>
      <c r="F774" s="12">
        <v>45929</v>
      </c>
      <c r="G774" t="s">
        <v>2248</v>
      </c>
      <c r="H774" t="s">
        <v>496</v>
      </c>
      <c r="I774">
        <v>250</v>
      </c>
      <c r="J774">
        <v>0</v>
      </c>
      <c r="M774">
        <v>1.2410000000000001</v>
      </c>
      <c r="N774">
        <v>310.25</v>
      </c>
      <c r="O774">
        <v>-310.25</v>
      </c>
      <c r="P774">
        <v>0</v>
      </c>
    </row>
    <row r="775" spans="1:16" hidden="1" x14ac:dyDescent="0.25">
      <c r="A775" t="s">
        <v>2040</v>
      </c>
      <c r="B775" t="s">
        <v>2041</v>
      </c>
      <c r="C775" t="s">
        <v>1976</v>
      </c>
      <c r="D775" s="11" t="s">
        <v>2250</v>
      </c>
      <c r="E775" s="12">
        <v>45929</v>
      </c>
      <c r="F775" s="12">
        <v>45929</v>
      </c>
      <c r="G775" t="s">
        <v>2248</v>
      </c>
      <c r="H775" t="s">
        <v>498</v>
      </c>
      <c r="I775">
        <v>500</v>
      </c>
      <c r="J775">
        <v>0</v>
      </c>
      <c r="M775">
        <v>4.3150000000000004</v>
      </c>
      <c r="N775">
        <v>2157.5</v>
      </c>
      <c r="O775">
        <v>-2157.5</v>
      </c>
      <c r="P775">
        <v>0</v>
      </c>
    </row>
    <row r="776" spans="1:16" hidden="1" x14ac:dyDescent="0.25">
      <c r="A776" t="s">
        <v>2040</v>
      </c>
      <c r="B776" t="s">
        <v>2041</v>
      </c>
      <c r="C776" t="s">
        <v>1976</v>
      </c>
      <c r="D776" s="11" t="s">
        <v>2250</v>
      </c>
      <c r="E776" s="12">
        <v>45929</v>
      </c>
      <c r="F776" s="12">
        <v>45929</v>
      </c>
      <c r="G776" t="s">
        <v>2248</v>
      </c>
      <c r="H776" t="s">
        <v>969</v>
      </c>
      <c r="I776">
        <v>285</v>
      </c>
      <c r="J776">
        <v>0</v>
      </c>
      <c r="M776">
        <v>2.4049999999999998</v>
      </c>
      <c r="N776">
        <v>685.42499999999995</v>
      </c>
      <c r="O776">
        <v>-685.42499999999995</v>
      </c>
      <c r="P776">
        <v>0</v>
      </c>
    </row>
    <row r="777" spans="1:16" hidden="1" x14ac:dyDescent="0.25">
      <c r="A777" t="s">
        <v>2040</v>
      </c>
      <c r="B777" t="s">
        <v>2041</v>
      </c>
      <c r="C777" t="s">
        <v>1976</v>
      </c>
      <c r="D777" s="11" t="s">
        <v>2250</v>
      </c>
      <c r="E777" s="12">
        <v>45929</v>
      </c>
      <c r="F777" s="12">
        <v>45929</v>
      </c>
      <c r="G777" t="s">
        <v>2248</v>
      </c>
      <c r="H777" t="s">
        <v>1059</v>
      </c>
      <c r="I777">
        <v>2500</v>
      </c>
      <c r="J777">
        <v>0</v>
      </c>
      <c r="M777">
        <v>0.57999999999999996</v>
      </c>
      <c r="N777">
        <v>1450</v>
      </c>
      <c r="O777">
        <v>-1450</v>
      </c>
      <c r="P777">
        <v>0</v>
      </c>
    </row>
    <row r="778" spans="1:16" hidden="1" x14ac:dyDescent="0.25">
      <c r="A778" t="s">
        <v>2040</v>
      </c>
      <c r="B778" t="s">
        <v>2041</v>
      </c>
      <c r="C778" t="s">
        <v>1976</v>
      </c>
      <c r="D778" s="11" t="s">
        <v>2250</v>
      </c>
      <c r="E778" s="12">
        <v>45929</v>
      </c>
      <c r="F778" s="12">
        <v>45929</v>
      </c>
      <c r="G778" t="s">
        <v>2248</v>
      </c>
      <c r="H778" t="s">
        <v>1090</v>
      </c>
      <c r="I778">
        <v>490</v>
      </c>
      <c r="J778">
        <v>0</v>
      </c>
      <c r="M778">
        <v>6</v>
      </c>
      <c r="N778">
        <v>2940</v>
      </c>
      <c r="O778">
        <v>-2940</v>
      </c>
      <c r="P778">
        <v>0</v>
      </c>
    </row>
    <row r="779" spans="1:16" hidden="1" x14ac:dyDescent="0.25">
      <c r="A779" t="s">
        <v>2040</v>
      </c>
      <c r="B779" t="s">
        <v>2041</v>
      </c>
      <c r="C779" t="s">
        <v>1976</v>
      </c>
      <c r="D779" s="11" t="s">
        <v>2250</v>
      </c>
      <c r="E779" s="12">
        <v>45929</v>
      </c>
      <c r="F779" s="12">
        <v>45929</v>
      </c>
      <c r="G779" t="s">
        <v>2248</v>
      </c>
      <c r="H779" t="s">
        <v>1223</v>
      </c>
      <c r="I779">
        <v>60</v>
      </c>
      <c r="J779">
        <v>0</v>
      </c>
      <c r="M779">
        <v>10.555999999999999</v>
      </c>
      <c r="N779">
        <v>633.36</v>
      </c>
      <c r="O779">
        <v>-633.36</v>
      </c>
      <c r="P779">
        <v>0</v>
      </c>
    </row>
    <row r="780" spans="1:16" hidden="1" x14ac:dyDescent="0.25">
      <c r="A780" t="s">
        <v>2040</v>
      </c>
      <c r="B780" t="s">
        <v>2041</v>
      </c>
      <c r="C780" t="s">
        <v>1976</v>
      </c>
      <c r="D780" s="11" t="s">
        <v>2250</v>
      </c>
      <c r="E780" s="12">
        <v>45929</v>
      </c>
      <c r="F780" s="12">
        <v>45929</v>
      </c>
      <c r="G780" t="s">
        <v>2248</v>
      </c>
      <c r="H780" t="s">
        <v>1227</v>
      </c>
      <c r="I780">
        <v>250</v>
      </c>
      <c r="J780">
        <v>0</v>
      </c>
      <c r="M780">
        <v>1.881</v>
      </c>
      <c r="N780">
        <v>470.25</v>
      </c>
      <c r="O780">
        <v>-470.25</v>
      </c>
      <c r="P780">
        <v>0</v>
      </c>
    </row>
    <row r="781" spans="1:16" hidden="1" x14ac:dyDescent="0.25">
      <c r="A781" t="s">
        <v>2040</v>
      </c>
      <c r="B781" t="s">
        <v>2041</v>
      </c>
      <c r="C781" t="s">
        <v>1976</v>
      </c>
      <c r="D781" s="11" t="s">
        <v>2250</v>
      </c>
      <c r="E781" s="12">
        <v>45929</v>
      </c>
      <c r="F781" s="12">
        <v>45929</v>
      </c>
      <c r="G781" t="s">
        <v>2248</v>
      </c>
      <c r="H781" t="s">
        <v>1231</v>
      </c>
      <c r="I781">
        <v>50</v>
      </c>
      <c r="J781">
        <v>0</v>
      </c>
      <c r="M781">
        <v>13.016</v>
      </c>
      <c r="N781">
        <v>650.79999999999995</v>
      </c>
      <c r="O781">
        <v>-650.79999999999995</v>
      </c>
      <c r="P781">
        <v>0</v>
      </c>
    </row>
    <row r="782" spans="1:16" hidden="1" x14ac:dyDescent="0.25">
      <c r="A782" t="s">
        <v>2040</v>
      </c>
      <c r="B782" t="s">
        <v>2041</v>
      </c>
      <c r="C782" t="s">
        <v>1976</v>
      </c>
      <c r="D782" s="11" t="s">
        <v>2250</v>
      </c>
      <c r="E782" s="12">
        <v>45929</v>
      </c>
      <c r="F782" s="12">
        <v>45929</v>
      </c>
      <c r="G782" t="s">
        <v>2248</v>
      </c>
      <c r="H782" t="s">
        <v>1665</v>
      </c>
      <c r="I782">
        <v>250</v>
      </c>
      <c r="J782">
        <v>0</v>
      </c>
      <c r="M782">
        <v>0.70199999999999996</v>
      </c>
      <c r="N782">
        <v>175.5</v>
      </c>
      <c r="O782">
        <v>-175.5</v>
      </c>
      <c r="P782">
        <v>0</v>
      </c>
    </row>
    <row r="783" spans="1:16" hidden="1" x14ac:dyDescent="0.25">
      <c r="A783" t="s">
        <v>2040</v>
      </c>
      <c r="B783" t="s">
        <v>2041</v>
      </c>
      <c r="C783" t="s">
        <v>1976</v>
      </c>
      <c r="D783" s="11" t="s">
        <v>2250</v>
      </c>
      <c r="E783" s="12">
        <v>45929</v>
      </c>
      <c r="F783" s="12">
        <v>45929</v>
      </c>
      <c r="G783" t="s">
        <v>2248</v>
      </c>
      <c r="H783" t="s">
        <v>1669</v>
      </c>
      <c r="I783">
        <v>250</v>
      </c>
      <c r="J783">
        <v>0</v>
      </c>
      <c r="M783">
        <v>0.17299999999999999</v>
      </c>
      <c r="N783">
        <v>43.25</v>
      </c>
      <c r="O783">
        <v>-43.25</v>
      </c>
      <c r="P783">
        <v>0</v>
      </c>
    </row>
    <row r="784" spans="1:16" hidden="1" x14ac:dyDescent="0.25">
      <c r="A784" t="s">
        <v>2040</v>
      </c>
      <c r="B784" t="s">
        <v>2041</v>
      </c>
      <c r="C784" t="s">
        <v>1976</v>
      </c>
      <c r="D784" s="11" t="s">
        <v>2250</v>
      </c>
      <c r="E784" s="12">
        <v>45929</v>
      </c>
      <c r="F784" s="12">
        <v>45929</v>
      </c>
      <c r="G784" t="s">
        <v>2248</v>
      </c>
      <c r="H784" t="s">
        <v>1677</v>
      </c>
      <c r="I784">
        <v>2000</v>
      </c>
      <c r="J784">
        <v>0</v>
      </c>
      <c r="M784">
        <v>0.21</v>
      </c>
      <c r="N784">
        <v>420</v>
      </c>
      <c r="O784">
        <v>-420</v>
      </c>
      <c r="P784">
        <v>0</v>
      </c>
    </row>
    <row r="785" spans="1:16" hidden="1" x14ac:dyDescent="0.25">
      <c r="A785" t="s">
        <v>2040</v>
      </c>
      <c r="B785" t="s">
        <v>2041</v>
      </c>
      <c r="C785" t="s">
        <v>1976</v>
      </c>
      <c r="D785" s="11" t="s">
        <v>2250</v>
      </c>
      <c r="E785" s="12">
        <v>45929</v>
      </c>
      <c r="F785" s="12">
        <v>45929</v>
      </c>
      <c r="G785" t="s">
        <v>2248</v>
      </c>
      <c r="H785" t="s">
        <v>1686</v>
      </c>
      <c r="I785">
        <v>3000</v>
      </c>
      <c r="J785">
        <v>0</v>
      </c>
      <c r="M785">
        <v>2.3E-2</v>
      </c>
      <c r="N785">
        <v>69</v>
      </c>
      <c r="O785">
        <v>-69</v>
      </c>
      <c r="P785">
        <v>0</v>
      </c>
    </row>
    <row r="786" spans="1:16" hidden="1" x14ac:dyDescent="0.25">
      <c r="A786" t="s">
        <v>2040</v>
      </c>
      <c r="B786" t="s">
        <v>2041</v>
      </c>
      <c r="C786" t="s">
        <v>1976</v>
      </c>
      <c r="D786" s="11" t="s">
        <v>2250</v>
      </c>
      <c r="E786" s="12">
        <v>45929</v>
      </c>
      <c r="F786" s="12">
        <v>45929</v>
      </c>
      <c r="G786" t="s">
        <v>2248</v>
      </c>
      <c r="H786" t="s">
        <v>1704</v>
      </c>
      <c r="I786">
        <v>3000</v>
      </c>
      <c r="J786">
        <v>0</v>
      </c>
      <c r="M786">
        <v>0.79</v>
      </c>
      <c r="N786">
        <v>2370</v>
      </c>
      <c r="O786">
        <v>-2370</v>
      </c>
      <c r="P786">
        <v>0</v>
      </c>
    </row>
    <row r="787" spans="1:16" hidden="1" x14ac:dyDescent="0.25">
      <c r="A787" t="s">
        <v>2040</v>
      </c>
      <c r="B787" t="s">
        <v>2041</v>
      </c>
      <c r="C787" t="s">
        <v>1976</v>
      </c>
      <c r="D787" s="11" t="s">
        <v>2250</v>
      </c>
      <c r="E787" s="12">
        <v>45929</v>
      </c>
      <c r="F787" s="12">
        <v>45929</v>
      </c>
      <c r="G787" t="s">
        <v>2248</v>
      </c>
      <c r="H787" t="s">
        <v>1733</v>
      </c>
      <c r="I787">
        <v>3000</v>
      </c>
      <c r="J787">
        <v>0</v>
      </c>
      <c r="M787">
        <v>0.59</v>
      </c>
      <c r="N787">
        <v>1770</v>
      </c>
      <c r="O787">
        <v>-1770</v>
      </c>
      <c r="P787">
        <v>0</v>
      </c>
    </row>
    <row r="788" spans="1:16" hidden="1" x14ac:dyDescent="0.25">
      <c r="A788" t="s">
        <v>2040</v>
      </c>
      <c r="B788" t="s">
        <v>2041</v>
      </c>
      <c r="C788" t="s">
        <v>1976</v>
      </c>
      <c r="D788" s="11" t="s">
        <v>2250</v>
      </c>
      <c r="E788" s="12">
        <v>45929</v>
      </c>
      <c r="F788" s="12">
        <v>45929</v>
      </c>
      <c r="G788" t="s">
        <v>2248</v>
      </c>
      <c r="H788" t="s">
        <v>1735</v>
      </c>
      <c r="I788">
        <v>2000</v>
      </c>
      <c r="J788">
        <v>0</v>
      </c>
      <c r="M788">
        <v>0.4</v>
      </c>
      <c r="N788">
        <v>800</v>
      </c>
      <c r="O788">
        <v>-800</v>
      </c>
      <c r="P788">
        <v>0</v>
      </c>
    </row>
    <row r="789" spans="1:16" hidden="1" x14ac:dyDescent="0.25">
      <c r="A789" t="s">
        <v>2040</v>
      </c>
      <c r="B789" t="s">
        <v>2041</v>
      </c>
      <c r="C789" t="s">
        <v>1976</v>
      </c>
      <c r="D789" s="11" t="s">
        <v>2250</v>
      </c>
      <c r="E789" s="12">
        <v>45929</v>
      </c>
      <c r="F789" s="12">
        <v>45929</v>
      </c>
      <c r="G789" t="s">
        <v>2248</v>
      </c>
      <c r="H789" t="s">
        <v>1737</v>
      </c>
      <c r="I789">
        <v>3000</v>
      </c>
      <c r="J789">
        <v>0</v>
      </c>
      <c r="M789">
        <v>0.43</v>
      </c>
      <c r="N789">
        <v>1290</v>
      </c>
      <c r="O789">
        <v>-1290</v>
      </c>
      <c r="P789">
        <v>0</v>
      </c>
    </row>
    <row r="790" spans="1:16" hidden="1" x14ac:dyDescent="0.25">
      <c r="A790" t="s">
        <v>2040</v>
      </c>
      <c r="B790" t="s">
        <v>2041</v>
      </c>
      <c r="C790" t="s">
        <v>1976</v>
      </c>
      <c r="D790" s="11" t="s">
        <v>2250</v>
      </c>
      <c r="E790" s="12">
        <v>45929</v>
      </c>
      <c r="F790" s="12">
        <v>45929</v>
      </c>
      <c r="G790" t="s">
        <v>2248</v>
      </c>
      <c r="H790" t="s">
        <v>1753</v>
      </c>
      <c r="I790">
        <v>250</v>
      </c>
      <c r="J790">
        <v>0</v>
      </c>
      <c r="M790">
        <v>3.0990000000000002</v>
      </c>
      <c r="N790">
        <v>774.75</v>
      </c>
      <c r="O790">
        <v>-774.75</v>
      </c>
      <c r="P790">
        <v>0</v>
      </c>
    </row>
    <row r="791" spans="1:16" hidden="1" x14ac:dyDescent="0.25">
      <c r="A791" t="s">
        <v>2040</v>
      </c>
      <c r="B791" t="s">
        <v>2041</v>
      </c>
      <c r="C791" t="s">
        <v>1976</v>
      </c>
      <c r="D791" s="11" t="s">
        <v>2250</v>
      </c>
      <c r="E791" s="12">
        <v>45929</v>
      </c>
      <c r="F791" s="12">
        <v>45929</v>
      </c>
      <c r="G791" t="s">
        <v>2248</v>
      </c>
      <c r="H791" t="s">
        <v>1791</v>
      </c>
      <c r="I791">
        <v>250</v>
      </c>
      <c r="J791">
        <v>0</v>
      </c>
      <c r="M791">
        <v>1.032</v>
      </c>
      <c r="N791">
        <v>258</v>
      </c>
      <c r="O791">
        <v>-258</v>
      </c>
      <c r="P791">
        <v>0</v>
      </c>
    </row>
    <row r="792" spans="1:16" hidden="1" x14ac:dyDescent="0.25">
      <c r="A792" t="s">
        <v>2040</v>
      </c>
      <c r="B792" t="s">
        <v>2041</v>
      </c>
      <c r="C792" t="s">
        <v>1976</v>
      </c>
      <c r="D792" s="11" t="s">
        <v>2250</v>
      </c>
      <c r="E792" s="12">
        <v>45929</v>
      </c>
      <c r="F792" s="12">
        <v>45929</v>
      </c>
      <c r="G792" t="s">
        <v>2248</v>
      </c>
      <c r="H792" t="s">
        <v>1791</v>
      </c>
      <c r="I792">
        <v>2750</v>
      </c>
      <c r="J792">
        <v>0</v>
      </c>
      <c r="M792">
        <v>1.032</v>
      </c>
      <c r="N792">
        <v>2838</v>
      </c>
      <c r="O792">
        <v>-2838</v>
      </c>
      <c r="P792">
        <v>0</v>
      </c>
    </row>
    <row r="793" spans="1:16" hidden="1" x14ac:dyDescent="0.25">
      <c r="A793" t="s">
        <v>2040</v>
      </c>
      <c r="B793" t="s">
        <v>2041</v>
      </c>
      <c r="C793" t="s">
        <v>1976</v>
      </c>
      <c r="D793" s="11" t="s">
        <v>2250</v>
      </c>
      <c r="E793" s="12">
        <v>45929</v>
      </c>
      <c r="F793" s="12">
        <v>45929</v>
      </c>
      <c r="G793" t="s">
        <v>2248</v>
      </c>
      <c r="H793" t="s">
        <v>1797</v>
      </c>
      <c r="I793">
        <v>3000</v>
      </c>
      <c r="J793">
        <v>0</v>
      </c>
      <c r="M793">
        <v>0.33500000000000002</v>
      </c>
      <c r="N793">
        <v>1005</v>
      </c>
      <c r="O793">
        <v>-1005</v>
      </c>
      <c r="P793">
        <v>0</v>
      </c>
    </row>
    <row r="794" spans="1:16" hidden="1" x14ac:dyDescent="0.25">
      <c r="A794" t="s">
        <v>2040</v>
      </c>
      <c r="B794" t="s">
        <v>2041</v>
      </c>
      <c r="C794" t="s">
        <v>1976</v>
      </c>
      <c r="D794" s="11" t="s">
        <v>2250</v>
      </c>
      <c r="E794" s="12">
        <v>45929</v>
      </c>
      <c r="F794" s="12">
        <v>45929</v>
      </c>
      <c r="G794" t="s">
        <v>2248</v>
      </c>
      <c r="H794" t="s">
        <v>1799</v>
      </c>
      <c r="I794">
        <v>250</v>
      </c>
      <c r="J794">
        <v>0</v>
      </c>
      <c r="M794">
        <v>3.0819999999999999</v>
      </c>
      <c r="N794">
        <v>770.5</v>
      </c>
      <c r="O794">
        <v>-770.5</v>
      </c>
      <c r="P794">
        <v>0</v>
      </c>
    </row>
    <row r="795" spans="1:16" hidden="1" x14ac:dyDescent="0.25">
      <c r="A795" t="s">
        <v>2040</v>
      </c>
      <c r="B795" t="s">
        <v>2041</v>
      </c>
      <c r="C795" t="s">
        <v>1976</v>
      </c>
      <c r="D795" s="11" t="s">
        <v>2250</v>
      </c>
      <c r="E795" s="12">
        <v>45929</v>
      </c>
      <c r="F795" s="12">
        <v>45929</v>
      </c>
      <c r="G795" t="s">
        <v>2248</v>
      </c>
      <c r="H795" t="s">
        <v>1811</v>
      </c>
      <c r="I795">
        <v>2500</v>
      </c>
      <c r="J795">
        <v>0</v>
      </c>
      <c r="M795">
        <v>0.18</v>
      </c>
      <c r="N795">
        <v>450</v>
      </c>
      <c r="O795">
        <v>-450</v>
      </c>
      <c r="P795">
        <v>0</v>
      </c>
    </row>
    <row r="796" spans="1:16" hidden="1" x14ac:dyDescent="0.25">
      <c r="A796" t="s">
        <v>2040</v>
      </c>
      <c r="B796" t="s">
        <v>2041</v>
      </c>
      <c r="C796" t="s">
        <v>1976</v>
      </c>
      <c r="D796" s="11" t="s">
        <v>2250</v>
      </c>
      <c r="E796" s="12">
        <v>45929</v>
      </c>
      <c r="F796" s="12">
        <v>45929</v>
      </c>
      <c r="G796" t="s">
        <v>2248</v>
      </c>
      <c r="H796" t="s">
        <v>1829</v>
      </c>
      <c r="I796">
        <v>2500</v>
      </c>
      <c r="J796">
        <v>0</v>
      </c>
      <c r="M796">
        <v>1.222</v>
      </c>
      <c r="N796">
        <v>3055</v>
      </c>
      <c r="O796">
        <v>-3055</v>
      </c>
      <c r="P796">
        <v>0</v>
      </c>
    </row>
    <row r="797" spans="1:16" hidden="1" x14ac:dyDescent="0.25">
      <c r="A797" t="s">
        <v>2040</v>
      </c>
      <c r="B797" t="s">
        <v>2041</v>
      </c>
      <c r="C797" t="s">
        <v>1976</v>
      </c>
      <c r="D797" s="11" t="s">
        <v>2250</v>
      </c>
      <c r="E797" s="12">
        <v>45929</v>
      </c>
      <c r="F797" s="12">
        <v>45929</v>
      </c>
      <c r="G797" t="s">
        <v>2248</v>
      </c>
      <c r="H797" t="s">
        <v>2262</v>
      </c>
      <c r="I797">
        <v>73</v>
      </c>
      <c r="J797">
        <v>0</v>
      </c>
      <c r="M797">
        <v>28.56</v>
      </c>
      <c r="N797">
        <v>2084.88</v>
      </c>
      <c r="O797">
        <v>-2084.88</v>
      </c>
      <c r="P797">
        <v>0</v>
      </c>
    </row>
    <row r="798" spans="1:16" hidden="1" x14ac:dyDescent="0.25">
      <c r="A798" t="s">
        <v>2040</v>
      </c>
      <c r="B798" t="s">
        <v>2041</v>
      </c>
      <c r="C798" t="s">
        <v>1976</v>
      </c>
      <c r="D798" s="11" t="s">
        <v>2250</v>
      </c>
      <c r="E798" s="12">
        <v>45929</v>
      </c>
      <c r="F798" s="12">
        <v>45929</v>
      </c>
      <c r="G798" t="s">
        <v>2248</v>
      </c>
      <c r="H798" t="s">
        <v>1219</v>
      </c>
      <c r="I798">
        <v>100</v>
      </c>
      <c r="J798">
        <v>0</v>
      </c>
      <c r="M798">
        <v>3.92</v>
      </c>
      <c r="N798">
        <v>392</v>
      </c>
      <c r="O798">
        <v>-392</v>
      </c>
      <c r="P798">
        <v>0</v>
      </c>
    </row>
    <row r="799" spans="1:16" hidden="1" x14ac:dyDescent="0.25">
      <c r="A799" t="s">
        <v>2040</v>
      </c>
      <c r="B799" t="s">
        <v>2041</v>
      </c>
      <c r="C799" t="s">
        <v>1976</v>
      </c>
      <c r="D799" s="11" t="s">
        <v>2250</v>
      </c>
      <c r="E799" s="12">
        <v>45929</v>
      </c>
      <c r="F799" s="12">
        <v>45929</v>
      </c>
      <c r="G799" t="s">
        <v>2248</v>
      </c>
      <c r="H799" t="s">
        <v>95</v>
      </c>
      <c r="I799">
        <v>525</v>
      </c>
      <c r="J799">
        <v>0</v>
      </c>
      <c r="M799">
        <v>1.5</v>
      </c>
      <c r="N799">
        <v>787.5</v>
      </c>
      <c r="O799">
        <v>-787.5</v>
      </c>
      <c r="P799">
        <v>0</v>
      </c>
    </row>
    <row r="800" spans="1:16" hidden="1" x14ac:dyDescent="0.25">
      <c r="A800" t="s">
        <v>2040</v>
      </c>
      <c r="B800" t="s">
        <v>2041</v>
      </c>
      <c r="C800" t="s">
        <v>1976</v>
      </c>
      <c r="D800" s="11" t="s">
        <v>2250</v>
      </c>
      <c r="E800" s="12">
        <v>45929</v>
      </c>
      <c r="F800" s="12">
        <v>45929</v>
      </c>
      <c r="G800" t="s">
        <v>2248</v>
      </c>
      <c r="H800" t="s">
        <v>95</v>
      </c>
      <c r="I800">
        <v>465</v>
      </c>
      <c r="J800">
        <v>0</v>
      </c>
      <c r="M800">
        <v>1.5</v>
      </c>
      <c r="N800">
        <v>697.5</v>
      </c>
      <c r="O800">
        <v>-697.5</v>
      </c>
      <c r="P800">
        <v>0</v>
      </c>
    </row>
    <row r="801" spans="1:16" hidden="1" x14ac:dyDescent="0.25">
      <c r="A801" t="s">
        <v>2040</v>
      </c>
      <c r="B801" t="s">
        <v>2041</v>
      </c>
      <c r="C801" t="s">
        <v>1976</v>
      </c>
      <c r="D801" s="11" t="s">
        <v>2250</v>
      </c>
      <c r="E801" s="12">
        <v>45929</v>
      </c>
      <c r="F801" s="12">
        <v>45929</v>
      </c>
      <c r="G801" t="s">
        <v>2248</v>
      </c>
      <c r="H801" t="s">
        <v>2263</v>
      </c>
      <c r="I801">
        <v>1621</v>
      </c>
      <c r="J801">
        <v>0</v>
      </c>
      <c r="M801">
        <v>0.16900000000000001</v>
      </c>
      <c r="N801">
        <v>273.94900000000001</v>
      </c>
      <c r="O801">
        <v>-273.94900000000001</v>
      </c>
      <c r="P801">
        <v>0</v>
      </c>
    </row>
    <row r="802" spans="1:16" hidden="1" x14ac:dyDescent="0.25">
      <c r="A802" t="s">
        <v>2040</v>
      </c>
      <c r="B802" t="s">
        <v>2041</v>
      </c>
      <c r="C802" t="s">
        <v>1976</v>
      </c>
      <c r="D802" s="11" t="s">
        <v>2250</v>
      </c>
      <c r="E802" s="12">
        <v>45929</v>
      </c>
      <c r="F802" s="12">
        <v>45929</v>
      </c>
      <c r="G802" t="s">
        <v>2248</v>
      </c>
      <c r="H802" t="s">
        <v>321</v>
      </c>
      <c r="I802">
        <v>1483</v>
      </c>
      <c r="J802">
        <v>0</v>
      </c>
      <c r="M802">
        <v>0.16500000000000001</v>
      </c>
      <c r="N802">
        <v>244.69499999999999</v>
      </c>
      <c r="O802">
        <v>-244.69499999999999</v>
      </c>
      <c r="P802">
        <v>0</v>
      </c>
    </row>
    <row r="803" spans="1:16" hidden="1" x14ac:dyDescent="0.25">
      <c r="A803" t="s">
        <v>2040</v>
      </c>
      <c r="B803" t="s">
        <v>2041</v>
      </c>
      <c r="C803" t="s">
        <v>1976</v>
      </c>
      <c r="D803" s="11" t="s">
        <v>2250</v>
      </c>
      <c r="E803" s="12">
        <v>45929</v>
      </c>
      <c r="F803" s="12">
        <v>45929</v>
      </c>
      <c r="G803" t="s">
        <v>2248</v>
      </c>
      <c r="H803" t="s">
        <v>904</v>
      </c>
      <c r="I803">
        <v>200</v>
      </c>
      <c r="J803">
        <v>0</v>
      </c>
      <c r="M803">
        <v>0.71899999999999997</v>
      </c>
      <c r="N803">
        <v>143.80000000000001</v>
      </c>
      <c r="O803">
        <v>-143.80000000000001</v>
      </c>
      <c r="P803">
        <v>0</v>
      </c>
    </row>
    <row r="804" spans="1:16" hidden="1" x14ac:dyDescent="0.25">
      <c r="A804" t="s">
        <v>2040</v>
      </c>
      <c r="B804" t="s">
        <v>2041</v>
      </c>
      <c r="C804" t="s">
        <v>1976</v>
      </c>
      <c r="D804" s="11" t="s">
        <v>2250</v>
      </c>
      <c r="E804" s="12">
        <v>45929</v>
      </c>
      <c r="F804" s="12">
        <v>45929</v>
      </c>
      <c r="G804" t="s">
        <v>2248</v>
      </c>
      <c r="H804" t="s">
        <v>963</v>
      </c>
      <c r="I804">
        <v>200</v>
      </c>
      <c r="J804">
        <v>0</v>
      </c>
      <c r="M804">
        <v>10.763999999999999</v>
      </c>
      <c r="N804">
        <v>2152.8000000000002</v>
      </c>
      <c r="O804">
        <v>-2152.8000000000002</v>
      </c>
      <c r="P804">
        <v>0</v>
      </c>
    </row>
    <row r="805" spans="1:16" hidden="1" x14ac:dyDescent="0.25">
      <c r="A805" t="s">
        <v>2040</v>
      </c>
      <c r="B805" t="s">
        <v>2041</v>
      </c>
      <c r="C805" t="s">
        <v>1976</v>
      </c>
      <c r="D805" s="11" t="s">
        <v>2250</v>
      </c>
      <c r="E805" s="12">
        <v>45929</v>
      </c>
      <c r="F805" s="12">
        <v>45929</v>
      </c>
      <c r="G805" t="s">
        <v>2248</v>
      </c>
      <c r="H805" t="s">
        <v>1102</v>
      </c>
      <c r="I805">
        <v>500</v>
      </c>
      <c r="J805">
        <v>0</v>
      </c>
      <c r="M805">
        <v>2.1</v>
      </c>
      <c r="N805">
        <v>1050</v>
      </c>
      <c r="O805">
        <v>-1050</v>
      </c>
      <c r="P805">
        <v>0</v>
      </c>
    </row>
    <row r="806" spans="1:16" hidden="1" x14ac:dyDescent="0.25">
      <c r="A806" t="s">
        <v>2040</v>
      </c>
      <c r="B806" t="s">
        <v>2041</v>
      </c>
      <c r="C806" t="s">
        <v>1976</v>
      </c>
      <c r="D806" s="11" t="s">
        <v>2250</v>
      </c>
      <c r="E806" s="12">
        <v>45929</v>
      </c>
      <c r="F806" s="12">
        <v>45929</v>
      </c>
      <c r="G806" t="s">
        <v>2248</v>
      </c>
      <c r="H806" t="s">
        <v>1106</v>
      </c>
      <c r="I806">
        <v>80</v>
      </c>
      <c r="J806">
        <v>0</v>
      </c>
      <c r="M806">
        <v>7.94</v>
      </c>
      <c r="N806">
        <v>635.20000000000005</v>
      </c>
      <c r="O806">
        <v>-635.20000000000005</v>
      </c>
      <c r="P806">
        <v>0</v>
      </c>
    </row>
    <row r="807" spans="1:16" hidden="1" x14ac:dyDescent="0.25">
      <c r="A807" t="s">
        <v>2040</v>
      </c>
      <c r="B807" t="s">
        <v>2041</v>
      </c>
      <c r="C807" t="s">
        <v>1976</v>
      </c>
      <c r="D807" s="11" t="s">
        <v>2250</v>
      </c>
      <c r="E807" s="12">
        <v>45929</v>
      </c>
      <c r="F807" s="12">
        <v>45929</v>
      </c>
      <c r="G807" t="s">
        <v>2248</v>
      </c>
      <c r="H807" t="s">
        <v>1131</v>
      </c>
      <c r="I807">
        <v>199</v>
      </c>
      <c r="J807">
        <v>0</v>
      </c>
      <c r="M807">
        <v>0.97</v>
      </c>
      <c r="N807">
        <v>193.03</v>
      </c>
      <c r="O807">
        <v>-193.03</v>
      </c>
      <c r="P807">
        <v>0</v>
      </c>
    </row>
    <row r="808" spans="1:16" hidden="1" x14ac:dyDescent="0.25">
      <c r="A808" t="s">
        <v>2040</v>
      </c>
      <c r="B808" t="s">
        <v>2041</v>
      </c>
      <c r="C808" t="s">
        <v>1976</v>
      </c>
      <c r="D808" s="11" t="s">
        <v>2250</v>
      </c>
      <c r="E808" s="12">
        <v>45929</v>
      </c>
      <c r="F808" s="12">
        <v>45929</v>
      </c>
      <c r="G808" t="s">
        <v>2248</v>
      </c>
      <c r="H808" t="s">
        <v>1453</v>
      </c>
      <c r="I808">
        <v>5000</v>
      </c>
      <c r="J808">
        <v>0</v>
      </c>
      <c r="M808">
        <v>5.1709999999999999E-2</v>
      </c>
      <c r="N808">
        <v>258.55</v>
      </c>
      <c r="O808">
        <v>-258.55</v>
      </c>
      <c r="P808">
        <v>0</v>
      </c>
    </row>
    <row r="809" spans="1:16" hidden="1" x14ac:dyDescent="0.25">
      <c r="A809" t="s">
        <v>2040</v>
      </c>
      <c r="B809" t="s">
        <v>2041</v>
      </c>
      <c r="C809" t="s">
        <v>1976</v>
      </c>
      <c r="D809" s="11" t="s">
        <v>2250</v>
      </c>
      <c r="E809" s="12">
        <v>45929</v>
      </c>
      <c r="F809" s="12">
        <v>45929</v>
      </c>
      <c r="G809" t="s">
        <v>2248</v>
      </c>
      <c r="H809" t="s">
        <v>1535</v>
      </c>
      <c r="I809">
        <v>10000</v>
      </c>
      <c r="J809">
        <v>0</v>
      </c>
      <c r="M809">
        <v>9.7000000000000003E-3</v>
      </c>
      <c r="N809">
        <v>97</v>
      </c>
      <c r="O809">
        <v>-97</v>
      </c>
      <c r="P809">
        <v>0</v>
      </c>
    </row>
    <row r="810" spans="1:16" hidden="1" x14ac:dyDescent="0.25">
      <c r="A810" t="s">
        <v>2040</v>
      </c>
      <c r="B810" t="s">
        <v>2041</v>
      </c>
      <c r="C810" t="s">
        <v>1976</v>
      </c>
      <c r="D810" s="11" t="s">
        <v>2250</v>
      </c>
      <c r="E810" s="12">
        <v>45929</v>
      </c>
      <c r="F810" s="12">
        <v>45929</v>
      </c>
      <c r="G810" t="s">
        <v>2248</v>
      </c>
      <c r="H810" t="s">
        <v>1541</v>
      </c>
      <c r="I810">
        <v>10000</v>
      </c>
      <c r="J810">
        <v>0</v>
      </c>
      <c r="M810">
        <v>9.7000000000000003E-3</v>
      </c>
      <c r="N810">
        <v>97</v>
      </c>
      <c r="O810">
        <v>-97</v>
      </c>
      <c r="P810">
        <v>0</v>
      </c>
    </row>
    <row r="811" spans="1:16" hidden="1" x14ac:dyDescent="0.25">
      <c r="A811" t="s">
        <v>2040</v>
      </c>
      <c r="B811" t="s">
        <v>2041</v>
      </c>
      <c r="C811" t="s">
        <v>1976</v>
      </c>
      <c r="D811" s="11" t="s">
        <v>2250</v>
      </c>
      <c r="E811" s="12">
        <v>45929</v>
      </c>
      <c r="F811" s="12">
        <v>45929</v>
      </c>
      <c r="G811" t="s">
        <v>2248</v>
      </c>
      <c r="H811" t="s">
        <v>1555</v>
      </c>
      <c r="I811">
        <v>10000</v>
      </c>
      <c r="J811">
        <v>0</v>
      </c>
      <c r="M811">
        <v>1.46E-2</v>
      </c>
      <c r="N811">
        <v>146</v>
      </c>
      <c r="O811">
        <v>-146</v>
      </c>
      <c r="P811">
        <v>0</v>
      </c>
    </row>
    <row r="812" spans="1:16" hidden="1" x14ac:dyDescent="0.25">
      <c r="A812" t="s">
        <v>2040</v>
      </c>
      <c r="B812" t="s">
        <v>2041</v>
      </c>
      <c r="C812" t="s">
        <v>1976</v>
      </c>
      <c r="D812" s="11" t="s">
        <v>2250</v>
      </c>
      <c r="E812" s="12">
        <v>45929</v>
      </c>
      <c r="F812" s="12">
        <v>45929</v>
      </c>
      <c r="G812" t="s">
        <v>2248</v>
      </c>
      <c r="H812" t="s">
        <v>1744</v>
      </c>
      <c r="I812">
        <v>150</v>
      </c>
      <c r="J812">
        <v>0</v>
      </c>
      <c r="M812">
        <v>26.3</v>
      </c>
      <c r="N812">
        <v>3945</v>
      </c>
      <c r="O812">
        <v>-3945</v>
      </c>
      <c r="P812">
        <v>0</v>
      </c>
    </row>
    <row r="813" spans="1:16" hidden="1" x14ac:dyDescent="0.25">
      <c r="A813" t="s">
        <v>2040</v>
      </c>
      <c r="B813" t="s">
        <v>2041</v>
      </c>
      <c r="C813" t="s">
        <v>1976</v>
      </c>
      <c r="D813" s="11" t="s">
        <v>2250</v>
      </c>
      <c r="E813" s="12">
        <v>45929</v>
      </c>
      <c r="F813" s="12">
        <v>45929</v>
      </c>
      <c r="G813" t="s">
        <v>2248</v>
      </c>
      <c r="H813" t="s">
        <v>1861</v>
      </c>
      <c r="I813">
        <v>29</v>
      </c>
      <c r="J813">
        <v>0</v>
      </c>
      <c r="M813">
        <v>482.3</v>
      </c>
      <c r="N813">
        <v>13986.7</v>
      </c>
      <c r="O813">
        <v>-13986.7</v>
      </c>
      <c r="P813">
        <v>0</v>
      </c>
    </row>
    <row r="814" spans="1:16" hidden="1" x14ac:dyDescent="0.25">
      <c r="A814" t="s">
        <v>2040</v>
      </c>
      <c r="B814" t="s">
        <v>2041</v>
      </c>
      <c r="C814" t="s">
        <v>1976</v>
      </c>
      <c r="D814" s="11" t="s">
        <v>2250</v>
      </c>
      <c r="E814" s="12">
        <v>45929</v>
      </c>
      <c r="F814" s="12">
        <v>45929</v>
      </c>
      <c r="G814" t="s">
        <v>2248</v>
      </c>
      <c r="H814" t="s">
        <v>49</v>
      </c>
      <c r="I814">
        <v>200</v>
      </c>
      <c r="J814">
        <v>0</v>
      </c>
      <c r="M814">
        <v>4.6900000000000004</v>
      </c>
      <c r="N814">
        <v>938</v>
      </c>
      <c r="O814">
        <v>-938</v>
      </c>
      <c r="P814">
        <v>0</v>
      </c>
    </row>
    <row r="815" spans="1:16" hidden="1" x14ac:dyDescent="0.25">
      <c r="A815" t="s">
        <v>2040</v>
      </c>
      <c r="B815" t="s">
        <v>2041</v>
      </c>
      <c r="C815" t="s">
        <v>1976</v>
      </c>
      <c r="D815" s="11" t="s">
        <v>2250</v>
      </c>
      <c r="E815" s="12">
        <v>45929</v>
      </c>
      <c r="F815" s="12">
        <v>45929</v>
      </c>
      <c r="G815" t="s">
        <v>2248</v>
      </c>
      <c r="H815" t="s">
        <v>395</v>
      </c>
      <c r="I815">
        <v>280</v>
      </c>
      <c r="J815">
        <v>0</v>
      </c>
      <c r="M815">
        <v>1.1595</v>
      </c>
      <c r="N815">
        <v>324.66000000000003</v>
      </c>
      <c r="O815">
        <v>-324.66000000000003</v>
      </c>
      <c r="P815">
        <v>0</v>
      </c>
    </row>
    <row r="816" spans="1:16" hidden="1" x14ac:dyDescent="0.25">
      <c r="A816" t="s">
        <v>2040</v>
      </c>
      <c r="B816" t="s">
        <v>2041</v>
      </c>
      <c r="C816" t="s">
        <v>1976</v>
      </c>
      <c r="D816" s="11" t="s">
        <v>2250</v>
      </c>
      <c r="E816" s="12">
        <v>45929</v>
      </c>
      <c r="F816" s="12">
        <v>45929</v>
      </c>
      <c r="G816" t="s">
        <v>2248</v>
      </c>
      <c r="H816" t="s">
        <v>673</v>
      </c>
      <c r="I816">
        <v>10000</v>
      </c>
      <c r="J816">
        <v>0</v>
      </c>
      <c r="M816">
        <v>4.4999999999999997E-3</v>
      </c>
      <c r="N816">
        <v>45</v>
      </c>
      <c r="O816">
        <v>-45</v>
      </c>
      <c r="P816">
        <v>0</v>
      </c>
    </row>
    <row r="817" spans="1:16" hidden="1" x14ac:dyDescent="0.25">
      <c r="A817" t="s">
        <v>2040</v>
      </c>
      <c r="B817" t="s">
        <v>2041</v>
      </c>
      <c r="C817" t="s">
        <v>1976</v>
      </c>
      <c r="D817" s="11" t="s">
        <v>2250</v>
      </c>
      <c r="E817" s="12">
        <v>45929</v>
      </c>
      <c r="F817" s="12">
        <v>45929</v>
      </c>
      <c r="G817" t="s">
        <v>2248</v>
      </c>
      <c r="H817" t="s">
        <v>681</v>
      </c>
      <c r="I817">
        <v>5000</v>
      </c>
      <c r="J817">
        <v>0</v>
      </c>
      <c r="M817">
        <v>5.0000000000000001E-3</v>
      </c>
      <c r="N817">
        <v>25</v>
      </c>
      <c r="O817">
        <v>-25</v>
      </c>
      <c r="P817">
        <v>0</v>
      </c>
    </row>
    <row r="818" spans="1:16" hidden="1" x14ac:dyDescent="0.25">
      <c r="A818" t="s">
        <v>2040</v>
      </c>
      <c r="B818" t="s">
        <v>2041</v>
      </c>
      <c r="C818" t="s">
        <v>1976</v>
      </c>
      <c r="D818" s="11" t="s">
        <v>2250</v>
      </c>
      <c r="E818" s="12">
        <v>45929</v>
      </c>
      <c r="F818" s="12">
        <v>45929</v>
      </c>
      <c r="G818" t="s">
        <v>2248</v>
      </c>
      <c r="H818" t="s">
        <v>685</v>
      </c>
      <c r="I818">
        <v>5000</v>
      </c>
      <c r="J818">
        <v>0</v>
      </c>
      <c r="M818">
        <v>2.5000000000000001E-2</v>
      </c>
      <c r="N818">
        <v>125</v>
      </c>
      <c r="O818">
        <v>-125</v>
      </c>
      <c r="P818">
        <v>0</v>
      </c>
    </row>
    <row r="819" spans="1:16" hidden="1" x14ac:dyDescent="0.25">
      <c r="A819" t="s">
        <v>2040</v>
      </c>
      <c r="B819" t="s">
        <v>2041</v>
      </c>
      <c r="C819" t="s">
        <v>1976</v>
      </c>
      <c r="D819" s="11" t="s">
        <v>2250</v>
      </c>
      <c r="E819" s="12">
        <v>45929</v>
      </c>
      <c r="F819" s="12">
        <v>45929</v>
      </c>
      <c r="G819" t="s">
        <v>2248</v>
      </c>
      <c r="H819" t="s">
        <v>771</v>
      </c>
      <c r="I819">
        <v>1000</v>
      </c>
      <c r="J819">
        <v>0</v>
      </c>
      <c r="M819">
        <v>0.14899999999999999</v>
      </c>
      <c r="N819">
        <v>149</v>
      </c>
      <c r="O819">
        <v>-149</v>
      </c>
      <c r="P819">
        <v>0</v>
      </c>
    </row>
    <row r="820" spans="1:16" hidden="1" x14ac:dyDescent="0.25">
      <c r="A820" t="s">
        <v>2040</v>
      </c>
      <c r="B820" t="s">
        <v>2041</v>
      </c>
      <c r="C820" t="s">
        <v>1976</v>
      </c>
      <c r="D820" s="11" t="s">
        <v>2250</v>
      </c>
      <c r="E820" s="12">
        <v>45929</v>
      </c>
      <c r="F820" s="12">
        <v>45929</v>
      </c>
      <c r="G820" t="s">
        <v>2248</v>
      </c>
      <c r="H820" t="s">
        <v>244</v>
      </c>
      <c r="I820">
        <v>500</v>
      </c>
      <c r="J820">
        <v>0</v>
      </c>
      <c r="M820">
        <v>0.61799999999999999</v>
      </c>
      <c r="N820">
        <v>309</v>
      </c>
      <c r="O820">
        <v>-309</v>
      </c>
      <c r="P820">
        <v>0</v>
      </c>
    </row>
    <row r="821" spans="1:16" hidden="1" x14ac:dyDescent="0.25">
      <c r="A821" t="s">
        <v>2040</v>
      </c>
      <c r="B821" t="s">
        <v>2041</v>
      </c>
      <c r="C821" t="s">
        <v>1976</v>
      </c>
      <c r="D821" s="11" t="s">
        <v>2250</v>
      </c>
      <c r="E821" s="12">
        <v>45929</v>
      </c>
      <c r="F821" s="12">
        <v>45929</v>
      </c>
      <c r="G821" t="s">
        <v>2248</v>
      </c>
      <c r="H821" t="s">
        <v>363</v>
      </c>
      <c r="I821">
        <v>500</v>
      </c>
      <c r="J821">
        <v>0</v>
      </c>
      <c r="M821">
        <v>0.82499999999999996</v>
      </c>
      <c r="N821">
        <v>412.5</v>
      </c>
      <c r="O821">
        <v>-412.5</v>
      </c>
      <c r="P821">
        <v>0</v>
      </c>
    </row>
    <row r="822" spans="1:16" hidden="1" x14ac:dyDescent="0.25">
      <c r="A822" t="s">
        <v>2040</v>
      </c>
      <c r="B822" t="s">
        <v>2041</v>
      </c>
      <c r="C822" t="s">
        <v>1976</v>
      </c>
      <c r="D822" s="11" t="s">
        <v>2250</v>
      </c>
      <c r="E822" s="12">
        <v>45929</v>
      </c>
      <c r="F822" s="12">
        <v>45929</v>
      </c>
      <c r="G822" t="s">
        <v>2248</v>
      </c>
      <c r="H822" t="s">
        <v>410</v>
      </c>
      <c r="I822">
        <v>499</v>
      </c>
      <c r="J822">
        <v>0</v>
      </c>
      <c r="M822">
        <v>1.431</v>
      </c>
      <c r="N822">
        <v>714.06899999999996</v>
      </c>
      <c r="O822">
        <v>-714.06899999999996</v>
      </c>
      <c r="P822">
        <v>0</v>
      </c>
    </row>
    <row r="823" spans="1:16" hidden="1" x14ac:dyDescent="0.25">
      <c r="A823" t="s">
        <v>2040</v>
      </c>
      <c r="B823" t="s">
        <v>2041</v>
      </c>
      <c r="C823" t="s">
        <v>1976</v>
      </c>
      <c r="D823" s="11" t="s">
        <v>2250</v>
      </c>
      <c r="E823" s="12">
        <v>45929</v>
      </c>
      <c r="F823" s="12">
        <v>45929</v>
      </c>
      <c r="G823" t="s">
        <v>2248</v>
      </c>
      <c r="H823" t="s">
        <v>2264</v>
      </c>
      <c r="I823">
        <v>148</v>
      </c>
      <c r="J823">
        <v>0</v>
      </c>
      <c r="M823">
        <v>4.13</v>
      </c>
      <c r="N823">
        <v>611.24</v>
      </c>
      <c r="O823">
        <v>-611.24</v>
      </c>
      <c r="P823">
        <v>0</v>
      </c>
    </row>
    <row r="824" spans="1:16" hidden="1" x14ac:dyDescent="0.25">
      <c r="A824" t="s">
        <v>2040</v>
      </c>
      <c r="B824" t="s">
        <v>2041</v>
      </c>
      <c r="C824" t="s">
        <v>1976</v>
      </c>
      <c r="D824" s="11" t="s">
        <v>2250</v>
      </c>
      <c r="E824" s="12">
        <v>45929</v>
      </c>
      <c r="F824" s="12">
        <v>45929</v>
      </c>
      <c r="G824" t="s">
        <v>2248</v>
      </c>
      <c r="H824" t="s">
        <v>502</v>
      </c>
      <c r="I824">
        <v>200</v>
      </c>
      <c r="J824">
        <v>0</v>
      </c>
      <c r="M824">
        <v>12.2471</v>
      </c>
      <c r="N824">
        <v>2449.42</v>
      </c>
      <c r="O824">
        <v>-2449.42</v>
      </c>
      <c r="P824">
        <v>0</v>
      </c>
    </row>
    <row r="825" spans="1:16" hidden="1" x14ac:dyDescent="0.25">
      <c r="A825" t="s">
        <v>2040</v>
      </c>
      <c r="B825" t="s">
        <v>2041</v>
      </c>
      <c r="C825" t="s">
        <v>1976</v>
      </c>
      <c r="D825" s="11" t="s">
        <v>2250</v>
      </c>
      <c r="E825" s="12">
        <v>45929</v>
      </c>
      <c r="F825" s="12">
        <v>45929</v>
      </c>
      <c r="G825" t="s">
        <v>2248</v>
      </c>
      <c r="H825" t="s">
        <v>526</v>
      </c>
      <c r="I825">
        <v>199</v>
      </c>
      <c r="J825">
        <v>0</v>
      </c>
      <c r="M825">
        <v>2.4620000000000002</v>
      </c>
      <c r="N825">
        <v>489.93799999999999</v>
      </c>
      <c r="O825">
        <v>-489.93799999999999</v>
      </c>
      <c r="P825">
        <v>0</v>
      </c>
    </row>
    <row r="826" spans="1:16" hidden="1" x14ac:dyDescent="0.25">
      <c r="A826" t="s">
        <v>2040</v>
      </c>
      <c r="B826" t="s">
        <v>2041</v>
      </c>
      <c r="C826" t="s">
        <v>1976</v>
      </c>
      <c r="D826" s="11" t="s">
        <v>2250</v>
      </c>
      <c r="E826" s="12">
        <v>45929</v>
      </c>
      <c r="F826" s="12">
        <v>45929</v>
      </c>
      <c r="G826" t="s">
        <v>2248</v>
      </c>
      <c r="H826" t="s">
        <v>549</v>
      </c>
      <c r="I826">
        <v>5000</v>
      </c>
      <c r="J826">
        <v>0</v>
      </c>
      <c r="M826">
        <v>0.27539999999999998</v>
      </c>
      <c r="N826">
        <v>1377</v>
      </c>
      <c r="O826">
        <v>-1377</v>
      </c>
      <c r="P826">
        <v>0</v>
      </c>
    </row>
    <row r="827" spans="1:16" hidden="1" x14ac:dyDescent="0.25">
      <c r="A827" t="s">
        <v>2040</v>
      </c>
      <c r="B827" t="s">
        <v>2041</v>
      </c>
      <c r="C827" t="s">
        <v>1976</v>
      </c>
      <c r="D827" s="11" t="s">
        <v>2250</v>
      </c>
      <c r="E827" s="12">
        <v>45929</v>
      </c>
      <c r="F827" s="12">
        <v>45929</v>
      </c>
      <c r="G827" t="s">
        <v>2248</v>
      </c>
      <c r="H827" t="s">
        <v>703</v>
      </c>
      <c r="I827">
        <v>4000</v>
      </c>
      <c r="J827">
        <v>0</v>
      </c>
      <c r="M827">
        <v>0.03</v>
      </c>
      <c r="N827">
        <v>120</v>
      </c>
      <c r="O827">
        <v>-120</v>
      </c>
      <c r="P827">
        <v>0</v>
      </c>
    </row>
    <row r="828" spans="1:16" hidden="1" x14ac:dyDescent="0.25">
      <c r="A828" t="s">
        <v>2040</v>
      </c>
      <c r="B828" t="s">
        <v>2041</v>
      </c>
      <c r="C828" t="s">
        <v>1976</v>
      </c>
      <c r="D828" s="11" t="s">
        <v>2250</v>
      </c>
      <c r="E828" s="12">
        <v>45929</v>
      </c>
      <c r="F828" s="12">
        <v>45929</v>
      </c>
      <c r="G828" t="s">
        <v>2248</v>
      </c>
      <c r="H828" t="s">
        <v>705</v>
      </c>
      <c r="I828">
        <v>4000</v>
      </c>
      <c r="J828">
        <v>0</v>
      </c>
      <c r="M828">
        <v>2.5000000000000001E-2</v>
      </c>
      <c r="N828">
        <v>100</v>
      </c>
      <c r="O828">
        <v>-100</v>
      </c>
      <c r="P828">
        <v>0</v>
      </c>
    </row>
    <row r="829" spans="1:16" hidden="1" x14ac:dyDescent="0.25">
      <c r="A829" t="s">
        <v>2040</v>
      </c>
      <c r="B829" t="s">
        <v>2041</v>
      </c>
      <c r="C829" t="s">
        <v>1976</v>
      </c>
      <c r="D829" s="11" t="s">
        <v>2250</v>
      </c>
      <c r="E829" s="12">
        <v>45929</v>
      </c>
      <c r="F829" s="12">
        <v>45929</v>
      </c>
      <c r="G829" t="s">
        <v>2248</v>
      </c>
      <c r="H829" t="s">
        <v>782</v>
      </c>
      <c r="I829">
        <v>9999</v>
      </c>
      <c r="J829">
        <v>0</v>
      </c>
      <c r="M829">
        <v>3.5000000000000003E-2</v>
      </c>
      <c r="N829">
        <v>349.96499999999997</v>
      </c>
      <c r="O829">
        <v>-349.96499999999997</v>
      </c>
      <c r="P829">
        <v>0</v>
      </c>
    </row>
    <row r="830" spans="1:16" hidden="1" x14ac:dyDescent="0.25">
      <c r="A830" t="s">
        <v>2040</v>
      </c>
      <c r="B830" t="s">
        <v>2041</v>
      </c>
      <c r="C830" t="s">
        <v>1976</v>
      </c>
      <c r="D830" s="11" t="s">
        <v>2250</v>
      </c>
      <c r="E830" s="12">
        <v>45929</v>
      </c>
      <c r="F830" s="12">
        <v>45929</v>
      </c>
      <c r="G830" t="s">
        <v>2248</v>
      </c>
      <c r="H830" t="s">
        <v>786</v>
      </c>
      <c r="I830">
        <v>10000</v>
      </c>
      <c r="J830">
        <v>0</v>
      </c>
      <c r="M830">
        <v>3.4000000000000002E-2</v>
      </c>
      <c r="N830">
        <v>340</v>
      </c>
      <c r="O830">
        <v>-340</v>
      </c>
      <c r="P830">
        <v>0</v>
      </c>
    </row>
    <row r="831" spans="1:16" hidden="1" x14ac:dyDescent="0.25">
      <c r="A831" t="s">
        <v>2040</v>
      </c>
      <c r="B831" t="s">
        <v>2041</v>
      </c>
      <c r="C831" t="s">
        <v>1976</v>
      </c>
      <c r="D831" s="11" t="s">
        <v>2250</v>
      </c>
      <c r="E831" s="12">
        <v>45929</v>
      </c>
      <c r="F831" s="12">
        <v>45929</v>
      </c>
      <c r="G831" t="s">
        <v>2248</v>
      </c>
      <c r="H831" t="s">
        <v>788</v>
      </c>
      <c r="I831">
        <v>9999</v>
      </c>
      <c r="J831">
        <v>0</v>
      </c>
      <c r="M831">
        <v>3.5000000000000003E-2</v>
      </c>
      <c r="N831">
        <v>349.96499999999997</v>
      </c>
      <c r="O831">
        <v>-349.96499999999997</v>
      </c>
      <c r="P831">
        <v>0</v>
      </c>
    </row>
    <row r="832" spans="1:16" hidden="1" x14ac:dyDescent="0.25">
      <c r="A832" t="s">
        <v>2040</v>
      </c>
      <c r="B832" t="s">
        <v>2041</v>
      </c>
      <c r="C832" t="s">
        <v>1976</v>
      </c>
      <c r="D832" s="11" t="s">
        <v>2250</v>
      </c>
      <c r="E832" s="12">
        <v>45929</v>
      </c>
      <c r="F832" s="12">
        <v>45929</v>
      </c>
      <c r="G832" t="s">
        <v>2248</v>
      </c>
      <c r="H832" t="s">
        <v>796</v>
      </c>
      <c r="I832">
        <v>10000</v>
      </c>
      <c r="J832">
        <v>0</v>
      </c>
      <c r="M832">
        <v>3.5000000000000003E-2</v>
      </c>
      <c r="N832">
        <v>350</v>
      </c>
      <c r="O832">
        <v>-350</v>
      </c>
      <c r="P832">
        <v>0</v>
      </c>
    </row>
    <row r="833" spans="1:16" hidden="1" x14ac:dyDescent="0.25">
      <c r="A833" t="s">
        <v>2040</v>
      </c>
      <c r="B833" t="s">
        <v>2041</v>
      </c>
      <c r="C833" t="s">
        <v>1976</v>
      </c>
      <c r="D833" s="11" t="s">
        <v>2250</v>
      </c>
      <c r="E833" s="12">
        <v>45929</v>
      </c>
      <c r="F833" s="12">
        <v>45929</v>
      </c>
      <c r="G833" t="s">
        <v>2248</v>
      </c>
      <c r="H833" t="s">
        <v>798</v>
      </c>
      <c r="I833">
        <v>10000</v>
      </c>
      <c r="J833">
        <v>0</v>
      </c>
      <c r="M833">
        <v>3.1E-2</v>
      </c>
      <c r="N833">
        <v>310</v>
      </c>
      <c r="O833">
        <v>-310</v>
      </c>
      <c r="P833">
        <v>0</v>
      </c>
    </row>
    <row r="834" spans="1:16" hidden="1" x14ac:dyDescent="0.25">
      <c r="A834" t="s">
        <v>2040</v>
      </c>
      <c r="B834" t="s">
        <v>2041</v>
      </c>
      <c r="C834" t="s">
        <v>1976</v>
      </c>
      <c r="D834" s="11" t="s">
        <v>2250</v>
      </c>
      <c r="E834" s="12">
        <v>45929</v>
      </c>
      <c r="F834" s="12">
        <v>45929</v>
      </c>
      <c r="G834" t="s">
        <v>2248</v>
      </c>
      <c r="H834" t="s">
        <v>800</v>
      </c>
      <c r="I834">
        <v>10000</v>
      </c>
      <c r="J834">
        <v>0</v>
      </c>
      <c r="M834">
        <v>4.1730000000000003E-2</v>
      </c>
      <c r="N834">
        <v>417.3</v>
      </c>
      <c r="O834">
        <v>-417.3</v>
      </c>
      <c r="P834">
        <v>0</v>
      </c>
    </row>
    <row r="835" spans="1:16" hidden="1" x14ac:dyDescent="0.25">
      <c r="A835" t="s">
        <v>2040</v>
      </c>
      <c r="B835" t="s">
        <v>2041</v>
      </c>
      <c r="C835" t="s">
        <v>1976</v>
      </c>
      <c r="D835" s="11" t="s">
        <v>2250</v>
      </c>
      <c r="E835" s="12">
        <v>45929</v>
      </c>
      <c r="F835" s="12">
        <v>45929</v>
      </c>
      <c r="G835" t="s">
        <v>2248</v>
      </c>
      <c r="H835" t="s">
        <v>820</v>
      </c>
      <c r="I835">
        <v>4989</v>
      </c>
      <c r="J835">
        <v>0</v>
      </c>
      <c r="M835">
        <v>3.2000000000000001E-2</v>
      </c>
      <c r="N835">
        <v>159.648</v>
      </c>
      <c r="O835">
        <v>-159.648</v>
      </c>
      <c r="P835">
        <v>0</v>
      </c>
    </row>
    <row r="836" spans="1:16" hidden="1" x14ac:dyDescent="0.25">
      <c r="A836" t="s">
        <v>2040</v>
      </c>
      <c r="B836" t="s">
        <v>2041</v>
      </c>
      <c r="C836" t="s">
        <v>1976</v>
      </c>
      <c r="D836" s="11" t="s">
        <v>2250</v>
      </c>
      <c r="E836" s="12">
        <v>45929</v>
      </c>
      <c r="F836" s="12">
        <v>45929</v>
      </c>
      <c r="G836" t="s">
        <v>2248</v>
      </c>
      <c r="H836" t="s">
        <v>826</v>
      </c>
      <c r="I836">
        <v>5000</v>
      </c>
      <c r="J836">
        <v>0</v>
      </c>
      <c r="M836">
        <v>4.7300000000000002E-2</v>
      </c>
      <c r="N836">
        <v>236.5</v>
      </c>
      <c r="O836">
        <v>-236.5</v>
      </c>
      <c r="P836">
        <v>0</v>
      </c>
    </row>
    <row r="837" spans="1:16" hidden="1" x14ac:dyDescent="0.25">
      <c r="A837" t="s">
        <v>2040</v>
      </c>
      <c r="B837" t="s">
        <v>2041</v>
      </c>
      <c r="C837" t="s">
        <v>1976</v>
      </c>
      <c r="D837" s="11" t="s">
        <v>2250</v>
      </c>
      <c r="E837" s="12">
        <v>45929</v>
      </c>
      <c r="F837" s="12">
        <v>45929</v>
      </c>
      <c r="G837" t="s">
        <v>2248</v>
      </c>
      <c r="H837" t="s">
        <v>922</v>
      </c>
      <c r="I837">
        <v>55</v>
      </c>
      <c r="J837">
        <v>0</v>
      </c>
      <c r="M837">
        <v>30.68</v>
      </c>
      <c r="N837">
        <v>1687.4</v>
      </c>
      <c r="O837">
        <v>-1687.4</v>
      </c>
      <c r="P837">
        <v>0</v>
      </c>
    </row>
    <row r="838" spans="1:16" hidden="1" x14ac:dyDescent="0.25">
      <c r="A838" t="s">
        <v>2040</v>
      </c>
      <c r="B838" t="s">
        <v>2041</v>
      </c>
      <c r="C838" t="s">
        <v>1976</v>
      </c>
      <c r="D838" s="11" t="s">
        <v>2250</v>
      </c>
      <c r="E838" s="12">
        <v>45929</v>
      </c>
      <c r="F838" s="12">
        <v>45929</v>
      </c>
      <c r="G838" t="s">
        <v>2248</v>
      </c>
      <c r="H838" t="s">
        <v>957</v>
      </c>
      <c r="I838">
        <v>4885</v>
      </c>
      <c r="J838">
        <v>0</v>
      </c>
      <c r="M838">
        <v>0.33048</v>
      </c>
      <c r="N838">
        <v>1614.3948</v>
      </c>
      <c r="O838">
        <v>-1614.3948</v>
      </c>
      <c r="P838">
        <v>0</v>
      </c>
    </row>
    <row r="839" spans="1:16" hidden="1" x14ac:dyDescent="0.25">
      <c r="A839" t="s">
        <v>2040</v>
      </c>
      <c r="B839" t="s">
        <v>2041</v>
      </c>
      <c r="C839" t="s">
        <v>1976</v>
      </c>
      <c r="D839" s="11" t="s">
        <v>2250</v>
      </c>
      <c r="E839" s="12">
        <v>45929</v>
      </c>
      <c r="F839" s="12">
        <v>45929</v>
      </c>
      <c r="G839" t="s">
        <v>2248</v>
      </c>
      <c r="H839" t="s">
        <v>959</v>
      </c>
      <c r="I839">
        <v>300</v>
      </c>
      <c r="J839">
        <v>0</v>
      </c>
      <c r="M839">
        <v>1.25736</v>
      </c>
      <c r="N839">
        <v>377.20800000000003</v>
      </c>
      <c r="O839">
        <v>-377.20800000000003</v>
      </c>
      <c r="P839">
        <v>0</v>
      </c>
    </row>
    <row r="840" spans="1:16" hidden="1" x14ac:dyDescent="0.25">
      <c r="A840" t="s">
        <v>2040</v>
      </c>
      <c r="B840" t="s">
        <v>2041</v>
      </c>
      <c r="C840" t="s">
        <v>1976</v>
      </c>
      <c r="D840" s="11" t="s">
        <v>2250</v>
      </c>
      <c r="E840" s="12">
        <v>45929</v>
      </c>
      <c r="F840" s="12">
        <v>45929</v>
      </c>
      <c r="G840" t="s">
        <v>2248</v>
      </c>
      <c r="H840" t="s">
        <v>967</v>
      </c>
      <c r="I840">
        <v>250</v>
      </c>
      <c r="J840">
        <v>0</v>
      </c>
      <c r="M840">
        <v>6.7430000000000003</v>
      </c>
      <c r="N840">
        <v>1685.75</v>
      </c>
      <c r="O840">
        <v>-1685.75</v>
      </c>
      <c r="P840">
        <v>0</v>
      </c>
    </row>
    <row r="841" spans="1:16" hidden="1" x14ac:dyDescent="0.25">
      <c r="A841" t="s">
        <v>2040</v>
      </c>
      <c r="B841" t="s">
        <v>2041</v>
      </c>
      <c r="C841" t="s">
        <v>1976</v>
      </c>
      <c r="D841" s="11" t="s">
        <v>2250</v>
      </c>
      <c r="E841" s="12">
        <v>45929</v>
      </c>
      <c r="F841" s="12">
        <v>45929</v>
      </c>
      <c r="G841" t="s">
        <v>2248</v>
      </c>
      <c r="H841" t="s">
        <v>971</v>
      </c>
      <c r="I841">
        <v>2500</v>
      </c>
      <c r="J841">
        <v>0</v>
      </c>
      <c r="M841">
        <v>1.0569999999999999</v>
      </c>
      <c r="N841">
        <v>2642.5</v>
      </c>
      <c r="O841">
        <v>-2642.5</v>
      </c>
      <c r="P841">
        <v>0</v>
      </c>
    </row>
    <row r="842" spans="1:16" hidden="1" x14ac:dyDescent="0.25">
      <c r="A842" t="s">
        <v>2040</v>
      </c>
      <c r="B842" t="s">
        <v>2041</v>
      </c>
      <c r="C842" t="s">
        <v>1976</v>
      </c>
      <c r="D842" s="11" t="s">
        <v>2250</v>
      </c>
      <c r="E842" s="12">
        <v>45929</v>
      </c>
      <c r="F842" s="12">
        <v>45929</v>
      </c>
      <c r="G842" t="s">
        <v>2248</v>
      </c>
      <c r="H842" t="s">
        <v>1005</v>
      </c>
      <c r="I842">
        <v>8</v>
      </c>
      <c r="J842">
        <v>0</v>
      </c>
      <c r="M842">
        <v>7.04</v>
      </c>
      <c r="N842">
        <v>56.32</v>
      </c>
      <c r="O842">
        <v>-56.32</v>
      </c>
      <c r="P842">
        <v>0</v>
      </c>
    </row>
    <row r="843" spans="1:16" hidden="1" x14ac:dyDescent="0.25">
      <c r="A843" t="s">
        <v>2040</v>
      </c>
      <c r="B843" t="s">
        <v>2041</v>
      </c>
      <c r="C843" t="s">
        <v>1976</v>
      </c>
      <c r="D843" s="11" t="s">
        <v>2250</v>
      </c>
      <c r="E843" s="12">
        <v>45929</v>
      </c>
      <c r="F843" s="12">
        <v>45929</v>
      </c>
      <c r="G843" t="s">
        <v>2248</v>
      </c>
      <c r="H843" t="s">
        <v>1021</v>
      </c>
      <c r="I843">
        <v>100</v>
      </c>
      <c r="J843">
        <v>0</v>
      </c>
      <c r="M843">
        <v>12</v>
      </c>
      <c r="N843">
        <v>1200</v>
      </c>
      <c r="O843">
        <v>-1200</v>
      </c>
      <c r="P843">
        <v>0</v>
      </c>
    </row>
    <row r="844" spans="1:16" hidden="1" x14ac:dyDescent="0.25">
      <c r="A844" t="s">
        <v>2040</v>
      </c>
      <c r="B844" t="s">
        <v>2041</v>
      </c>
      <c r="C844" t="s">
        <v>1976</v>
      </c>
      <c r="D844" s="11" t="s">
        <v>2250</v>
      </c>
      <c r="E844" s="12">
        <v>45929</v>
      </c>
      <c r="F844" s="12">
        <v>45929</v>
      </c>
      <c r="G844" t="s">
        <v>2248</v>
      </c>
      <c r="H844" t="s">
        <v>1039</v>
      </c>
      <c r="I844">
        <v>2325</v>
      </c>
      <c r="J844">
        <v>0</v>
      </c>
      <c r="M844">
        <v>0.72099999999999997</v>
      </c>
      <c r="N844">
        <v>1676.325</v>
      </c>
      <c r="O844">
        <v>-1676.325</v>
      </c>
      <c r="P844">
        <v>0</v>
      </c>
    </row>
    <row r="845" spans="1:16" hidden="1" x14ac:dyDescent="0.25">
      <c r="A845" t="s">
        <v>2040</v>
      </c>
      <c r="B845" t="s">
        <v>2041</v>
      </c>
      <c r="C845" t="s">
        <v>1976</v>
      </c>
      <c r="D845" s="11" t="s">
        <v>2250</v>
      </c>
      <c r="E845" s="12">
        <v>45929</v>
      </c>
      <c r="F845" s="12">
        <v>45929</v>
      </c>
      <c r="G845" t="s">
        <v>2248</v>
      </c>
      <c r="H845" t="s">
        <v>1158</v>
      </c>
      <c r="I845">
        <v>2500</v>
      </c>
      <c r="J845">
        <v>0</v>
      </c>
      <c r="M845">
        <v>0.17760000000000001</v>
      </c>
      <c r="N845">
        <v>444</v>
      </c>
      <c r="O845">
        <v>-444</v>
      </c>
      <c r="P845">
        <v>0</v>
      </c>
    </row>
    <row r="846" spans="1:16" hidden="1" x14ac:dyDescent="0.25">
      <c r="A846" t="s">
        <v>2040</v>
      </c>
      <c r="B846" t="s">
        <v>2041</v>
      </c>
      <c r="C846" t="s">
        <v>1976</v>
      </c>
      <c r="D846" s="11" t="s">
        <v>2250</v>
      </c>
      <c r="E846" s="12">
        <v>45929</v>
      </c>
      <c r="F846" s="12">
        <v>45929</v>
      </c>
      <c r="G846" t="s">
        <v>2248</v>
      </c>
      <c r="H846" t="s">
        <v>1451</v>
      </c>
      <c r="I846">
        <v>2500</v>
      </c>
      <c r="J846">
        <v>0</v>
      </c>
      <c r="M846">
        <v>1.21</v>
      </c>
      <c r="N846">
        <v>3025</v>
      </c>
      <c r="O846">
        <v>-3025</v>
      </c>
      <c r="P846">
        <v>0</v>
      </c>
    </row>
    <row r="847" spans="1:16" hidden="1" x14ac:dyDescent="0.25">
      <c r="A847" t="s">
        <v>2040</v>
      </c>
      <c r="B847" t="s">
        <v>2041</v>
      </c>
      <c r="C847" t="s">
        <v>1976</v>
      </c>
      <c r="D847" s="11" t="s">
        <v>2250</v>
      </c>
      <c r="E847" s="12">
        <v>45929</v>
      </c>
      <c r="F847" s="12">
        <v>45929</v>
      </c>
      <c r="G847" t="s">
        <v>2248</v>
      </c>
      <c r="H847" t="s">
        <v>1457</v>
      </c>
      <c r="I847">
        <v>5000</v>
      </c>
      <c r="J847">
        <v>0</v>
      </c>
      <c r="M847">
        <v>5.0599999999999999E-2</v>
      </c>
      <c r="N847">
        <v>253</v>
      </c>
      <c r="O847">
        <v>-253</v>
      </c>
      <c r="P847">
        <v>0</v>
      </c>
    </row>
    <row r="848" spans="1:16" hidden="1" x14ac:dyDescent="0.25">
      <c r="A848" t="s">
        <v>2040</v>
      </c>
      <c r="B848" t="s">
        <v>2041</v>
      </c>
      <c r="C848" t="s">
        <v>1976</v>
      </c>
      <c r="D848" s="11" t="s">
        <v>2250</v>
      </c>
      <c r="E848" s="12">
        <v>45929</v>
      </c>
      <c r="F848" s="12">
        <v>45929</v>
      </c>
      <c r="G848" t="s">
        <v>2248</v>
      </c>
      <c r="H848" t="s">
        <v>1465</v>
      </c>
      <c r="I848">
        <v>3990</v>
      </c>
      <c r="J848">
        <v>0</v>
      </c>
      <c r="M848">
        <v>0.04</v>
      </c>
      <c r="N848">
        <v>159.6</v>
      </c>
      <c r="O848">
        <v>-159.6</v>
      </c>
      <c r="P848">
        <v>0</v>
      </c>
    </row>
    <row r="849" spans="1:16" hidden="1" x14ac:dyDescent="0.25">
      <c r="A849" t="s">
        <v>2040</v>
      </c>
      <c r="B849" t="s">
        <v>2041</v>
      </c>
      <c r="C849" t="s">
        <v>1976</v>
      </c>
      <c r="D849" s="11" t="s">
        <v>2250</v>
      </c>
      <c r="E849" s="12">
        <v>45929</v>
      </c>
      <c r="F849" s="12">
        <v>45929</v>
      </c>
      <c r="G849" t="s">
        <v>2248</v>
      </c>
      <c r="H849" t="s">
        <v>1471</v>
      </c>
      <c r="I849">
        <v>10000</v>
      </c>
      <c r="J849">
        <v>0</v>
      </c>
      <c r="M849">
        <v>4.2399999999999998E-3</v>
      </c>
      <c r="N849">
        <v>42.4</v>
      </c>
      <c r="O849">
        <v>-42.4</v>
      </c>
      <c r="P849">
        <v>0</v>
      </c>
    </row>
    <row r="850" spans="1:16" hidden="1" x14ac:dyDescent="0.25">
      <c r="A850" t="s">
        <v>2040</v>
      </c>
      <c r="B850" t="s">
        <v>2041</v>
      </c>
      <c r="C850" t="s">
        <v>1976</v>
      </c>
      <c r="D850" s="11" t="s">
        <v>2250</v>
      </c>
      <c r="E850" s="12">
        <v>45929</v>
      </c>
      <c r="F850" s="12">
        <v>45929</v>
      </c>
      <c r="G850" t="s">
        <v>2248</v>
      </c>
      <c r="H850" t="s">
        <v>1473</v>
      </c>
      <c r="I850">
        <v>10000</v>
      </c>
      <c r="J850">
        <v>0</v>
      </c>
      <c r="M850">
        <v>2.5999999999999999E-3</v>
      </c>
      <c r="N850">
        <v>26</v>
      </c>
      <c r="O850">
        <v>-26</v>
      </c>
      <c r="P850">
        <v>0</v>
      </c>
    </row>
    <row r="851" spans="1:16" hidden="1" x14ac:dyDescent="0.25">
      <c r="A851" t="s">
        <v>2040</v>
      </c>
      <c r="B851" t="s">
        <v>2041</v>
      </c>
      <c r="C851" t="s">
        <v>1976</v>
      </c>
      <c r="D851" s="11" t="s">
        <v>2250</v>
      </c>
      <c r="E851" s="12">
        <v>45929</v>
      </c>
      <c r="F851" s="12">
        <v>45929</v>
      </c>
      <c r="G851" t="s">
        <v>2248</v>
      </c>
      <c r="H851" t="s">
        <v>1479</v>
      </c>
      <c r="I851">
        <v>10000</v>
      </c>
      <c r="J851">
        <v>0</v>
      </c>
      <c r="M851">
        <v>2.5999999999999999E-3</v>
      </c>
      <c r="N851">
        <v>26</v>
      </c>
      <c r="O851">
        <v>-26</v>
      </c>
      <c r="P851">
        <v>0</v>
      </c>
    </row>
    <row r="852" spans="1:16" hidden="1" x14ac:dyDescent="0.25">
      <c r="A852" t="s">
        <v>2040</v>
      </c>
      <c r="B852" t="s">
        <v>2041</v>
      </c>
      <c r="C852" t="s">
        <v>1976</v>
      </c>
      <c r="D852" s="11" t="s">
        <v>2250</v>
      </c>
      <c r="E852" s="12">
        <v>45929</v>
      </c>
      <c r="F852" s="12">
        <v>45929</v>
      </c>
      <c r="G852" t="s">
        <v>2248</v>
      </c>
      <c r="H852" t="s">
        <v>1483</v>
      </c>
      <c r="I852">
        <v>10000</v>
      </c>
      <c r="J852">
        <v>0</v>
      </c>
      <c r="M852">
        <v>2.5999999999999999E-3</v>
      </c>
      <c r="N852">
        <v>26</v>
      </c>
      <c r="O852">
        <v>-26</v>
      </c>
      <c r="P852">
        <v>0</v>
      </c>
    </row>
    <row r="853" spans="1:16" hidden="1" x14ac:dyDescent="0.25">
      <c r="A853" t="s">
        <v>2040</v>
      </c>
      <c r="B853" t="s">
        <v>2041</v>
      </c>
      <c r="C853" t="s">
        <v>1976</v>
      </c>
      <c r="D853" s="11" t="s">
        <v>2250</v>
      </c>
      <c r="E853" s="12">
        <v>45929</v>
      </c>
      <c r="F853" s="12">
        <v>45929</v>
      </c>
      <c r="G853" t="s">
        <v>2248</v>
      </c>
      <c r="H853" t="s">
        <v>1509</v>
      </c>
      <c r="I853">
        <v>5000</v>
      </c>
      <c r="J853">
        <v>0</v>
      </c>
      <c r="M853">
        <v>0.28399999999999997</v>
      </c>
      <c r="N853">
        <v>1420</v>
      </c>
      <c r="O853">
        <v>-1420</v>
      </c>
      <c r="P853">
        <v>0</v>
      </c>
    </row>
    <row r="854" spans="1:16" hidden="1" x14ac:dyDescent="0.25">
      <c r="A854" t="s">
        <v>2040</v>
      </c>
      <c r="B854" t="s">
        <v>2041</v>
      </c>
      <c r="C854" t="s">
        <v>1976</v>
      </c>
      <c r="D854" s="11" t="s">
        <v>2250</v>
      </c>
      <c r="E854" s="12">
        <v>45929</v>
      </c>
      <c r="F854" s="12">
        <v>45929</v>
      </c>
      <c r="G854" t="s">
        <v>2248</v>
      </c>
      <c r="H854" t="s">
        <v>1525</v>
      </c>
      <c r="I854">
        <v>10000</v>
      </c>
      <c r="J854">
        <v>0</v>
      </c>
      <c r="M854">
        <v>2.3699999999999999E-2</v>
      </c>
      <c r="N854">
        <v>237</v>
      </c>
      <c r="O854">
        <v>-237</v>
      </c>
      <c r="P854">
        <v>0</v>
      </c>
    </row>
    <row r="855" spans="1:16" hidden="1" x14ac:dyDescent="0.25">
      <c r="A855" t="s">
        <v>2040</v>
      </c>
      <c r="B855" t="s">
        <v>2041</v>
      </c>
      <c r="C855" t="s">
        <v>1976</v>
      </c>
      <c r="D855" s="11" t="s">
        <v>2250</v>
      </c>
      <c r="E855" s="12">
        <v>45929</v>
      </c>
      <c r="F855" s="12">
        <v>45929</v>
      </c>
      <c r="G855" t="s">
        <v>2248</v>
      </c>
      <c r="H855" t="s">
        <v>1525</v>
      </c>
      <c r="I855">
        <v>10000</v>
      </c>
      <c r="J855">
        <v>0</v>
      </c>
      <c r="M855">
        <v>2.2440000000000002E-2</v>
      </c>
      <c r="N855">
        <v>224.4</v>
      </c>
      <c r="O855">
        <v>-224.4</v>
      </c>
      <c r="P855">
        <v>0</v>
      </c>
    </row>
    <row r="856" spans="1:16" hidden="1" x14ac:dyDescent="0.25">
      <c r="A856" t="s">
        <v>2040</v>
      </c>
      <c r="B856" t="s">
        <v>2041</v>
      </c>
      <c r="C856" t="s">
        <v>1976</v>
      </c>
      <c r="D856" s="11" t="s">
        <v>2250</v>
      </c>
      <c r="E856" s="12">
        <v>45929</v>
      </c>
      <c r="F856" s="12">
        <v>45929</v>
      </c>
      <c r="G856" t="s">
        <v>2248</v>
      </c>
      <c r="H856" t="s">
        <v>1569</v>
      </c>
      <c r="I856">
        <v>5000</v>
      </c>
      <c r="J856">
        <v>0</v>
      </c>
      <c r="M856">
        <v>2.1700000000000001E-2</v>
      </c>
      <c r="N856">
        <v>108.5</v>
      </c>
      <c r="O856">
        <v>-108.5</v>
      </c>
      <c r="P856">
        <v>0</v>
      </c>
    </row>
    <row r="857" spans="1:16" hidden="1" x14ac:dyDescent="0.25">
      <c r="A857" t="s">
        <v>2040</v>
      </c>
      <c r="B857" t="s">
        <v>2041</v>
      </c>
      <c r="C857" t="s">
        <v>1976</v>
      </c>
      <c r="D857" s="11" t="s">
        <v>2250</v>
      </c>
      <c r="E857" s="12">
        <v>45929</v>
      </c>
      <c r="F857" s="12">
        <v>45929</v>
      </c>
      <c r="G857" t="s">
        <v>2248</v>
      </c>
      <c r="H857" t="s">
        <v>1571</v>
      </c>
      <c r="I857">
        <v>5000</v>
      </c>
      <c r="J857">
        <v>0</v>
      </c>
      <c r="M857">
        <v>2.29E-2</v>
      </c>
      <c r="N857">
        <v>114.5</v>
      </c>
      <c r="O857">
        <v>-114.5</v>
      </c>
      <c r="P857">
        <v>0</v>
      </c>
    </row>
    <row r="858" spans="1:16" hidden="1" x14ac:dyDescent="0.25">
      <c r="A858" t="s">
        <v>2040</v>
      </c>
      <c r="B858" t="s">
        <v>2041</v>
      </c>
      <c r="C858" t="s">
        <v>1976</v>
      </c>
      <c r="D858" s="11" t="s">
        <v>2250</v>
      </c>
      <c r="E858" s="12">
        <v>45929</v>
      </c>
      <c r="F858" s="12">
        <v>45929</v>
      </c>
      <c r="G858" t="s">
        <v>2248</v>
      </c>
      <c r="H858" t="s">
        <v>1573</v>
      </c>
      <c r="I858">
        <v>5000</v>
      </c>
      <c r="J858">
        <v>0</v>
      </c>
      <c r="M858">
        <v>0.22900000000000001</v>
      </c>
      <c r="N858">
        <v>1145</v>
      </c>
      <c r="O858">
        <v>-1145</v>
      </c>
      <c r="P858">
        <v>0</v>
      </c>
    </row>
    <row r="859" spans="1:16" hidden="1" x14ac:dyDescent="0.25">
      <c r="A859" t="s">
        <v>2040</v>
      </c>
      <c r="B859" t="s">
        <v>2041</v>
      </c>
      <c r="C859" t="s">
        <v>1976</v>
      </c>
      <c r="D859" s="11" t="s">
        <v>2250</v>
      </c>
      <c r="E859" s="12">
        <v>45929</v>
      </c>
      <c r="F859" s="12">
        <v>45929</v>
      </c>
      <c r="G859" t="s">
        <v>2248</v>
      </c>
      <c r="H859" t="s">
        <v>1759</v>
      </c>
      <c r="I859">
        <v>200</v>
      </c>
      <c r="J859">
        <v>0</v>
      </c>
      <c r="M859">
        <v>0.38</v>
      </c>
      <c r="N859">
        <v>76</v>
      </c>
      <c r="O859">
        <v>-76</v>
      </c>
      <c r="P859">
        <v>0</v>
      </c>
    </row>
    <row r="860" spans="1:16" hidden="1" x14ac:dyDescent="0.25">
      <c r="A860" t="s">
        <v>2040</v>
      </c>
      <c r="B860" t="s">
        <v>2041</v>
      </c>
      <c r="C860" t="s">
        <v>1976</v>
      </c>
      <c r="D860" s="11" t="s">
        <v>2250</v>
      </c>
      <c r="E860" s="12">
        <v>45929</v>
      </c>
      <c r="F860" s="12">
        <v>45929</v>
      </c>
      <c r="G860" t="s">
        <v>2248</v>
      </c>
      <c r="H860" t="s">
        <v>1772</v>
      </c>
      <c r="I860">
        <v>5000</v>
      </c>
      <c r="J860">
        <v>0</v>
      </c>
      <c r="M860">
        <v>0.12</v>
      </c>
      <c r="N860">
        <v>600</v>
      </c>
      <c r="O860">
        <v>-600</v>
      </c>
      <c r="P860">
        <v>0</v>
      </c>
    </row>
    <row r="861" spans="1:16" hidden="1" x14ac:dyDescent="0.25">
      <c r="A861" t="s">
        <v>2040</v>
      </c>
      <c r="B861" t="s">
        <v>2041</v>
      </c>
      <c r="C861" t="s">
        <v>1976</v>
      </c>
      <c r="D861" s="11" t="s">
        <v>2250</v>
      </c>
      <c r="E861" s="12">
        <v>45929</v>
      </c>
      <c r="F861" s="12">
        <v>45929</v>
      </c>
      <c r="G861" t="s">
        <v>2248</v>
      </c>
      <c r="H861" t="s">
        <v>1793</v>
      </c>
      <c r="I861">
        <v>3000</v>
      </c>
      <c r="J861">
        <v>0</v>
      </c>
      <c r="M861">
        <v>0.95</v>
      </c>
      <c r="N861">
        <v>2850</v>
      </c>
      <c r="O861">
        <v>-2850</v>
      </c>
      <c r="P861">
        <v>0</v>
      </c>
    </row>
    <row r="862" spans="1:16" hidden="1" x14ac:dyDescent="0.25">
      <c r="A862" t="s">
        <v>2040</v>
      </c>
      <c r="B862" t="s">
        <v>2041</v>
      </c>
      <c r="C862" t="s">
        <v>1976</v>
      </c>
      <c r="D862" s="11" t="s">
        <v>2250</v>
      </c>
      <c r="E862" s="12">
        <v>45929</v>
      </c>
      <c r="F862" s="12">
        <v>45929</v>
      </c>
      <c r="G862" t="s">
        <v>2248</v>
      </c>
      <c r="H862" t="s">
        <v>47</v>
      </c>
      <c r="I862">
        <v>4000</v>
      </c>
      <c r="J862">
        <v>0</v>
      </c>
      <c r="M862">
        <v>0.107</v>
      </c>
      <c r="N862">
        <v>428</v>
      </c>
      <c r="O862">
        <v>-428</v>
      </c>
      <c r="P862">
        <v>0</v>
      </c>
    </row>
    <row r="863" spans="1:16" hidden="1" x14ac:dyDescent="0.25">
      <c r="A863" t="s">
        <v>2040</v>
      </c>
      <c r="B863" t="s">
        <v>2041</v>
      </c>
      <c r="C863" t="s">
        <v>1976</v>
      </c>
      <c r="D863" s="11" t="s">
        <v>2250</v>
      </c>
      <c r="E863" s="12">
        <v>45929</v>
      </c>
      <c r="F863" s="12">
        <v>45929</v>
      </c>
      <c r="G863" t="s">
        <v>2248</v>
      </c>
      <c r="H863" t="s">
        <v>221</v>
      </c>
      <c r="I863">
        <v>17</v>
      </c>
      <c r="J863">
        <v>0</v>
      </c>
      <c r="M863">
        <v>13.85</v>
      </c>
      <c r="N863">
        <v>235.45</v>
      </c>
      <c r="O863">
        <v>-235.45</v>
      </c>
      <c r="P863">
        <v>0</v>
      </c>
    </row>
    <row r="864" spans="1:16" hidden="1" x14ac:dyDescent="0.25">
      <c r="A864" t="s">
        <v>2040</v>
      </c>
      <c r="B864" t="s">
        <v>2041</v>
      </c>
      <c r="C864" t="s">
        <v>1976</v>
      </c>
      <c r="D864" s="11" t="s">
        <v>2250</v>
      </c>
      <c r="E864" s="12">
        <v>45929</v>
      </c>
      <c r="F864" s="12">
        <v>45929</v>
      </c>
      <c r="G864" t="s">
        <v>2248</v>
      </c>
      <c r="H864" t="s">
        <v>2265</v>
      </c>
      <c r="I864">
        <v>100</v>
      </c>
      <c r="J864">
        <v>0</v>
      </c>
      <c r="M864">
        <v>0.13600000000000001</v>
      </c>
      <c r="N864">
        <v>13.6</v>
      </c>
      <c r="O864">
        <v>-13.6</v>
      </c>
      <c r="P864">
        <v>0</v>
      </c>
    </row>
    <row r="865" spans="1:16" hidden="1" x14ac:dyDescent="0.25">
      <c r="A865" t="s">
        <v>2040</v>
      </c>
      <c r="B865" t="s">
        <v>2041</v>
      </c>
      <c r="C865" t="s">
        <v>1976</v>
      </c>
      <c r="D865" s="11" t="s">
        <v>2250</v>
      </c>
      <c r="E865" s="12">
        <v>45929</v>
      </c>
      <c r="F865" s="12">
        <v>45929</v>
      </c>
      <c r="G865" t="s">
        <v>2248</v>
      </c>
      <c r="H865" t="s">
        <v>308</v>
      </c>
      <c r="I865">
        <v>71</v>
      </c>
      <c r="J865">
        <v>0</v>
      </c>
      <c r="M865">
        <v>0.435</v>
      </c>
      <c r="N865">
        <v>30.885000000000002</v>
      </c>
      <c r="O865">
        <v>-30.885000000000002</v>
      </c>
      <c r="P865">
        <v>0</v>
      </c>
    </row>
    <row r="866" spans="1:16" hidden="1" x14ac:dyDescent="0.25">
      <c r="A866" t="s">
        <v>2040</v>
      </c>
      <c r="B866" t="s">
        <v>2041</v>
      </c>
      <c r="C866" t="s">
        <v>1976</v>
      </c>
      <c r="D866" s="11" t="s">
        <v>2250</v>
      </c>
      <c r="E866" s="12">
        <v>45929</v>
      </c>
      <c r="F866" s="12">
        <v>45929</v>
      </c>
      <c r="G866" t="s">
        <v>2248</v>
      </c>
      <c r="H866" t="s">
        <v>345</v>
      </c>
      <c r="I866">
        <v>191</v>
      </c>
      <c r="J866">
        <v>0</v>
      </c>
      <c r="M866">
        <v>1.27</v>
      </c>
      <c r="N866">
        <v>242.57</v>
      </c>
      <c r="O866">
        <v>-242.57</v>
      </c>
      <c r="P866">
        <v>0</v>
      </c>
    </row>
    <row r="867" spans="1:16" hidden="1" x14ac:dyDescent="0.25">
      <c r="A867" t="s">
        <v>2040</v>
      </c>
      <c r="B867" t="s">
        <v>2041</v>
      </c>
      <c r="C867" t="s">
        <v>1976</v>
      </c>
      <c r="D867" s="11" t="s">
        <v>2250</v>
      </c>
      <c r="E867" s="12">
        <v>45929</v>
      </c>
      <c r="F867" s="12">
        <v>45929</v>
      </c>
      <c r="G867" t="s">
        <v>2248</v>
      </c>
      <c r="H867" t="s">
        <v>2266</v>
      </c>
      <c r="I867">
        <v>100</v>
      </c>
      <c r="J867">
        <v>0</v>
      </c>
      <c r="M867">
        <v>1.7</v>
      </c>
      <c r="N867">
        <v>170</v>
      </c>
      <c r="O867">
        <v>-170</v>
      </c>
      <c r="P867">
        <v>0</v>
      </c>
    </row>
    <row r="868" spans="1:16" hidden="1" x14ac:dyDescent="0.25">
      <c r="A868" t="s">
        <v>2040</v>
      </c>
      <c r="B868" t="s">
        <v>2041</v>
      </c>
      <c r="C868" t="s">
        <v>1976</v>
      </c>
      <c r="D868" s="11" t="s">
        <v>2250</v>
      </c>
      <c r="E868" s="12">
        <v>45929</v>
      </c>
      <c r="F868" s="12">
        <v>45929</v>
      </c>
      <c r="G868" t="s">
        <v>2248</v>
      </c>
      <c r="H868" t="s">
        <v>423</v>
      </c>
      <c r="I868">
        <v>500</v>
      </c>
      <c r="J868">
        <v>0</v>
      </c>
      <c r="M868">
        <v>1.4</v>
      </c>
      <c r="N868">
        <v>700</v>
      </c>
      <c r="O868">
        <v>-700</v>
      </c>
      <c r="P868">
        <v>0</v>
      </c>
    </row>
    <row r="869" spans="1:16" hidden="1" x14ac:dyDescent="0.25">
      <c r="A869" t="s">
        <v>2040</v>
      </c>
      <c r="B869" t="s">
        <v>2041</v>
      </c>
      <c r="C869" t="s">
        <v>1976</v>
      </c>
      <c r="D869" s="11" t="s">
        <v>2250</v>
      </c>
      <c r="E869" s="12">
        <v>45929</v>
      </c>
      <c r="F869" s="12">
        <v>45929</v>
      </c>
      <c r="G869" t="s">
        <v>2248</v>
      </c>
      <c r="H869" t="s">
        <v>429</v>
      </c>
      <c r="I869">
        <v>500</v>
      </c>
      <c r="J869">
        <v>0</v>
      </c>
      <c r="M869">
        <v>0.8</v>
      </c>
      <c r="N869">
        <v>400</v>
      </c>
      <c r="O869">
        <v>-400</v>
      </c>
      <c r="P869">
        <v>0</v>
      </c>
    </row>
    <row r="870" spans="1:16" hidden="1" x14ac:dyDescent="0.25">
      <c r="A870" t="s">
        <v>2040</v>
      </c>
      <c r="B870" t="s">
        <v>2041</v>
      </c>
      <c r="C870" t="s">
        <v>1976</v>
      </c>
      <c r="D870" s="11" t="s">
        <v>2250</v>
      </c>
      <c r="E870" s="12">
        <v>45929</v>
      </c>
      <c r="F870" s="12">
        <v>45929</v>
      </c>
      <c r="G870" t="s">
        <v>2248</v>
      </c>
      <c r="H870" t="s">
        <v>2267</v>
      </c>
      <c r="I870">
        <v>100</v>
      </c>
      <c r="J870">
        <v>0</v>
      </c>
      <c r="M870">
        <v>0.435</v>
      </c>
      <c r="N870">
        <v>43.5</v>
      </c>
      <c r="O870">
        <v>-43.5</v>
      </c>
      <c r="P870">
        <v>0</v>
      </c>
    </row>
    <row r="871" spans="1:16" hidden="1" x14ac:dyDescent="0.25">
      <c r="A871" t="s">
        <v>2040</v>
      </c>
      <c r="B871" t="s">
        <v>2041</v>
      </c>
      <c r="C871" t="s">
        <v>1976</v>
      </c>
      <c r="D871" s="11" t="s">
        <v>2250</v>
      </c>
      <c r="E871" s="12">
        <v>45929</v>
      </c>
      <c r="F871" s="12">
        <v>45929</v>
      </c>
      <c r="G871" t="s">
        <v>2248</v>
      </c>
      <c r="H871" t="s">
        <v>2268</v>
      </c>
      <c r="I871">
        <v>95</v>
      </c>
      <c r="J871">
        <v>0</v>
      </c>
      <c r="M871">
        <v>5.21</v>
      </c>
      <c r="N871">
        <v>494.95</v>
      </c>
      <c r="O871">
        <v>-494.95</v>
      </c>
      <c r="P871">
        <v>0</v>
      </c>
    </row>
    <row r="872" spans="1:16" hidden="1" x14ac:dyDescent="0.25">
      <c r="A872" t="s">
        <v>2040</v>
      </c>
      <c r="B872" t="s">
        <v>2041</v>
      </c>
      <c r="C872" t="s">
        <v>1976</v>
      </c>
      <c r="D872" s="11" t="s">
        <v>2250</v>
      </c>
      <c r="E872" s="12">
        <v>45929</v>
      </c>
      <c r="F872" s="12">
        <v>45929</v>
      </c>
      <c r="G872" t="s">
        <v>2248</v>
      </c>
      <c r="H872" t="s">
        <v>520</v>
      </c>
      <c r="I872">
        <v>200</v>
      </c>
      <c r="J872">
        <v>0</v>
      </c>
      <c r="M872">
        <v>12.65</v>
      </c>
      <c r="N872">
        <v>2530</v>
      </c>
      <c r="O872">
        <v>-2530</v>
      </c>
      <c r="P872">
        <v>0</v>
      </c>
    </row>
    <row r="873" spans="1:16" hidden="1" x14ac:dyDescent="0.25">
      <c r="A873" t="s">
        <v>2040</v>
      </c>
      <c r="B873" t="s">
        <v>2041</v>
      </c>
      <c r="C873" t="s">
        <v>1976</v>
      </c>
      <c r="D873" s="11" t="s">
        <v>2250</v>
      </c>
      <c r="E873" s="12">
        <v>45929</v>
      </c>
      <c r="F873" s="12">
        <v>45929</v>
      </c>
      <c r="G873" t="s">
        <v>2248</v>
      </c>
      <c r="H873" t="s">
        <v>553</v>
      </c>
      <c r="I873">
        <v>10000</v>
      </c>
      <c r="J873">
        <v>0</v>
      </c>
      <c r="M873">
        <v>2.1000000000000001E-2</v>
      </c>
      <c r="N873">
        <v>210</v>
      </c>
      <c r="O873">
        <v>-210</v>
      </c>
      <c r="P873">
        <v>0</v>
      </c>
    </row>
    <row r="874" spans="1:16" hidden="1" x14ac:dyDescent="0.25">
      <c r="A874" t="s">
        <v>2040</v>
      </c>
      <c r="B874" t="s">
        <v>2041</v>
      </c>
      <c r="C874" t="s">
        <v>1976</v>
      </c>
      <c r="D874" s="11" t="s">
        <v>2250</v>
      </c>
      <c r="E874" s="12">
        <v>45929</v>
      </c>
      <c r="F874" s="12">
        <v>45929</v>
      </c>
      <c r="G874" t="s">
        <v>2248</v>
      </c>
      <c r="H874" t="s">
        <v>636</v>
      </c>
      <c r="I874">
        <v>5000</v>
      </c>
      <c r="J874">
        <v>0</v>
      </c>
      <c r="M874">
        <v>5.7000000000000002E-3</v>
      </c>
      <c r="N874">
        <v>28.5</v>
      </c>
      <c r="O874">
        <v>-28.5</v>
      </c>
      <c r="P874">
        <v>0</v>
      </c>
    </row>
    <row r="875" spans="1:16" hidden="1" x14ac:dyDescent="0.25">
      <c r="A875" t="s">
        <v>2040</v>
      </c>
      <c r="B875" t="s">
        <v>2041</v>
      </c>
      <c r="C875" t="s">
        <v>1976</v>
      </c>
      <c r="D875" s="11" t="s">
        <v>2250</v>
      </c>
      <c r="E875" s="12">
        <v>45929</v>
      </c>
      <c r="F875" s="12">
        <v>45929</v>
      </c>
      <c r="G875" t="s">
        <v>2248</v>
      </c>
      <c r="H875" t="s">
        <v>675</v>
      </c>
      <c r="I875">
        <v>5000</v>
      </c>
      <c r="J875">
        <v>0</v>
      </c>
      <c r="M875">
        <v>1.1900000000000001E-3</v>
      </c>
      <c r="N875">
        <v>5.95</v>
      </c>
      <c r="O875">
        <v>-5.95</v>
      </c>
      <c r="P875">
        <v>0</v>
      </c>
    </row>
    <row r="876" spans="1:16" hidden="1" x14ac:dyDescent="0.25">
      <c r="A876" t="s">
        <v>2040</v>
      </c>
      <c r="B876" t="s">
        <v>2041</v>
      </c>
      <c r="C876" t="s">
        <v>1976</v>
      </c>
      <c r="D876" s="11" t="s">
        <v>2250</v>
      </c>
      <c r="E876" s="12">
        <v>45929</v>
      </c>
      <c r="F876" s="12">
        <v>45929</v>
      </c>
      <c r="G876" t="s">
        <v>2248</v>
      </c>
      <c r="H876" t="s">
        <v>679</v>
      </c>
      <c r="I876">
        <v>5000</v>
      </c>
      <c r="J876">
        <v>0</v>
      </c>
      <c r="M876">
        <v>2.0300000000000001E-3</v>
      </c>
      <c r="N876">
        <v>10.15</v>
      </c>
      <c r="O876">
        <v>-10.15</v>
      </c>
      <c r="P876">
        <v>0</v>
      </c>
    </row>
    <row r="877" spans="1:16" hidden="1" x14ac:dyDescent="0.25">
      <c r="A877" t="s">
        <v>2040</v>
      </c>
      <c r="B877" t="s">
        <v>2041</v>
      </c>
      <c r="C877" t="s">
        <v>1976</v>
      </c>
      <c r="D877" s="11" t="s">
        <v>2250</v>
      </c>
      <c r="E877" s="12">
        <v>45929</v>
      </c>
      <c r="F877" s="12">
        <v>45929</v>
      </c>
      <c r="G877" t="s">
        <v>2248</v>
      </c>
      <c r="H877" t="s">
        <v>683</v>
      </c>
      <c r="I877">
        <v>5000</v>
      </c>
      <c r="J877">
        <v>0</v>
      </c>
      <c r="M877">
        <v>2.7200000000000002E-3</v>
      </c>
      <c r="N877">
        <v>13.6</v>
      </c>
      <c r="O877">
        <v>-13.6</v>
      </c>
      <c r="P877">
        <v>0</v>
      </c>
    </row>
    <row r="878" spans="1:16" hidden="1" x14ac:dyDescent="0.25">
      <c r="A878" t="s">
        <v>2040</v>
      </c>
      <c r="B878" t="s">
        <v>2041</v>
      </c>
      <c r="C878" t="s">
        <v>1976</v>
      </c>
      <c r="D878" s="11" t="s">
        <v>2250</v>
      </c>
      <c r="E878" s="12">
        <v>45929</v>
      </c>
      <c r="F878" s="12">
        <v>45929</v>
      </c>
      <c r="G878" t="s">
        <v>2248</v>
      </c>
      <c r="H878" t="s">
        <v>743</v>
      </c>
      <c r="I878">
        <v>3000</v>
      </c>
      <c r="J878">
        <v>0</v>
      </c>
      <c r="M878">
        <v>0.11799999999999999</v>
      </c>
      <c r="N878">
        <v>354</v>
      </c>
      <c r="O878">
        <v>-354</v>
      </c>
      <c r="P878">
        <v>0</v>
      </c>
    </row>
    <row r="879" spans="1:16" hidden="1" x14ac:dyDescent="0.25">
      <c r="A879" t="s">
        <v>2040</v>
      </c>
      <c r="B879" t="s">
        <v>2041</v>
      </c>
      <c r="C879" t="s">
        <v>1976</v>
      </c>
      <c r="D879" s="11" t="s">
        <v>2250</v>
      </c>
      <c r="E879" s="12">
        <v>45929</v>
      </c>
      <c r="F879" s="12">
        <v>45929</v>
      </c>
      <c r="G879" t="s">
        <v>2248</v>
      </c>
      <c r="H879" t="s">
        <v>846</v>
      </c>
      <c r="I879">
        <v>4000</v>
      </c>
      <c r="J879">
        <v>0</v>
      </c>
      <c r="M879">
        <v>0.18179000000000001</v>
      </c>
      <c r="N879">
        <v>727.16</v>
      </c>
      <c r="O879">
        <v>-727.16</v>
      </c>
      <c r="P879">
        <v>0</v>
      </c>
    </row>
    <row r="880" spans="1:16" hidden="1" x14ac:dyDescent="0.25">
      <c r="A880" t="s">
        <v>2040</v>
      </c>
      <c r="B880" t="s">
        <v>2041</v>
      </c>
      <c r="C880" t="s">
        <v>1976</v>
      </c>
      <c r="D880" s="11" t="s">
        <v>2250</v>
      </c>
      <c r="E880" s="12">
        <v>45929</v>
      </c>
      <c r="F880" s="12">
        <v>45929</v>
      </c>
      <c r="G880" t="s">
        <v>2248</v>
      </c>
      <c r="H880" t="s">
        <v>860</v>
      </c>
      <c r="I880">
        <v>5000</v>
      </c>
      <c r="J880">
        <v>0</v>
      </c>
      <c r="M880">
        <v>4.2399999999999998E-3</v>
      </c>
      <c r="N880">
        <v>21.2</v>
      </c>
      <c r="O880">
        <v>-21.2</v>
      </c>
      <c r="P880">
        <v>0</v>
      </c>
    </row>
    <row r="881" spans="1:16" hidden="1" x14ac:dyDescent="0.25">
      <c r="A881" t="s">
        <v>2040</v>
      </c>
      <c r="B881" t="s">
        <v>2041</v>
      </c>
      <c r="C881" t="s">
        <v>1976</v>
      </c>
      <c r="D881" s="11" t="s">
        <v>2250</v>
      </c>
      <c r="E881" s="12">
        <v>45929</v>
      </c>
      <c r="F881" s="12">
        <v>45929</v>
      </c>
      <c r="G881" t="s">
        <v>2248</v>
      </c>
      <c r="H881" t="s">
        <v>876</v>
      </c>
      <c r="I881">
        <v>5000</v>
      </c>
      <c r="J881">
        <v>0</v>
      </c>
      <c r="M881">
        <v>2.5000000000000001E-2</v>
      </c>
      <c r="N881">
        <v>125</v>
      </c>
      <c r="O881">
        <v>-125</v>
      </c>
      <c r="P881">
        <v>0</v>
      </c>
    </row>
    <row r="882" spans="1:16" hidden="1" x14ac:dyDescent="0.25">
      <c r="A882" t="s">
        <v>2040</v>
      </c>
      <c r="B882" t="s">
        <v>2041</v>
      </c>
      <c r="C882" t="s">
        <v>1976</v>
      </c>
      <c r="D882" s="11" t="s">
        <v>2250</v>
      </c>
      <c r="E882" s="12">
        <v>45929</v>
      </c>
      <c r="F882" s="12">
        <v>45929</v>
      </c>
      <c r="G882" t="s">
        <v>2248</v>
      </c>
      <c r="H882" t="s">
        <v>878</v>
      </c>
      <c r="I882">
        <v>8000</v>
      </c>
      <c r="J882">
        <v>0</v>
      </c>
      <c r="M882">
        <v>5.4449999999999998E-2</v>
      </c>
      <c r="N882">
        <v>435.6</v>
      </c>
      <c r="O882">
        <v>-435.6</v>
      </c>
      <c r="P882">
        <v>0</v>
      </c>
    </row>
    <row r="883" spans="1:16" hidden="1" x14ac:dyDescent="0.25">
      <c r="A883" t="s">
        <v>2040</v>
      </c>
      <c r="B883" t="s">
        <v>2041</v>
      </c>
      <c r="C883" t="s">
        <v>1976</v>
      </c>
      <c r="D883" s="11" t="s">
        <v>2250</v>
      </c>
      <c r="E883" s="12">
        <v>45929</v>
      </c>
      <c r="F883" s="12">
        <v>45929</v>
      </c>
      <c r="G883" t="s">
        <v>2248</v>
      </c>
      <c r="H883" t="s">
        <v>882</v>
      </c>
      <c r="I883">
        <v>5000</v>
      </c>
      <c r="J883">
        <v>0</v>
      </c>
      <c r="M883">
        <v>1.2699999999999999E-2</v>
      </c>
      <c r="N883">
        <v>63.5</v>
      </c>
      <c r="O883">
        <v>-63.5</v>
      </c>
      <c r="P883">
        <v>0</v>
      </c>
    </row>
    <row r="884" spans="1:16" hidden="1" x14ac:dyDescent="0.25">
      <c r="A884" t="s">
        <v>2040</v>
      </c>
      <c r="B884" t="s">
        <v>2041</v>
      </c>
      <c r="C884" t="s">
        <v>1976</v>
      </c>
      <c r="D884" s="11" t="s">
        <v>2250</v>
      </c>
      <c r="E884" s="12">
        <v>45929</v>
      </c>
      <c r="F884" s="12">
        <v>45929</v>
      </c>
      <c r="G884" t="s">
        <v>2248</v>
      </c>
      <c r="H884" t="s">
        <v>914</v>
      </c>
      <c r="I884">
        <v>4000</v>
      </c>
      <c r="J884">
        <v>0</v>
      </c>
      <c r="M884">
        <v>3.3000000000000002E-2</v>
      </c>
      <c r="N884">
        <v>132</v>
      </c>
      <c r="O884">
        <v>-132</v>
      </c>
      <c r="P884">
        <v>0</v>
      </c>
    </row>
    <row r="885" spans="1:16" hidden="1" x14ac:dyDescent="0.25">
      <c r="A885" t="s">
        <v>2040</v>
      </c>
      <c r="B885" t="s">
        <v>2041</v>
      </c>
      <c r="C885" t="s">
        <v>1976</v>
      </c>
      <c r="D885" s="11" t="s">
        <v>2250</v>
      </c>
      <c r="E885" s="12">
        <v>45929</v>
      </c>
      <c r="F885" s="12">
        <v>45929</v>
      </c>
      <c r="G885" t="s">
        <v>2248</v>
      </c>
      <c r="H885" t="s">
        <v>920</v>
      </c>
      <c r="I885">
        <v>4000</v>
      </c>
      <c r="J885">
        <v>0</v>
      </c>
      <c r="M885">
        <v>0.10199999999999999</v>
      </c>
      <c r="N885">
        <v>408</v>
      </c>
      <c r="O885">
        <v>-408</v>
      </c>
      <c r="P885">
        <v>0</v>
      </c>
    </row>
    <row r="886" spans="1:16" hidden="1" x14ac:dyDescent="0.25">
      <c r="A886" t="s">
        <v>2040</v>
      </c>
      <c r="B886" t="s">
        <v>2041</v>
      </c>
      <c r="C886" t="s">
        <v>1976</v>
      </c>
      <c r="D886" s="11" t="s">
        <v>2250</v>
      </c>
      <c r="E886" s="12">
        <v>45929</v>
      </c>
      <c r="F886" s="12">
        <v>45929</v>
      </c>
      <c r="G886" t="s">
        <v>2248</v>
      </c>
      <c r="H886" t="s">
        <v>939</v>
      </c>
      <c r="I886">
        <v>4000</v>
      </c>
      <c r="J886">
        <v>0</v>
      </c>
      <c r="M886">
        <v>1.67E-2</v>
      </c>
      <c r="N886">
        <v>66.8</v>
      </c>
      <c r="O886">
        <v>-66.8</v>
      </c>
      <c r="P886">
        <v>0</v>
      </c>
    </row>
    <row r="887" spans="1:16" hidden="1" x14ac:dyDescent="0.25">
      <c r="A887" t="s">
        <v>2040</v>
      </c>
      <c r="B887" t="s">
        <v>2041</v>
      </c>
      <c r="C887" t="s">
        <v>1976</v>
      </c>
      <c r="D887" s="11" t="s">
        <v>2250</v>
      </c>
      <c r="E887" s="12">
        <v>45929</v>
      </c>
      <c r="F887" s="12">
        <v>45929</v>
      </c>
      <c r="G887" t="s">
        <v>2248</v>
      </c>
      <c r="H887" t="s">
        <v>953</v>
      </c>
      <c r="I887">
        <v>200</v>
      </c>
      <c r="J887">
        <v>0</v>
      </c>
      <c r="M887">
        <v>0.61</v>
      </c>
      <c r="N887">
        <v>122</v>
      </c>
      <c r="O887">
        <v>-122</v>
      </c>
      <c r="P887">
        <v>0</v>
      </c>
    </row>
    <row r="888" spans="1:16" hidden="1" x14ac:dyDescent="0.25">
      <c r="A888" t="s">
        <v>2040</v>
      </c>
      <c r="B888" t="s">
        <v>2041</v>
      </c>
      <c r="C888" t="s">
        <v>1976</v>
      </c>
      <c r="D888" s="11" t="s">
        <v>2250</v>
      </c>
      <c r="E888" s="12">
        <v>45929</v>
      </c>
      <c r="F888" s="12">
        <v>45929</v>
      </c>
      <c r="G888" t="s">
        <v>2248</v>
      </c>
      <c r="H888" t="s">
        <v>985</v>
      </c>
      <c r="I888">
        <v>210</v>
      </c>
      <c r="J888">
        <v>0</v>
      </c>
      <c r="M888">
        <v>14.13017</v>
      </c>
      <c r="N888">
        <v>2967.3357000000001</v>
      </c>
      <c r="O888">
        <v>-2967.3357000000001</v>
      </c>
      <c r="P888">
        <v>0</v>
      </c>
    </row>
    <row r="889" spans="1:16" hidden="1" x14ac:dyDescent="0.25">
      <c r="A889" t="s">
        <v>2040</v>
      </c>
      <c r="B889" t="s">
        <v>2041</v>
      </c>
      <c r="C889" t="s">
        <v>1976</v>
      </c>
      <c r="D889" s="11" t="s">
        <v>2250</v>
      </c>
      <c r="E889" s="12">
        <v>45929</v>
      </c>
      <c r="F889" s="12">
        <v>45929</v>
      </c>
      <c r="G889" t="s">
        <v>2248</v>
      </c>
      <c r="H889" t="s">
        <v>991</v>
      </c>
      <c r="I889">
        <v>100</v>
      </c>
      <c r="J889">
        <v>0</v>
      </c>
      <c r="M889">
        <v>1.24</v>
      </c>
      <c r="N889">
        <v>124</v>
      </c>
      <c r="O889">
        <v>-124</v>
      </c>
      <c r="P889">
        <v>0</v>
      </c>
    </row>
    <row r="890" spans="1:16" hidden="1" x14ac:dyDescent="0.25">
      <c r="A890" t="s">
        <v>2040</v>
      </c>
      <c r="B890" t="s">
        <v>2041</v>
      </c>
      <c r="C890" t="s">
        <v>1976</v>
      </c>
      <c r="D890" s="11" t="s">
        <v>2250</v>
      </c>
      <c r="E890" s="12">
        <v>45929</v>
      </c>
      <c r="F890" s="12">
        <v>45929</v>
      </c>
      <c r="G890" t="s">
        <v>2248</v>
      </c>
      <c r="H890" t="s">
        <v>993</v>
      </c>
      <c r="I890">
        <v>30</v>
      </c>
      <c r="J890">
        <v>0</v>
      </c>
      <c r="M890">
        <v>3.01</v>
      </c>
      <c r="N890">
        <v>90.3</v>
      </c>
      <c r="O890">
        <v>-90.3</v>
      </c>
      <c r="P890">
        <v>0</v>
      </c>
    </row>
    <row r="891" spans="1:16" hidden="1" x14ac:dyDescent="0.25">
      <c r="A891" t="s">
        <v>2040</v>
      </c>
      <c r="B891" t="s">
        <v>2041</v>
      </c>
      <c r="C891" t="s">
        <v>1976</v>
      </c>
      <c r="D891" s="11" t="s">
        <v>2250</v>
      </c>
      <c r="E891" s="12">
        <v>45929</v>
      </c>
      <c r="F891" s="12">
        <v>45929</v>
      </c>
      <c r="G891" t="s">
        <v>2248</v>
      </c>
      <c r="H891" t="s">
        <v>1007</v>
      </c>
      <c r="I891">
        <v>31</v>
      </c>
      <c r="J891">
        <v>0</v>
      </c>
      <c r="M891">
        <v>2.5562499999999999</v>
      </c>
      <c r="N891">
        <v>79.243750000000006</v>
      </c>
      <c r="O891">
        <v>-79.243750000000006</v>
      </c>
      <c r="P891">
        <v>0</v>
      </c>
    </row>
    <row r="892" spans="1:16" hidden="1" x14ac:dyDescent="0.25">
      <c r="A892" t="s">
        <v>2040</v>
      </c>
      <c r="B892" t="s">
        <v>2041</v>
      </c>
      <c r="C892" t="s">
        <v>1976</v>
      </c>
      <c r="D892" s="11" t="s">
        <v>2250</v>
      </c>
      <c r="E892" s="12">
        <v>45929</v>
      </c>
      <c r="F892" s="12">
        <v>45929</v>
      </c>
      <c r="G892" t="s">
        <v>2248</v>
      </c>
      <c r="H892" t="s">
        <v>1007</v>
      </c>
      <c r="I892">
        <v>417</v>
      </c>
      <c r="J892">
        <v>0</v>
      </c>
      <c r="M892">
        <v>2.5562499999999999</v>
      </c>
      <c r="N892">
        <v>1065.95625</v>
      </c>
      <c r="O892">
        <v>-1065.95625</v>
      </c>
      <c r="P892">
        <v>0</v>
      </c>
    </row>
    <row r="893" spans="1:16" hidden="1" x14ac:dyDescent="0.25">
      <c r="A893" t="s">
        <v>2040</v>
      </c>
      <c r="B893" t="s">
        <v>2041</v>
      </c>
      <c r="C893" t="s">
        <v>1976</v>
      </c>
      <c r="D893" s="11" t="s">
        <v>2250</v>
      </c>
      <c r="E893" s="12">
        <v>45929</v>
      </c>
      <c r="F893" s="12">
        <v>45929</v>
      </c>
      <c r="G893" t="s">
        <v>2248</v>
      </c>
      <c r="H893" t="s">
        <v>1007</v>
      </c>
      <c r="I893">
        <v>336</v>
      </c>
      <c r="J893">
        <v>0</v>
      </c>
      <c r="M893">
        <v>2.5562499999999999</v>
      </c>
      <c r="N893">
        <v>858.9</v>
      </c>
      <c r="O893">
        <v>-858.9</v>
      </c>
      <c r="P893">
        <v>0</v>
      </c>
    </row>
    <row r="894" spans="1:16" hidden="1" x14ac:dyDescent="0.25">
      <c r="A894" t="s">
        <v>2040</v>
      </c>
      <c r="B894" t="s">
        <v>2041</v>
      </c>
      <c r="C894" t="s">
        <v>1976</v>
      </c>
      <c r="D894" s="11" t="s">
        <v>2250</v>
      </c>
      <c r="E894" s="12">
        <v>45929</v>
      </c>
      <c r="F894" s="12">
        <v>45929</v>
      </c>
      <c r="G894" t="s">
        <v>2248</v>
      </c>
      <c r="H894" t="s">
        <v>1007</v>
      </c>
      <c r="I894">
        <v>224</v>
      </c>
      <c r="J894">
        <v>0</v>
      </c>
      <c r="M894">
        <v>2.5562499999999999</v>
      </c>
      <c r="N894">
        <v>572.6</v>
      </c>
      <c r="O894">
        <v>-572.6</v>
      </c>
      <c r="P894">
        <v>0</v>
      </c>
    </row>
    <row r="895" spans="1:16" hidden="1" x14ac:dyDescent="0.25">
      <c r="A895" t="s">
        <v>2040</v>
      </c>
      <c r="B895" t="s">
        <v>2041</v>
      </c>
      <c r="C895" t="s">
        <v>1976</v>
      </c>
      <c r="D895" s="11" t="s">
        <v>2250</v>
      </c>
      <c r="E895" s="12">
        <v>45929</v>
      </c>
      <c r="F895" s="12">
        <v>45929</v>
      </c>
      <c r="G895" t="s">
        <v>2248</v>
      </c>
      <c r="H895" t="s">
        <v>1117</v>
      </c>
      <c r="I895">
        <v>200</v>
      </c>
      <c r="J895">
        <v>0</v>
      </c>
      <c r="M895">
        <v>0.40500000000000003</v>
      </c>
      <c r="N895">
        <v>81</v>
      </c>
      <c r="O895">
        <v>-81</v>
      </c>
      <c r="P895">
        <v>0</v>
      </c>
    </row>
    <row r="896" spans="1:16" hidden="1" x14ac:dyDescent="0.25">
      <c r="A896" t="s">
        <v>2040</v>
      </c>
      <c r="B896" t="s">
        <v>2041</v>
      </c>
      <c r="C896" t="s">
        <v>1976</v>
      </c>
      <c r="D896" s="11" t="s">
        <v>2250</v>
      </c>
      <c r="E896" s="12">
        <v>45929</v>
      </c>
      <c r="F896" s="12">
        <v>45929</v>
      </c>
      <c r="G896" t="s">
        <v>2248</v>
      </c>
      <c r="H896" t="s">
        <v>1172</v>
      </c>
      <c r="I896">
        <v>2940</v>
      </c>
      <c r="J896">
        <v>0</v>
      </c>
      <c r="M896">
        <v>5.8599999999999999E-2</v>
      </c>
      <c r="N896">
        <v>172.28399999999999</v>
      </c>
      <c r="O896">
        <v>-172.28399999999999</v>
      </c>
      <c r="P896">
        <v>0</v>
      </c>
    </row>
    <row r="897" spans="1:16" hidden="1" x14ac:dyDescent="0.25">
      <c r="A897" t="s">
        <v>2040</v>
      </c>
      <c r="B897" t="s">
        <v>2041</v>
      </c>
      <c r="C897" t="s">
        <v>1976</v>
      </c>
      <c r="D897" s="11" t="s">
        <v>2250</v>
      </c>
      <c r="E897" s="12">
        <v>45929</v>
      </c>
      <c r="F897" s="12">
        <v>45929</v>
      </c>
      <c r="G897" t="s">
        <v>2248</v>
      </c>
      <c r="H897" t="s">
        <v>1176</v>
      </c>
      <c r="I897">
        <v>2970</v>
      </c>
      <c r="J897">
        <v>0</v>
      </c>
      <c r="M897">
        <v>1.7899999999999999E-2</v>
      </c>
      <c r="N897">
        <v>53.162999999999997</v>
      </c>
      <c r="O897">
        <v>-53.162999999999997</v>
      </c>
      <c r="P897">
        <v>0</v>
      </c>
    </row>
    <row r="898" spans="1:16" hidden="1" x14ac:dyDescent="0.25">
      <c r="A898" t="s">
        <v>2040</v>
      </c>
      <c r="B898" t="s">
        <v>2041</v>
      </c>
      <c r="C898" t="s">
        <v>1976</v>
      </c>
      <c r="D898" s="11" t="s">
        <v>2250</v>
      </c>
      <c r="E898" s="12">
        <v>45929</v>
      </c>
      <c r="F898" s="12">
        <v>45929</v>
      </c>
      <c r="G898" t="s">
        <v>2248</v>
      </c>
      <c r="H898" t="s">
        <v>1180</v>
      </c>
      <c r="I898">
        <v>3000</v>
      </c>
      <c r="J898">
        <v>0</v>
      </c>
      <c r="M898">
        <v>1.11E-2</v>
      </c>
      <c r="N898">
        <v>33.299999999999997</v>
      </c>
      <c r="O898">
        <v>-33.299999999999997</v>
      </c>
      <c r="P898">
        <v>0</v>
      </c>
    </row>
    <row r="899" spans="1:16" hidden="1" x14ac:dyDescent="0.25">
      <c r="A899" t="s">
        <v>2040</v>
      </c>
      <c r="B899" t="s">
        <v>2041</v>
      </c>
      <c r="C899" t="s">
        <v>1976</v>
      </c>
      <c r="D899" s="11" t="s">
        <v>2250</v>
      </c>
      <c r="E899" s="12">
        <v>45929</v>
      </c>
      <c r="F899" s="12">
        <v>45929</v>
      </c>
      <c r="G899" t="s">
        <v>2248</v>
      </c>
      <c r="H899" t="s">
        <v>1184</v>
      </c>
      <c r="I899">
        <v>3000</v>
      </c>
      <c r="J899">
        <v>0</v>
      </c>
      <c r="M899">
        <v>1.4500000000000001E-2</v>
      </c>
      <c r="N899">
        <v>43.5</v>
      </c>
      <c r="O899">
        <v>-43.5</v>
      </c>
      <c r="P899">
        <v>0</v>
      </c>
    </row>
    <row r="900" spans="1:16" hidden="1" x14ac:dyDescent="0.25">
      <c r="A900" t="s">
        <v>2040</v>
      </c>
      <c r="B900" t="s">
        <v>2041</v>
      </c>
      <c r="C900" t="s">
        <v>1976</v>
      </c>
      <c r="D900" s="11" t="s">
        <v>2250</v>
      </c>
      <c r="E900" s="12">
        <v>45929</v>
      </c>
      <c r="F900" s="12">
        <v>45929</v>
      </c>
      <c r="G900" t="s">
        <v>2248</v>
      </c>
      <c r="H900" t="s">
        <v>1199</v>
      </c>
      <c r="I900">
        <v>199</v>
      </c>
      <c r="J900">
        <v>0</v>
      </c>
      <c r="M900">
        <v>6.6000000000000003E-2</v>
      </c>
      <c r="N900">
        <v>13.134</v>
      </c>
      <c r="O900">
        <v>-13.134</v>
      </c>
      <c r="P900">
        <v>0</v>
      </c>
    </row>
    <row r="901" spans="1:16" hidden="1" x14ac:dyDescent="0.25">
      <c r="A901" t="s">
        <v>2040</v>
      </c>
      <c r="B901" t="s">
        <v>2041</v>
      </c>
      <c r="C901" t="s">
        <v>1976</v>
      </c>
      <c r="D901" s="11" t="s">
        <v>2250</v>
      </c>
      <c r="E901" s="12">
        <v>45929</v>
      </c>
      <c r="F901" s="12">
        <v>45929</v>
      </c>
      <c r="G901" t="s">
        <v>2248</v>
      </c>
      <c r="H901" t="s">
        <v>1213</v>
      </c>
      <c r="I901">
        <v>4000</v>
      </c>
      <c r="J901">
        <v>0</v>
      </c>
      <c r="M901">
        <v>3.2100000000000002E-3</v>
      </c>
      <c r="N901">
        <v>12.84</v>
      </c>
      <c r="O901">
        <v>-12.84</v>
      </c>
      <c r="P901">
        <v>0</v>
      </c>
    </row>
    <row r="902" spans="1:16" hidden="1" x14ac:dyDescent="0.25">
      <c r="A902" t="s">
        <v>2040</v>
      </c>
      <c r="B902" t="s">
        <v>2041</v>
      </c>
      <c r="C902" t="s">
        <v>1976</v>
      </c>
      <c r="D902" s="11" t="s">
        <v>2250</v>
      </c>
      <c r="E902" s="12">
        <v>45929</v>
      </c>
      <c r="F902" s="12">
        <v>45929</v>
      </c>
      <c r="G902" t="s">
        <v>2248</v>
      </c>
      <c r="H902" t="s">
        <v>1318</v>
      </c>
      <c r="I902">
        <v>10000</v>
      </c>
      <c r="J902">
        <v>0</v>
      </c>
      <c r="M902">
        <v>1.08E-3</v>
      </c>
      <c r="N902">
        <v>10.8</v>
      </c>
      <c r="O902">
        <v>-10.8</v>
      </c>
      <c r="P902">
        <v>0</v>
      </c>
    </row>
    <row r="903" spans="1:16" hidden="1" x14ac:dyDescent="0.25">
      <c r="A903" t="s">
        <v>2040</v>
      </c>
      <c r="B903" t="s">
        <v>2041</v>
      </c>
      <c r="C903" t="s">
        <v>1976</v>
      </c>
      <c r="D903" s="11" t="s">
        <v>2250</v>
      </c>
      <c r="E903" s="12">
        <v>45929</v>
      </c>
      <c r="F903" s="12">
        <v>45929</v>
      </c>
      <c r="G903" t="s">
        <v>2248</v>
      </c>
      <c r="H903" t="s">
        <v>1372</v>
      </c>
      <c r="I903">
        <v>5000</v>
      </c>
      <c r="J903">
        <v>0</v>
      </c>
      <c r="M903">
        <v>1.92E-3</v>
      </c>
      <c r="N903">
        <v>9.6</v>
      </c>
      <c r="O903">
        <v>-9.6</v>
      </c>
      <c r="P903">
        <v>0</v>
      </c>
    </row>
    <row r="904" spans="1:16" hidden="1" x14ac:dyDescent="0.25">
      <c r="A904" t="s">
        <v>2040</v>
      </c>
      <c r="B904" t="s">
        <v>2041</v>
      </c>
      <c r="C904" t="s">
        <v>1976</v>
      </c>
      <c r="D904" s="11" t="s">
        <v>2250</v>
      </c>
      <c r="E904" s="12">
        <v>45929</v>
      </c>
      <c r="F904" s="12">
        <v>45929</v>
      </c>
      <c r="G904" t="s">
        <v>2248</v>
      </c>
      <c r="H904" t="s">
        <v>1499</v>
      </c>
      <c r="I904">
        <v>5000</v>
      </c>
      <c r="J904">
        <v>0</v>
      </c>
      <c r="M904">
        <v>3.3400000000000001E-3</v>
      </c>
      <c r="N904">
        <v>16.7</v>
      </c>
      <c r="O904">
        <v>-16.7</v>
      </c>
      <c r="P904">
        <v>0</v>
      </c>
    </row>
    <row r="905" spans="1:16" hidden="1" x14ac:dyDescent="0.25">
      <c r="A905" t="s">
        <v>2040</v>
      </c>
      <c r="B905" t="s">
        <v>2041</v>
      </c>
      <c r="C905" t="s">
        <v>1976</v>
      </c>
      <c r="D905" s="11" t="s">
        <v>2250</v>
      </c>
      <c r="E905" s="12">
        <v>45929</v>
      </c>
      <c r="F905" s="12">
        <v>45929</v>
      </c>
      <c r="G905" t="s">
        <v>2248</v>
      </c>
      <c r="H905" t="s">
        <v>1521</v>
      </c>
      <c r="I905">
        <v>10000</v>
      </c>
      <c r="J905">
        <v>0</v>
      </c>
      <c r="M905">
        <v>1.9699999999999999E-2</v>
      </c>
      <c r="N905">
        <v>197</v>
      </c>
      <c r="O905">
        <v>-197</v>
      </c>
      <c r="P905">
        <v>0</v>
      </c>
    </row>
    <row r="906" spans="1:16" hidden="1" x14ac:dyDescent="0.25">
      <c r="A906" t="s">
        <v>2040</v>
      </c>
      <c r="B906" t="s">
        <v>2041</v>
      </c>
      <c r="C906" t="s">
        <v>1976</v>
      </c>
      <c r="D906" s="11" t="s">
        <v>2250</v>
      </c>
      <c r="E906" s="12">
        <v>45929</v>
      </c>
      <c r="F906" s="12">
        <v>45929</v>
      </c>
      <c r="G906" t="s">
        <v>2248</v>
      </c>
      <c r="H906" t="s">
        <v>1537</v>
      </c>
      <c r="I906">
        <v>10000</v>
      </c>
      <c r="J906">
        <v>0</v>
      </c>
      <c r="M906">
        <v>3.7690000000000001E-2</v>
      </c>
      <c r="N906">
        <v>376.9</v>
      </c>
      <c r="O906">
        <v>-376.9</v>
      </c>
      <c r="P906">
        <v>0</v>
      </c>
    </row>
    <row r="907" spans="1:16" hidden="1" x14ac:dyDescent="0.25">
      <c r="A907" t="s">
        <v>2040</v>
      </c>
      <c r="B907" t="s">
        <v>2041</v>
      </c>
      <c r="C907" t="s">
        <v>1976</v>
      </c>
      <c r="D907" s="11" t="s">
        <v>2250</v>
      </c>
      <c r="E907" s="12">
        <v>45929</v>
      </c>
      <c r="F907" s="12">
        <v>45929</v>
      </c>
      <c r="G907" t="s">
        <v>2248</v>
      </c>
      <c r="H907" t="s">
        <v>1627</v>
      </c>
      <c r="I907">
        <v>3000</v>
      </c>
      <c r="J907">
        <v>0</v>
      </c>
      <c r="M907">
        <v>0.28100000000000003</v>
      </c>
      <c r="N907">
        <v>843</v>
      </c>
      <c r="O907">
        <v>-843</v>
      </c>
      <c r="P907">
        <v>0</v>
      </c>
    </row>
    <row r="908" spans="1:16" hidden="1" x14ac:dyDescent="0.25">
      <c r="A908" t="s">
        <v>2040</v>
      </c>
      <c r="B908" t="s">
        <v>2041</v>
      </c>
      <c r="C908" t="s">
        <v>1976</v>
      </c>
      <c r="D908" s="11" t="s">
        <v>2250</v>
      </c>
      <c r="E908" s="12">
        <v>45929</v>
      </c>
      <c r="F908" s="12">
        <v>45929</v>
      </c>
      <c r="G908" t="s">
        <v>2248</v>
      </c>
      <c r="H908" t="s">
        <v>1714</v>
      </c>
      <c r="I908">
        <v>850</v>
      </c>
      <c r="J908">
        <v>0</v>
      </c>
      <c r="M908">
        <v>0.108</v>
      </c>
      <c r="N908">
        <v>91.8</v>
      </c>
      <c r="O908">
        <v>-91.8</v>
      </c>
      <c r="P908">
        <v>0</v>
      </c>
    </row>
    <row r="909" spans="1:16" hidden="1" x14ac:dyDescent="0.25">
      <c r="A909" t="s">
        <v>2040</v>
      </c>
      <c r="B909" t="s">
        <v>2041</v>
      </c>
      <c r="C909" t="s">
        <v>1976</v>
      </c>
      <c r="D909" s="11" t="s">
        <v>2250</v>
      </c>
      <c r="E909" s="12">
        <v>45929</v>
      </c>
      <c r="F909" s="12">
        <v>45929</v>
      </c>
      <c r="G909" t="s">
        <v>2248</v>
      </c>
      <c r="H909" t="s">
        <v>1770</v>
      </c>
      <c r="I909">
        <v>9500</v>
      </c>
      <c r="J909">
        <v>0</v>
      </c>
      <c r="M909">
        <v>0.10299999999999999</v>
      </c>
      <c r="N909">
        <v>978.5</v>
      </c>
      <c r="O909">
        <v>-978.5</v>
      </c>
      <c r="P909">
        <v>0</v>
      </c>
    </row>
    <row r="910" spans="1:16" hidden="1" x14ac:dyDescent="0.25">
      <c r="A910" t="s">
        <v>2040</v>
      </c>
      <c r="B910" t="s">
        <v>2041</v>
      </c>
      <c r="C910" t="s">
        <v>1976</v>
      </c>
      <c r="D910" s="11" t="s">
        <v>2250</v>
      </c>
      <c r="E910" s="12">
        <v>45929</v>
      </c>
      <c r="F910" s="12">
        <v>45929</v>
      </c>
      <c r="G910" t="s">
        <v>2248</v>
      </c>
      <c r="H910" t="s">
        <v>1857</v>
      </c>
      <c r="I910">
        <v>36</v>
      </c>
      <c r="J910">
        <v>0</v>
      </c>
      <c r="M910">
        <v>15.936999999999999</v>
      </c>
      <c r="N910">
        <v>573.73199999999997</v>
      </c>
      <c r="O910">
        <v>-573.73199999999997</v>
      </c>
      <c r="P910">
        <v>0</v>
      </c>
    </row>
    <row r="911" spans="1:16" hidden="1" x14ac:dyDescent="0.25">
      <c r="A911" t="s">
        <v>2040</v>
      </c>
      <c r="B911" t="s">
        <v>2041</v>
      </c>
      <c r="C911" t="s">
        <v>1976</v>
      </c>
      <c r="D911" s="11" t="s">
        <v>2250</v>
      </c>
      <c r="E911" s="12">
        <v>45929</v>
      </c>
      <c r="F911" s="12">
        <v>45929</v>
      </c>
      <c r="G911" t="s">
        <v>2248</v>
      </c>
      <c r="H911" t="s">
        <v>116</v>
      </c>
      <c r="I911">
        <v>70</v>
      </c>
      <c r="J911">
        <v>0</v>
      </c>
      <c r="M911">
        <v>6.95</v>
      </c>
      <c r="N911">
        <v>486.5</v>
      </c>
      <c r="O911">
        <v>-486.5</v>
      </c>
      <c r="P911">
        <v>0</v>
      </c>
    </row>
    <row r="912" spans="1:16" hidden="1" x14ac:dyDescent="0.25">
      <c r="A912" t="s">
        <v>2040</v>
      </c>
      <c r="B912" t="s">
        <v>2041</v>
      </c>
      <c r="C912" t="s">
        <v>1976</v>
      </c>
      <c r="D912" s="11" t="s">
        <v>2250</v>
      </c>
      <c r="E912" s="12">
        <v>45929</v>
      </c>
      <c r="F912" s="12">
        <v>45929</v>
      </c>
      <c r="G912" t="s">
        <v>2248</v>
      </c>
      <c r="H912" t="s">
        <v>425</v>
      </c>
      <c r="I912">
        <v>487</v>
      </c>
      <c r="J912">
        <v>0</v>
      </c>
      <c r="M912">
        <v>3.4</v>
      </c>
      <c r="N912">
        <v>1655.8</v>
      </c>
      <c r="O912">
        <v>-1655.8</v>
      </c>
      <c r="P912">
        <v>0</v>
      </c>
    </row>
    <row r="913" spans="1:16" hidden="1" x14ac:dyDescent="0.25">
      <c r="A913" t="s">
        <v>2040</v>
      </c>
      <c r="B913" t="s">
        <v>2041</v>
      </c>
      <c r="C913" t="s">
        <v>1976</v>
      </c>
      <c r="D913" s="11" t="s">
        <v>2250</v>
      </c>
      <c r="E913" s="12">
        <v>45929</v>
      </c>
      <c r="F913" s="12">
        <v>45929</v>
      </c>
      <c r="G913" t="s">
        <v>2248</v>
      </c>
      <c r="H913" t="s">
        <v>1154</v>
      </c>
      <c r="I913">
        <v>2500</v>
      </c>
      <c r="J913">
        <v>0</v>
      </c>
      <c r="M913">
        <v>9.7100000000000006E-2</v>
      </c>
      <c r="N913">
        <v>242.75</v>
      </c>
      <c r="O913">
        <v>-242.75</v>
      </c>
      <c r="P913">
        <v>0</v>
      </c>
    </row>
    <row r="914" spans="1:16" hidden="1" x14ac:dyDescent="0.25">
      <c r="A914" t="s">
        <v>2040</v>
      </c>
      <c r="B914" t="s">
        <v>2041</v>
      </c>
      <c r="C914" t="s">
        <v>1976</v>
      </c>
      <c r="D914" s="11" t="s">
        <v>2250</v>
      </c>
      <c r="E914" s="12">
        <v>45929</v>
      </c>
      <c r="F914" s="12">
        <v>45929</v>
      </c>
      <c r="G914" t="s">
        <v>2248</v>
      </c>
      <c r="H914" t="s">
        <v>1726</v>
      </c>
      <c r="I914">
        <v>2000</v>
      </c>
      <c r="J914">
        <v>0</v>
      </c>
      <c r="M914">
        <v>0.88500000000000001</v>
      </c>
      <c r="N914">
        <v>1770</v>
      </c>
      <c r="O914">
        <v>-1770</v>
      </c>
      <c r="P914">
        <v>0</v>
      </c>
    </row>
    <row r="915" spans="1:16" hidden="1" x14ac:dyDescent="0.25">
      <c r="A915" t="s">
        <v>2040</v>
      </c>
      <c r="B915" t="s">
        <v>2041</v>
      </c>
      <c r="C915" t="s">
        <v>1976</v>
      </c>
      <c r="D915" s="11" t="s">
        <v>2250</v>
      </c>
      <c r="E915" s="12">
        <v>45929</v>
      </c>
      <c r="F915" s="12">
        <v>45929</v>
      </c>
      <c r="G915" t="s">
        <v>2248</v>
      </c>
      <c r="H915" t="s">
        <v>1809</v>
      </c>
      <c r="I915">
        <v>100</v>
      </c>
      <c r="J915">
        <v>0</v>
      </c>
      <c r="M915">
        <v>1.1200000000000001</v>
      </c>
      <c r="N915">
        <v>112</v>
      </c>
      <c r="O915">
        <v>-112</v>
      </c>
      <c r="P915">
        <v>0</v>
      </c>
    </row>
    <row r="916" spans="1:16" hidden="1" x14ac:dyDescent="0.25">
      <c r="A916" t="s">
        <v>2040</v>
      </c>
      <c r="B916" t="s">
        <v>2041</v>
      </c>
      <c r="C916" t="s">
        <v>1976</v>
      </c>
      <c r="D916" s="11" t="s">
        <v>2250</v>
      </c>
      <c r="E916" s="12">
        <v>45929</v>
      </c>
      <c r="F916" s="12">
        <v>45929</v>
      </c>
      <c r="G916" t="s">
        <v>2248</v>
      </c>
      <c r="H916" t="s">
        <v>2269</v>
      </c>
      <c r="I916">
        <v>100</v>
      </c>
      <c r="J916">
        <v>0</v>
      </c>
      <c r="M916">
        <v>0.30149999999999999</v>
      </c>
      <c r="N916">
        <v>30.15</v>
      </c>
      <c r="O916">
        <v>-30.15</v>
      </c>
      <c r="P916">
        <v>0</v>
      </c>
    </row>
    <row r="917" spans="1:16" hidden="1" x14ac:dyDescent="0.25">
      <c r="A917" t="s">
        <v>2040</v>
      </c>
      <c r="B917" t="s">
        <v>2041</v>
      </c>
      <c r="C917" t="s">
        <v>1976</v>
      </c>
      <c r="D917" s="11" t="s">
        <v>2250</v>
      </c>
      <c r="E917" s="12">
        <v>45929</v>
      </c>
      <c r="F917" s="12">
        <v>45929</v>
      </c>
      <c r="G917" t="s">
        <v>2248</v>
      </c>
      <c r="H917" t="s">
        <v>1023</v>
      </c>
      <c r="I917">
        <v>100</v>
      </c>
      <c r="J917">
        <v>0</v>
      </c>
      <c r="M917">
        <v>13.6</v>
      </c>
      <c r="N917">
        <v>1360</v>
      </c>
      <c r="O917">
        <v>-1360</v>
      </c>
      <c r="P917">
        <v>0</v>
      </c>
    </row>
    <row r="918" spans="1:16" hidden="1" x14ac:dyDescent="0.25">
      <c r="A918" t="s">
        <v>2040</v>
      </c>
      <c r="B918" t="s">
        <v>2041</v>
      </c>
      <c r="C918" t="s">
        <v>1976</v>
      </c>
      <c r="D918" s="11" t="s">
        <v>2250</v>
      </c>
      <c r="E918" s="12">
        <v>45929</v>
      </c>
      <c r="F918" s="12">
        <v>45929</v>
      </c>
      <c r="G918" t="s">
        <v>2248</v>
      </c>
      <c r="H918" t="s">
        <v>1366</v>
      </c>
      <c r="I918">
        <v>50000</v>
      </c>
      <c r="J918">
        <v>0</v>
      </c>
      <c r="M918">
        <v>4.0000000000000001E-3</v>
      </c>
      <c r="N918">
        <v>200</v>
      </c>
      <c r="O918">
        <v>-200</v>
      </c>
      <c r="P918">
        <v>0</v>
      </c>
    </row>
    <row r="919" spans="1:16" hidden="1" x14ac:dyDescent="0.25">
      <c r="A919" t="s">
        <v>2040</v>
      </c>
      <c r="B919" t="s">
        <v>2041</v>
      </c>
      <c r="C919" t="s">
        <v>1976</v>
      </c>
      <c r="D919" s="11" t="s">
        <v>2250</v>
      </c>
      <c r="E919" s="12">
        <v>45929</v>
      </c>
      <c r="F919" s="12">
        <v>45929</v>
      </c>
      <c r="G919" t="s">
        <v>2248</v>
      </c>
      <c r="H919" t="s">
        <v>1414</v>
      </c>
      <c r="I919">
        <v>5000</v>
      </c>
      <c r="J919">
        <v>0</v>
      </c>
      <c r="M919">
        <v>9.2899999999999996E-3</v>
      </c>
      <c r="N919">
        <v>46.45</v>
      </c>
      <c r="O919">
        <v>-46.45</v>
      </c>
      <c r="P919">
        <v>0</v>
      </c>
    </row>
    <row r="920" spans="1:16" hidden="1" x14ac:dyDescent="0.25">
      <c r="A920" t="s">
        <v>2040</v>
      </c>
      <c r="B920" t="s">
        <v>2041</v>
      </c>
      <c r="C920" t="s">
        <v>1976</v>
      </c>
      <c r="D920" s="11" t="s">
        <v>2250</v>
      </c>
      <c r="E920" s="12">
        <v>45929</v>
      </c>
      <c r="F920" s="12">
        <v>45929</v>
      </c>
      <c r="G920" t="s">
        <v>2248</v>
      </c>
      <c r="H920" t="s">
        <v>10</v>
      </c>
      <c r="I920">
        <v>23</v>
      </c>
      <c r="J920">
        <v>0</v>
      </c>
      <c r="M920">
        <v>0.317</v>
      </c>
      <c r="N920">
        <v>7.2910000000000004</v>
      </c>
      <c r="O920">
        <v>-7.2910000000000004</v>
      </c>
      <c r="P920">
        <v>0</v>
      </c>
    </row>
    <row r="921" spans="1:16" hidden="1" x14ac:dyDescent="0.25">
      <c r="A921" t="s">
        <v>2040</v>
      </c>
      <c r="B921" t="s">
        <v>2041</v>
      </c>
      <c r="C921" t="s">
        <v>1976</v>
      </c>
      <c r="D921" s="11" t="s">
        <v>2250</v>
      </c>
      <c r="E921" s="12">
        <v>45929</v>
      </c>
      <c r="F921" s="12">
        <v>45929</v>
      </c>
      <c r="G921" t="s">
        <v>2248</v>
      </c>
      <c r="H921" t="s">
        <v>2270</v>
      </c>
      <c r="I921">
        <v>385</v>
      </c>
      <c r="J921">
        <v>0</v>
      </c>
      <c r="M921">
        <v>0.58599999999999997</v>
      </c>
      <c r="N921">
        <v>225.61</v>
      </c>
      <c r="O921">
        <v>-225.61</v>
      </c>
      <c r="P921">
        <v>0</v>
      </c>
    </row>
    <row r="922" spans="1:16" hidden="1" x14ac:dyDescent="0.25">
      <c r="A922" t="s">
        <v>2040</v>
      </c>
      <c r="B922" t="s">
        <v>2041</v>
      </c>
      <c r="C922" t="s">
        <v>1976</v>
      </c>
      <c r="D922" s="11" t="s">
        <v>2250</v>
      </c>
      <c r="E922" s="12">
        <v>45929</v>
      </c>
      <c r="F922" s="12">
        <v>45929</v>
      </c>
      <c r="G922" t="s">
        <v>2248</v>
      </c>
      <c r="H922" t="s">
        <v>136</v>
      </c>
      <c r="I922">
        <v>1999</v>
      </c>
      <c r="J922">
        <v>0</v>
      </c>
      <c r="M922">
        <v>0.17100000000000001</v>
      </c>
      <c r="N922">
        <v>341.82900000000001</v>
      </c>
      <c r="O922">
        <v>-341.82900000000001</v>
      </c>
      <c r="P922">
        <v>0</v>
      </c>
    </row>
    <row r="923" spans="1:16" hidden="1" x14ac:dyDescent="0.25">
      <c r="A923" t="s">
        <v>2040</v>
      </c>
      <c r="B923" t="s">
        <v>2041</v>
      </c>
      <c r="C923" t="s">
        <v>1976</v>
      </c>
      <c r="D923" s="11" t="s">
        <v>2250</v>
      </c>
      <c r="E923" s="12">
        <v>45929</v>
      </c>
      <c r="F923" s="12">
        <v>45929</v>
      </c>
      <c r="G923" t="s">
        <v>2248</v>
      </c>
      <c r="H923" t="s">
        <v>148</v>
      </c>
      <c r="I923">
        <v>2500</v>
      </c>
      <c r="J923">
        <v>0</v>
      </c>
      <c r="M923">
        <v>6.2100000000000002E-2</v>
      </c>
      <c r="N923">
        <v>155.25</v>
      </c>
      <c r="O923">
        <v>-155.25</v>
      </c>
      <c r="P923">
        <v>0</v>
      </c>
    </row>
    <row r="924" spans="1:16" hidden="1" x14ac:dyDescent="0.25">
      <c r="A924" t="s">
        <v>2040</v>
      </c>
      <c r="B924" t="s">
        <v>2041</v>
      </c>
      <c r="C924" t="s">
        <v>1976</v>
      </c>
      <c r="D924" s="11" t="s">
        <v>2250</v>
      </c>
      <c r="E924" s="12">
        <v>45929</v>
      </c>
      <c r="F924" s="12">
        <v>45929</v>
      </c>
      <c r="G924" t="s">
        <v>2248</v>
      </c>
      <c r="H924" t="s">
        <v>164</v>
      </c>
      <c r="I924">
        <v>4000</v>
      </c>
      <c r="J924">
        <v>0</v>
      </c>
      <c r="M924">
        <v>5.96E-2</v>
      </c>
      <c r="N924">
        <v>238.4</v>
      </c>
      <c r="O924">
        <v>-238.4</v>
      </c>
      <c r="P924">
        <v>0</v>
      </c>
    </row>
    <row r="925" spans="1:16" hidden="1" x14ac:dyDescent="0.25">
      <c r="A925" t="s">
        <v>2040</v>
      </c>
      <c r="B925" t="s">
        <v>2041</v>
      </c>
      <c r="C925" t="s">
        <v>1976</v>
      </c>
      <c r="D925" s="11" t="s">
        <v>2250</v>
      </c>
      <c r="E925" s="12">
        <v>45929</v>
      </c>
      <c r="F925" s="12">
        <v>45929</v>
      </c>
      <c r="G925" t="s">
        <v>2248</v>
      </c>
      <c r="H925" t="s">
        <v>166</v>
      </c>
      <c r="I925">
        <v>4000</v>
      </c>
      <c r="J925">
        <v>0</v>
      </c>
      <c r="M925">
        <v>0.114</v>
      </c>
      <c r="N925">
        <v>456</v>
      </c>
      <c r="O925">
        <v>-456</v>
      </c>
      <c r="P925">
        <v>0</v>
      </c>
    </row>
    <row r="926" spans="1:16" hidden="1" x14ac:dyDescent="0.25">
      <c r="A926" t="s">
        <v>2040</v>
      </c>
      <c r="B926" t="s">
        <v>2041</v>
      </c>
      <c r="C926" t="s">
        <v>1976</v>
      </c>
      <c r="D926" s="11" t="s">
        <v>2250</v>
      </c>
      <c r="E926" s="12">
        <v>45929</v>
      </c>
      <c r="F926" s="12">
        <v>45929</v>
      </c>
      <c r="G926" t="s">
        <v>2248</v>
      </c>
      <c r="H926" t="s">
        <v>168</v>
      </c>
      <c r="I926">
        <v>4000</v>
      </c>
      <c r="J926">
        <v>0</v>
      </c>
      <c r="M926">
        <v>0.111</v>
      </c>
      <c r="N926">
        <v>444</v>
      </c>
      <c r="O926">
        <v>-444</v>
      </c>
      <c r="P926">
        <v>0</v>
      </c>
    </row>
    <row r="927" spans="1:16" hidden="1" x14ac:dyDescent="0.25">
      <c r="A927" t="s">
        <v>2040</v>
      </c>
      <c r="B927" t="s">
        <v>2041</v>
      </c>
      <c r="C927" t="s">
        <v>1976</v>
      </c>
      <c r="D927" s="11" t="s">
        <v>2250</v>
      </c>
      <c r="E927" s="12">
        <v>45929</v>
      </c>
      <c r="F927" s="12">
        <v>45929</v>
      </c>
      <c r="G927" t="s">
        <v>2248</v>
      </c>
      <c r="H927" t="s">
        <v>174</v>
      </c>
      <c r="I927">
        <v>30</v>
      </c>
      <c r="J927">
        <v>0</v>
      </c>
      <c r="M927">
        <v>7.64</v>
      </c>
      <c r="N927">
        <v>229.2</v>
      </c>
      <c r="O927">
        <v>-229.2</v>
      </c>
      <c r="P927">
        <v>0</v>
      </c>
    </row>
    <row r="928" spans="1:16" hidden="1" x14ac:dyDescent="0.25">
      <c r="A928" t="s">
        <v>2040</v>
      </c>
      <c r="B928" t="s">
        <v>2041</v>
      </c>
      <c r="C928" t="s">
        <v>1976</v>
      </c>
      <c r="D928" s="11" t="s">
        <v>2250</v>
      </c>
      <c r="E928" s="12">
        <v>45929</v>
      </c>
      <c r="F928" s="12">
        <v>45929</v>
      </c>
      <c r="G928" t="s">
        <v>2248</v>
      </c>
      <c r="H928" t="s">
        <v>178</v>
      </c>
      <c r="I928">
        <v>492</v>
      </c>
      <c r="J928">
        <v>0</v>
      </c>
      <c r="M928">
        <v>0.59</v>
      </c>
      <c r="N928">
        <v>290.27999999999997</v>
      </c>
      <c r="O928">
        <v>-290.27999999999997</v>
      </c>
      <c r="P928">
        <v>0</v>
      </c>
    </row>
    <row r="929" spans="1:16" hidden="1" x14ac:dyDescent="0.25">
      <c r="A929" t="s">
        <v>2040</v>
      </c>
      <c r="B929" t="s">
        <v>2041</v>
      </c>
      <c r="C929" t="s">
        <v>1976</v>
      </c>
      <c r="D929" s="11" t="s">
        <v>2250</v>
      </c>
      <c r="E929" s="12">
        <v>45929</v>
      </c>
      <c r="F929" s="12">
        <v>45929</v>
      </c>
      <c r="G929" t="s">
        <v>2248</v>
      </c>
      <c r="H929" t="s">
        <v>264</v>
      </c>
      <c r="I929">
        <v>500</v>
      </c>
      <c r="J929">
        <v>0</v>
      </c>
      <c r="M929">
        <v>0.35720000000000002</v>
      </c>
      <c r="N929">
        <v>178.6</v>
      </c>
      <c r="O929">
        <v>-178.6</v>
      </c>
      <c r="P929">
        <v>0</v>
      </c>
    </row>
    <row r="930" spans="1:16" hidden="1" x14ac:dyDescent="0.25">
      <c r="A930" t="s">
        <v>2040</v>
      </c>
      <c r="B930" t="s">
        <v>2041</v>
      </c>
      <c r="C930" t="s">
        <v>1976</v>
      </c>
      <c r="D930" s="11" t="s">
        <v>2250</v>
      </c>
      <c r="E930" s="12">
        <v>45929</v>
      </c>
      <c r="F930" s="12">
        <v>45929</v>
      </c>
      <c r="G930" t="s">
        <v>2248</v>
      </c>
      <c r="H930" t="s">
        <v>290</v>
      </c>
      <c r="I930">
        <v>1000</v>
      </c>
      <c r="J930">
        <v>0</v>
      </c>
      <c r="M930">
        <v>0.12</v>
      </c>
      <c r="N930">
        <v>120</v>
      </c>
      <c r="O930">
        <v>-120</v>
      </c>
      <c r="P930">
        <v>0</v>
      </c>
    </row>
    <row r="931" spans="1:16" hidden="1" x14ac:dyDescent="0.25">
      <c r="A931" t="s">
        <v>2040</v>
      </c>
      <c r="B931" t="s">
        <v>2041</v>
      </c>
      <c r="C931" t="s">
        <v>1976</v>
      </c>
      <c r="D931" s="11" t="s">
        <v>2250</v>
      </c>
      <c r="E931" s="12">
        <v>45929</v>
      </c>
      <c r="F931" s="12">
        <v>45929</v>
      </c>
      <c r="G931" t="s">
        <v>2248</v>
      </c>
      <c r="H931" t="s">
        <v>323</v>
      </c>
      <c r="I931">
        <v>2000</v>
      </c>
      <c r="J931">
        <v>0</v>
      </c>
      <c r="M931">
        <v>0.09</v>
      </c>
      <c r="N931">
        <v>180</v>
      </c>
      <c r="O931">
        <v>-180</v>
      </c>
      <c r="P931">
        <v>0</v>
      </c>
    </row>
    <row r="932" spans="1:16" hidden="1" x14ac:dyDescent="0.25">
      <c r="A932" t="s">
        <v>2040</v>
      </c>
      <c r="B932" t="s">
        <v>2041</v>
      </c>
      <c r="C932" t="s">
        <v>1976</v>
      </c>
      <c r="D932" s="11" t="s">
        <v>2250</v>
      </c>
      <c r="E932" s="12">
        <v>45929</v>
      </c>
      <c r="F932" s="12">
        <v>45929</v>
      </c>
      <c r="G932" t="s">
        <v>2248</v>
      </c>
      <c r="H932" t="s">
        <v>377</v>
      </c>
      <c r="I932">
        <v>100</v>
      </c>
      <c r="J932">
        <v>0</v>
      </c>
      <c r="M932">
        <v>1.0309999999999999</v>
      </c>
      <c r="N932">
        <v>103.1</v>
      </c>
      <c r="O932">
        <v>-103.1</v>
      </c>
      <c r="P932">
        <v>0</v>
      </c>
    </row>
    <row r="933" spans="1:16" hidden="1" x14ac:dyDescent="0.25">
      <c r="A933" t="s">
        <v>2040</v>
      </c>
      <c r="B933" t="s">
        <v>2041</v>
      </c>
      <c r="C933" t="s">
        <v>1976</v>
      </c>
      <c r="D933" s="11" t="s">
        <v>2250</v>
      </c>
      <c r="E933" s="12">
        <v>45929</v>
      </c>
      <c r="F933" s="12">
        <v>45929</v>
      </c>
      <c r="G933" t="s">
        <v>2248</v>
      </c>
      <c r="H933" t="s">
        <v>386</v>
      </c>
      <c r="I933">
        <v>1000</v>
      </c>
      <c r="J933">
        <v>0</v>
      </c>
      <c r="M933">
        <v>0.1053</v>
      </c>
      <c r="N933">
        <v>105.3</v>
      </c>
      <c r="O933">
        <v>-105.3</v>
      </c>
      <c r="P933">
        <v>0</v>
      </c>
    </row>
    <row r="934" spans="1:16" hidden="1" x14ac:dyDescent="0.25">
      <c r="A934" t="s">
        <v>2040</v>
      </c>
      <c r="B934" t="s">
        <v>2041</v>
      </c>
      <c r="C934" t="s">
        <v>1976</v>
      </c>
      <c r="D934" s="11" t="s">
        <v>2250</v>
      </c>
      <c r="E934" s="12">
        <v>45929</v>
      </c>
      <c r="F934" s="12">
        <v>45929</v>
      </c>
      <c r="G934" t="s">
        <v>2248</v>
      </c>
      <c r="H934" t="s">
        <v>413</v>
      </c>
      <c r="I934">
        <v>2500</v>
      </c>
      <c r="J934">
        <v>0</v>
      </c>
      <c r="M934">
        <v>0.13350000000000001</v>
      </c>
      <c r="N934">
        <v>333.75</v>
      </c>
      <c r="O934">
        <v>-333.75</v>
      </c>
      <c r="P934">
        <v>0</v>
      </c>
    </row>
    <row r="935" spans="1:16" hidden="1" x14ac:dyDescent="0.25">
      <c r="A935" t="s">
        <v>2040</v>
      </c>
      <c r="B935" t="s">
        <v>2041</v>
      </c>
      <c r="C935" t="s">
        <v>1976</v>
      </c>
      <c r="D935" s="11" t="s">
        <v>2250</v>
      </c>
      <c r="E935" s="12">
        <v>45929</v>
      </c>
      <c r="F935" s="12">
        <v>45929</v>
      </c>
      <c r="G935" t="s">
        <v>2248</v>
      </c>
      <c r="H935" t="s">
        <v>415</v>
      </c>
      <c r="I935">
        <v>200</v>
      </c>
      <c r="J935">
        <v>0</v>
      </c>
      <c r="M935">
        <v>0.2616</v>
      </c>
      <c r="N935">
        <v>52.32</v>
      </c>
      <c r="O935">
        <v>-52.32</v>
      </c>
      <c r="P935">
        <v>0</v>
      </c>
    </row>
    <row r="936" spans="1:16" hidden="1" x14ac:dyDescent="0.25">
      <c r="A936" t="s">
        <v>2040</v>
      </c>
      <c r="B936" t="s">
        <v>2041</v>
      </c>
      <c r="C936" t="s">
        <v>1976</v>
      </c>
      <c r="D936" s="11" t="s">
        <v>2250</v>
      </c>
      <c r="E936" s="12">
        <v>45929</v>
      </c>
      <c r="F936" s="12">
        <v>45929</v>
      </c>
      <c r="G936" t="s">
        <v>2248</v>
      </c>
      <c r="H936" t="s">
        <v>2271</v>
      </c>
      <c r="I936">
        <v>500</v>
      </c>
      <c r="J936">
        <v>0</v>
      </c>
      <c r="M936">
        <v>0.36099999999999999</v>
      </c>
      <c r="N936">
        <v>180.5</v>
      </c>
      <c r="O936">
        <v>-180.5</v>
      </c>
      <c r="P936">
        <v>0</v>
      </c>
    </row>
    <row r="937" spans="1:16" hidden="1" x14ac:dyDescent="0.25">
      <c r="A937" t="s">
        <v>2040</v>
      </c>
      <c r="B937" t="s">
        <v>2041</v>
      </c>
      <c r="C937" t="s">
        <v>1976</v>
      </c>
      <c r="D937" s="11" t="s">
        <v>2250</v>
      </c>
      <c r="E937" s="12">
        <v>45929</v>
      </c>
      <c r="F937" s="12">
        <v>45929</v>
      </c>
      <c r="G937" t="s">
        <v>2248</v>
      </c>
      <c r="H937" t="s">
        <v>451</v>
      </c>
      <c r="I937">
        <v>200</v>
      </c>
      <c r="J937">
        <v>0</v>
      </c>
      <c r="M937">
        <v>0.65</v>
      </c>
      <c r="N937">
        <v>130</v>
      </c>
      <c r="O937">
        <v>-130</v>
      </c>
      <c r="P937">
        <v>0</v>
      </c>
    </row>
    <row r="938" spans="1:16" hidden="1" x14ac:dyDescent="0.25">
      <c r="A938" t="s">
        <v>2040</v>
      </c>
      <c r="B938" t="s">
        <v>2041</v>
      </c>
      <c r="C938" t="s">
        <v>1976</v>
      </c>
      <c r="D938" s="11" t="s">
        <v>2250</v>
      </c>
      <c r="E938" s="12">
        <v>45929</v>
      </c>
      <c r="F938" s="12">
        <v>45929</v>
      </c>
      <c r="G938" t="s">
        <v>2248</v>
      </c>
      <c r="H938" t="s">
        <v>2129</v>
      </c>
      <c r="I938">
        <v>139</v>
      </c>
      <c r="J938">
        <v>0</v>
      </c>
      <c r="M938">
        <v>4.3</v>
      </c>
      <c r="N938">
        <v>597.70000000000005</v>
      </c>
      <c r="O938">
        <v>-597.70000000000005</v>
      </c>
      <c r="P938">
        <v>0</v>
      </c>
    </row>
    <row r="939" spans="1:16" hidden="1" x14ac:dyDescent="0.25">
      <c r="A939" t="s">
        <v>2040</v>
      </c>
      <c r="B939" t="s">
        <v>2041</v>
      </c>
      <c r="C939" t="s">
        <v>1976</v>
      </c>
      <c r="D939" s="11" t="s">
        <v>2250</v>
      </c>
      <c r="E939" s="12">
        <v>45929</v>
      </c>
      <c r="F939" s="12">
        <v>45929</v>
      </c>
      <c r="G939" t="s">
        <v>2248</v>
      </c>
      <c r="H939" t="s">
        <v>2127</v>
      </c>
      <c r="I939">
        <v>139</v>
      </c>
      <c r="J939">
        <v>0</v>
      </c>
      <c r="M939">
        <v>6.36</v>
      </c>
      <c r="N939">
        <v>884.04</v>
      </c>
      <c r="O939">
        <v>-884.04</v>
      </c>
      <c r="P939">
        <v>0</v>
      </c>
    </row>
    <row r="940" spans="1:16" hidden="1" x14ac:dyDescent="0.25">
      <c r="A940" t="s">
        <v>2040</v>
      </c>
      <c r="B940" t="s">
        <v>2041</v>
      </c>
      <c r="C940" t="s">
        <v>1976</v>
      </c>
      <c r="D940" s="11" t="s">
        <v>2250</v>
      </c>
      <c r="E940" s="12">
        <v>45929</v>
      </c>
      <c r="F940" s="12">
        <v>45929</v>
      </c>
      <c r="G940" t="s">
        <v>2248</v>
      </c>
      <c r="H940" t="s">
        <v>545</v>
      </c>
      <c r="I940">
        <v>200</v>
      </c>
      <c r="J940">
        <v>0</v>
      </c>
      <c r="M940">
        <v>1.046</v>
      </c>
      <c r="N940">
        <v>209.2</v>
      </c>
      <c r="O940">
        <v>-209.2</v>
      </c>
      <c r="P940">
        <v>0</v>
      </c>
    </row>
    <row r="941" spans="1:16" hidden="1" x14ac:dyDescent="0.25">
      <c r="A941" t="s">
        <v>2040</v>
      </c>
      <c r="B941" t="s">
        <v>2041</v>
      </c>
      <c r="C941" t="s">
        <v>1976</v>
      </c>
      <c r="D941" s="11" t="s">
        <v>2250</v>
      </c>
      <c r="E941" s="12">
        <v>45929</v>
      </c>
      <c r="F941" s="12">
        <v>45929</v>
      </c>
      <c r="G941" t="s">
        <v>2248</v>
      </c>
      <c r="H941" t="s">
        <v>571</v>
      </c>
      <c r="I941">
        <v>4000</v>
      </c>
      <c r="J941">
        <v>0</v>
      </c>
      <c r="M941">
        <v>0.05</v>
      </c>
      <c r="N941">
        <v>200</v>
      </c>
      <c r="O941">
        <v>-200</v>
      </c>
      <c r="P941">
        <v>0</v>
      </c>
    </row>
    <row r="942" spans="1:16" hidden="1" x14ac:dyDescent="0.25">
      <c r="A942" t="s">
        <v>2040</v>
      </c>
      <c r="B942" t="s">
        <v>2041</v>
      </c>
      <c r="C942" t="s">
        <v>1976</v>
      </c>
      <c r="D942" s="11" t="s">
        <v>2250</v>
      </c>
      <c r="E942" s="12">
        <v>45929</v>
      </c>
      <c r="F942" s="12">
        <v>45929</v>
      </c>
      <c r="G942" t="s">
        <v>2248</v>
      </c>
      <c r="H942" t="s">
        <v>585</v>
      </c>
      <c r="I942">
        <v>10000</v>
      </c>
      <c r="J942">
        <v>0</v>
      </c>
      <c r="M942">
        <v>2.01E-2</v>
      </c>
      <c r="N942">
        <v>201</v>
      </c>
      <c r="O942">
        <v>-201</v>
      </c>
      <c r="P942">
        <v>0</v>
      </c>
    </row>
    <row r="943" spans="1:16" hidden="1" x14ac:dyDescent="0.25">
      <c r="A943" t="s">
        <v>2040</v>
      </c>
      <c r="B943" t="s">
        <v>2041</v>
      </c>
      <c r="C943" t="s">
        <v>1976</v>
      </c>
      <c r="D943" s="11" t="s">
        <v>2250</v>
      </c>
      <c r="E943" s="12">
        <v>45929</v>
      </c>
      <c r="F943" s="12">
        <v>45929</v>
      </c>
      <c r="G943" t="s">
        <v>2248</v>
      </c>
      <c r="H943" t="s">
        <v>634</v>
      </c>
      <c r="I943">
        <v>4000</v>
      </c>
      <c r="J943">
        <v>0</v>
      </c>
      <c r="M943">
        <v>1.0659999999999999E-2</v>
      </c>
      <c r="N943">
        <v>42.64</v>
      </c>
      <c r="O943">
        <v>-42.64</v>
      </c>
      <c r="P943">
        <v>0</v>
      </c>
    </row>
    <row r="944" spans="1:16" hidden="1" x14ac:dyDescent="0.25">
      <c r="A944" t="s">
        <v>2040</v>
      </c>
      <c r="B944" t="s">
        <v>2041</v>
      </c>
      <c r="C944" t="s">
        <v>1976</v>
      </c>
      <c r="D944" s="11" t="s">
        <v>2250</v>
      </c>
      <c r="E944" s="12">
        <v>45929</v>
      </c>
      <c r="F944" s="12">
        <v>45929</v>
      </c>
      <c r="G944" t="s">
        <v>2248</v>
      </c>
      <c r="H944" t="s">
        <v>692</v>
      </c>
      <c r="I944">
        <v>5000</v>
      </c>
      <c r="J944">
        <v>0</v>
      </c>
      <c r="M944">
        <v>8.5000000000000006E-3</v>
      </c>
      <c r="N944">
        <v>42.5</v>
      </c>
      <c r="O944">
        <v>-42.5</v>
      </c>
      <c r="P944">
        <v>0</v>
      </c>
    </row>
    <row r="945" spans="1:16" hidden="1" x14ac:dyDescent="0.25">
      <c r="A945" t="s">
        <v>2040</v>
      </c>
      <c r="B945" t="s">
        <v>2041</v>
      </c>
      <c r="C945" t="s">
        <v>1976</v>
      </c>
      <c r="D945" s="11" t="s">
        <v>2250</v>
      </c>
      <c r="E945" s="12">
        <v>45929</v>
      </c>
      <c r="F945" s="12">
        <v>45929</v>
      </c>
      <c r="G945" t="s">
        <v>2248</v>
      </c>
      <c r="H945" t="s">
        <v>697</v>
      </c>
      <c r="I945">
        <v>4999</v>
      </c>
      <c r="J945">
        <v>0</v>
      </c>
      <c r="M945">
        <v>1.2999999999999999E-3</v>
      </c>
      <c r="N945">
        <v>6.4987000000000004</v>
      </c>
      <c r="O945">
        <v>-6.4987000000000004</v>
      </c>
      <c r="P945">
        <v>0</v>
      </c>
    </row>
    <row r="946" spans="1:16" hidden="1" x14ac:dyDescent="0.25">
      <c r="A946" t="s">
        <v>2040</v>
      </c>
      <c r="B946" t="s">
        <v>2041</v>
      </c>
      <c r="C946" t="s">
        <v>1976</v>
      </c>
      <c r="D946" s="11" t="s">
        <v>2250</v>
      </c>
      <c r="E946" s="12">
        <v>45929</v>
      </c>
      <c r="F946" s="12">
        <v>45929</v>
      </c>
      <c r="G946" t="s">
        <v>2248</v>
      </c>
      <c r="H946" t="s">
        <v>834</v>
      </c>
      <c r="I946">
        <v>5000</v>
      </c>
      <c r="J946">
        <v>0</v>
      </c>
      <c r="M946">
        <v>0.1</v>
      </c>
      <c r="N946">
        <v>500</v>
      </c>
      <c r="O946">
        <v>-500</v>
      </c>
      <c r="P946">
        <v>0</v>
      </c>
    </row>
    <row r="947" spans="1:16" hidden="1" x14ac:dyDescent="0.25">
      <c r="A947" t="s">
        <v>2040</v>
      </c>
      <c r="B947" t="s">
        <v>2041</v>
      </c>
      <c r="C947" t="s">
        <v>1976</v>
      </c>
      <c r="D947" s="11" t="s">
        <v>2250</v>
      </c>
      <c r="E947" s="12">
        <v>45929</v>
      </c>
      <c r="F947" s="12">
        <v>45929</v>
      </c>
      <c r="G947" t="s">
        <v>2248</v>
      </c>
      <c r="H947" t="s">
        <v>838</v>
      </c>
      <c r="I947">
        <v>4387</v>
      </c>
      <c r="J947">
        <v>0</v>
      </c>
      <c r="M947">
        <v>0.10262</v>
      </c>
      <c r="N947">
        <v>450.19394</v>
      </c>
      <c r="O947">
        <v>-450.19394</v>
      </c>
      <c r="P947">
        <v>0</v>
      </c>
    </row>
    <row r="948" spans="1:16" hidden="1" x14ac:dyDescent="0.25">
      <c r="A948" t="s">
        <v>2040</v>
      </c>
      <c r="B948" t="s">
        <v>2041</v>
      </c>
      <c r="C948" t="s">
        <v>1976</v>
      </c>
      <c r="D948" s="11" t="s">
        <v>2250</v>
      </c>
      <c r="E948" s="12">
        <v>45929</v>
      </c>
      <c r="F948" s="12">
        <v>45929</v>
      </c>
      <c r="G948" t="s">
        <v>2248</v>
      </c>
      <c r="H948" t="s">
        <v>900</v>
      </c>
      <c r="I948">
        <v>1000</v>
      </c>
      <c r="J948">
        <v>0</v>
      </c>
      <c r="M948">
        <v>4.32</v>
      </c>
      <c r="N948">
        <v>4320</v>
      </c>
      <c r="O948">
        <v>-4320</v>
      </c>
      <c r="P948">
        <v>0</v>
      </c>
    </row>
    <row r="949" spans="1:16" hidden="1" x14ac:dyDescent="0.25">
      <c r="A949" t="s">
        <v>2040</v>
      </c>
      <c r="B949" t="s">
        <v>2041</v>
      </c>
      <c r="C949" t="s">
        <v>1976</v>
      </c>
      <c r="D949" s="11" t="s">
        <v>2250</v>
      </c>
      <c r="E949" s="12">
        <v>45929</v>
      </c>
      <c r="F949" s="12">
        <v>45929</v>
      </c>
      <c r="G949" t="s">
        <v>2248</v>
      </c>
      <c r="H949" t="s">
        <v>902</v>
      </c>
      <c r="I949">
        <v>4920</v>
      </c>
      <c r="J949">
        <v>0</v>
      </c>
      <c r="M949">
        <v>0.14774999999999999</v>
      </c>
      <c r="N949">
        <v>726.93</v>
      </c>
      <c r="O949">
        <v>-726.93</v>
      </c>
      <c r="P949">
        <v>0</v>
      </c>
    </row>
    <row r="950" spans="1:16" hidden="1" x14ac:dyDescent="0.25">
      <c r="A950" t="s">
        <v>2040</v>
      </c>
      <c r="B950" t="s">
        <v>2041</v>
      </c>
      <c r="C950" t="s">
        <v>1976</v>
      </c>
      <c r="D950" s="11" t="s">
        <v>2250</v>
      </c>
      <c r="E950" s="12">
        <v>45929</v>
      </c>
      <c r="F950" s="12">
        <v>45929</v>
      </c>
      <c r="G950" t="s">
        <v>2248</v>
      </c>
      <c r="H950" t="s">
        <v>943</v>
      </c>
      <c r="I950">
        <v>200</v>
      </c>
      <c r="J950">
        <v>0</v>
      </c>
      <c r="M950">
        <v>4.1186999999999996</v>
      </c>
      <c r="N950">
        <v>823.74</v>
      </c>
      <c r="O950">
        <v>-823.74</v>
      </c>
      <c r="P950">
        <v>0</v>
      </c>
    </row>
    <row r="951" spans="1:16" hidden="1" x14ac:dyDescent="0.25">
      <c r="A951" t="s">
        <v>2040</v>
      </c>
      <c r="B951" t="s">
        <v>2041</v>
      </c>
      <c r="C951" t="s">
        <v>1976</v>
      </c>
      <c r="D951" s="11" t="s">
        <v>2250</v>
      </c>
      <c r="E951" s="12">
        <v>45929</v>
      </c>
      <c r="F951" s="12">
        <v>45929</v>
      </c>
      <c r="G951" t="s">
        <v>2248</v>
      </c>
      <c r="H951" t="s">
        <v>951</v>
      </c>
      <c r="I951">
        <v>227</v>
      </c>
      <c r="J951">
        <v>0</v>
      </c>
      <c r="M951">
        <v>1.6750400000000001</v>
      </c>
      <c r="N951">
        <v>380.23408000000001</v>
      </c>
      <c r="O951">
        <v>-380.23408000000001</v>
      </c>
      <c r="P951">
        <v>0</v>
      </c>
    </row>
    <row r="952" spans="1:16" hidden="1" x14ac:dyDescent="0.25">
      <c r="A952" t="s">
        <v>2040</v>
      </c>
      <c r="B952" t="s">
        <v>2041</v>
      </c>
      <c r="C952" t="s">
        <v>1976</v>
      </c>
      <c r="D952" s="11" t="s">
        <v>2250</v>
      </c>
      <c r="E952" s="12">
        <v>45929</v>
      </c>
      <c r="F952" s="12">
        <v>45929</v>
      </c>
      <c r="G952" t="s">
        <v>2248</v>
      </c>
      <c r="H952" t="s">
        <v>955</v>
      </c>
      <c r="I952">
        <v>4780</v>
      </c>
      <c r="J952">
        <v>0</v>
      </c>
      <c r="M952">
        <v>0.56499999999999995</v>
      </c>
      <c r="N952">
        <v>2700.7</v>
      </c>
      <c r="O952">
        <v>-2700.7</v>
      </c>
      <c r="P952">
        <v>0</v>
      </c>
    </row>
    <row r="953" spans="1:16" hidden="1" x14ac:dyDescent="0.25">
      <c r="A953" t="s">
        <v>2040</v>
      </c>
      <c r="B953" t="s">
        <v>2041</v>
      </c>
      <c r="C953" t="s">
        <v>1976</v>
      </c>
      <c r="D953" s="11" t="s">
        <v>2250</v>
      </c>
      <c r="E953" s="12">
        <v>45929</v>
      </c>
      <c r="F953" s="12">
        <v>45929</v>
      </c>
      <c r="G953" t="s">
        <v>2248</v>
      </c>
      <c r="H953" t="s">
        <v>975</v>
      </c>
      <c r="I953">
        <v>772</v>
      </c>
      <c r="J953">
        <v>0</v>
      </c>
      <c r="M953">
        <v>0.90349999999999997</v>
      </c>
      <c r="N953">
        <v>697.50199999999995</v>
      </c>
      <c r="O953">
        <v>-697.50199999999995</v>
      </c>
      <c r="P953">
        <v>0</v>
      </c>
    </row>
    <row r="954" spans="1:16" hidden="1" x14ac:dyDescent="0.25">
      <c r="A954" t="s">
        <v>2040</v>
      </c>
      <c r="B954" t="s">
        <v>2041</v>
      </c>
      <c r="C954" t="s">
        <v>1976</v>
      </c>
      <c r="D954" s="11" t="s">
        <v>2250</v>
      </c>
      <c r="E954" s="12">
        <v>45929</v>
      </c>
      <c r="F954" s="12">
        <v>45929</v>
      </c>
      <c r="G954" t="s">
        <v>2248</v>
      </c>
      <c r="H954" t="s">
        <v>1045</v>
      </c>
      <c r="I954">
        <v>3700</v>
      </c>
      <c r="J954">
        <v>0</v>
      </c>
      <c r="M954">
        <v>6.7659999999999998E-2</v>
      </c>
      <c r="N954">
        <v>250.34200000000001</v>
      </c>
      <c r="O954">
        <v>-250.34200000000001</v>
      </c>
      <c r="P954">
        <v>0</v>
      </c>
    </row>
    <row r="955" spans="1:16" hidden="1" x14ac:dyDescent="0.25">
      <c r="A955" t="s">
        <v>2040</v>
      </c>
      <c r="B955" t="s">
        <v>2041</v>
      </c>
      <c r="C955" t="s">
        <v>1976</v>
      </c>
      <c r="D955" s="11" t="s">
        <v>2250</v>
      </c>
      <c r="E955" s="12">
        <v>45929</v>
      </c>
      <c r="F955" s="12">
        <v>45929</v>
      </c>
      <c r="G955" t="s">
        <v>2248</v>
      </c>
      <c r="H955" t="s">
        <v>1051</v>
      </c>
      <c r="I955">
        <v>200</v>
      </c>
      <c r="J955">
        <v>0</v>
      </c>
      <c r="M955">
        <v>1.7330000000000001</v>
      </c>
      <c r="N955">
        <v>346.6</v>
      </c>
      <c r="O955">
        <v>-346.6</v>
      </c>
      <c r="P955">
        <v>0</v>
      </c>
    </row>
    <row r="956" spans="1:16" hidden="1" x14ac:dyDescent="0.25">
      <c r="A956" t="s">
        <v>2040</v>
      </c>
      <c r="B956" t="s">
        <v>2041</v>
      </c>
      <c r="C956" t="s">
        <v>1976</v>
      </c>
      <c r="D956" s="11" t="s">
        <v>2250</v>
      </c>
      <c r="E956" s="12">
        <v>45929</v>
      </c>
      <c r="F956" s="12">
        <v>45929</v>
      </c>
      <c r="G956" t="s">
        <v>2248</v>
      </c>
      <c r="H956" t="s">
        <v>1162</v>
      </c>
      <c r="I956">
        <v>216</v>
      </c>
      <c r="J956">
        <v>0</v>
      </c>
      <c r="M956">
        <v>2.35</v>
      </c>
      <c r="N956">
        <v>507.6</v>
      </c>
      <c r="O956">
        <v>-507.6</v>
      </c>
      <c r="P956">
        <v>0</v>
      </c>
    </row>
    <row r="957" spans="1:16" hidden="1" x14ac:dyDescent="0.25">
      <c r="A957" t="s">
        <v>2040</v>
      </c>
      <c r="B957" t="s">
        <v>2041</v>
      </c>
      <c r="C957" t="s">
        <v>1976</v>
      </c>
      <c r="D957" s="11" t="s">
        <v>2250</v>
      </c>
      <c r="E957" s="12">
        <v>45929</v>
      </c>
      <c r="F957" s="12">
        <v>45929</v>
      </c>
      <c r="G957" t="s">
        <v>2248</v>
      </c>
      <c r="H957" t="s">
        <v>1174</v>
      </c>
      <c r="I957">
        <v>10000</v>
      </c>
      <c r="J957">
        <v>0</v>
      </c>
      <c r="M957">
        <v>2.01E-2</v>
      </c>
      <c r="N957">
        <v>201</v>
      </c>
      <c r="O957">
        <v>-201</v>
      </c>
      <c r="P957">
        <v>0</v>
      </c>
    </row>
    <row r="958" spans="1:16" hidden="1" x14ac:dyDescent="0.25">
      <c r="A958" t="s">
        <v>2040</v>
      </c>
      <c r="B958" t="s">
        <v>2041</v>
      </c>
      <c r="C958" t="s">
        <v>1976</v>
      </c>
      <c r="D958" s="11" t="s">
        <v>2250</v>
      </c>
      <c r="E958" s="12">
        <v>45929</v>
      </c>
      <c r="F958" s="12">
        <v>45929</v>
      </c>
      <c r="G958" t="s">
        <v>2248</v>
      </c>
      <c r="H958" t="s">
        <v>1178</v>
      </c>
      <c r="I958">
        <v>200</v>
      </c>
      <c r="J958">
        <v>0</v>
      </c>
      <c r="M958">
        <v>5.67E-2</v>
      </c>
      <c r="N958">
        <v>11.34</v>
      </c>
      <c r="O958">
        <v>-11.34</v>
      </c>
      <c r="P958">
        <v>0</v>
      </c>
    </row>
    <row r="959" spans="1:16" hidden="1" x14ac:dyDescent="0.25">
      <c r="A959" t="s">
        <v>2040</v>
      </c>
      <c r="B959" t="s">
        <v>2041</v>
      </c>
      <c r="C959" t="s">
        <v>1976</v>
      </c>
      <c r="D959" s="11" t="s">
        <v>2250</v>
      </c>
      <c r="E959" s="12">
        <v>45929</v>
      </c>
      <c r="F959" s="12">
        <v>45929</v>
      </c>
      <c r="G959" t="s">
        <v>2248</v>
      </c>
      <c r="H959" t="s">
        <v>1217</v>
      </c>
      <c r="I959">
        <v>1285</v>
      </c>
      <c r="J959">
        <v>0</v>
      </c>
      <c r="M959">
        <v>0.26</v>
      </c>
      <c r="N959">
        <v>334.1</v>
      </c>
      <c r="O959">
        <v>-334.1</v>
      </c>
      <c r="P959">
        <v>0</v>
      </c>
    </row>
    <row r="960" spans="1:16" hidden="1" x14ac:dyDescent="0.25">
      <c r="A960" t="s">
        <v>2040</v>
      </c>
      <c r="B960" t="s">
        <v>2041</v>
      </c>
      <c r="C960" t="s">
        <v>1976</v>
      </c>
      <c r="D960" s="11" t="s">
        <v>2250</v>
      </c>
      <c r="E960" s="12">
        <v>45929</v>
      </c>
      <c r="F960" s="12">
        <v>45929</v>
      </c>
      <c r="G960" t="s">
        <v>2248</v>
      </c>
      <c r="H960" t="s">
        <v>1237</v>
      </c>
      <c r="I960">
        <v>1000</v>
      </c>
      <c r="J960">
        <v>0</v>
      </c>
      <c r="M960">
        <v>0.51200000000000001</v>
      </c>
      <c r="N960">
        <v>512</v>
      </c>
      <c r="O960">
        <v>-512</v>
      </c>
      <c r="P960">
        <v>0</v>
      </c>
    </row>
    <row r="961" spans="1:16" hidden="1" x14ac:dyDescent="0.25">
      <c r="A961" t="s">
        <v>2040</v>
      </c>
      <c r="B961" t="s">
        <v>2041</v>
      </c>
      <c r="C961" t="s">
        <v>1976</v>
      </c>
      <c r="D961" s="11" t="s">
        <v>2250</v>
      </c>
      <c r="E961" s="12">
        <v>45929</v>
      </c>
      <c r="F961" s="12">
        <v>45929</v>
      </c>
      <c r="G961" t="s">
        <v>2248</v>
      </c>
      <c r="H961" t="s">
        <v>1255</v>
      </c>
      <c r="I961">
        <v>100</v>
      </c>
      <c r="J961">
        <v>0</v>
      </c>
      <c r="M961">
        <v>1.2</v>
      </c>
      <c r="N961">
        <v>120</v>
      </c>
      <c r="O961">
        <v>-120</v>
      </c>
      <c r="P961">
        <v>0</v>
      </c>
    </row>
    <row r="962" spans="1:16" hidden="1" x14ac:dyDescent="0.25">
      <c r="A962" t="s">
        <v>2040</v>
      </c>
      <c r="B962" t="s">
        <v>2041</v>
      </c>
      <c r="C962" t="s">
        <v>1976</v>
      </c>
      <c r="D962" s="11" t="s">
        <v>2250</v>
      </c>
      <c r="E962" s="12">
        <v>45929</v>
      </c>
      <c r="F962" s="12">
        <v>45929</v>
      </c>
      <c r="G962" t="s">
        <v>2248</v>
      </c>
      <c r="H962" t="s">
        <v>1257</v>
      </c>
      <c r="I962">
        <v>286</v>
      </c>
      <c r="J962">
        <v>0</v>
      </c>
      <c r="M962">
        <v>1.65</v>
      </c>
      <c r="N962">
        <v>471.9</v>
      </c>
      <c r="O962">
        <v>-471.9</v>
      </c>
      <c r="P962">
        <v>0</v>
      </c>
    </row>
    <row r="963" spans="1:16" hidden="1" x14ac:dyDescent="0.25">
      <c r="A963" t="s">
        <v>2040</v>
      </c>
      <c r="B963" t="s">
        <v>2041</v>
      </c>
      <c r="C963" t="s">
        <v>1976</v>
      </c>
      <c r="D963" s="11" t="s">
        <v>2250</v>
      </c>
      <c r="E963" s="12">
        <v>45929</v>
      </c>
      <c r="F963" s="12">
        <v>45929</v>
      </c>
      <c r="G963" t="s">
        <v>2248</v>
      </c>
      <c r="H963" t="s">
        <v>1259</v>
      </c>
      <c r="I963">
        <v>228</v>
      </c>
      <c r="J963">
        <v>0</v>
      </c>
      <c r="M963">
        <v>2.0499999999999998</v>
      </c>
      <c r="N963">
        <v>467.4</v>
      </c>
      <c r="O963">
        <v>-467.4</v>
      </c>
      <c r="P963">
        <v>0</v>
      </c>
    </row>
    <row r="964" spans="1:16" hidden="1" x14ac:dyDescent="0.25">
      <c r="A964" t="s">
        <v>2040</v>
      </c>
      <c r="B964" t="s">
        <v>2041</v>
      </c>
      <c r="C964" t="s">
        <v>1976</v>
      </c>
      <c r="D964" s="11" t="s">
        <v>2250</v>
      </c>
      <c r="E964" s="12">
        <v>45929</v>
      </c>
      <c r="F964" s="12">
        <v>45929</v>
      </c>
      <c r="G964" t="s">
        <v>2248</v>
      </c>
      <c r="H964" t="s">
        <v>1263</v>
      </c>
      <c r="I964">
        <v>489</v>
      </c>
      <c r="J964">
        <v>0</v>
      </c>
      <c r="M964">
        <v>2.181</v>
      </c>
      <c r="N964">
        <v>1066.509</v>
      </c>
      <c r="O964">
        <v>-1066.509</v>
      </c>
      <c r="P964">
        <v>0</v>
      </c>
    </row>
    <row r="965" spans="1:16" hidden="1" x14ac:dyDescent="0.25">
      <c r="A965" t="s">
        <v>2040</v>
      </c>
      <c r="B965" t="s">
        <v>2041</v>
      </c>
      <c r="C965" t="s">
        <v>1976</v>
      </c>
      <c r="D965" s="11" t="s">
        <v>2250</v>
      </c>
      <c r="E965" s="12">
        <v>45929</v>
      </c>
      <c r="F965" s="12">
        <v>45929</v>
      </c>
      <c r="G965" t="s">
        <v>2248</v>
      </c>
      <c r="H965" t="s">
        <v>1280</v>
      </c>
      <c r="I965">
        <v>3000</v>
      </c>
      <c r="J965">
        <v>0</v>
      </c>
      <c r="M965">
        <v>0.68100000000000005</v>
      </c>
      <c r="N965">
        <v>2043</v>
      </c>
      <c r="O965">
        <v>-2043</v>
      </c>
      <c r="P965">
        <v>0</v>
      </c>
    </row>
    <row r="966" spans="1:16" hidden="1" x14ac:dyDescent="0.25">
      <c r="A966" t="s">
        <v>2040</v>
      </c>
      <c r="B966" t="s">
        <v>2041</v>
      </c>
      <c r="C966" t="s">
        <v>1976</v>
      </c>
      <c r="D966" s="11" t="s">
        <v>2250</v>
      </c>
      <c r="E966" s="12">
        <v>45929</v>
      </c>
      <c r="F966" s="12">
        <v>45929</v>
      </c>
      <c r="G966" t="s">
        <v>2248</v>
      </c>
      <c r="H966" t="s">
        <v>1362</v>
      </c>
      <c r="I966">
        <v>5000</v>
      </c>
      <c r="J966">
        <v>0</v>
      </c>
      <c r="M966">
        <v>4.8999999999999998E-3</v>
      </c>
      <c r="N966">
        <v>24.5</v>
      </c>
      <c r="O966">
        <v>-24.5</v>
      </c>
      <c r="P966">
        <v>0</v>
      </c>
    </row>
    <row r="967" spans="1:16" hidden="1" x14ac:dyDescent="0.25">
      <c r="A967" t="s">
        <v>2040</v>
      </c>
      <c r="B967" t="s">
        <v>2041</v>
      </c>
      <c r="C967" t="s">
        <v>1976</v>
      </c>
      <c r="D967" s="11" t="s">
        <v>2250</v>
      </c>
      <c r="E967" s="12">
        <v>45929</v>
      </c>
      <c r="F967" s="12">
        <v>45929</v>
      </c>
      <c r="G967" t="s">
        <v>2248</v>
      </c>
      <c r="H967" t="s">
        <v>1392</v>
      </c>
      <c r="I967">
        <v>5000</v>
      </c>
      <c r="J967">
        <v>0</v>
      </c>
      <c r="M967">
        <v>7.7000000000000002E-3</v>
      </c>
      <c r="N967">
        <v>38.5</v>
      </c>
      <c r="O967">
        <v>-38.5</v>
      </c>
      <c r="P967">
        <v>0</v>
      </c>
    </row>
    <row r="968" spans="1:16" hidden="1" x14ac:dyDescent="0.25">
      <c r="A968" t="s">
        <v>2040</v>
      </c>
      <c r="B968" t="s">
        <v>2041</v>
      </c>
      <c r="C968" t="s">
        <v>1976</v>
      </c>
      <c r="D968" s="11" t="s">
        <v>2250</v>
      </c>
      <c r="E968" s="12">
        <v>45929</v>
      </c>
      <c r="F968" s="12">
        <v>45929</v>
      </c>
      <c r="G968" t="s">
        <v>2248</v>
      </c>
      <c r="H968" t="s">
        <v>1402</v>
      </c>
      <c r="I968">
        <v>5000</v>
      </c>
      <c r="J968">
        <v>0</v>
      </c>
      <c r="M968">
        <v>3.5999999999999999E-3</v>
      </c>
      <c r="N968">
        <v>18</v>
      </c>
      <c r="O968">
        <v>-18</v>
      </c>
      <c r="P968">
        <v>0</v>
      </c>
    </row>
    <row r="969" spans="1:16" hidden="1" x14ac:dyDescent="0.25">
      <c r="A969" t="s">
        <v>2040</v>
      </c>
      <c r="B969" t="s">
        <v>2041</v>
      </c>
      <c r="C969" t="s">
        <v>1976</v>
      </c>
      <c r="D969" s="11" t="s">
        <v>2250</v>
      </c>
      <c r="E969" s="12">
        <v>45929</v>
      </c>
      <c r="F969" s="12">
        <v>45929</v>
      </c>
      <c r="G969" t="s">
        <v>2248</v>
      </c>
      <c r="H969" t="s">
        <v>1406</v>
      </c>
      <c r="I969">
        <v>5000</v>
      </c>
      <c r="J969">
        <v>0</v>
      </c>
      <c r="M969">
        <v>9.2899999999999996E-3</v>
      </c>
      <c r="N969">
        <v>46.45</v>
      </c>
      <c r="O969">
        <v>-46.45</v>
      </c>
      <c r="P969">
        <v>0</v>
      </c>
    </row>
    <row r="970" spans="1:16" hidden="1" x14ac:dyDescent="0.25">
      <c r="A970" t="s">
        <v>2040</v>
      </c>
      <c r="B970" t="s">
        <v>2041</v>
      </c>
      <c r="C970" t="s">
        <v>1976</v>
      </c>
      <c r="D970" s="11" t="s">
        <v>2250</v>
      </c>
      <c r="E970" s="12">
        <v>45929</v>
      </c>
      <c r="F970" s="12">
        <v>45929</v>
      </c>
      <c r="G970" t="s">
        <v>2248</v>
      </c>
      <c r="H970" t="s">
        <v>1410</v>
      </c>
      <c r="I970">
        <v>5000</v>
      </c>
      <c r="J970">
        <v>0</v>
      </c>
      <c r="M970">
        <v>8.9999999999999998E-4</v>
      </c>
      <c r="N970">
        <v>4.5</v>
      </c>
      <c r="O970">
        <v>-4.5</v>
      </c>
      <c r="P970">
        <v>0</v>
      </c>
    </row>
    <row r="971" spans="1:16" hidden="1" x14ac:dyDescent="0.25">
      <c r="A971" t="s">
        <v>2040</v>
      </c>
      <c r="B971" t="s">
        <v>2041</v>
      </c>
      <c r="C971" t="s">
        <v>1976</v>
      </c>
      <c r="D971" s="11" t="s">
        <v>2250</v>
      </c>
      <c r="E971" s="12">
        <v>45929</v>
      </c>
      <c r="F971" s="12">
        <v>45929</v>
      </c>
      <c r="G971" t="s">
        <v>2248</v>
      </c>
      <c r="H971" t="s">
        <v>1420</v>
      </c>
      <c r="I971">
        <v>5000</v>
      </c>
      <c r="J971">
        <v>0</v>
      </c>
      <c r="M971">
        <v>2.8E-3</v>
      </c>
      <c r="N971">
        <v>14</v>
      </c>
      <c r="O971">
        <v>-14</v>
      </c>
      <c r="P971">
        <v>0</v>
      </c>
    </row>
    <row r="972" spans="1:16" hidden="1" x14ac:dyDescent="0.25">
      <c r="A972" t="s">
        <v>2040</v>
      </c>
      <c r="B972" t="s">
        <v>2041</v>
      </c>
      <c r="C972" t="s">
        <v>1976</v>
      </c>
      <c r="D972" s="11" t="s">
        <v>2250</v>
      </c>
      <c r="E972" s="12">
        <v>45929</v>
      </c>
      <c r="F972" s="12">
        <v>45929</v>
      </c>
      <c r="G972" t="s">
        <v>2248</v>
      </c>
      <c r="H972" t="s">
        <v>1438</v>
      </c>
      <c r="I972">
        <v>5000</v>
      </c>
      <c r="J972">
        <v>0</v>
      </c>
      <c r="M972">
        <v>6.0999999999999999E-2</v>
      </c>
      <c r="N972">
        <v>305</v>
      </c>
      <c r="O972">
        <v>-305</v>
      </c>
      <c r="P972">
        <v>0</v>
      </c>
    </row>
    <row r="973" spans="1:16" hidden="1" x14ac:dyDescent="0.25">
      <c r="A973" t="s">
        <v>2040</v>
      </c>
      <c r="B973" t="s">
        <v>2041</v>
      </c>
      <c r="C973" t="s">
        <v>1976</v>
      </c>
      <c r="D973" s="11" t="s">
        <v>2250</v>
      </c>
      <c r="E973" s="12">
        <v>45929</v>
      </c>
      <c r="F973" s="12">
        <v>45929</v>
      </c>
      <c r="G973" t="s">
        <v>2248</v>
      </c>
      <c r="H973" t="s">
        <v>1465</v>
      </c>
      <c r="I973">
        <v>4000</v>
      </c>
      <c r="J973">
        <v>0</v>
      </c>
      <c r="M973">
        <v>5.0999999999999997E-2</v>
      </c>
      <c r="N973">
        <v>204</v>
      </c>
      <c r="O973">
        <v>-204</v>
      </c>
      <c r="P973">
        <v>0</v>
      </c>
    </row>
    <row r="974" spans="1:16" hidden="1" x14ac:dyDescent="0.25">
      <c r="A974" t="s">
        <v>2040</v>
      </c>
      <c r="B974" t="s">
        <v>2041</v>
      </c>
      <c r="C974" t="s">
        <v>1976</v>
      </c>
      <c r="D974" s="11" t="s">
        <v>2250</v>
      </c>
      <c r="E974" s="12">
        <v>45929</v>
      </c>
      <c r="F974" s="12">
        <v>45929</v>
      </c>
      <c r="G974" t="s">
        <v>2248</v>
      </c>
      <c r="H974" t="s">
        <v>1491</v>
      </c>
      <c r="I974">
        <v>500</v>
      </c>
      <c r="J974">
        <v>0</v>
      </c>
      <c r="M974">
        <v>0.20399999999999999</v>
      </c>
      <c r="N974">
        <v>102</v>
      </c>
      <c r="O974">
        <v>-102</v>
      </c>
      <c r="P974">
        <v>0</v>
      </c>
    </row>
    <row r="975" spans="1:16" hidden="1" x14ac:dyDescent="0.25">
      <c r="A975" t="s">
        <v>2040</v>
      </c>
      <c r="B975" t="s">
        <v>2041</v>
      </c>
      <c r="C975" t="s">
        <v>1976</v>
      </c>
      <c r="D975" s="11" t="s">
        <v>2250</v>
      </c>
      <c r="E975" s="12">
        <v>45929</v>
      </c>
      <c r="F975" s="12">
        <v>45929</v>
      </c>
      <c r="G975" t="s">
        <v>2248</v>
      </c>
      <c r="H975" t="s">
        <v>1601</v>
      </c>
      <c r="I975">
        <v>200</v>
      </c>
      <c r="J975">
        <v>0</v>
      </c>
      <c r="M975">
        <v>0.18809999999999999</v>
      </c>
      <c r="N975">
        <v>37.619999999999997</v>
      </c>
      <c r="O975">
        <v>-37.619999999999997</v>
      </c>
      <c r="P975">
        <v>0</v>
      </c>
    </row>
    <row r="976" spans="1:16" hidden="1" x14ac:dyDescent="0.25">
      <c r="A976" t="s">
        <v>2040</v>
      </c>
      <c r="B976" t="s">
        <v>2041</v>
      </c>
      <c r="C976" t="s">
        <v>1976</v>
      </c>
      <c r="D976" s="11" t="s">
        <v>2250</v>
      </c>
      <c r="E976" s="12">
        <v>45929</v>
      </c>
      <c r="F976" s="12">
        <v>45929</v>
      </c>
      <c r="G976" t="s">
        <v>2248</v>
      </c>
      <c r="H976" t="s">
        <v>1637</v>
      </c>
      <c r="I976">
        <v>5000</v>
      </c>
      <c r="J976">
        <v>0</v>
      </c>
      <c r="M976">
        <v>0.11554</v>
      </c>
      <c r="N976">
        <v>577.70000000000005</v>
      </c>
      <c r="O976">
        <v>-577.70000000000005</v>
      </c>
      <c r="P976">
        <v>0</v>
      </c>
    </row>
    <row r="977" spans="1:16" hidden="1" x14ac:dyDescent="0.25">
      <c r="A977" t="s">
        <v>2040</v>
      </c>
      <c r="B977" t="s">
        <v>2041</v>
      </c>
      <c r="C977" t="s">
        <v>1976</v>
      </c>
      <c r="D977" s="11" t="s">
        <v>2250</v>
      </c>
      <c r="E977" s="12">
        <v>45929</v>
      </c>
      <c r="F977" s="12">
        <v>45929</v>
      </c>
      <c r="G977" t="s">
        <v>2248</v>
      </c>
      <c r="H977" t="s">
        <v>1722</v>
      </c>
      <c r="I977">
        <v>3000</v>
      </c>
      <c r="J977">
        <v>0</v>
      </c>
      <c r="M977">
        <v>8.6999999999999994E-2</v>
      </c>
      <c r="N977">
        <v>261</v>
      </c>
      <c r="O977">
        <v>-261</v>
      </c>
      <c r="P977">
        <v>0</v>
      </c>
    </row>
    <row r="978" spans="1:16" hidden="1" x14ac:dyDescent="0.25">
      <c r="A978" t="s">
        <v>2040</v>
      </c>
      <c r="B978" t="s">
        <v>2041</v>
      </c>
      <c r="C978" t="s">
        <v>1976</v>
      </c>
      <c r="D978" s="11" t="s">
        <v>2250</v>
      </c>
      <c r="E978" s="12">
        <v>45929</v>
      </c>
      <c r="F978" s="12">
        <v>45929</v>
      </c>
      <c r="G978" t="s">
        <v>2248</v>
      </c>
      <c r="H978" t="s">
        <v>1755</v>
      </c>
      <c r="I978">
        <v>249</v>
      </c>
      <c r="J978">
        <v>0</v>
      </c>
      <c r="M978">
        <v>2.7709999999999999</v>
      </c>
      <c r="N978">
        <v>689.97900000000004</v>
      </c>
      <c r="O978">
        <v>-689.97900000000004</v>
      </c>
      <c r="P978">
        <v>0</v>
      </c>
    </row>
    <row r="979" spans="1:16" hidden="1" x14ac:dyDescent="0.25">
      <c r="A979" t="s">
        <v>2040</v>
      </c>
      <c r="B979" t="s">
        <v>2041</v>
      </c>
      <c r="C979" t="s">
        <v>1976</v>
      </c>
      <c r="D979" s="11" t="s">
        <v>2250</v>
      </c>
      <c r="E979" s="12">
        <v>45929</v>
      </c>
      <c r="F979" s="12">
        <v>45929</v>
      </c>
      <c r="G979" t="s">
        <v>2248</v>
      </c>
      <c r="H979" t="s">
        <v>1787</v>
      </c>
      <c r="I979">
        <v>60</v>
      </c>
      <c r="J979">
        <v>0</v>
      </c>
      <c r="M979">
        <v>2.7269999999999999</v>
      </c>
      <c r="N979">
        <v>163.62</v>
      </c>
      <c r="O979">
        <v>-163.62</v>
      </c>
      <c r="P979">
        <v>0</v>
      </c>
    </row>
    <row r="980" spans="1:16" hidden="1" x14ac:dyDescent="0.25">
      <c r="A980" t="s">
        <v>2040</v>
      </c>
      <c r="B980" t="s">
        <v>2041</v>
      </c>
      <c r="C980" t="s">
        <v>1976</v>
      </c>
      <c r="D980" s="11" t="s">
        <v>2250</v>
      </c>
      <c r="E980" s="12">
        <v>45929</v>
      </c>
      <c r="F980" s="12">
        <v>45929</v>
      </c>
      <c r="G980" t="s">
        <v>2248</v>
      </c>
      <c r="H980" t="s">
        <v>1835</v>
      </c>
      <c r="I980">
        <v>1000</v>
      </c>
      <c r="J980">
        <v>0</v>
      </c>
      <c r="M980">
        <v>0.81499999999999995</v>
      </c>
      <c r="N980">
        <v>815</v>
      </c>
      <c r="O980">
        <v>-815</v>
      </c>
      <c r="P980">
        <v>0</v>
      </c>
    </row>
    <row r="981" spans="1:16" hidden="1" x14ac:dyDescent="0.25">
      <c r="A981" t="s">
        <v>2040</v>
      </c>
      <c r="B981" t="s">
        <v>2041</v>
      </c>
      <c r="C981" t="s">
        <v>1976</v>
      </c>
      <c r="D981" s="11" t="s">
        <v>2250</v>
      </c>
      <c r="E981" s="12">
        <v>45929</v>
      </c>
      <c r="F981" s="12">
        <v>45929</v>
      </c>
      <c r="G981" t="s">
        <v>2248</v>
      </c>
      <c r="H981" t="s">
        <v>146</v>
      </c>
      <c r="I981">
        <v>10000</v>
      </c>
      <c r="J981">
        <v>0</v>
      </c>
      <c r="M981">
        <v>1.2699999999999999E-2</v>
      </c>
      <c r="N981">
        <v>127</v>
      </c>
      <c r="O981">
        <v>-127</v>
      </c>
      <c r="P981">
        <v>0</v>
      </c>
    </row>
    <row r="982" spans="1:16" hidden="1" x14ac:dyDescent="0.25">
      <c r="A982" t="s">
        <v>2040</v>
      </c>
      <c r="B982" t="s">
        <v>2041</v>
      </c>
      <c r="C982" t="s">
        <v>1976</v>
      </c>
      <c r="D982" s="11" t="s">
        <v>2250</v>
      </c>
      <c r="E982" s="12">
        <v>45929</v>
      </c>
      <c r="F982" s="12">
        <v>45929</v>
      </c>
      <c r="G982" t="s">
        <v>2248</v>
      </c>
      <c r="H982" t="s">
        <v>238</v>
      </c>
      <c r="I982">
        <v>1500</v>
      </c>
      <c r="J982">
        <v>0</v>
      </c>
      <c r="M982">
        <v>1.05</v>
      </c>
      <c r="N982">
        <v>1575</v>
      </c>
      <c r="O982">
        <v>-1575</v>
      </c>
      <c r="P982">
        <v>0</v>
      </c>
    </row>
    <row r="983" spans="1:16" hidden="1" x14ac:dyDescent="0.25">
      <c r="A983" t="s">
        <v>2040</v>
      </c>
      <c r="B983" t="s">
        <v>2041</v>
      </c>
      <c r="C983" t="s">
        <v>1976</v>
      </c>
      <c r="D983" s="11" t="s">
        <v>2250</v>
      </c>
      <c r="E983" s="12">
        <v>45929</v>
      </c>
      <c r="F983" s="12">
        <v>45929</v>
      </c>
      <c r="G983" t="s">
        <v>2248</v>
      </c>
      <c r="H983" t="s">
        <v>384</v>
      </c>
      <c r="I983">
        <v>190</v>
      </c>
      <c r="J983">
        <v>0</v>
      </c>
      <c r="M983">
        <v>1.65</v>
      </c>
      <c r="N983">
        <v>313.5</v>
      </c>
      <c r="O983">
        <v>-313.5</v>
      </c>
      <c r="P983">
        <v>0</v>
      </c>
    </row>
    <row r="984" spans="1:16" hidden="1" x14ac:dyDescent="0.25">
      <c r="A984" t="s">
        <v>2040</v>
      </c>
      <c r="B984" t="s">
        <v>2041</v>
      </c>
      <c r="C984" t="s">
        <v>1976</v>
      </c>
      <c r="D984" s="11" t="s">
        <v>2250</v>
      </c>
      <c r="E984" s="12">
        <v>45929</v>
      </c>
      <c r="F984" s="12">
        <v>45929</v>
      </c>
      <c r="G984" t="s">
        <v>2248</v>
      </c>
      <c r="H984" t="s">
        <v>630</v>
      </c>
      <c r="I984">
        <v>2500</v>
      </c>
      <c r="J984">
        <v>0</v>
      </c>
      <c r="M984">
        <v>0.4</v>
      </c>
      <c r="N984">
        <v>1000</v>
      </c>
      <c r="O984">
        <v>-1000</v>
      </c>
      <c r="P984">
        <v>0</v>
      </c>
    </row>
    <row r="985" spans="1:16" hidden="1" x14ac:dyDescent="0.25">
      <c r="A985" t="s">
        <v>2040</v>
      </c>
      <c r="B985" t="s">
        <v>2041</v>
      </c>
      <c r="C985" t="s">
        <v>1976</v>
      </c>
      <c r="D985" s="11" t="s">
        <v>2250</v>
      </c>
      <c r="E985" s="12">
        <v>45929</v>
      </c>
      <c r="F985" s="12">
        <v>45929</v>
      </c>
      <c r="G985" t="s">
        <v>2248</v>
      </c>
      <c r="H985" t="s">
        <v>751</v>
      </c>
      <c r="I985">
        <v>100</v>
      </c>
      <c r="J985">
        <v>0</v>
      </c>
      <c r="M985">
        <v>2.0139999999999998</v>
      </c>
      <c r="N985">
        <v>201.4</v>
      </c>
      <c r="O985">
        <v>-201.4</v>
      </c>
      <c r="P985">
        <v>0</v>
      </c>
    </row>
    <row r="986" spans="1:16" hidden="1" x14ac:dyDescent="0.25">
      <c r="A986" t="s">
        <v>2040</v>
      </c>
      <c r="B986" t="s">
        <v>2041</v>
      </c>
      <c r="C986" t="s">
        <v>1976</v>
      </c>
      <c r="D986" s="11" t="s">
        <v>2250</v>
      </c>
      <c r="E986" s="12">
        <v>45929</v>
      </c>
      <c r="F986" s="12">
        <v>45929</v>
      </c>
      <c r="G986" t="s">
        <v>2248</v>
      </c>
      <c r="H986" t="s">
        <v>1253</v>
      </c>
      <c r="I986">
        <v>196</v>
      </c>
      <c r="J986">
        <v>0</v>
      </c>
      <c r="M986">
        <v>15.9</v>
      </c>
      <c r="N986">
        <v>3116.4</v>
      </c>
      <c r="O986">
        <v>-3116.4</v>
      </c>
      <c r="P986">
        <v>0</v>
      </c>
    </row>
    <row r="987" spans="1:16" hidden="1" x14ac:dyDescent="0.25">
      <c r="A987" t="s">
        <v>2040</v>
      </c>
      <c r="B987" t="s">
        <v>2041</v>
      </c>
      <c r="C987" t="s">
        <v>1976</v>
      </c>
      <c r="D987" s="11" t="s">
        <v>2250</v>
      </c>
      <c r="E987" s="12">
        <v>45929</v>
      </c>
      <c r="F987" s="12">
        <v>45929</v>
      </c>
      <c r="G987" t="s">
        <v>2248</v>
      </c>
      <c r="H987" t="s">
        <v>1663</v>
      </c>
      <c r="I987">
        <v>980</v>
      </c>
      <c r="J987">
        <v>0</v>
      </c>
      <c r="M987">
        <v>0.37590000000000001</v>
      </c>
      <c r="N987">
        <v>368.38200000000001</v>
      </c>
      <c r="O987">
        <v>-368.38200000000001</v>
      </c>
      <c r="P987">
        <v>0</v>
      </c>
    </row>
    <row r="988" spans="1:16" hidden="1" x14ac:dyDescent="0.25">
      <c r="A988" t="s">
        <v>2040</v>
      </c>
      <c r="B988" t="s">
        <v>2041</v>
      </c>
      <c r="C988" t="s">
        <v>1976</v>
      </c>
      <c r="D988" s="11" t="s">
        <v>2250</v>
      </c>
      <c r="E988" s="12">
        <v>45929</v>
      </c>
      <c r="F988" s="12">
        <v>45929</v>
      </c>
      <c r="G988" t="s">
        <v>2248</v>
      </c>
      <c r="H988" t="s">
        <v>1688</v>
      </c>
      <c r="I988">
        <v>3000</v>
      </c>
      <c r="J988">
        <v>0</v>
      </c>
      <c r="M988">
        <v>0.05</v>
      </c>
      <c r="N988">
        <v>150</v>
      </c>
      <c r="O988">
        <v>-150</v>
      </c>
      <c r="P988">
        <v>0</v>
      </c>
    </row>
    <row r="989" spans="1:16" hidden="1" x14ac:dyDescent="0.25">
      <c r="A989" t="s">
        <v>2040</v>
      </c>
      <c r="B989" t="s">
        <v>2041</v>
      </c>
      <c r="C989" t="s">
        <v>1976</v>
      </c>
      <c r="D989" s="11" t="s">
        <v>2250</v>
      </c>
      <c r="E989" s="12">
        <v>45929</v>
      </c>
      <c r="F989" s="12">
        <v>45929</v>
      </c>
      <c r="G989" t="s">
        <v>2248</v>
      </c>
      <c r="H989" t="s">
        <v>1690</v>
      </c>
      <c r="I989">
        <v>3000</v>
      </c>
      <c r="J989">
        <v>0</v>
      </c>
      <c r="M989">
        <v>0.27</v>
      </c>
      <c r="N989">
        <v>810</v>
      </c>
      <c r="O989">
        <v>-810</v>
      </c>
      <c r="P989">
        <v>0</v>
      </c>
    </row>
    <row r="990" spans="1:16" hidden="1" x14ac:dyDescent="0.25">
      <c r="A990" t="s">
        <v>2040</v>
      </c>
      <c r="B990" t="s">
        <v>2041</v>
      </c>
      <c r="C990" t="s">
        <v>1976</v>
      </c>
      <c r="D990" s="11" t="s">
        <v>2250</v>
      </c>
      <c r="E990" s="12">
        <v>45929</v>
      </c>
      <c r="F990" s="12">
        <v>45929</v>
      </c>
      <c r="G990" t="s">
        <v>2248</v>
      </c>
      <c r="H990" t="s">
        <v>1700</v>
      </c>
      <c r="I990">
        <v>2970</v>
      </c>
      <c r="J990">
        <v>0</v>
      </c>
      <c r="M990">
        <v>0.13</v>
      </c>
      <c r="N990">
        <v>386.1</v>
      </c>
      <c r="O990">
        <v>-386.1</v>
      </c>
      <c r="P990">
        <v>0</v>
      </c>
    </row>
    <row r="991" spans="1:16" hidden="1" x14ac:dyDescent="0.25">
      <c r="A991" t="s">
        <v>2040</v>
      </c>
      <c r="B991" t="s">
        <v>2041</v>
      </c>
      <c r="C991" t="s">
        <v>1976</v>
      </c>
      <c r="D991" s="11" t="s">
        <v>2250</v>
      </c>
      <c r="E991" s="12">
        <v>45929</v>
      </c>
      <c r="F991" s="12">
        <v>45929</v>
      </c>
      <c r="G991" t="s">
        <v>2248</v>
      </c>
      <c r="H991" t="s">
        <v>1702</v>
      </c>
      <c r="I991">
        <v>200</v>
      </c>
      <c r="J991">
        <v>0</v>
      </c>
      <c r="M991">
        <v>0.22</v>
      </c>
      <c r="N991">
        <v>44</v>
      </c>
      <c r="O991">
        <v>-44</v>
      </c>
      <c r="P991">
        <v>0</v>
      </c>
    </row>
    <row r="992" spans="1:16" hidden="1" x14ac:dyDescent="0.25">
      <c r="A992" t="s">
        <v>2040</v>
      </c>
      <c r="B992" t="s">
        <v>2041</v>
      </c>
      <c r="C992" t="s">
        <v>1976</v>
      </c>
      <c r="D992" s="11" t="s">
        <v>2250</v>
      </c>
      <c r="E992" s="12">
        <v>45929</v>
      </c>
      <c r="F992" s="12">
        <v>45929</v>
      </c>
      <c r="G992" t="s">
        <v>2248</v>
      </c>
      <c r="H992" t="s">
        <v>1722</v>
      </c>
      <c r="I992">
        <v>3000</v>
      </c>
      <c r="J992">
        <v>0</v>
      </c>
      <c r="M992">
        <v>0.09</v>
      </c>
      <c r="N992">
        <v>270</v>
      </c>
      <c r="O992">
        <v>-270</v>
      </c>
      <c r="P992">
        <v>0</v>
      </c>
    </row>
    <row r="993" spans="1:16" hidden="1" x14ac:dyDescent="0.25">
      <c r="A993" t="s">
        <v>2040</v>
      </c>
      <c r="B993" t="s">
        <v>2041</v>
      </c>
      <c r="C993" t="s">
        <v>1976</v>
      </c>
      <c r="D993" s="11" t="s">
        <v>2250</v>
      </c>
      <c r="E993" s="12">
        <v>45929</v>
      </c>
      <c r="F993" s="12">
        <v>45929</v>
      </c>
      <c r="G993" t="s">
        <v>2248</v>
      </c>
      <c r="H993" t="s">
        <v>1749</v>
      </c>
      <c r="I993">
        <v>50</v>
      </c>
      <c r="J993">
        <v>0</v>
      </c>
      <c r="M993">
        <v>42.12</v>
      </c>
      <c r="N993">
        <v>2106</v>
      </c>
      <c r="O993">
        <v>-2106</v>
      </c>
      <c r="P993">
        <v>0</v>
      </c>
    </row>
    <row r="994" spans="1:16" hidden="1" x14ac:dyDescent="0.25">
      <c r="A994" t="s">
        <v>2040</v>
      </c>
      <c r="B994" t="s">
        <v>2041</v>
      </c>
      <c r="C994" t="s">
        <v>1976</v>
      </c>
      <c r="D994" s="11" t="s">
        <v>2250</v>
      </c>
      <c r="E994" s="12">
        <v>45929</v>
      </c>
      <c r="F994" s="12">
        <v>45929</v>
      </c>
      <c r="G994" t="s">
        <v>2248</v>
      </c>
      <c r="H994" t="s">
        <v>1827</v>
      </c>
      <c r="I994">
        <v>100</v>
      </c>
      <c r="J994">
        <v>0</v>
      </c>
      <c r="M994">
        <v>12.05</v>
      </c>
      <c r="N994">
        <v>1205</v>
      </c>
      <c r="O994">
        <v>-1205</v>
      </c>
      <c r="P994">
        <v>0</v>
      </c>
    </row>
    <row r="995" spans="1:16" hidden="1" x14ac:dyDescent="0.25">
      <c r="A995" t="s">
        <v>2040</v>
      </c>
      <c r="B995" t="s">
        <v>2041</v>
      </c>
      <c r="C995" t="s">
        <v>1976</v>
      </c>
      <c r="D995" s="11" t="s">
        <v>2250</v>
      </c>
      <c r="E995" s="12">
        <v>45929</v>
      </c>
      <c r="F995" s="12">
        <v>45929</v>
      </c>
      <c r="G995" t="s">
        <v>2248</v>
      </c>
      <c r="H995" t="s">
        <v>20</v>
      </c>
      <c r="I995">
        <v>200</v>
      </c>
      <c r="J995">
        <v>0</v>
      </c>
      <c r="M995">
        <v>1.51</v>
      </c>
      <c r="N995">
        <v>302</v>
      </c>
      <c r="O995">
        <v>-302</v>
      </c>
      <c r="P995">
        <v>0</v>
      </c>
    </row>
    <row r="996" spans="1:16" hidden="1" x14ac:dyDescent="0.25">
      <c r="A996" t="s">
        <v>2040</v>
      </c>
      <c r="B996" t="s">
        <v>2041</v>
      </c>
      <c r="C996" t="s">
        <v>1976</v>
      </c>
      <c r="D996" s="11" t="s">
        <v>2250</v>
      </c>
      <c r="E996" s="12">
        <v>45929</v>
      </c>
      <c r="F996" s="12">
        <v>45929</v>
      </c>
      <c r="G996" t="s">
        <v>2248</v>
      </c>
      <c r="H996" t="s">
        <v>33</v>
      </c>
      <c r="I996">
        <v>270</v>
      </c>
      <c r="J996">
        <v>0</v>
      </c>
      <c r="M996">
        <v>1.05</v>
      </c>
      <c r="N996">
        <v>283.5</v>
      </c>
      <c r="O996">
        <v>-283.5</v>
      </c>
      <c r="P996">
        <v>0</v>
      </c>
    </row>
    <row r="997" spans="1:16" hidden="1" x14ac:dyDescent="0.25">
      <c r="A997" t="s">
        <v>2040</v>
      </c>
      <c r="B997" t="s">
        <v>2041</v>
      </c>
      <c r="C997" t="s">
        <v>1976</v>
      </c>
      <c r="D997" s="11" t="s">
        <v>2250</v>
      </c>
      <c r="E997" s="12">
        <v>45929</v>
      </c>
      <c r="F997" s="12">
        <v>45929</v>
      </c>
      <c r="G997" t="s">
        <v>2248</v>
      </c>
      <c r="H997" t="s">
        <v>63</v>
      </c>
      <c r="I997">
        <v>50</v>
      </c>
      <c r="J997">
        <v>0</v>
      </c>
      <c r="M997">
        <v>10.41</v>
      </c>
      <c r="N997">
        <v>520.5</v>
      </c>
      <c r="O997">
        <v>-520.5</v>
      </c>
      <c r="P997">
        <v>0</v>
      </c>
    </row>
    <row r="998" spans="1:16" hidden="1" x14ac:dyDescent="0.25">
      <c r="A998" t="s">
        <v>2040</v>
      </c>
      <c r="B998" t="s">
        <v>2041</v>
      </c>
      <c r="C998" t="s">
        <v>1976</v>
      </c>
      <c r="D998" s="11" t="s">
        <v>2250</v>
      </c>
      <c r="E998" s="12">
        <v>45929</v>
      </c>
      <c r="F998" s="12">
        <v>45929</v>
      </c>
      <c r="G998" t="s">
        <v>2248</v>
      </c>
      <c r="H998" t="s">
        <v>65</v>
      </c>
      <c r="I998">
        <v>100</v>
      </c>
      <c r="J998">
        <v>0</v>
      </c>
      <c r="M998">
        <v>7.95</v>
      </c>
      <c r="N998">
        <v>795</v>
      </c>
      <c r="O998">
        <v>-795</v>
      </c>
      <c r="P998">
        <v>0</v>
      </c>
    </row>
    <row r="999" spans="1:16" hidden="1" x14ac:dyDescent="0.25">
      <c r="A999" t="s">
        <v>2040</v>
      </c>
      <c r="B999" t="s">
        <v>2041</v>
      </c>
      <c r="C999" t="s">
        <v>1976</v>
      </c>
      <c r="D999" s="11" t="s">
        <v>2250</v>
      </c>
      <c r="E999" s="12">
        <v>45929</v>
      </c>
      <c r="F999" s="12">
        <v>45929</v>
      </c>
      <c r="G999" t="s">
        <v>2248</v>
      </c>
      <c r="H999" t="s">
        <v>67</v>
      </c>
      <c r="I999">
        <v>49</v>
      </c>
      <c r="J999">
        <v>0</v>
      </c>
      <c r="M999">
        <v>7.07</v>
      </c>
      <c r="N999">
        <v>346.43</v>
      </c>
      <c r="O999">
        <v>-346.43</v>
      </c>
      <c r="P999">
        <v>0</v>
      </c>
    </row>
    <row r="1000" spans="1:16" hidden="1" x14ac:dyDescent="0.25">
      <c r="A1000" t="s">
        <v>2040</v>
      </c>
      <c r="B1000" t="s">
        <v>2041</v>
      </c>
      <c r="C1000" t="s">
        <v>1976</v>
      </c>
      <c r="D1000" s="11" t="s">
        <v>2250</v>
      </c>
      <c r="E1000" s="12">
        <v>45929</v>
      </c>
      <c r="F1000" s="12">
        <v>45929</v>
      </c>
      <c r="G1000" t="s">
        <v>2248</v>
      </c>
      <c r="H1000" t="s">
        <v>160</v>
      </c>
      <c r="I1000">
        <v>199</v>
      </c>
      <c r="J1000">
        <v>0</v>
      </c>
      <c r="M1000">
        <v>7.6999999999999999E-2</v>
      </c>
      <c r="N1000">
        <v>15.323</v>
      </c>
      <c r="O1000">
        <v>-15.323</v>
      </c>
      <c r="P1000">
        <v>0</v>
      </c>
    </row>
    <row r="1001" spans="1:16" hidden="1" x14ac:dyDescent="0.25">
      <c r="A1001" t="s">
        <v>2040</v>
      </c>
      <c r="B1001" t="s">
        <v>2041</v>
      </c>
      <c r="C1001" t="s">
        <v>1976</v>
      </c>
      <c r="D1001" s="11" t="s">
        <v>2250</v>
      </c>
      <c r="E1001" s="12">
        <v>45929</v>
      </c>
      <c r="F1001" s="12">
        <v>45929</v>
      </c>
      <c r="G1001" t="s">
        <v>2248</v>
      </c>
      <c r="H1001" t="s">
        <v>232</v>
      </c>
      <c r="I1001">
        <v>500</v>
      </c>
      <c r="J1001">
        <v>0</v>
      </c>
      <c r="M1001">
        <v>0.995</v>
      </c>
      <c r="N1001">
        <v>497.5</v>
      </c>
      <c r="O1001">
        <v>-497.5</v>
      </c>
      <c r="P1001">
        <v>0</v>
      </c>
    </row>
    <row r="1002" spans="1:16" hidden="1" x14ac:dyDescent="0.25">
      <c r="A1002" t="s">
        <v>2040</v>
      </c>
      <c r="B1002" t="s">
        <v>2041</v>
      </c>
      <c r="C1002" t="s">
        <v>1976</v>
      </c>
      <c r="D1002" s="11" t="s">
        <v>2250</v>
      </c>
      <c r="E1002" s="12">
        <v>45929</v>
      </c>
      <c r="F1002" s="12">
        <v>45929</v>
      </c>
      <c r="G1002" t="s">
        <v>2248</v>
      </c>
      <c r="H1002" t="s">
        <v>236</v>
      </c>
      <c r="I1002">
        <v>500</v>
      </c>
      <c r="J1002">
        <v>0</v>
      </c>
      <c r="M1002">
        <v>0.86399999999999999</v>
      </c>
      <c r="N1002">
        <v>432</v>
      </c>
      <c r="O1002">
        <v>-432</v>
      </c>
      <c r="P1002">
        <v>0</v>
      </c>
    </row>
    <row r="1003" spans="1:16" hidden="1" x14ac:dyDescent="0.25">
      <c r="A1003" t="s">
        <v>2040</v>
      </c>
      <c r="B1003" t="s">
        <v>2041</v>
      </c>
      <c r="C1003" t="s">
        <v>1976</v>
      </c>
      <c r="D1003" s="11" t="s">
        <v>2250</v>
      </c>
      <c r="E1003" s="12">
        <v>45929</v>
      </c>
      <c r="F1003" s="12">
        <v>45929</v>
      </c>
      <c r="G1003" t="s">
        <v>2248</v>
      </c>
      <c r="H1003" t="s">
        <v>2272</v>
      </c>
      <c r="I1003">
        <v>370</v>
      </c>
      <c r="J1003">
        <v>0</v>
      </c>
      <c r="M1003">
        <v>2.5</v>
      </c>
      <c r="N1003">
        <v>925</v>
      </c>
      <c r="O1003">
        <v>-925</v>
      </c>
      <c r="P1003">
        <v>0</v>
      </c>
    </row>
    <row r="1004" spans="1:16" hidden="1" x14ac:dyDescent="0.25">
      <c r="A1004" t="s">
        <v>2040</v>
      </c>
      <c r="B1004" t="s">
        <v>2041</v>
      </c>
      <c r="C1004" t="s">
        <v>1976</v>
      </c>
      <c r="D1004" s="11" t="s">
        <v>2250</v>
      </c>
      <c r="E1004" s="12">
        <v>45929</v>
      </c>
      <c r="F1004" s="12">
        <v>45929</v>
      </c>
      <c r="G1004" t="s">
        <v>2248</v>
      </c>
      <c r="H1004" t="s">
        <v>408</v>
      </c>
      <c r="I1004">
        <v>200</v>
      </c>
      <c r="J1004">
        <v>0</v>
      </c>
      <c r="M1004">
        <v>0.78979999999999995</v>
      </c>
      <c r="N1004">
        <v>157.96</v>
      </c>
      <c r="O1004">
        <v>-157.96</v>
      </c>
      <c r="P1004">
        <v>0</v>
      </c>
    </row>
    <row r="1005" spans="1:16" hidden="1" x14ac:dyDescent="0.25">
      <c r="A1005" t="s">
        <v>2040</v>
      </c>
      <c r="B1005" t="s">
        <v>2041</v>
      </c>
      <c r="C1005" t="s">
        <v>1976</v>
      </c>
      <c r="D1005" s="11" t="s">
        <v>2250</v>
      </c>
      <c r="E1005" s="12">
        <v>45929</v>
      </c>
      <c r="F1005" s="12">
        <v>45929</v>
      </c>
      <c r="G1005" t="s">
        <v>2248</v>
      </c>
      <c r="H1005" t="s">
        <v>449</v>
      </c>
      <c r="I1005">
        <v>109</v>
      </c>
      <c r="J1005">
        <v>0</v>
      </c>
      <c r="M1005">
        <v>6.32</v>
      </c>
      <c r="N1005">
        <v>688.88</v>
      </c>
      <c r="O1005">
        <v>-688.88</v>
      </c>
      <c r="P1005">
        <v>0</v>
      </c>
    </row>
    <row r="1006" spans="1:16" hidden="1" x14ac:dyDescent="0.25">
      <c r="A1006" t="s">
        <v>2040</v>
      </c>
      <c r="B1006" t="s">
        <v>2041</v>
      </c>
      <c r="C1006" t="s">
        <v>1976</v>
      </c>
      <c r="D1006" s="11" t="s">
        <v>2250</v>
      </c>
      <c r="E1006" s="12">
        <v>45929</v>
      </c>
      <c r="F1006" s="12">
        <v>45929</v>
      </c>
      <c r="G1006" t="s">
        <v>2248</v>
      </c>
      <c r="H1006" t="s">
        <v>2273</v>
      </c>
      <c r="I1006">
        <v>100</v>
      </c>
      <c r="J1006">
        <v>0</v>
      </c>
      <c r="M1006">
        <v>10.92</v>
      </c>
      <c r="N1006">
        <v>1092</v>
      </c>
      <c r="O1006">
        <v>-1092</v>
      </c>
      <c r="P1006">
        <v>0</v>
      </c>
    </row>
    <row r="1007" spans="1:16" hidden="1" x14ac:dyDescent="0.25">
      <c r="A1007" t="s">
        <v>2040</v>
      </c>
      <c r="B1007" t="s">
        <v>2041</v>
      </c>
      <c r="C1007" t="s">
        <v>1976</v>
      </c>
      <c r="D1007" s="11" t="s">
        <v>2250</v>
      </c>
      <c r="E1007" s="12">
        <v>45929</v>
      </c>
      <c r="F1007" s="12">
        <v>45929</v>
      </c>
      <c r="G1007" t="s">
        <v>2248</v>
      </c>
      <c r="H1007" t="s">
        <v>638</v>
      </c>
      <c r="I1007">
        <v>500</v>
      </c>
      <c r="J1007">
        <v>0</v>
      </c>
      <c r="M1007">
        <v>0.01</v>
      </c>
      <c r="N1007">
        <v>5</v>
      </c>
      <c r="O1007">
        <v>-5</v>
      </c>
      <c r="P1007">
        <v>0</v>
      </c>
    </row>
    <row r="1008" spans="1:16" hidden="1" x14ac:dyDescent="0.25">
      <c r="A1008" t="s">
        <v>2040</v>
      </c>
      <c r="B1008" t="s">
        <v>2041</v>
      </c>
      <c r="C1008" t="s">
        <v>1976</v>
      </c>
      <c r="D1008" s="11" t="s">
        <v>2250</v>
      </c>
      <c r="E1008" s="12">
        <v>45929</v>
      </c>
      <c r="F1008" s="12">
        <v>45929</v>
      </c>
      <c r="G1008" t="s">
        <v>2248</v>
      </c>
      <c r="H1008" t="s">
        <v>663</v>
      </c>
      <c r="I1008">
        <v>6000</v>
      </c>
      <c r="J1008">
        <v>0</v>
      </c>
      <c r="M1008">
        <v>0.19</v>
      </c>
      <c r="N1008">
        <v>1140</v>
      </c>
      <c r="O1008">
        <v>-1140</v>
      </c>
      <c r="P1008">
        <v>0</v>
      </c>
    </row>
    <row r="1009" spans="1:16" hidden="1" x14ac:dyDescent="0.25">
      <c r="A1009" t="s">
        <v>2040</v>
      </c>
      <c r="B1009" t="s">
        <v>2041</v>
      </c>
      <c r="C1009" t="s">
        <v>1976</v>
      </c>
      <c r="D1009" s="11" t="s">
        <v>2250</v>
      </c>
      <c r="E1009" s="12">
        <v>45929</v>
      </c>
      <c r="F1009" s="12">
        <v>45929</v>
      </c>
      <c r="G1009" t="s">
        <v>2248</v>
      </c>
      <c r="H1009" t="s">
        <v>759</v>
      </c>
      <c r="I1009">
        <v>1000</v>
      </c>
      <c r="J1009">
        <v>0</v>
      </c>
      <c r="M1009">
        <v>0.33800000000000002</v>
      </c>
      <c r="N1009">
        <v>338</v>
      </c>
      <c r="O1009">
        <v>-338</v>
      </c>
      <c r="P1009">
        <v>0</v>
      </c>
    </row>
    <row r="1010" spans="1:16" hidden="1" x14ac:dyDescent="0.25">
      <c r="A1010" t="s">
        <v>2040</v>
      </c>
      <c r="B1010" t="s">
        <v>2041</v>
      </c>
      <c r="C1010" t="s">
        <v>1976</v>
      </c>
      <c r="D1010" s="11" t="s">
        <v>2250</v>
      </c>
      <c r="E1010" s="12">
        <v>45929</v>
      </c>
      <c r="F1010" s="12">
        <v>45929</v>
      </c>
      <c r="G1010" t="s">
        <v>2248</v>
      </c>
      <c r="H1010" t="s">
        <v>840</v>
      </c>
      <c r="I1010">
        <v>15000</v>
      </c>
      <c r="J1010">
        <v>0</v>
      </c>
      <c r="M1010">
        <v>5.0000000000000001E-3</v>
      </c>
      <c r="N1010">
        <v>75</v>
      </c>
      <c r="O1010">
        <v>-75</v>
      </c>
      <c r="P1010">
        <v>0</v>
      </c>
    </row>
    <row r="1011" spans="1:16" hidden="1" x14ac:dyDescent="0.25">
      <c r="A1011" t="s">
        <v>2040</v>
      </c>
      <c r="B1011" t="s">
        <v>2041</v>
      </c>
      <c r="C1011" t="s">
        <v>1976</v>
      </c>
      <c r="D1011" s="11" t="s">
        <v>2250</v>
      </c>
      <c r="E1011" s="12">
        <v>45929</v>
      </c>
      <c r="F1011" s="12">
        <v>45929</v>
      </c>
      <c r="G1011" t="s">
        <v>2248</v>
      </c>
      <c r="H1011" t="s">
        <v>848</v>
      </c>
      <c r="I1011">
        <v>4000</v>
      </c>
      <c r="J1011">
        <v>0</v>
      </c>
      <c r="M1011">
        <v>0.18179000000000001</v>
      </c>
      <c r="N1011">
        <v>727.16</v>
      </c>
      <c r="O1011">
        <v>-727.16</v>
      </c>
      <c r="P1011">
        <v>0</v>
      </c>
    </row>
    <row r="1012" spans="1:16" hidden="1" x14ac:dyDescent="0.25">
      <c r="A1012" t="s">
        <v>2040</v>
      </c>
      <c r="B1012" t="s">
        <v>2041</v>
      </c>
      <c r="C1012" t="s">
        <v>1976</v>
      </c>
      <c r="D1012" s="11" t="s">
        <v>2250</v>
      </c>
      <c r="E1012" s="12">
        <v>45929</v>
      </c>
      <c r="F1012" s="12">
        <v>45929</v>
      </c>
      <c r="G1012" t="s">
        <v>2248</v>
      </c>
      <c r="H1012" t="s">
        <v>856</v>
      </c>
      <c r="I1012">
        <v>9999</v>
      </c>
      <c r="J1012">
        <v>0</v>
      </c>
      <c r="M1012">
        <v>2.7000000000000001E-3</v>
      </c>
      <c r="N1012">
        <v>26.997299999999999</v>
      </c>
      <c r="O1012">
        <v>-26.997299999999999</v>
      </c>
      <c r="P1012">
        <v>0</v>
      </c>
    </row>
    <row r="1013" spans="1:16" hidden="1" x14ac:dyDescent="0.25">
      <c r="A1013" t="s">
        <v>2040</v>
      </c>
      <c r="B1013" t="s">
        <v>2041</v>
      </c>
      <c r="C1013" t="s">
        <v>1976</v>
      </c>
      <c r="D1013" s="11" t="s">
        <v>2250</v>
      </c>
      <c r="E1013" s="12">
        <v>45929</v>
      </c>
      <c r="F1013" s="12">
        <v>45929</v>
      </c>
      <c r="G1013" t="s">
        <v>2248</v>
      </c>
      <c r="H1013" t="s">
        <v>874</v>
      </c>
      <c r="I1013">
        <v>4999</v>
      </c>
      <c r="J1013">
        <v>0</v>
      </c>
      <c r="M1013">
        <v>0.01</v>
      </c>
      <c r="N1013">
        <v>49.99</v>
      </c>
      <c r="O1013">
        <v>-49.99</v>
      </c>
      <c r="P1013">
        <v>0</v>
      </c>
    </row>
    <row r="1014" spans="1:16" hidden="1" x14ac:dyDescent="0.25">
      <c r="A1014" t="s">
        <v>2040</v>
      </c>
      <c r="B1014" t="s">
        <v>2041</v>
      </c>
      <c r="C1014" t="s">
        <v>1976</v>
      </c>
      <c r="D1014" s="11" t="s">
        <v>2250</v>
      </c>
      <c r="E1014" s="12">
        <v>45929</v>
      </c>
      <c r="F1014" s="12">
        <v>45929</v>
      </c>
      <c r="G1014" t="s">
        <v>2248</v>
      </c>
      <c r="H1014" t="s">
        <v>896</v>
      </c>
      <c r="I1014">
        <v>60</v>
      </c>
      <c r="J1014">
        <v>0</v>
      </c>
      <c r="M1014">
        <v>2.61</v>
      </c>
      <c r="N1014">
        <v>156.6</v>
      </c>
      <c r="O1014">
        <v>-156.6</v>
      </c>
      <c r="P1014">
        <v>0</v>
      </c>
    </row>
    <row r="1015" spans="1:16" hidden="1" x14ac:dyDescent="0.25">
      <c r="A1015" t="s">
        <v>2040</v>
      </c>
      <c r="B1015" t="s">
        <v>2041</v>
      </c>
      <c r="C1015" t="s">
        <v>1976</v>
      </c>
      <c r="D1015" s="11" t="s">
        <v>2250</v>
      </c>
      <c r="E1015" s="12">
        <v>45929</v>
      </c>
      <c r="F1015" s="12">
        <v>45929</v>
      </c>
      <c r="G1015" t="s">
        <v>2248</v>
      </c>
      <c r="H1015" t="s">
        <v>941</v>
      </c>
      <c r="I1015">
        <v>220</v>
      </c>
      <c r="J1015">
        <v>0</v>
      </c>
      <c r="M1015">
        <v>1.88</v>
      </c>
      <c r="N1015">
        <v>413.6</v>
      </c>
      <c r="O1015">
        <v>-413.6</v>
      </c>
      <c r="P1015">
        <v>0</v>
      </c>
    </row>
    <row r="1016" spans="1:16" hidden="1" x14ac:dyDescent="0.25">
      <c r="A1016" t="s">
        <v>2040</v>
      </c>
      <c r="B1016" t="s">
        <v>2041</v>
      </c>
      <c r="C1016" t="s">
        <v>1976</v>
      </c>
      <c r="D1016" s="11" t="s">
        <v>2250</v>
      </c>
      <c r="E1016" s="12">
        <v>45929</v>
      </c>
      <c r="F1016" s="12">
        <v>45929</v>
      </c>
      <c r="G1016" t="s">
        <v>2248</v>
      </c>
      <c r="H1016" t="s">
        <v>979</v>
      </c>
      <c r="I1016">
        <v>99</v>
      </c>
      <c r="J1016">
        <v>0</v>
      </c>
      <c r="M1016">
        <v>0.86899999999999999</v>
      </c>
      <c r="N1016">
        <v>86.031000000000006</v>
      </c>
      <c r="O1016">
        <v>-86.031000000000006</v>
      </c>
      <c r="P1016">
        <v>0</v>
      </c>
    </row>
    <row r="1017" spans="1:16" hidden="1" x14ac:dyDescent="0.25">
      <c r="A1017" t="s">
        <v>2040</v>
      </c>
      <c r="B1017" t="s">
        <v>2041</v>
      </c>
      <c r="C1017" t="s">
        <v>1976</v>
      </c>
      <c r="D1017" s="11" t="s">
        <v>2250</v>
      </c>
      <c r="E1017" s="12">
        <v>45929</v>
      </c>
      <c r="F1017" s="12">
        <v>45929</v>
      </c>
      <c r="G1017" t="s">
        <v>2248</v>
      </c>
      <c r="H1017" t="s">
        <v>1029</v>
      </c>
      <c r="I1017">
        <v>101</v>
      </c>
      <c r="J1017">
        <v>0</v>
      </c>
      <c r="M1017">
        <v>3.72</v>
      </c>
      <c r="N1017">
        <v>375.72</v>
      </c>
      <c r="O1017">
        <v>-375.72</v>
      </c>
      <c r="P1017">
        <v>0</v>
      </c>
    </row>
    <row r="1018" spans="1:16" hidden="1" x14ac:dyDescent="0.25">
      <c r="A1018" t="s">
        <v>2040</v>
      </c>
      <c r="B1018" t="s">
        <v>2041</v>
      </c>
      <c r="C1018" t="s">
        <v>1976</v>
      </c>
      <c r="D1018" s="11" t="s">
        <v>2250</v>
      </c>
      <c r="E1018" s="12">
        <v>45929</v>
      </c>
      <c r="F1018" s="12">
        <v>45929</v>
      </c>
      <c r="G1018" t="s">
        <v>2248</v>
      </c>
      <c r="H1018" t="s">
        <v>1078</v>
      </c>
      <c r="I1018">
        <v>5000</v>
      </c>
      <c r="J1018">
        <v>0</v>
      </c>
      <c r="M1018">
        <v>7.0389999999999994E-2</v>
      </c>
      <c r="N1018">
        <v>351.95</v>
      </c>
      <c r="O1018">
        <v>-351.95</v>
      </c>
      <c r="P1018">
        <v>0</v>
      </c>
    </row>
    <row r="1019" spans="1:16" hidden="1" x14ac:dyDescent="0.25">
      <c r="A1019" t="s">
        <v>2040</v>
      </c>
      <c r="B1019" t="s">
        <v>2041</v>
      </c>
      <c r="C1019" t="s">
        <v>1976</v>
      </c>
      <c r="D1019" s="11" t="s">
        <v>2250</v>
      </c>
      <c r="E1019" s="12">
        <v>45929</v>
      </c>
      <c r="F1019" s="12">
        <v>45929</v>
      </c>
      <c r="G1019" t="s">
        <v>2248</v>
      </c>
      <c r="H1019" t="s">
        <v>1136</v>
      </c>
      <c r="I1019">
        <v>2480</v>
      </c>
      <c r="J1019">
        <v>0</v>
      </c>
      <c r="M1019">
        <v>2.75</v>
      </c>
      <c r="N1019">
        <v>6820</v>
      </c>
      <c r="O1019">
        <v>-6820</v>
      </c>
      <c r="P1019">
        <v>0</v>
      </c>
    </row>
    <row r="1020" spans="1:16" hidden="1" x14ac:dyDescent="0.25">
      <c r="A1020" t="s">
        <v>2040</v>
      </c>
      <c r="B1020" t="s">
        <v>2041</v>
      </c>
      <c r="C1020" t="s">
        <v>1976</v>
      </c>
      <c r="D1020" s="11" t="s">
        <v>2250</v>
      </c>
      <c r="E1020" s="12">
        <v>45929</v>
      </c>
      <c r="F1020" s="12">
        <v>45929</v>
      </c>
      <c r="G1020" t="s">
        <v>2248</v>
      </c>
      <c r="H1020" t="s">
        <v>1245</v>
      </c>
      <c r="I1020">
        <v>500</v>
      </c>
      <c r="J1020">
        <v>0</v>
      </c>
      <c r="M1020">
        <v>1.2312000000000001</v>
      </c>
      <c r="N1020">
        <v>615.6</v>
      </c>
      <c r="O1020">
        <v>-615.6</v>
      </c>
      <c r="P1020">
        <v>0</v>
      </c>
    </row>
    <row r="1021" spans="1:16" hidden="1" x14ac:dyDescent="0.25">
      <c r="A1021" t="s">
        <v>2040</v>
      </c>
      <c r="B1021" t="s">
        <v>2041</v>
      </c>
      <c r="C1021" t="s">
        <v>1976</v>
      </c>
      <c r="D1021" s="11" t="s">
        <v>2250</v>
      </c>
      <c r="E1021" s="12">
        <v>45929</v>
      </c>
      <c r="F1021" s="12">
        <v>45929</v>
      </c>
      <c r="G1021" t="s">
        <v>2248</v>
      </c>
      <c r="H1021" t="s">
        <v>1278</v>
      </c>
      <c r="I1021">
        <v>500</v>
      </c>
      <c r="J1021">
        <v>0</v>
      </c>
      <c r="M1021">
        <v>3.1429999999999998</v>
      </c>
      <c r="N1021">
        <v>1571.5</v>
      </c>
      <c r="O1021">
        <v>-1571.5</v>
      </c>
      <c r="P1021">
        <v>0</v>
      </c>
    </row>
    <row r="1022" spans="1:16" hidden="1" x14ac:dyDescent="0.25">
      <c r="A1022" t="s">
        <v>2040</v>
      </c>
      <c r="B1022" t="s">
        <v>2041</v>
      </c>
      <c r="C1022" t="s">
        <v>1976</v>
      </c>
      <c r="D1022" s="11" t="s">
        <v>2250</v>
      </c>
      <c r="E1022" s="12">
        <v>45929</v>
      </c>
      <c r="F1022" s="12">
        <v>45929</v>
      </c>
      <c r="G1022" t="s">
        <v>2248</v>
      </c>
      <c r="H1022" t="s">
        <v>1463</v>
      </c>
      <c r="I1022">
        <v>50</v>
      </c>
      <c r="J1022">
        <v>0</v>
      </c>
      <c r="M1022">
        <v>7.34</v>
      </c>
      <c r="N1022">
        <v>367</v>
      </c>
      <c r="O1022">
        <v>-367</v>
      </c>
      <c r="P1022">
        <v>0</v>
      </c>
    </row>
    <row r="1023" spans="1:16" hidden="1" x14ac:dyDescent="0.25">
      <c r="A1023" t="s">
        <v>2040</v>
      </c>
      <c r="B1023" t="s">
        <v>2041</v>
      </c>
      <c r="C1023" t="s">
        <v>1976</v>
      </c>
      <c r="D1023" s="11" t="s">
        <v>2250</v>
      </c>
      <c r="E1023" s="12">
        <v>45929</v>
      </c>
      <c r="F1023" s="12">
        <v>45929</v>
      </c>
      <c r="G1023" t="s">
        <v>2248</v>
      </c>
      <c r="H1023" t="s">
        <v>1651</v>
      </c>
      <c r="I1023">
        <v>664</v>
      </c>
      <c r="J1023">
        <v>0</v>
      </c>
      <c r="M1023">
        <v>2.1000000000000001E-2</v>
      </c>
      <c r="N1023">
        <v>13.944000000000001</v>
      </c>
      <c r="O1023">
        <v>-13.944000000000001</v>
      </c>
      <c r="P1023">
        <v>0</v>
      </c>
    </row>
    <row r="1024" spans="1:16" hidden="1" x14ac:dyDescent="0.25">
      <c r="A1024" t="s">
        <v>2040</v>
      </c>
      <c r="B1024" t="s">
        <v>2041</v>
      </c>
      <c r="C1024" t="s">
        <v>1976</v>
      </c>
      <c r="D1024" s="11" t="s">
        <v>2250</v>
      </c>
      <c r="E1024" s="12">
        <v>45929</v>
      </c>
      <c r="F1024" s="12">
        <v>45929</v>
      </c>
      <c r="G1024" t="s">
        <v>2248</v>
      </c>
      <c r="H1024" t="s">
        <v>1720</v>
      </c>
      <c r="I1024">
        <v>354</v>
      </c>
      <c r="J1024">
        <v>0</v>
      </c>
      <c r="M1024">
        <v>3.16</v>
      </c>
      <c r="N1024">
        <v>1118.6400000000001</v>
      </c>
      <c r="O1024">
        <v>-1118.6400000000001</v>
      </c>
      <c r="P1024">
        <v>0</v>
      </c>
    </row>
    <row r="1025" spans="1:16" hidden="1" x14ac:dyDescent="0.25">
      <c r="A1025" t="s">
        <v>2040</v>
      </c>
      <c r="B1025" t="s">
        <v>2041</v>
      </c>
      <c r="C1025" t="s">
        <v>1976</v>
      </c>
      <c r="D1025" s="11" t="s">
        <v>2250</v>
      </c>
      <c r="E1025" s="12">
        <v>45929</v>
      </c>
      <c r="F1025" s="12">
        <v>45929</v>
      </c>
      <c r="G1025" t="s">
        <v>2248</v>
      </c>
      <c r="H1025" t="s">
        <v>1720</v>
      </c>
      <c r="I1025">
        <v>4</v>
      </c>
      <c r="J1025">
        <v>0</v>
      </c>
      <c r="M1025">
        <v>3.76</v>
      </c>
      <c r="N1025">
        <v>15.04</v>
      </c>
      <c r="O1025">
        <v>-15.04</v>
      </c>
      <c r="P1025">
        <v>0</v>
      </c>
    </row>
    <row r="1026" spans="1:16" hidden="1" x14ac:dyDescent="0.25">
      <c r="A1026" t="s">
        <v>2040</v>
      </c>
      <c r="B1026" t="s">
        <v>2041</v>
      </c>
      <c r="C1026" t="s">
        <v>1976</v>
      </c>
      <c r="D1026" s="11" t="s">
        <v>2250</v>
      </c>
      <c r="E1026" s="12">
        <v>45929</v>
      </c>
      <c r="F1026" s="12">
        <v>45929</v>
      </c>
      <c r="G1026" t="s">
        <v>2248</v>
      </c>
      <c r="H1026" t="s">
        <v>1825</v>
      </c>
      <c r="I1026">
        <v>200</v>
      </c>
      <c r="J1026">
        <v>0</v>
      </c>
      <c r="M1026">
        <v>1.7749999999999999</v>
      </c>
      <c r="N1026">
        <v>355</v>
      </c>
      <c r="O1026">
        <v>-355</v>
      </c>
      <c r="P1026">
        <v>0</v>
      </c>
    </row>
    <row r="1027" spans="1:16" hidden="1" x14ac:dyDescent="0.25">
      <c r="A1027" t="s">
        <v>2040</v>
      </c>
      <c r="B1027" t="s">
        <v>2041</v>
      </c>
      <c r="C1027" t="s">
        <v>1976</v>
      </c>
      <c r="D1027" s="11" t="s">
        <v>2250</v>
      </c>
      <c r="E1027" s="12">
        <v>45929</v>
      </c>
      <c r="F1027" s="12">
        <v>45929</v>
      </c>
      <c r="G1027" t="s">
        <v>2248</v>
      </c>
      <c r="H1027" t="s">
        <v>1868</v>
      </c>
      <c r="I1027">
        <v>2000</v>
      </c>
      <c r="J1027">
        <v>0</v>
      </c>
      <c r="M1027">
        <v>0.14499999999999999</v>
      </c>
      <c r="N1027">
        <v>290</v>
      </c>
      <c r="O1027">
        <v>-290</v>
      </c>
      <c r="P1027">
        <v>0</v>
      </c>
    </row>
    <row r="1028" spans="1:16" hidden="1" x14ac:dyDescent="0.25">
      <c r="A1028" t="s">
        <v>2040</v>
      </c>
      <c r="B1028" t="s">
        <v>2041</v>
      </c>
      <c r="C1028" t="s">
        <v>1976</v>
      </c>
      <c r="D1028" s="11" t="s">
        <v>2250</v>
      </c>
      <c r="E1028" s="12">
        <v>45929</v>
      </c>
      <c r="F1028" s="12">
        <v>45929</v>
      </c>
      <c r="G1028" t="s">
        <v>2248</v>
      </c>
      <c r="H1028" t="s">
        <v>95</v>
      </c>
      <c r="I1028">
        <v>14</v>
      </c>
      <c r="J1028">
        <v>0</v>
      </c>
      <c r="M1028">
        <v>1.5</v>
      </c>
      <c r="N1028">
        <v>21</v>
      </c>
      <c r="O1028">
        <v>-21</v>
      </c>
      <c r="P1028">
        <v>0</v>
      </c>
    </row>
    <row r="1029" spans="1:16" hidden="1" x14ac:dyDescent="0.25">
      <c r="A1029" t="s">
        <v>2040</v>
      </c>
      <c r="B1029" t="s">
        <v>2041</v>
      </c>
      <c r="C1029" t="s">
        <v>1976</v>
      </c>
      <c r="D1029" s="11" t="s">
        <v>2250</v>
      </c>
      <c r="E1029" s="12">
        <v>45929</v>
      </c>
      <c r="F1029" s="12">
        <v>45929</v>
      </c>
      <c r="G1029" t="s">
        <v>2248</v>
      </c>
      <c r="H1029" t="s">
        <v>188</v>
      </c>
      <c r="I1029">
        <v>1500</v>
      </c>
      <c r="J1029">
        <v>0</v>
      </c>
      <c r="M1029">
        <v>1.26</v>
      </c>
      <c r="N1029">
        <v>1890</v>
      </c>
      <c r="O1029">
        <v>-1890</v>
      </c>
      <c r="P1029">
        <v>0</v>
      </c>
    </row>
    <row r="1030" spans="1:16" hidden="1" x14ac:dyDescent="0.25">
      <c r="A1030" t="s">
        <v>2040</v>
      </c>
      <c r="B1030" t="s">
        <v>2041</v>
      </c>
      <c r="C1030" t="s">
        <v>1976</v>
      </c>
      <c r="D1030" s="11" t="s">
        <v>2250</v>
      </c>
      <c r="E1030" s="12">
        <v>45929</v>
      </c>
      <c r="F1030" s="12">
        <v>45929</v>
      </c>
      <c r="G1030" t="s">
        <v>2248</v>
      </c>
      <c r="H1030" t="s">
        <v>190</v>
      </c>
      <c r="I1030">
        <v>2500</v>
      </c>
      <c r="J1030">
        <v>0</v>
      </c>
      <c r="M1030">
        <v>1.28</v>
      </c>
      <c r="N1030">
        <v>3200</v>
      </c>
      <c r="O1030">
        <v>-3200</v>
      </c>
      <c r="P1030">
        <v>0</v>
      </c>
    </row>
    <row r="1031" spans="1:16" hidden="1" x14ac:dyDescent="0.25">
      <c r="A1031" t="s">
        <v>2040</v>
      </c>
      <c r="B1031" t="s">
        <v>2041</v>
      </c>
      <c r="C1031" t="s">
        <v>1976</v>
      </c>
      <c r="D1031" s="11" t="s">
        <v>2250</v>
      </c>
      <c r="E1031" s="12">
        <v>45929</v>
      </c>
      <c r="F1031" s="12">
        <v>45929</v>
      </c>
      <c r="G1031" t="s">
        <v>2248</v>
      </c>
      <c r="H1031" t="s">
        <v>419</v>
      </c>
      <c r="I1031">
        <v>500</v>
      </c>
      <c r="J1031">
        <v>0</v>
      </c>
      <c r="M1031">
        <v>2.5099999999999998</v>
      </c>
      <c r="N1031">
        <v>1255</v>
      </c>
      <c r="O1031">
        <v>-1255</v>
      </c>
      <c r="P1031">
        <v>0</v>
      </c>
    </row>
    <row r="1032" spans="1:16" hidden="1" x14ac:dyDescent="0.25">
      <c r="A1032" t="s">
        <v>2040</v>
      </c>
      <c r="B1032" t="s">
        <v>2041</v>
      </c>
      <c r="C1032" t="s">
        <v>1976</v>
      </c>
      <c r="D1032" s="11" t="s">
        <v>2250</v>
      </c>
      <c r="E1032" s="12">
        <v>45929</v>
      </c>
      <c r="F1032" s="12">
        <v>45929</v>
      </c>
      <c r="G1032" t="s">
        <v>2248</v>
      </c>
      <c r="H1032" t="s">
        <v>577</v>
      </c>
      <c r="I1032">
        <v>4000</v>
      </c>
      <c r="J1032">
        <v>0</v>
      </c>
      <c r="M1032">
        <v>0.215</v>
      </c>
      <c r="N1032">
        <v>860</v>
      </c>
      <c r="O1032">
        <v>-860</v>
      </c>
      <c r="P1032">
        <v>0</v>
      </c>
    </row>
    <row r="1033" spans="1:16" hidden="1" x14ac:dyDescent="0.25">
      <c r="A1033" t="s">
        <v>2040</v>
      </c>
      <c r="B1033" t="s">
        <v>2041</v>
      </c>
      <c r="C1033" t="s">
        <v>1976</v>
      </c>
      <c r="D1033" s="11" t="s">
        <v>2250</v>
      </c>
      <c r="E1033" s="12">
        <v>45929</v>
      </c>
      <c r="F1033" s="12">
        <v>45929</v>
      </c>
      <c r="G1033" t="s">
        <v>2248</v>
      </c>
      <c r="H1033" t="s">
        <v>601</v>
      </c>
      <c r="I1033">
        <v>60</v>
      </c>
      <c r="J1033">
        <v>0</v>
      </c>
      <c r="M1033">
        <v>24.9</v>
      </c>
      <c r="N1033">
        <v>1494</v>
      </c>
      <c r="O1033">
        <v>-1494</v>
      </c>
      <c r="P1033">
        <v>0</v>
      </c>
    </row>
    <row r="1034" spans="1:16" hidden="1" x14ac:dyDescent="0.25">
      <c r="A1034" t="s">
        <v>2040</v>
      </c>
      <c r="B1034" t="s">
        <v>2041</v>
      </c>
      <c r="C1034" t="s">
        <v>1976</v>
      </c>
      <c r="D1034" s="11" t="s">
        <v>2250</v>
      </c>
      <c r="E1034" s="12">
        <v>45929</v>
      </c>
      <c r="F1034" s="12">
        <v>45929</v>
      </c>
      <c r="G1034" t="s">
        <v>2248</v>
      </c>
      <c r="H1034" t="s">
        <v>739</v>
      </c>
      <c r="I1034">
        <v>50</v>
      </c>
      <c r="J1034">
        <v>0</v>
      </c>
      <c r="M1034">
        <v>64.069999999999993</v>
      </c>
      <c r="N1034">
        <v>3203.5</v>
      </c>
      <c r="O1034">
        <v>-3203.5</v>
      </c>
      <c r="P1034">
        <v>0</v>
      </c>
    </row>
    <row r="1035" spans="1:16" hidden="1" x14ac:dyDescent="0.25">
      <c r="A1035" t="s">
        <v>2040</v>
      </c>
      <c r="B1035" t="s">
        <v>2041</v>
      </c>
      <c r="C1035" t="s">
        <v>1976</v>
      </c>
      <c r="D1035" s="11" t="s">
        <v>2250</v>
      </c>
      <c r="E1035" s="12">
        <v>45929</v>
      </c>
      <c r="F1035" s="12">
        <v>45929</v>
      </c>
      <c r="G1035" t="s">
        <v>2248</v>
      </c>
      <c r="H1035" t="s">
        <v>820</v>
      </c>
      <c r="I1035">
        <v>5000</v>
      </c>
      <c r="J1035">
        <v>0</v>
      </c>
      <c r="M1035">
        <v>2.7E-2</v>
      </c>
      <c r="N1035">
        <v>135</v>
      </c>
      <c r="O1035">
        <v>-135</v>
      </c>
      <c r="P1035">
        <v>0</v>
      </c>
    </row>
    <row r="1036" spans="1:16" hidden="1" x14ac:dyDescent="0.25">
      <c r="A1036" t="s">
        <v>2040</v>
      </c>
      <c r="B1036" t="s">
        <v>2041</v>
      </c>
      <c r="C1036" t="s">
        <v>1976</v>
      </c>
      <c r="D1036" s="11" t="s">
        <v>2250</v>
      </c>
      <c r="E1036" s="12">
        <v>45929</v>
      </c>
      <c r="F1036" s="12">
        <v>45929</v>
      </c>
      <c r="G1036" t="s">
        <v>2248</v>
      </c>
      <c r="H1036" t="s">
        <v>888</v>
      </c>
      <c r="I1036">
        <v>248</v>
      </c>
      <c r="J1036">
        <v>0</v>
      </c>
      <c r="M1036">
        <v>2.02</v>
      </c>
      <c r="N1036">
        <v>500.96</v>
      </c>
      <c r="O1036">
        <v>-500.96</v>
      </c>
      <c r="P1036">
        <v>0</v>
      </c>
    </row>
    <row r="1037" spans="1:16" hidden="1" x14ac:dyDescent="0.25">
      <c r="A1037" t="s">
        <v>2040</v>
      </c>
      <c r="B1037" t="s">
        <v>2041</v>
      </c>
      <c r="C1037" t="s">
        <v>1976</v>
      </c>
      <c r="D1037" s="11" t="s">
        <v>2250</v>
      </c>
      <c r="E1037" s="12">
        <v>45929</v>
      </c>
      <c r="F1037" s="12">
        <v>45929</v>
      </c>
      <c r="G1037" t="s">
        <v>2248</v>
      </c>
      <c r="H1037" t="s">
        <v>1547</v>
      </c>
      <c r="I1037">
        <v>9400</v>
      </c>
      <c r="J1037">
        <v>0</v>
      </c>
      <c r="M1037">
        <v>3.7999999999999999E-2</v>
      </c>
      <c r="N1037">
        <v>357.2</v>
      </c>
      <c r="O1037">
        <v>-357.2</v>
      </c>
      <c r="P1037">
        <v>0</v>
      </c>
    </row>
    <row r="1038" spans="1:16" hidden="1" x14ac:dyDescent="0.25">
      <c r="A1038" t="s">
        <v>2040</v>
      </c>
      <c r="B1038" t="s">
        <v>2041</v>
      </c>
      <c r="C1038" t="s">
        <v>1976</v>
      </c>
      <c r="D1038" s="11" t="s">
        <v>2250</v>
      </c>
      <c r="E1038" s="12">
        <v>45929</v>
      </c>
      <c r="F1038" s="12">
        <v>45929</v>
      </c>
      <c r="G1038" t="s">
        <v>2248</v>
      </c>
      <c r="H1038" t="s">
        <v>14</v>
      </c>
      <c r="I1038">
        <v>5000</v>
      </c>
      <c r="J1038">
        <v>0</v>
      </c>
      <c r="M1038">
        <v>0.1108</v>
      </c>
      <c r="N1038">
        <v>554</v>
      </c>
      <c r="O1038">
        <v>-554</v>
      </c>
      <c r="P1038">
        <v>0</v>
      </c>
    </row>
    <row r="1039" spans="1:16" hidden="1" x14ac:dyDescent="0.25">
      <c r="A1039" t="s">
        <v>2040</v>
      </c>
      <c r="B1039" t="s">
        <v>2041</v>
      </c>
      <c r="C1039" t="s">
        <v>1976</v>
      </c>
      <c r="D1039" s="11" t="s">
        <v>2250</v>
      </c>
      <c r="E1039" s="12">
        <v>45929</v>
      </c>
      <c r="F1039" s="12">
        <v>45929</v>
      </c>
      <c r="G1039" t="s">
        <v>2248</v>
      </c>
      <c r="H1039" t="s">
        <v>95</v>
      </c>
      <c r="I1039">
        <v>46</v>
      </c>
      <c r="J1039">
        <v>0</v>
      </c>
      <c r="M1039">
        <v>1.5</v>
      </c>
      <c r="N1039">
        <v>69</v>
      </c>
      <c r="O1039">
        <v>-69</v>
      </c>
      <c r="P1039">
        <v>0</v>
      </c>
    </row>
    <row r="1040" spans="1:16" hidden="1" x14ac:dyDescent="0.25">
      <c r="A1040" t="s">
        <v>2040</v>
      </c>
      <c r="B1040" t="s">
        <v>2041</v>
      </c>
      <c r="C1040" t="s">
        <v>1976</v>
      </c>
      <c r="D1040" s="11" t="s">
        <v>2250</v>
      </c>
      <c r="E1040" s="12">
        <v>45929</v>
      </c>
      <c r="F1040" s="12">
        <v>45929</v>
      </c>
      <c r="G1040" t="s">
        <v>2248</v>
      </c>
      <c r="H1040" t="s">
        <v>118</v>
      </c>
      <c r="I1040">
        <v>50</v>
      </c>
      <c r="J1040">
        <v>0</v>
      </c>
      <c r="M1040">
        <v>9.18</v>
      </c>
      <c r="N1040">
        <v>459</v>
      </c>
      <c r="O1040">
        <v>-459</v>
      </c>
      <c r="P1040">
        <v>0</v>
      </c>
    </row>
    <row r="1041" spans="1:16" hidden="1" x14ac:dyDescent="0.25">
      <c r="A1041" t="s">
        <v>2040</v>
      </c>
      <c r="B1041" t="s">
        <v>2041</v>
      </c>
      <c r="C1041" t="s">
        <v>1976</v>
      </c>
      <c r="D1041" s="11" t="s">
        <v>2250</v>
      </c>
      <c r="E1041" s="12">
        <v>45929</v>
      </c>
      <c r="F1041" s="12">
        <v>45929</v>
      </c>
      <c r="G1041" t="s">
        <v>2248</v>
      </c>
      <c r="H1041" t="s">
        <v>128</v>
      </c>
      <c r="I1041">
        <v>270</v>
      </c>
      <c r="J1041">
        <v>0</v>
      </c>
      <c r="M1041">
        <v>2.81</v>
      </c>
      <c r="N1041">
        <v>758.7</v>
      </c>
      <c r="O1041">
        <v>-758.7</v>
      </c>
      <c r="P1041">
        <v>0</v>
      </c>
    </row>
    <row r="1042" spans="1:16" hidden="1" x14ac:dyDescent="0.25">
      <c r="A1042" t="s">
        <v>2040</v>
      </c>
      <c r="B1042" t="s">
        <v>2041</v>
      </c>
      <c r="C1042" t="s">
        <v>1976</v>
      </c>
      <c r="D1042" s="11" t="s">
        <v>2250</v>
      </c>
      <c r="E1042" s="12">
        <v>45929</v>
      </c>
      <c r="F1042" s="12">
        <v>45929</v>
      </c>
      <c r="G1042" t="s">
        <v>2248</v>
      </c>
      <c r="H1042" t="s">
        <v>260</v>
      </c>
      <c r="I1042">
        <v>100</v>
      </c>
      <c r="J1042">
        <v>0</v>
      </c>
      <c r="M1042">
        <v>1.63</v>
      </c>
      <c r="N1042">
        <v>163</v>
      </c>
      <c r="O1042">
        <v>-163</v>
      </c>
      <c r="P1042">
        <v>0</v>
      </c>
    </row>
    <row r="1043" spans="1:16" hidden="1" x14ac:dyDescent="0.25">
      <c r="A1043" t="s">
        <v>2040</v>
      </c>
      <c r="B1043" t="s">
        <v>2041</v>
      </c>
      <c r="C1043" t="s">
        <v>1976</v>
      </c>
      <c r="D1043" s="11" t="s">
        <v>2250</v>
      </c>
      <c r="E1043" s="12">
        <v>45929</v>
      </c>
      <c r="F1043" s="12">
        <v>45929</v>
      </c>
      <c r="G1043" t="s">
        <v>2248</v>
      </c>
      <c r="H1043" t="s">
        <v>400</v>
      </c>
      <c r="I1043">
        <v>500</v>
      </c>
      <c r="J1043">
        <v>0</v>
      </c>
      <c r="M1043">
        <v>0.59699999999999998</v>
      </c>
      <c r="N1043">
        <v>298.5</v>
      </c>
      <c r="O1043">
        <v>-298.5</v>
      </c>
      <c r="P1043">
        <v>0</v>
      </c>
    </row>
    <row r="1044" spans="1:16" hidden="1" x14ac:dyDescent="0.25">
      <c r="A1044" t="s">
        <v>2040</v>
      </c>
      <c r="B1044" t="s">
        <v>2041</v>
      </c>
      <c r="C1044" t="s">
        <v>1976</v>
      </c>
      <c r="D1044" s="11" t="s">
        <v>2250</v>
      </c>
      <c r="E1044" s="12">
        <v>45929</v>
      </c>
      <c r="F1044" s="12">
        <v>45929</v>
      </c>
      <c r="G1044" t="s">
        <v>2248</v>
      </c>
      <c r="H1044" t="s">
        <v>522</v>
      </c>
      <c r="I1044">
        <v>50</v>
      </c>
      <c r="J1044">
        <v>0</v>
      </c>
      <c r="M1044">
        <v>16.696729999999999</v>
      </c>
      <c r="N1044">
        <v>834.8365</v>
      </c>
      <c r="O1044">
        <v>-834.8365</v>
      </c>
      <c r="P1044">
        <v>0</v>
      </c>
    </row>
    <row r="1045" spans="1:16" hidden="1" x14ac:dyDescent="0.25">
      <c r="A1045" t="s">
        <v>2040</v>
      </c>
      <c r="B1045" t="s">
        <v>2041</v>
      </c>
      <c r="C1045" t="s">
        <v>1976</v>
      </c>
      <c r="D1045" s="11" t="s">
        <v>2250</v>
      </c>
      <c r="E1045" s="12">
        <v>45929</v>
      </c>
      <c r="F1045" s="12">
        <v>45929</v>
      </c>
      <c r="G1045" t="s">
        <v>2248</v>
      </c>
      <c r="H1045" t="s">
        <v>524</v>
      </c>
      <c r="I1045">
        <v>100</v>
      </c>
      <c r="J1045">
        <v>0</v>
      </c>
      <c r="M1045">
        <v>15.12589</v>
      </c>
      <c r="N1045">
        <v>1512.5889999999999</v>
      </c>
      <c r="O1045">
        <v>-1512.5889999999999</v>
      </c>
      <c r="P1045">
        <v>0</v>
      </c>
    </row>
    <row r="1046" spans="1:16" hidden="1" x14ac:dyDescent="0.25">
      <c r="A1046" t="s">
        <v>2040</v>
      </c>
      <c r="B1046" t="s">
        <v>2041</v>
      </c>
      <c r="C1046" t="s">
        <v>1976</v>
      </c>
      <c r="D1046" s="11" t="s">
        <v>2250</v>
      </c>
      <c r="E1046" s="12">
        <v>45929</v>
      </c>
      <c r="F1046" s="12">
        <v>45929</v>
      </c>
      <c r="G1046" t="s">
        <v>2248</v>
      </c>
      <c r="H1046" t="s">
        <v>775</v>
      </c>
      <c r="I1046">
        <v>310</v>
      </c>
      <c r="J1046">
        <v>0</v>
      </c>
      <c r="M1046">
        <v>0.73499999999999999</v>
      </c>
      <c r="N1046">
        <v>227.85</v>
      </c>
      <c r="O1046">
        <v>-227.85</v>
      </c>
      <c r="P1046">
        <v>0</v>
      </c>
    </row>
    <row r="1047" spans="1:16" hidden="1" x14ac:dyDescent="0.25">
      <c r="A1047" t="s">
        <v>2040</v>
      </c>
      <c r="B1047" t="s">
        <v>2041</v>
      </c>
      <c r="C1047" t="s">
        <v>1976</v>
      </c>
      <c r="D1047" s="11" t="s">
        <v>2250</v>
      </c>
      <c r="E1047" s="12">
        <v>45929</v>
      </c>
      <c r="F1047" s="12">
        <v>45929</v>
      </c>
      <c r="G1047" t="s">
        <v>2248</v>
      </c>
      <c r="H1047" t="s">
        <v>916</v>
      </c>
      <c r="I1047">
        <v>4000</v>
      </c>
      <c r="J1047">
        <v>0</v>
      </c>
      <c r="M1047">
        <v>4.0340000000000001E-2</v>
      </c>
      <c r="N1047">
        <v>161.36000000000001</v>
      </c>
      <c r="O1047">
        <v>-161.36000000000001</v>
      </c>
      <c r="P1047">
        <v>0</v>
      </c>
    </row>
    <row r="1048" spans="1:16" hidden="1" x14ac:dyDescent="0.25">
      <c r="A1048" t="s">
        <v>2040</v>
      </c>
      <c r="B1048" t="s">
        <v>2041</v>
      </c>
      <c r="C1048" t="s">
        <v>1976</v>
      </c>
      <c r="D1048" s="11" t="s">
        <v>2250</v>
      </c>
      <c r="E1048" s="12">
        <v>45929</v>
      </c>
      <c r="F1048" s="12">
        <v>45929</v>
      </c>
      <c r="G1048" t="s">
        <v>2248</v>
      </c>
      <c r="H1048" t="s">
        <v>918</v>
      </c>
      <c r="I1048">
        <v>4000</v>
      </c>
      <c r="J1048">
        <v>0</v>
      </c>
      <c r="M1048">
        <v>2.8000000000000001E-2</v>
      </c>
      <c r="N1048">
        <v>112</v>
      </c>
      <c r="O1048">
        <v>-112</v>
      </c>
      <c r="P1048">
        <v>0</v>
      </c>
    </row>
    <row r="1049" spans="1:16" hidden="1" x14ac:dyDescent="0.25">
      <c r="A1049" t="s">
        <v>2040</v>
      </c>
      <c r="B1049" t="s">
        <v>2041</v>
      </c>
      <c r="C1049" t="s">
        <v>1976</v>
      </c>
      <c r="D1049" s="11" t="s">
        <v>2250</v>
      </c>
      <c r="E1049" s="12">
        <v>45929</v>
      </c>
      <c r="F1049" s="12">
        <v>45929</v>
      </c>
      <c r="G1049" t="s">
        <v>2248</v>
      </c>
      <c r="H1049" t="s">
        <v>937</v>
      </c>
      <c r="I1049">
        <v>1000</v>
      </c>
      <c r="J1049">
        <v>0</v>
      </c>
      <c r="M1049">
        <v>0.19</v>
      </c>
      <c r="N1049">
        <v>190</v>
      </c>
      <c r="O1049">
        <v>-190</v>
      </c>
      <c r="P1049">
        <v>0</v>
      </c>
    </row>
    <row r="1050" spans="1:16" hidden="1" x14ac:dyDescent="0.25">
      <c r="A1050" t="s">
        <v>2040</v>
      </c>
      <c r="B1050" t="s">
        <v>2041</v>
      </c>
      <c r="C1050" t="s">
        <v>1976</v>
      </c>
      <c r="D1050" s="11" t="s">
        <v>2250</v>
      </c>
      <c r="E1050" s="12">
        <v>45929</v>
      </c>
      <c r="F1050" s="12">
        <v>45929</v>
      </c>
      <c r="G1050" t="s">
        <v>2248</v>
      </c>
      <c r="H1050" t="s">
        <v>949</v>
      </c>
      <c r="I1050">
        <v>3000</v>
      </c>
      <c r="J1050">
        <v>0</v>
      </c>
      <c r="M1050">
        <v>0.182</v>
      </c>
      <c r="N1050">
        <v>546</v>
      </c>
      <c r="O1050">
        <v>-546</v>
      </c>
      <c r="P1050">
        <v>0</v>
      </c>
    </row>
    <row r="1051" spans="1:16" hidden="1" x14ac:dyDescent="0.25">
      <c r="A1051" t="s">
        <v>2040</v>
      </c>
      <c r="B1051" t="s">
        <v>2041</v>
      </c>
      <c r="C1051" t="s">
        <v>1976</v>
      </c>
      <c r="D1051" s="11" t="s">
        <v>2250</v>
      </c>
      <c r="E1051" s="12">
        <v>45929</v>
      </c>
      <c r="F1051" s="12">
        <v>45929</v>
      </c>
      <c r="G1051" t="s">
        <v>2248</v>
      </c>
      <c r="H1051" t="s">
        <v>1209</v>
      </c>
      <c r="I1051">
        <v>5000</v>
      </c>
      <c r="J1051">
        <v>0</v>
      </c>
      <c r="M1051">
        <v>0.11600000000000001</v>
      </c>
      <c r="N1051">
        <v>580</v>
      </c>
      <c r="O1051">
        <v>-580</v>
      </c>
      <c r="P1051">
        <v>0</v>
      </c>
    </row>
    <row r="1052" spans="1:16" hidden="1" x14ac:dyDescent="0.25">
      <c r="A1052" t="s">
        <v>2040</v>
      </c>
      <c r="B1052" t="s">
        <v>2041</v>
      </c>
      <c r="C1052" t="s">
        <v>1976</v>
      </c>
      <c r="D1052" s="11" t="s">
        <v>2250</v>
      </c>
      <c r="E1052" s="12">
        <v>45929</v>
      </c>
      <c r="F1052" s="12">
        <v>45929</v>
      </c>
      <c r="G1052" t="s">
        <v>2248</v>
      </c>
      <c r="H1052" t="s">
        <v>1290</v>
      </c>
      <c r="I1052">
        <v>2940</v>
      </c>
      <c r="J1052">
        <v>0</v>
      </c>
      <c r="M1052">
        <v>0.121</v>
      </c>
      <c r="N1052">
        <v>355.74</v>
      </c>
      <c r="O1052">
        <v>-355.74</v>
      </c>
      <c r="P1052">
        <v>0</v>
      </c>
    </row>
    <row r="1053" spans="1:16" hidden="1" x14ac:dyDescent="0.25">
      <c r="A1053" t="s">
        <v>2040</v>
      </c>
      <c r="B1053" t="s">
        <v>2041</v>
      </c>
      <c r="C1053" t="s">
        <v>1976</v>
      </c>
      <c r="D1053" s="11" t="s">
        <v>2250</v>
      </c>
      <c r="E1053" s="12">
        <v>45929</v>
      </c>
      <c r="F1053" s="12">
        <v>45929</v>
      </c>
      <c r="G1053" t="s">
        <v>2248</v>
      </c>
      <c r="H1053" t="s">
        <v>1612</v>
      </c>
      <c r="I1053">
        <v>199</v>
      </c>
      <c r="J1053">
        <v>0</v>
      </c>
      <c r="M1053">
        <v>0.51770000000000005</v>
      </c>
      <c r="N1053">
        <v>103.0223</v>
      </c>
      <c r="O1053">
        <v>-103.0223</v>
      </c>
      <c r="P1053">
        <v>0</v>
      </c>
    </row>
    <row r="1054" spans="1:16" hidden="1" x14ac:dyDescent="0.25">
      <c r="A1054" t="s">
        <v>2040</v>
      </c>
      <c r="B1054" t="s">
        <v>2041</v>
      </c>
      <c r="C1054" t="s">
        <v>1976</v>
      </c>
      <c r="D1054" s="11" t="s">
        <v>2250</v>
      </c>
      <c r="E1054" s="12">
        <v>45929</v>
      </c>
      <c r="F1054" s="12">
        <v>45929</v>
      </c>
      <c r="G1054" t="s">
        <v>2248</v>
      </c>
      <c r="H1054" t="s">
        <v>1613</v>
      </c>
      <c r="I1054">
        <v>200</v>
      </c>
      <c r="J1054">
        <v>0</v>
      </c>
      <c r="M1054">
        <v>0.21254999999999999</v>
      </c>
      <c r="N1054">
        <v>42.51</v>
      </c>
      <c r="O1054">
        <v>-42.51</v>
      </c>
      <c r="P1054">
        <v>0</v>
      </c>
    </row>
    <row r="1055" spans="1:16" hidden="1" x14ac:dyDescent="0.25">
      <c r="A1055" t="s">
        <v>2040</v>
      </c>
      <c r="B1055" t="s">
        <v>2041</v>
      </c>
      <c r="C1055" t="s">
        <v>1976</v>
      </c>
      <c r="D1055" s="11" t="s">
        <v>2250</v>
      </c>
      <c r="E1055" s="12">
        <v>45929</v>
      </c>
      <c r="F1055" s="12">
        <v>45929</v>
      </c>
      <c r="G1055" t="s">
        <v>2248</v>
      </c>
      <c r="H1055" t="s">
        <v>1724</v>
      </c>
      <c r="I1055">
        <v>200</v>
      </c>
      <c r="J1055">
        <v>0</v>
      </c>
      <c r="M1055">
        <v>1.3826000000000001</v>
      </c>
      <c r="N1055">
        <v>276.52</v>
      </c>
      <c r="O1055">
        <v>-276.52</v>
      </c>
      <c r="P1055">
        <v>0</v>
      </c>
    </row>
    <row r="1056" spans="1:16" hidden="1" x14ac:dyDescent="0.25">
      <c r="A1056" t="s">
        <v>2040</v>
      </c>
      <c r="B1056" t="s">
        <v>2041</v>
      </c>
      <c r="C1056" t="s">
        <v>1976</v>
      </c>
      <c r="D1056" s="11" t="s">
        <v>2250</v>
      </c>
      <c r="E1056" s="12">
        <v>45929</v>
      </c>
      <c r="F1056" s="12">
        <v>45929</v>
      </c>
      <c r="G1056" t="s">
        <v>2248</v>
      </c>
      <c r="H1056" t="s">
        <v>1739</v>
      </c>
      <c r="I1056">
        <v>200</v>
      </c>
      <c r="J1056">
        <v>0</v>
      </c>
      <c r="M1056">
        <v>4.8</v>
      </c>
      <c r="N1056">
        <v>960</v>
      </c>
      <c r="O1056">
        <v>-960</v>
      </c>
      <c r="P1056">
        <v>0</v>
      </c>
    </row>
    <row r="1057" spans="1:16" hidden="1" x14ac:dyDescent="0.25">
      <c r="A1057" t="s">
        <v>2040</v>
      </c>
      <c r="B1057" t="s">
        <v>2041</v>
      </c>
      <c r="C1057" t="s">
        <v>1976</v>
      </c>
      <c r="D1057" s="11" t="s">
        <v>2250</v>
      </c>
      <c r="E1057" s="12">
        <v>45929</v>
      </c>
      <c r="F1057" s="12">
        <v>45929</v>
      </c>
      <c r="G1057" t="s">
        <v>2248</v>
      </c>
      <c r="H1057" t="s">
        <v>16</v>
      </c>
      <c r="I1057">
        <v>4000</v>
      </c>
      <c r="J1057">
        <v>0</v>
      </c>
      <c r="M1057">
        <v>1.7999999999999999E-2</v>
      </c>
      <c r="N1057">
        <v>72</v>
      </c>
      <c r="O1057">
        <v>-72</v>
      </c>
      <c r="P1057">
        <v>0</v>
      </c>
    </row>
    <row r="1058" spans="1:16" hidden="1" x14ac:dyDescent="0.25">
      <c r="A1058" t="s">
        <v>2040</v>
      </c>
      <c r="B1058" t="s">
        <v>2041</v>
      </c>
      <c r="C1058" t="s">
        <v>1976</v>
      </c>
      <c r="D1058" s="11" t="s">
        <v>2250</v>
      </c>
      <c r="E1058" s="12">
        <v>45929</v>
      </c>
      <c r="F1058" s="12">
        <v>45929</v>
      </c>
      <c r="G1058" t="s">
        <v>2248</v>
      </c>
      <c r="H1058" t="s">
        <v>2274</v>
      </c>
      <c r="I1058">
        <v>60</v>
      </c>
      <c r="J1058">
        <v>0</v>
      </c>
      <c r="M1058">
        <v>1.141</v>
      </c>
      <c r="N1058">
        <v>68.459999999999994</v>
      </c>
      <c r="O1058">
        <v>-68.459999999999994</v>
      </c>
      <c r="P1058">
        <v>0</v>
      </c>
    </row>
    <row r="1059" spans="1:16" hidden="1" x14ac:dyDescent="0.25">
      <c r="A1059" t="s">
        <v>2040</v>
      </c>
      <c r="B1059" t="s">
        <v>2041</v>
      </c>
      <c r="C1059" t="s">
        <v>1976</v>
      </c>
      <c r="D1059" s="11" t="s">
        <v>2250</v>
      </c>
      <c r="E1059" s="12">
        <v>45929</v>
      </c>
      <c r="F1059" s="12">
        <v>45929</v>
      </c>
      <c r="G1059" t="s">
        <v>2248</v>
      </c>
      <c r="H1059" t="s">
        <v>254</v>
      </c>
      <c r="I1059">
        <v>100</v>
      </c>
      <c r="J1059">
        <v>0</v>
      </c>
      <c r="M1059">
        <v>3.07</v>
      </c>
      <c r="N1059">
        <v>307</v>
      </c>
      <c r="O1059">
        <v>-307</v>
      </c>
      <c r="P1059">
        <v>0</v>
      </c>
    </row>
    <row r="1060" spans="1:16" hidden="1" x14ac:dyDescent="0.25">
      <c r="A1060" t="s">
        <v>2040</v>
      </c>
      <c r="B1060" t="s">
        <v>2041</v>
      </c>
      <c r="C1060" t="s">
        <v>1976</v>
      </c>
      <c r="D1060" s="11" t="s">
        <v>2250</v>
      </c>
      <c r="E1060" s="12">
        <v>45929</v>
      </c>
      <c r="F1060" s="12">
        <v>45929</v>
      </c>
      <c r="G1060" t="s">
        <v>2248</v>
      </c>
      <c r="H1060" t="s">
        <v>256</v>
      </c>
      <c r="I1060">
        <v>100</v>
      </c>
      <c r="J1060">
        <v>0</v>
      </c>
      <c r="M1060">
        <v>0.31580000000000003</v>
      </c>
      <c r="N1060">
        <v>31.58</v>
      </c>
      <c r="O1060">
        <v>-31.58</v>
      </c>
      <c r="P1060">
        <v>0</v>
      </c>
    </row>
    <row r="1061" spans="1:16" hidden="1" x14ac:dyDescent="0.25">
      <c r="A1061" t="s">
        <v>2040</v>
      </c>
      <c r="B1061" t="s">
        <v>2041</v>
      </c>
      <c r="C1061" t="s">
        <v>1976</v>
      </c>
      <c r="D1061" s="11" t="s">
        <v>2250</v>
      </c>
      <c r="E1061" s="12">
        <v>45929</v>
      </c>
      <c r="F1061" s="12">
        <v>45929</v>
      </c>
      <c r="G1061" t="s">
        <v>2248</v>
      </c>
      <c r="H1061" t="s">
        <v>349</v>
      </c>
      <c r="I1061">
        <v>50</v>
      </c>
      <c r="J1061">
        <v>0</v>
      </c>
      <c r="M1061">
        <v>3.05</v>
      </c>
      <c r="N1061">
        <v>152.5</v>
      </c>
      <c r="O1061">
        <v>-152.5</v>
      </c>
      <c r="P1061">
        <v>0</v>
      </c>
    </row>
    <row r="1062" spans="1:16" hidden="1" x14ac:dyDescent="0.25">
      <c r="A1062" t="s">
        <v>2040</v>
      </c>
      <c r="B1062" t="s">
        <v>2041</v>
      </c>
      <c r="C1062" t="s">
        <v>1976</v>
      </c>
      <c r="D1062" s="11" t="s">
        <v>2250</v>
      </c>
      <c r="E1062" s="12">
        <v>45929</v>
      </c>
      <c r="F1062" s="12">
        <v>45929</v>
      </c>
      <c r="G1062" t="s">
        <v>2248</v>
      </c>
      <c r="H1062" t="s">
        <v>567</v>
      </c>
      <c r="I1062">
        <v>4000</v>
      </c>
      <c r="J1062">
        <v>0</v>
      </c>
      <c r="M1062">
        <v>5.0000000000000001E-3</v>
      </c>
      <c r="N1062">
        <v>20</v>
      </c>
      <c r="O1062">
        <v>-20</v>
      </c>
      <c r="P1062">
        <v>0</v>
      </c>
    </row>
    <row r="1063" spans="1:16" hidden="1" x14ac:dyDescent="0.25">
      <c r="A1063" t="s">
        <v>2040</v>
      </c>
      <c r="B1063" t="s">
        <v>2041</v>
      </c>
      <c r="C1063" t="s">
        <v>1976</v>
      </c>
      <c r="D1063" s="11" t="s">
        <v>2250</v>
      </c>
      <c r="E1063" s="12">
        <v>45929</v>
      </c>
      <c r="F1063" s="12">
        <v>45929</v>
      </c>
      <c r="G1063" t="s">
        <v>2248</v>
      </c>
      <c r="H1063" t="s">
        <v>632</v>
      </c>
      <c r="I1063">
        <v>3000</v>
      </c>
      <c r="J1063">
        <v>0</v>
      </c>
      <c r="M1063">
        <v>0.19500000000000001</v>
      </c>
      <c r="N1063">
        <v>585</v>
      </c>
      <c r="O1063">
        <v>-585</v>
      </c>
      <c r="P1063">
        <v>0</v>
      </c>
    </row>
    <row r="1064" spans="1:16" hidden="1" x14ac:dyDescent="0.25">
      <c r="A1064" t="s">
        <v>2040</v>
      </c>
      <c r="B1064" t="s">
        <v>2041</v>
      </c>
      <c r="C1064" t="s">
        <v>1976</v>
      </c>
      <c r="D1064" s="11" t="s">
        <v>2250</v>
      </c>
      <c r="E1064" s="12">
        <v>45929</v>
      </c>
      <c r="F1064" s="12">
        <v>45929</v>
      </c>
      <c r="G1064" t="s">
        <v>2248</v>
      </c>
      <c r="H1064" t="s">
        <v>868</v>
      </c>
      <c r="I1064">
        <v>4800</v>
      </c>
      <c r="J1064">
        <v>0</v>
      </c>
      <c r="M1064">
        <v>4.1000000000000002E-2</v>
      </c>
      <c r="N1064">
        <v>196.8</v>
      </c>
      <c r="O1064">
        <v>-196.8</v>
      </c>
      <c r="P1064">
        <v>0</v>
      </c>
    </row>
    <row r="1065" spans="1:16" hidden="1" x14ac:dyDescent="0.25">
      <c r="A1065" t="s">
        <v>2040</v>
      </c>
      <c r="B1065" t="s">
        <v>2041</v>
      </c>
      <c r="C1065" t="s">
        <v>1976</v>
      </c>
      <c r="D1065" s="11" t="s">
        <v>2250</v>
      </c>
      <c r="E1065" s="12">
        <v>45929</v>
      </c>
      <c r="F1065" s="12">
        <v>45929</v>
      </c>
      <c r="G1065" t="s">
        <v>2248</v>
      </c>
      <c r="H1065" t="s">
        <v>884</v>
      </c>
      <c r="I1065">
        <v>5000</v>
      </c>
      <c r="J1065">
        <v>0</v>
      </c>
      <c r="M1065">
        <v>1.18E-2</v>
      </c>
      <c r="N1065">
        <v>59</v>
      </c>
      <c r="O1065">
        <v>-59</v>
      </c>
      <c r="P1065">
        <v>0</v>
      </c>
    </row>
    <row r="1066" spans="1:16" hidden="1" x14ac:dyDescent="0.25">
      <c r="A1066" t="s">
        <v>2040</v>
      </c>
      <c r="B1066" t="s">
        <v>2041</v>
      </c>
      <c r="C1066" t="s">
        <v>1976</v>
      </c>
      <c r="D1066" s="11" t="s">
        <v>2250</v>
      </c>
      <c r="E1066" s="12">
        <v>45929</v>
      </c>
      <c r="F1066" s="12">
        <v>45929</v>
      </c>
      <c r="G1066" t="s">
        <v>2248</v>
      </c>
      <c r="H1066" t="s">
        <v>927</v>
      </c>
      <c r="I1066">
        <v>9900</v>
      </c>
      <c r="J1066">
        <v>0</v>
      </c>
      <c r="M1066">
        <v>4.4999999999999998E-2</v>
      </c>
      <c r="N1066">
        <v>445.5</v>
      </c>
      <c r="O1066">
        <v>-445.5</v>
      </c>
      <c r="P1066">
        <v>0</v>
      </c>
    </row>
    <row r="1067" spans="1:16" hidden="1" x14ac:dyDescent="0.25">
      <c r="A1067" t="s">
        <v>2040</v>
      </c>
      <c r="B1067" t="s">
        <v>2041</v>
      </c>
      <c r="C1067" t="s">
        <v>1976</v>
      </c>
      <c r="D1067" s="11" t="s">
        <v>2250</v>
      </c>
      <c r="E1067" s="12">
        <v>45929</v>
      </c>
      <c r="F1067" s="12">
        <v>45929</v>
      </c>
      <c r="G1067" t="s">
        <v>2248</v>
      </c>
      <c r="H1067" t="s">
        <v>1013</v>
      </c>
      <c r="I1067">
        <v>4000</v>
      </c>
      <c r="J1067">
        <v>0</v>
      </c>
      <c r="M1067">
        <v>0.26</v>
      </c>
      <c r="N1067">
        <v>1040</v>
      </c>
      <c r="O1067">
        <v>-1040</v>
      </c>
      <c r="P1067">
        <v>0</v>
      </c>
    </row>
    <row r="1068" spans="1:16" hidden="1" x14ac:dyDescent="0.25">
      <c r="A1068" t="s">
        <v>2040</v>
      </c>
      <c r="B1068" t="s">
        <v>2041</v>
      </c>
      <c r="C1068" t="s">
        <v>1976</v>
      </c>
      <c r="D1068" s="11" t="s">
        <v>2250</v>
      </c>
      <c r="E1068" s="12">
        <v>45929</v>
      </c>
      <c r="F1068" s="12">
        <v>45929</v>
      </c>
      <c r="G1068" t="s">
        <v>2248</v>
      </c>
      <c r="H1068" t="s">
        <v>1449</v>
      </c>
      <c r="I1068">
        <v>500</v>
      </c>
      <c r="J1068">
        <v>0</v>
      </c>
      <c r="M1068">
        <v>0.46</v>
      </c>
      <c r="N1068">
        <v>230</v>
      </c>
      <c r="O1068">
        <v>-230</v>
      </c>
      <c r="P1068">
        <v>0</v>
      </c>
    </row>
    <row r="1069" spans="1:16" hidden="1" x14ac:dyDescent="0.25">
      <c r="A1069" t="s">
        <v>2040</v>
      </c>
      <c r="B1069" t="s">
        <v>2041</v>
      </c>
      <c r="C1069" t="s">
        <v>1976</v>
      </c>
      <c r="D1069" s="11" t="s">
        <v>2250</v>
      </c>
      <c r="E1069" s="12">
        <v>45929</v>
      </c>
      <c r="F1069" s="12">
        <v>45929</v>
      </c>
      <c r="G1069" t="s">
        <v>2248</v>
      </c>
      <c r="H1069" t="s">
        <v>1527</v>
      </c>
      <c r="I1069">
        <v>10000</v>
      </c>
      <c r="J1069">
        <v>0</v>
      </c>
      <c r="M1069">
        <v>2.1999999999999999E-2</v>
      </c>
      <c r="N1069">
        <v>220</v>
      </c>
      <c r="O1069">
        <v>-220</v>
      </c>
      <c r="P1069">
        <v>0</v>
      </c>
    </row>
    <row r="1070" spans="1:16" hidden="1" x14ac:dyDescent="0.25">
      <c r="A1070" t="s">
        <v>2040</v>
      </c>
      <c r="B1070" t="s">
        <v>2041</v>
      </c>
      <c r="C1070" t="s">
        <v>1976</v>
      </c>
      <c r="D1070" s="11" t="s">
        <v>2250</v>
      </c>
      <c r="E1070" s="12">
        <v>45929</v>
      </c>
      <c r="F1070" s="12">
        <v>45929</v>
      </c>
      <c r="G1070" t="s">
        <v>2248</v>
      </c>
      <c r="H1070" t="s">
        <v>1557</v>
      </c>
      <c r="I1070">
        <v>10000</v>
      </c>
      <c r="J1070">
        <v>0</v>
      </c>
      <c r="M1070">
        <v>2.1999999999999999E-2</v>
      </c>
      <c r="N1070">
        <v>220</v>
      </c>
      <c r="O1070">
        <v>-220</v>
      </c>
      <c r="P1070">
        <v>0</v>
      </c>
    </row>
    <row r="1071" spans="1:16" hidden="1" x14ac:dyDescent="0.25">
      <c r="A1071" t="s">
        <v>2040</v>
      </c>
      <c r="B1071" t="s">
        <v>2041</v>
      </c>
      <c r="C1071" t="s">
        <v>1976</v>
      </c>
      <c r="D1071" s="11" t="s">
        <v>2250</v>
      </c>
      <c r="E1071" s="12">
        <v>45929</v>
      </c>
      <c r="F1071" s="12">
        <v>45929</v>
      </c>
      <c r="G1071" t="s">
        <v>2248</v>
      </c>
      <c r="H1071" t="s">
        <v>1561</v>
      </c>
      <c r="I1071">
        <v>10000</v>
      </c>
      <c r="J1071">
        <v>0</v>
      </c>
      <c r="M1071">
        <v>2.1999999999999999E-2</v>
      </c>
      <c r="N1071">
        <v>220</v>
      </c>
      <c r="O1071">
        <v>-220</v>
      </c>
      <c r="P1071">
        <v>0</v>
      </c>
    </row>
    <row r="1072" spans="1:16" hidden="1" x14ac:dyDescent="0.25">
      <c r="A1072" t="s">
        <v>2040</v>
      </c>
      <c r="B1072" t="s">
        <v>2041</v>
      </c>
      <c r="C1072" t="s">
        <v>1976</v>
      </c>
      <c r="D1072" s="11" t="s">
        <v>2250</v>
      </c>
      <c r="E1072" s="12">
        <v>45929</v>
      </c>
      <c r="F1072" s="12">
        <v>45929</v>
      </c>
      <c r="G1072" t="s">
        <v>2248</v>
      </c>
      <c r="H1072" t="s">
        <v>1565</v>
      </c>
      <c r="I1072">
        <v>10000</v>
      </c>
      <c r="J1072">
        <v>0</v>
      </c>
      <c r="M1072">
        <v>2.1999999999999999E-2</v>
      </c>
      <c r="N1072">
        <v>220</v>
      </c>
      <c r="O1072">
        <v>-220</v>
      </c>
      <c r="P1072">
        <v>0</v>
      </c>
    </row>
    <row r="1073" spans="1:16" hidden="1" x14ac:dyDescent="0.25">
      <c r="A1073" t="s">
        <v>2040</v>
      </c>
      <c r="B1073" t="s">
        <v>2041</v>
      </c>
      <c r="C1073" t="s">
        <v>1976</v>
      </c>
      <c r="D1073" s="11" t="s">
        <v>2250</v>
      </c>
      <c r="E1073" s="12">
        <v>45929</v>
      </c>
      <c r="F1073" s="12">
        <v>45929</v>
      </c>
      <c r="G1073" t="s">
        <v>2248</v>
      </c>
      <c r="H1073" t="s">
        <v>1641</v>
      </c>
      <c r="I1073">
        <v>2950</v>
      </c>
      <c r="J1073">
        <v>0</v>
      </c>
      <c r="M1073">
        <v>0.13200000000000001</v>
      </c>
      <c r="N1073">
        <v>389.4</v>
      </c>
      <c r="O1073">
        <v>-389.4</v>
      </c>
      <c r="P1073">
        <v>0</v>
      </c>
    </row>
    <row r="1074" spans="1:16" hidden="1" x14ac:dyDescent="0.25">
      <c r="A1074" t="s">
        <v>2040</v>
      </c>
      <c r="B1074" t="s">
        <v>2041</v>
      </c>
      <c r="C1074" t="s">
        <v>1976</v>
      </c>
      <c r="D1074" s="11" t="s">
        <v>2250</v>
      </c>
      <c r="E1074" s="12">
        <v>45929</v>
      </c>
      <c r="F1074" s="12">
        <v>45929</v>
      </c>
      <c r="G1074" t="s">
        <v>2248</v>
      </c>
      <c r="H1074" t="s">
        <v>1779</v>
      </c>
      <c r="I1074">
        <v>5000</v>
      </c>
      <c r="J1074">
        <v>0</v>
      </c>
      <c r="M1074">
        <v>0.13100000000000001</v>
      </c>
      <c r="N1074">
        <v>655</v>
      </c>
      <c r="O1074">
        <v>-655</v>
      </c>
      <c r="P1074">
        <v>0</v>
      </c>
    </row>
    <row r="1075" spans="1:16" hidden="1" x14ac:dyDescent="0.25">
      <c r="A1075" t="s">
        <v>2040</v>
      </c>
      <c r="B1075" t="s">
        <v>2041</v>
      </c>
      <c r="C1075" t="s">
        <v>1976</v>
      </c>
      <c r="D1075" s="11" t="s">
        <v>2250</v>
      </c>
      <c r="E1075" s="12">
        <v>45929</v>
      </c>
      <c r="F1075" s="12">
        <v>45929</v>
      </c>
      <c r="G1075" t="s">
        <v>2248</v>
      </c>
      <c r="H1075" t="s">
        <v>767</v>
      </c>
      <c r="I1075">
        <v>499</v>
      </c>
      <c r="J1075">
        <v>0</v>
      </c>
      <c r="M1075">
        <v>0.39462999999999998</v>
      </c>
      <c r="N1075">
        <v>196.92036999999999</v>
      </c>
      <c r="O1075">
        <v>-196.92036999999999</v>
      </c>
      <c r="P1075">
        <v>0</v>
      </c>
    </row>
    <row r="1076" spans="1:16" hidden="1" x14ac:dyDescent="0.25">
      <c r="A1076" t="s">
        <v>2040</v>
      </c>
      <c r="B1076" t="s">
        <v>2041</v>
      </c>
      <c r="C1076" t="s">
        <v>1976</v>
      </c>
      <c r="D1076" s="11" t="s">
        <v>2250</v>
      </c>
      <c r="E1076" s="12">
        <v>45929</v>
      </c>
      <c r="F1076" s="12">
        <v>45929</v>
      </c>
      <c r="G1076" t="s">
        <v>2248</v>
      </c>
      <c r="H1076" t="s">
        <v>55</v>
      </c>
      <c r="I1076">
        <v>4000</v>
      </c>
      <c r="J1076">
        <v>0</v>
      </c>
      <c r="M1076">
        <v>1.3679999999999999E-2</v>
      </c>
      <c r="N1076">
        <v>54.72</v>
      </c>
      <c r="O1076">
        <v>-54.72</v>
      </c>
      <c r="P1076">
        <v>0</v>
      </c>
    </row>
    <row r="1077" spans="1:16" hidden="1" x14ac:dyDescent="0.25">
      <c r="A1077" t="s">
        <v>2040</v>
      </c>
      <c r="B1077" t="s">
        <v>2041</v>
      </c>
      <c r="C1077" t="s">
        <v>1976</v>
      </c>
      <c r="D1077" s="11" t="s">
        <v>2250</v>
      </c>
      <c r="E1077" s="12">
        <v>45929</v>
      </c>
      <c r="F1077" s="12">
        <v>45929</v>
      </c>
      <c r="G1077" t="s">
        <v>2248</v>
      </c>
      <c r="H1077" t="s">
        <v>78</v>
      </c>
      <c r="I1077">
        <v>250</v>
      </c>
      <c r="J1077">
        <v>0</v>
      </c>
      <c r="M1077">
        <v>4.79</v>
      </c>
      <c r="N1077">
        <v>1197.5</v>
      </c>
      <c r="O1077">
        <v>-1197.5</v>
      </c>
      <c r="P1077">
        <v>0</v>
      </c>
    </row>
    <row r="1078" spans="1:16" hidden="1" x14ac:dyDescent="0.25">
      <c r="A1078" t="s">
        <v>2040</v>
      </c>
      <c r="B1078" t="s">
        <v>2041</v>
      </c>
      <c r="C1078" t="s">
        <v>1976</v>
      </c>
      <c r="D1078" s="11" t="s">
        <v>2250</v>
      </c>
      <c r="E1078" s="12">
        <v>45929</v>
      </c>
      <c r="F1078" s="12">
        <v>45929</v>
      </c>
      <c r="G1078" t="s">
        <v>2248</v>
      </c>
      <c r="H1078" t="s">
        <v>124</v>
      </c>
      <c r="I1078">
        <v>63</v>
      </c>
      <c r="J1078">
        <v>0</v>
      </c>
      <c r="M1078">
        <v>8.64</v>
      </c>
      <c r="N1078">
        <v>544.32000000000005</v>
      </c>
      <c r="O1078">
        <v>-544.32000000000005</v>
      </c>
      <c r="P1078">
        <v>0</v>
      </c>
    </row>
    <row r="1079" spans="1:16" hidden="1" x14ac:dyDescent="0.25">
      <c r="A1079" t="s">
        <v>2040</v>
      </c>
      <c r="B1079" t="s">
        <v>2041</v>
      </c>
      <c r="C1079" t="s">
        <v>1976</v>
      </c>
      <c r="D1079" s="11" t="s">
        <v>2250</v>
      </c>
      <c r="E1079" s="12">
        <v>45929</v>
      </c>
      <c r="F1079" s="12">
        <v>45929</v>
      </c>
      <c r="G1079" t="s">
        <v>2248</v>
      </c>
      <c r="H1079" t="s">
        <v>219</v>
      </c>
      <c r="I1079">
        <v>50</v>
      </c>
      <c r="J1079">
        <v>0</v>
      </c>
      <c r="M1079">
        <v>7.1260000000000003</v>
      </c>
      <c r="N1079">
        <v>356.3</v>
      </c>
      <c r="O1079">
        <v>-356.3</v>
      </c>
      <c r="P1079">
        <v>0</v>
      </c>
    </row>
    <row r="1080" spans="1:16" hidden="1" x14ac:dyDescent="0.25">
      <c r="A1080" t="s">
        <v>2040</v>
      </c>
      <c r="B1080" t="s">
        <v>2041</v>
      </c>
      <c r="C1080" t="s">
        <v>1976</v>
      </c>
      <c r="D1080" s="11" t="s">
        <v>2250</v>
      </c>
      <c r="E1080" s="12">
        <v>45929</v>
      </c>
      <c r="F1080" s="12">
        <v>45929</v>
      </c>
      <c r="G1080" t="s">
        <v>2248</v>
      </c>
      <c r="H1080" t="s">
        <v>223</v>
      </c>
      <c r="I1080">
        <v>174</v>
      </c>
      <c r="J1080">
        <v>0</v>
      </c>
      <c r="M1080">
        <v>1.5</v>
      </c>
      <c r="N1080">
        <v>261</v>
      </c>
      <c r="O1080">
        <v>-261</v>
      </c>
      <c r="P1080">
        <v>0</v>
      </c>
    </row>
    <row r="1081" spans="1:16" hidden="1" x14ac:dyDescent="0.25">
      <c r="A1081" t="s">
        <v>2040</v>
      </c>
      <c r="B1081" t="s">
        <v>2041</v>
      </c>
      <c r="C1081" t="s">
        <v>1976</v>
      </c>
      <c r="D1081" s="11" t="s">
        <v>2250</v>
      </c>
      <c r="E1081" s="12">
        <v>45929</v>
      </c>
      <c r="F1081" s="12">
        <v>45929</v>
      </c>
      <c r="G1081" t="s">
        <v>2248</v>
      </c>
      <c r="H1081" t="s">
        <v>464</v>
      </c>
      <c r="I1081">
        <v>10000</v>
      </c>
      <c r="J1081">
        <v>0</v>
      </c>
      <c r="M1081">
        <v>6.4000000000000005E-4</v>
      </c>
      <c r="N1081">
        <v>6.4</v>
      </c>
      <c r="O1081">
        <v>-6.4</v>
      </c>
      <c r="P1081">
        <v>0</v>
      </c>
    </row>
    <row r="1082" spans="1:16" hidden="1" x14ac:dyDescent="0.25">
      <c r="A1082" t="s">
        <v>2040</v>
      </c>
      <c r="B1082" t="s">
        <v>2041</v>
      </c>
      <c r="C1082" t="s">
        <v>1976</v>
      </c>
      <c r="D1082" s="11" t="s">
        <v>2250</v>
      </c>
      <c r="E1082" s="12">
        <v>45929</v>
      </c>
      <c r="F1082" s="12">
        <v>45929</v>
      </c>
      <c r="G1082" t="s">
        <v>2248</v>
      </c>
      <c r="H1082" t="s">
        <v>478</v>
      </c>
      <c r="I1082">
        <v>5000</v>
      </c>
      <c r="J1082">
        <v>0</v>
      </c>
      <c r="M1082">
        <v>1.5299999999999999E-3</v>
      </c>
      <c r="N1082">
        <v>7.65</v>
      </c>
      <c r="O1082">
        <v>-7.65</v>
      </c>
      <c r="P1082">
        <v>0</v>
      </c>
    </row>
    <row r="1083" spans="1:16" hidden="1" x14ac:dyDescent="0.25">
      <c r="A1083" t="s">
        <v>2040</v>
      </c>
      <c r="B1083" t="s">
        <v>2041</v>
      </c>
      <c r="C1083" t="s">
        <v>1976</v>
      </c>
      <c r="D1083" s="11" t="s">
        <v>2250</v>
      </c>
      <c r="E1083" s="12">
        <v>45929</v>
      </c>
      <c r="F1083" s="12">
        <v>45929</v>
      </c>
      <c r="G1083" t="s">
        <v>2248</v>
      </c>
      <c r="H1083" t="s">
        <v>612</v>
      </c>
      <c r="I1083">
        <v>4000</v>
      </c>
      <c r="J1083">
        <v>0</v>
      </c>
      <c r="M1083">
        <v>2.2899999999999999E-3</v>
      </c>
      <c r="N1083">
        <v>9.16</v>
      </c>
      <c r="O1083">
        <v>-9.16</v>
      </c>
      <c r="P1083">
        <v>0</v>
      </c>
    </row>
    <row r="1084" spans="1:16" hidden="1" x14ac:dyDescent="0.25">
      <c r="A1084" t="s">
        <v>2040</v>
      </c>
      <c r="B1084" t="s">
        <v>2041</v>
      </c>
      <c r="C1084" t="s">
        <v>1976</v>
      </c>
      <c r="D1084" s="11" t="s">
        <v>2250</v>
      </c>
      <c r="E1084" s="12">
        <v>45929</v>
      </c>
      <c r="F1084" s="12">
        <v>45929</v>
      </c>
      <c r="G1084" t="s">
        <v>2248</v>
      </c>
      <c r="H1084" t="s">
        <v>614</v>
      </c>
      <c r="I1084">
        <v>4000</v>
      </c>
      <c r="J1084">
        <v>0</v>
      </c>
      <c r="M1084">
        <v>1.5299999999999999E-3</v>
      </c>
      <c r="N1084">
        <v>6.12</v>
      </c>
      <c r="O1084">
        <v>-6.12</v>
      </c>
      <c r="P1084">
        <v>0</v>
      </c>
    </row>
    <row r="1085" spans="1:16" hidden="1" x14ac:dyDescent="0.25">
      <c r="A1085" t="s">
        <v>2040</v>
      </c>
      <c r="B1085" t="s">
        <v>2041</v>
      </c>
      <c r="C1085" t="s">
        <v>1976</v>
      </c>
      <c r="D1085" s="11" t="s">
        <v>2250</v>
      </c>
      <c r="E1085" s="12">
        <v>45929</v>
      </c>
      <c r="F1085" s="12">
        <v>45929</v>
      </c>
      <c r="G1085" t="s">
        <v>2248</v>
      </c>
      <c r="H1085" t="s">
        <v>647</v>
      </c>
      <c r="I1085">
        <v>9999</v>
      </c>
      <c r="J1085">
        <v>0</v>
      </c>
      <c r="M1085">
        <v>1.92E-3</v>
      </c>
      <c r="N1085">
        <v>19.198080000000001</v>
      </c>
      <c r="O1085">
        <v>-19.198080000000001</v>
      </c>
      <c r="P1085">
        <v>0</v>
      </c>
    </row>
    <row r="1086" spans="1:16" hidden="1" x14ac:dyDescent="0.25">
      <c r="A1086" t="s">
        <v>2040</v>
      </c>
      <c r="B1086" t="s">
        <v>2041</v>
      </c>
      <c r="C1086" t="s">
        <v>1976</v>
      </c>
      <c r="D1086" s="11" t="s">
        <v>2250</v>
      </c>
      <c r="E1086" s="12">
        <v>45929</v>
      </c>
      <c r="F1086" s="12">
        <v>45929</v>
      </c>
      <c r="G1086" t="s">
        <v>2248</v>
      </c>
      <c r="H1086" t="s">
        <v>651</v>
      </c>
      <c r="I1086">
        <v>1999</v>
      </c>
      <c r="J1086">
        <v>0</v>
      </c>
      <c r="M1086">
        <v>9.5700000000000004E-3</v>
      </c>
      <c r="N1086">
        <v>19.13043</v>
      </c>
      <c r="O1086">
        <v>-19.13043</v>
      </c>
      <c r="P1086">
        <v>0</v>
      </c>
    </row>
    <row r="1087" spans="1:16" hidden="1" x14ac:dyDescent="0.25">
      <c r="A1087" t="s">
        <v>2040</v>
      </c>
      <c r="B1087" t="s">
        <v>2041</v>
      </c>
      <c r="C1087" t="s">
        <v>1976</v>
      </c>
      <c r="D1087" s="11" t="s">
        <v>2250</v>
      </c>
      <c r="E1087" s="12">
        <v>45929</v>
      </c>
      <c r="F1087" s="12">
        <v>45929</v>
      </c>
      <c r="G1087" t="s">
        <v>2248</v>
      </c>
      <c r="H1087" t="s">
        <v>808</v>
      </c>
      <c r="I1087">
        <v>5000</v>
      </c>
      <c r="J1087">
        <v>0</v>
      </c>
      <c r="M1087">
        <v>2.4879999999999999E-2</v>
      </c>
      <c r="N1087">
        <v>124.4</v>
      </c>
      <c r="O1087">
        <v>-124.4</v>
      </c>
      <c r="P1087">
        <v>0</v>
      </c>
    </row>
    <row r="1088" spans="1:16" hidden="1" x14ac:dyDescent="0.25">
      <c r="A1088" t="s">
        <v>2040</v>
      </c>
      <c r="B1088" t="s">
        <v>2041</v>
      </c>
      <c r="C1088" t="s">
        <v>1976</v>
      </c>
      <c r="D1088" s="11" t="s">
        <v>2250</v>
      </c>
      <c r="E1088" s="12">
        <v>45929</v>
      </c>
      <c r="F1088" s="12">
        <v>45929</v>
      </c>
      <c r="G1088" t="s">
        <v>2248</v>
      </c>
      <c r="H1088" t="s">
        <v>931</v>
      </c>
      <c r="I1088">
        <v>1900</v>
      </c>
      <c r="J1088">
        <v>0</v>
      </c>
      <c r="M1088">
        <v>5.0380000000000001E-2</v>
      </c>
      <c r="N1088">
        <v>95.721999999999994</v>
      </c>
      <c r="O1088">
        <v>-95.721999999999994</v>
      </c>
      <c r="P1088">
        <v>0</v>
      </c>
    </row>
    <row r="1089" spans="1:16" hidden="1" x14ac:dyDescent="0.25">
      <c r="A1089" t="s">
        <v>2040</v>
      </c>
      <c r="B1089" t="s">
        <v>2041</v>
      </c>
      <c r="C1089" t="s">
        <v>1976</v>
      </c>
      <c r="D1089" s="11" t="s">
        <v>2250</v>
      </c>
      <c r="E1089" s="12">
        <v>45929</v>
      </c>
      <c r="F1089" s="12">
        <v>45929</v>
      </c>
      <c r="G1089" t="s">
        <v>2248</v>
      </c>
      <c r="H1089" t="s">
        <v>933</v>
      </c>
      <c r="I1089">
        <v>1000</v>
      </c>
      <c r="J1089">
        <v>0</v>
      </c>
      <c r="M1089">
        <v>0.20896000000000001</v>
      </c>
      <c r="N1089">
        <v>208.96</v>
      </c>
      <c r="O1089">
        <v>-208.96</v>
      </c>
      <c r="P1089">
        <v>0</v>
      </c>
    </row>
    <row r="1090" spans="1:16" hidden="1" x14ac:dyDescent="0.25">
      <c r="A1090" t="s">
        <v>2040</v>
      </c>
      <c r="B1090" t="s">
        <v>2041</v>
      </c>
      <c r="C1090" t="s">
        <v>1976</v>
      </c>
      <c r="D1090" s="11" t="s">
        <v>2250</v>
      </c>
      <c r="E1090" s="12">
        <v>45929</v>
      </c>
      <c r="F1090" s="12">
        <v>45929</v>
      </c>
      <c r="G1090" t="s">
        <v>2248</v>
      </c>
      <c r="H1090" t="s">
        <v>1294</v>
      </c>
      <c r="I1090">
        <v>10000</v>
      </c>
      <c r="J1090">
        <v>0</v>
      </c>
      <c r="M1090">
        <v>5.1000000000000004E-4</v>
      </c>
      <c r="N1090">
        <v>5.0999999999999996</v>
      </c>
      <c r="O1090">
        <v>-5.0999999999999996</v>
      </c>
      <c r="P1090">
        <v>0</v>
      </c>
    </row>
    <row r="1091" spans="1:16" hidden="1" x14ac:dyDescent="0.25">
      <c r="A1091" t="s">
        <v>2040</v>
      </c>
      <c r="B1091" t="s">
        <v>2041</v>
      </c>
      <c r="C1091" t="s">
        <v>1976</v>
      </c>
      <c r="D1091" s="11" t="s">
        <v>2250</v>
      </c>
      <c r="E1091" s="12">
        <v>45929</v>
      </c>
      <c r="F1091" s="12">
        <v>45929</v>
      </c>
      <c r="G1091" t="s">
        <v>2248</v>
      </c>
      <c r="H1091" t="s">
        <v>1328</v>
      </c>
      <c r="I1091">
        <v>10000</v>
      </c>
      <c r="J1091">
        <v>0</v>
      </c>
      <c r="M1091">
        <v>5.1000000000000004E-4</v>
      </c>
      <c r="N1091">
        <v>5.0999999999999996</v>
      </c>
      <c r="O1091">
        <v>-5.0999999999999996</v>
      </c>
      <c r="P1091">
        <v>0</v>
      </c>
    </row>
    <row r="1092" spans="1:16" hidden="1" x14ac:dyDescent="0.25">
      <c r="A1092" t="s">
        <v>2040</v>
      </c>
      <c r="B1092" t="s">
        <v>2041</v>
      </c>
      <c r="C1092" t="s">
        <v>1976</v>
      </c>
      <c r="D1092" s="11" t="s">
        <v>2250</v>
      </c>
      <c r="E1092" s="12">
        <v>45929</v>
      </c>
      <c r="F1092" s="12">
        <v>45929</v>
      </c>
      <c r="G1092" t="s">
        <v>2248</v>
      </c>
      <c r="H1092" t="s">
        <v>1330</v>
      </c>
      <c r="I1092">
        <v>10000</v>
      </c>
      <c r="J1092">
        <v>0</v>
      </c>
      <c r="M1092">
        <v>5.1000000000000004E-4</v>
      </c>
      <c r="N1092">
        <v>5.0999999999999996</v>
      </c>
      <c r="O1092">
        <v>-5.0999999999999996</v>
      </c>
      <c r="P1092">
        <v>0</v>
      </c>
    </row>
    <row r="1093" spans="1:16" hidden="1" x14ac:dyDescent="0.25">
      <c r="A1093" t="s">
        <v>2040</v>
      </c>
      <c r="B1093" t="s">
        <v>2041</v>
      </c>
      <c r="C1093" t="s">
        <v>1976</v>
      </c>
      <c r="D1093" s="11" t="s">
        <v>2250</v>
      </c>
      <c r="E1093" s="12">
        <v>45929</v>
      </c>
      <c r="F1093" s="12">
        <v>45929</v>
      </c>
      <c r="G1093" t="s">
        <v>2248</v>
      </c>
      <c r="H1093" t="s">
        <v>1334</v>
      </c>
      <c r="I1093">
        <v>10000</v>
      </c>
      <c r="J1093">
        <v>0</v>
      </c>
      <c r="M1093">
        <v>5.1399999999999996E-3</v>
      </c>
      <c r="N1093">
        <v>51.4</v>
      </c>
      <c r="O1093">
        <v>-51.4</v>
      </c>
      <c r="P1093">
        <v>0</v>
      </c>
    </row>
    <row r="1094" spans="1:16" hidden="1" x14ac:dyDescent="0.25">
      <c r="A1094" t="s">
        <v>2040</v>
      </c>
      <c r="B1094" t="s">
        <v>2041</v>
      </c>
      <c r="C1094" t="s">
        <v>1976</v>
      </c>
      <c r="D1094" s="11" t="s">
        <v>2250</v>
      </c>
      <c r="E1094" s="12">
        <v>45929</v>
      </c>
      <c r="F1094" s="12">
        <v>45929</v>
      </c>
      <c r="G1094" t="s">
        <v>2248</v>
      </c>
      <c r="H1094" t="s">
        <v>1370</v>
      </c>
      <c r="I1094">
        <v>5000</v>
      </c>
      <c r="J1094">
        <v>0</v>
      </c>
      <c r="M1094">
        <v>1.2800000000000001E-3</v>
      </c>
      <c r="N1094">
        <v>6.4</v>
      </c>
      <c r="O1094">
        <v>-6.4</v>
      </c>
      <c r="P1094">
        <v>0</v>
      </c>
    </row>
    <row r="1095" spans="1:16" hidden="1" x14ac:dyDescent="0.25">
      <c r="A1095" t="s">
        <v>2040</v>
      </c>
      <c r="B1095" t="s">
        <v>2041</v>
      </c>
      <c r="C1095" t="s">
        <v>1976</v>
      </c>
      <c r="D1095" s="11" t="s">
        <v>2250</v>
      </c>
      <c r="E1095" s="12">
        <v>45929</v>
      </c>
      <c r="F1095" s="12">
        <v>45929</v>
      </c>
      <c r="G1095" t="s">
        <v>2248</v>
      </c>
      <c r="H1095" t="s">
        <v>1382</v>
      </c>
      <c r="I1095">
        <v>5000</v>
      </c>
      <c r="J1095">
        <v>0</v>
      </c>
      <c r="M1095">
        <v>1.2800000000000001E-3</v>
      </c>
      <c r="N1095">
        <v>6.4</v>
      </c>
      <c r="O1095">
        <v>-6.4</v>
      </c>
      <c r="P1095">
        <v>0</v>
      </c>
    </row>
    <row r="1096" spans="1:16" hidden="1" x14ac:dyDescent="0.25">
      <c r="A1096" t="s">
        <v>2040</v>
      </c>
      <c r="B1096" t="s">
        <v>2041</v>
      </c>
      <c r="C1096" t="s">
        <v>1976</v>
      </c>
      <c r="D1096" s="11" t="s">
        <v>2250</v>
      </c>
      <c r="E1096" s="12">
        <v>45929</v>
      </c>
      <c r="F1096" s="12">
        <v>45929</v>
      </c>
      <c r="G1096" t="s">
        <v>2248</v>
      </c>
      <c r="H1096" t="s">
        <v>1390</v>
      </c>
      <c r="I1096">
        <v>5000</v>
      </c>
      <c r="J1096">
        <v>0</v>
      </c>
      <c r="M1096">
        <v>2.2899999999999999E-3</v>
      </c>
      <c r="N1096">
        <v>11.45</v>
      </c>
      <c r="O1096">
        <v>-11.45</v>
      </c>
      <c r="P1096">
        <v>0</v>
      </c>
    </row>
    <row r="1097" spans="1:16" hidden="1" x14ac:dyDescent="0.25">
      <c r="A1097" t="s">
        <v>2040</v>
      </c>
      <c r="B1097" t="s">
        <v>2041</v>
      </c>
      <c r="C1097" t="s">
        <v>1976</v>
      </c>
      <c r="D1097" s="11" t="s">
        <v>2250</v>
      </c>
      <c r="E1097" s="12">
        <v>45929</v>
      </c>
      <c r="F1097" s="12">
        <v>45929</v>
      </c>
      <c r="G1097" t="s">
        <v>2248</v>
      </c>
      <c r="H1097" t="s">
        <v>1394</v>
      </c>
      <c r="I1097">
        <v>4900</v>
      </c>
      <c r="J1097">
        <v>0</v>
      </c>
      <c r="M1097">
        <v>2.2899999999999999E-3</v>
      </c>
      <c r="N1097">
        <v>11.221</v>
      </c>
      <c r="O1097">
        <v>-11.221</v>
      </c>
      <c r="P1097">
        <v>0</v>
      </c>
    </row>
    <row r="1098" spans="1:16" hidden="1" x14ac:dyDescent="0.25">
      <c r="A1098" t="s">
        <v>2040</v>
      </c>
      <c r="B1098" t="s">
        <v>2041</v>
      </c>
      <c r="C1098" t="s">
        <v>1976</v>
      </c>
      <c r="D1098" s="11" t="s">
        <v>2250</v>
      </c>
      <c r="E1098" s="12">
        <v>45929</v>
      </c>
      <c r="F1098" s="12">
        <v>45929</v>
      </c>
      <c r="G1098" t="s">
        <v>2248</v>
      </c>
      <c r="H1098" t="s">
        <v>1396</v>
      </c>
      <c r="I1098">
        <v>5000</v>
      </c>
      <c r="J1098">
        <v>0</v>
      </c>
      <c r="M1098">
        <v>2.2899999999999999E-3</v>
      </c>
      <c r="N1098">
        <v>11.45</v>
      </c>
      <c r="O1098">
        <v>-11.45</v>
      </c>
      <c r="P1098">
        <v>0</v>
      </c>
    </row>
    <row r="1099" spans="1:16" hidden="1" x14ac:dyDescent="0.25">
      <c r="A1099" t="s">
        <v>2040</v>
      </c>
      <c r="B1099" t="s">
        <v>2041</v>
      </c>
      <c r="C1099" t="s">
        <v>1976</v>
      </c>
      <c r="D1099" s="11" t="s">
        <v>2250</v>
      </c>
      <c r="E1099" s="12">
        <v>45929</v>
      </c>
      <c r="F1099" s="12">
        <v>45929</v>
      </c>
      <c r="G1099" t="s">
        <v>2248</v>
      </c>
      <c r="H1099" t="s">
        <v>1398</v>
      </c>
      <c r="I1099">
        <v>4800</v>
      </c>
      <c r="J1099">
        <v>0</v>
      </c>
      <c r="M1099">
        <v>2.2899999999999999E-3</v>
      </c>
      <c r="N1099">
        <v>10.992000000000001</v>
      </c>
      <c r="O1099">
        <v>-10.992000000000001</v>
      </c>
      <c r="P1099">
        <v>0</v>
      </c>
    </row>
    <row r="1100" spans="1:16" hidden="1" x14ac:dyDescent="0.25">
      <c r="A1100" t="s">
        <v>2040</v>
      </c>
      <c r="B1100" t="s">
        <v>2041</v>
      </c>
      <c r="C1100" t="s">
        <v>1976</v>
      </c>
      <c r="D1100" s="11" t="s">
        <v>2250</v>
      </c>
      <c r="E1100" s="12">
        <v>45929</v>
      </c>
      <c r="F1100" s="12">
        <v>45929</v>
      </c>
      <c r="G1100" t="s">
        <v>2248</v>
      </c>
      <c r="H1100" t="s">
        <v>1404</v>
      </c>
      <c r="I1100">
        <v>5000</v>
      </c>
      <c r="J1100">
        <v>0</v>
      </c>
      <c r="M1100">
        <v>2.2899999999999999E-3</v>
      </c>
      <c r="N1100">
        <v>11.45</v>
      </c>
      <c r="O1100">
        <v>-11.45</v>
      </c>
      <c r="P1100">
        <v>0</v>
      </c>
    </row>
    <row r="1101" spans="1:16" hidden="1" x14ac:dyDescent="0.25">
      <c r="A1101" t="s">
        <v>2040</v>
      </c>
      <c r="B1101" t="s">
        <v>2041</v>
      </c>
      <c r="C1101" t="s">
        <v>1976</v>
      </c>
      <c r="D1101" s="11" t="s">
        <v>2250</v>
      </c>
      <c r="E1101" s="12">
        <v>45929</v>
      </c>
      <c r="F1101" s="12">
        <v>45929</v>
      </c>
      <c r="G1101" t="s">
        <v>2248</v>
      </c>
      <c r="H1101" t="s">
        <v>1408</v>
      </c>
      <c r="I1101">
        <v>5000</v>
      </c>
      <c r="J1101">
        <v>0</v>
      </c>
      <c r="M1101">
        <v>2.2799999999999999E-3</v>
      </c>
      <c r="N1101">
        <v>11.4</v>
      </c>
      <c r="O1101">
        <v>-11.4</v>
      </c>
      <c r="P1101">
        <v>0</v>
      </c>
    </row>
    <row r="1102" spans="1:16" hidden="1" x14ac:dyDescent="0.25">
      <c r="A1102" t="s">
        <v>2040</v>
      </c>
      <c r="B1102" t="s">
        <v>2041</v>
      </c>
      <c r="C1102" t="s">
        <v>1976</v>
      </c>
      <c r="D1102" s="11" t="s">
        <v>2250</v>
      </c>
      <c r="E1102" s="12">
        <v>45929</v>
      </c>
      <c r="F1102" s="12">
        <v>45929</v>
      </c>
      <c r="G1102" t="s">
        <v>2248</v>
      </c>
      <c r="H1102" t="s">
        <v>1412</v>
      </c>
      <c r="I1102">
        <v>5000</v>
      </c>
      <c r="J1102">
        <v>0</v>
      </c>
      <c r="M1102">
        <v>2.2899999999999999E-3</v>
      </c>
      <c r="N1102">
        <v>11.45</v>
      </c>
      <c r="O1102">
        <v>-11.45</v>
      </c>
      <c r="P1102">
        <v>0</v>
      </c>
    </row>
    <row r="1103" spans="1:16" hidden="1" x14ac:dyDescent="0.25">
      <c r="A1103" t="s">
        <v>2040</v>
      </c>
      <c r="B1103" t="s">
        <v>2041</v>
      </c>
      <c r="C1103" t="s">
        <v>1976</v>
      </c>
      <c r="D1103" s="11" t="s">
        <v>2250</v>
      </c>
      <c r="E1103" s="12">
        <v>45929</v>
      </c>
      <c r="F1103" s="12">
        <v>45929</v>
      </c>
      <c r="G1103" t="s">
        <v>2248</v>
      </c>
      <c r="H1103" t="s">
        <v>1416</v>
      </c>
      <c r="I1103">
        <v>5000</v>
      </c>
      <c r="J1103">
        <v>0</v>
      </c>
      <c r="M1103">
        <v>2.2899999999999999E-3</v>
      </c>
      <c r="N1103">
        <v>11.45</v>
      </c>
      <c r="O1103">
        <v>-11.45</v>
      </c>
      <c r="P1103">
        <v>0</v>
      </c>
    </row>
    <row r="1104" spans="1:16" hidden="1" x14ac:dyDescent="0.25">
      <c r="A1104" t="s">
        <v>2040</v>
      </c>
      <c r="B1104" t="s">
        <v>2041</v>
      </c>
      <c r="C1104" t="s">
        <v>1976</v>
      </c>
      <c r="D1104" s="11" t="s">
        <v>2250</v>
      </c>
      <c r="E1104" s="12">
        <v>45929</v>
      </c>
      <c r="F1104" s="12">
        <v>45929</v>
      </c>
      <c r="G1104" t="s">
        <v>2248</v>
      </c>
      <c r="H1104" t="s">
        <v>1424</v>
      </c>
      <c r="I1104">
        <v>5000</v>
      </c>
      <c r="J1104">
        <v>0</v>
      </c>
      <c r="M1104">
        <v>1.9499999999999999E-3</v>
      </c>
      <c r="N1104">
        <v>9.75</v>
      </c>
      <c r="O1104">
        <v>-9.75</v>
      </c>
      <c r="P1104">
        <v>0</v>
      </c>
    </row>
    <row r="1105" spans="1:16" hidden="1" x14ac:dyDescent="0.25">
      <c r="A1105" t="s">
        <v>2040</v>
      </c>
      <c r="B1105" t="s">
        <v>2041</v>
      </c>
      <c r="C1105" t="s">
        <v>1976</v>
      </c>
      <c r="D1105" s="11" t="s">
        <v>2250</v>
      </c>
      <c r="E1105" s="12">
        <v>45929</v>
      </c>
      <c r="F1105" s="12">
        <v>45929</v>
      </c>
      <c r="G1105" t="s">
        <v>2248</v>
      </c>
      <c r="H1105" t="s">
        <v>1426</v>
      </c>
      <c r="I1105">
        <v>5000</v>
      </c>
      <c r="J1105">
        <v>0</v>
      </c>
      <c r="M1105">
        <v>1.9499999999999999E-3</v>
      </c>
      <c r="N1105">
        <v>9.75</v>
      </c>
      <c r="O1105">
        <v>-9.75</v>
      </c>
      <c r="P1105">
        <v>0</v>
      </c>
    </row>
    <row r="1106" spans="1:16" hidden="1" x14ac:dyDescent="0.25">
      <c r="A1106" t="s">
        <v>2040</v>
      </c>
      <c r="B1106" t="s">
        <v>2041</v>
      </c>
      <c r="C1106" t="s">
        <v>1976</v>
      </c>
      <c r="D1106" s="11" t="s">
        <v>2250</v>
      </c>
      <c r="E1106" s="12">
        <v>45929</v>
      </c>
      <c r="F1106" s="12">
        <v>45929</v>
      </c>
      <c r="G1106" t="s">
        <v>2248</v>
      </c>
      <c r="H1106" t="s">
        <v>1428</v>
      </c>
      <c r="I1106">
        <v>5000</v>
      </c>
      <c r="J1106">
        <v>0</v>
      </c>
      <c r="M1106">
        <v>1.9499999999999999E-3</v>
      </c>
      <c r="N1106">
        <v>9.75</v>
      </c>
      <c r="O1106">
        <v>-9.75</v>
      </c>
      <c r="P1106">
        <v>0</v>
      </c>
    </row>
    <row r="1107" spans="1:16" hidden="1" x14ac:dyDescent="0.25">
      <c r="A1107" t="s">
        <v>2040</v>
      </c>
      <c r="B1107" t="s">
        <v>2041</v>
      </c>
      <c r="C1107" t="s">
        <v>1976</v>
      </c>
      <c r="D1107" s="11" t="s">
        <v>2250</v>
      </c>
      <c r="E1107" s="12">
        <v>45929</v>
      </c>
      <c r="F1107" s="12">
        <v>45929</v>
      </c>
      <c r="G1107" t="s">
        <v>2248</v>
      </c>
      <c r="H1107" t="s">
        <v>1432</v>
      </c>
      <c r="I1107">
        <v>5000</v>
      </c>
      <c r="J1107">
        <v>0</v>
      </c>
      <c r="M1107">
        <v>2.9299999999999999E-3</v>
      </c>
      <c r="N1107">
        <v>14.65</v>
      </c>
      <c r="O1107">
        <v>-14.65</v>
      </c>
      <c r="P1107">
        <v>0</v>
      </c>
    </row>
    <row r="1108" spans="1:16" hidden="1" x14ac:dyDescent="0.25">
      <c r="A1108" t="s">
        <v>2040</v>
      </c>
      <c r="B1108" t="s">
        <v>2041</v>
      </c>
      <c r="C1108" t="s">
        <v>1976</v>
      </c>
      <c r="D1108" s="11" t="s">
        <v>2250</v>
      </c>
      <c r="E1108" s="12">
        <v>45929</v>
      </c>
      <c r="F1108" s="12">
        <v>45929</v>
      </c>
      <c r="G1108" t="s">
        <v>2248</v>
      </c>
      <c r="H1108" t="s">
        <v>1455</v>
      </c>
      <c r="I1108">
        <v>4899</v>
      </c>
      <c r="J1108">
        <v>0</v>
      </c>
      <c r="M1108">
        <v>2.3310000000000001E-2</v>
      </c>
      <c r="N1108">
        <v>114.19569</v>
      </c>
      <c r="O1108">
        <v>-114.19569</v>
      </c>
      <c r="P1108">
        <v>0</v>
      </c>
    </row>
    <row r="1109" spans="1:16" hidden="1" x14ac:dyDescent="0.25">
      <c r="A1109" t="s">
        <v>2040</v>
      </c>
      <c r="B1109" t="s">
        <v>2041</v>
      </c>
      <c r="C1109" t="s">
        <v>1976</v>
      </c>
      <c r="D1109" s="11" t="s">
        <v>2250</v>
      </c>
      <c r="E1109" s="12">
        <v>45929</v>
      </c>
      <c r="F1109" s="12">
        <v>45929</v>
      </c>
      <c r="G1109" t="s">
        <v>2248</v>
      </c>
      <c r="H1109" t="s">
        <v>1519</v>
      </c>
      <c r="I1109">
        <v>10000</v>
      </c>
      <c r="J1109">
        <v>0</v>
      </c>
      <c r="M1109">
        <v>1.4919999999999999E-2</v>
      </c>
      <c r="N1109">
        <v>149.19999999999999</v>
      </c>
      <c r="O1109">
        <v>-149.19999999999999</v>
      </c>
      <c r="P1109">
        <v>0</v>
      </c>
    </row>
    <row r="1110" spans="1:16" hidden="1" x14ac:dyDescent="0.25">
      <c r="A1110" t="s">
        <v>2040</v>
      </c>
      <c r="B1110" t="s">
        <v>2041</v>
      </c>
      <c r="C1110" t="s">
        <v>1976</v>
      </c>
      <c r="D1110" s="11" t="s">
        <v>2250</v>
      </c>
      <c r="E1110" s="12">
        <v>45929</v>
      </c>
      <c r="F1110" s="12">
        <v>45929</v>
      </c>
      <c r="G1110" t="s">
        <v>2248</v>
      </c>
      <c r="H1110" t="s">
        <v>1575</v>
      </c>
      <c r="I1110">
        <v>5000</v>
      </c>
      <c r="J1110">
        <v>0</v>
      </c>
      <c r="M1110">
        <v>1.431E-2</v>
      </c>
      <c r="N1110">
        <v>71.55</v>
      </c>
      <c r="O1110">
        <v>-71.55</v>
      </c>
      <c r="P1110">
        <v>0</v>
      </c>
    </row>
    <row r="1111" spans="1:16" hidden="1" x14ac:dyDescent="0.25">
      <c r="A1111" t="s">
        <v>2040</v>
      </c>
      <c r="B1111" t="s">
        <v>2041</v>
      </c>
      <c r="C1111" t="s">
        <v>1976</v>
      </c>
      <c r="D1111" s="11" t="s">
        <v>2250</v>
      </c>
      <c r="E1111" s="12">
        <v>45929</v>
      </c>
      <c r="F1111" s="12">
        <v>45929</v>
      </c>
      <c r="G1111" t="s">
        <v>2248</v>
      </c>
      <c r="H1111" t="s">
        <v>57</v>
      </c>
      <c r="I1111">
        <v>197</v>
      </c>
      <c r="J1111">
        <v>0</v>
      </c>
      <c r="M1111">
        <v>8.34</v>
      </c>
      <c r="N1111">
        <v>1642.98</v>
      </c>
      <c r="O1111">
        <v>-1642.98</v>
      </c>
      <c r="P1111">
        <v>0</v>
      </c>
    </row>
    <row r="1112" spans="1:16" hidden="1" x14ac:dyDescent="0.25">
      <c r="A1112" t="s">
        <v>2040</v>
      </c>
      <c r="B1112" t="s">
        <v>2041</v>
      </c>
      <c r="C1112" t="s">
        <v>1976</v>
      </c>
      <c r="D1112" s="11" t="s">
        <v>2250</v>
      </c>
      <c r="E1112" s="12">
        <v>45929</v>
      </c>
      <c r="F1112" s="12">
        <v>45929</v>
      </c>
      <c r="G1112" t="s">
        <v>2248</v>
      </c>
      <c r="H1112" t="s">
        <v>196</v>
      </c>
      <c r="I1112">
        <v>200</v>
      </c>
      <c r="J1112">
        <v>0</v>
      </c>
      <c r="M1112">
        <v>7.61</v>
      </c>
      <c r="N1112">
        <v>1522</v>
      </c>
      <c r="O1112">
        <v>-1522</v>
      </c>
      <c r="P1112">
        <v>0</v>
      </c>
    </row>
    <row r="1113" spans="1:16" hidden="1" x14ac:dyDescent="0.25">
      <c r="A1113" t="s">
        <v>2040</v>
      </c>
      <c r="B1113" t="s">
        <v>2041</v>
      </c>
      <c r="C1113" t="s">
        <v>1976</v>
      </c>
      <c r="D1113" s="11" t="s">
        <v>2250</v>
      </c>
      <c r="E1113" s="12">
        <v>45929</v>
      </c>
      <c r="F1113" s="12">
        <v>45929</v>
      </c>
      <c r="G1113" t="s">
        <v>2248</v>
      </c>
      <c r="H1113" t="s">
        <v>206</v>
      </c>
      <c r="I1113">
        <v>100</v>
      </c>
      <c r="J1113">
        <v>0</v>
      </c>
      <c r="M1113">
        <v>16.863</v>
      </c>
      <c r="N1113">
        <v>1686.3</v>
      </c>
      <c r="O1113">
        <v>-1686.3</v>
      </c>
      <c r="P1113">
        <v>0</v>
      </c>
    </row>
    <row r="1114" spans="1:16" hidden="1" x14ac:dyDescent="0.25">
      <c r="A1114" t="s">
        <v>2040</v>
      </c>
      <c r="B1114" t="s">
        <v>2041</v>
      </c>
      <c r="C1114" t="s">
        <v>1976</v>
      </c>
      <c r="D1114" s="11" t="s">
        <v>2250</v>
      </c>
      <c r="E1114" s="12">
        <v>45929</v>
      </c>
      <c r="F1114" s="12">
        <v>45929</v>
      </c>
      <c r="G1114" t="s">
        <v>2248</v>
      </c>
      <c r="H1114" t="s">
        <v>480</v>
      </c>
      <c r="I1114">
        <v>96</v>
      </c>
      <c r="J1114">
        <v>0</v>
      </c>
      <c r="M1114">
        <v>6.5010000000000003</v>
      </c>
      <c r="N1114">
        <v>624.096</v>
      </c>
      <c r="O1114">
        <v>-624.096</v>
      </c>
      <c r="P1114">
        <v>0</v>
      </c>
    </row>
    <row r="1115" spans="1:16" hidden="1" x14ac:dyDescent="0.25">
      <c r="A1115" t="s">
        <v>2040</v>
      </c>
      <c r="B1115" t="s">
        <v>2041</v>
      </c>
      <c r="C1115" t="s">
        <v>1976</v>
      </c>
      <c r="D1115" s="11" t="s">
        <v>2250</v>
      </c>
      <c r="E1115" s="12">
        <v>45929</v>
      </c>
      <c r="F1115" s="12">
        <v>45929</v>
      </c>
      <c r="G1115" t="s">
        <v>2248</v>
      </c>
      <c r="H1115" t="s">
        <v>483</v>
      </c>
      <c r="I1115">
        <v>60</v>
      </c>
      <c r="J1115">
        <v>0</v>
      </c>
      <c r="M1115">
        <v>9.7569999999999997</v>
      </c>
      <c r="N1115">
        <v>585.41999999999996</v>
      </c>
      <c r="O1115">
        <v>-585.41999999999996</v>
      </c>
      <c r="P1115">
        <v>0</v>
      </c>
    </row>
    <row r="1116" spans="1:16" hidden="1" x14ac:dyDescent="0.25">
      <c r="A1116" t="s">
        <v>2040</v>
      </c>
      <c r="B1116" t="s">
        <v>2041</v>
      </c>
      <c r="C1116" t="s">
        <v>1976</v>
      </c>
      <c r="D1116" s="11" t="s">
        <v>2250</v>
      </c>
      <c r="E1116" s="12">
        <v>45929</v>
      </c>
      <c r="F1116" s="12">
        <v>45929</v>
      </c>
      <c r="G1116" t="s">
        <v>2248</v>
      </c>
      <c r="H1116" t="s">
        <v>492</v>
      </c>
      <c r="I1116">
        <v>60</v>
      </c>
      <c r="J1116">
        <v>0</v>
      </c>
      <c r="M1116">
        <v>8.0079999999999991</v>
      </c>
      <c r="N1116">
        <v>480.48</v>
      </c>
      <c r="O1116">
        <v>-480.48</v>
      </c>
      <c r="P1116">
        <v>0</v>
      </c>
    </row>
    <row r="1117" spans="1:16" hidden="1" x14ac:dyDescent="0.25">
      <c r="A1117" t="s">
        <v>2040</v>
      </c>
      <c r="B1117" t="s">
        <v>2041</v>
      </c>
      <c r="C1117" t="s">
        <v>1976</v>
      </c>
      <c r="D1117" s="11" t="s">
        <v>2250</v>
      </c>
      <c r="E1117" s="12">
        <v>45929</v>
      </c>
      <c r="F1117" s="12">
        <v>45929</v>
      </c>
      <c r="G1117" t="s">
        <v>2248</v>
      </c>
      <c r="H1117" t="s">
        <v>1083</v>
      </c>
      <c r="I1117">
        <v>100</v>
      </c>
      <c r="J1117">
        <v>0</v>
      </c>
      <c r="M1117">
        <v>4.2130000000000001</v>
      </c>
      <c r="N1117">
        <v>421.3</v>
      </c>
      <c r="O1117">
        <v>-421.3</v>
      </c>
      <c r="P1117">
        <v>0</v>
      </c>
    </row>
    <row r="1118" spans="1:16" hidden="1" x14ac:dyDescent="0.25">
      <c r="A1118" t="s">
        <v>2040</v>
      </c>
      <c r="B1118" t="s">
        <v>2041</v>
      </c>
      <c r="C1118" t="s">
        <v>1976</v>
      </c>
      <c r="D1118" s="11" t="s">
        <v>2250</v>
      </c>
      <c r="E1118" s="12">
        <v>45929</v>
      </c>
      <c r="F1118" s="12">
        <v>45929</v>
      </c>
      <c r="G1118" t="s">
        <v>2248</v>
      </c>
      <c r="H1118" t="s">
        <v>1094</v>
      </c>
      <c r="I1118">
        <v>60</v>
      </c>
      <c r="J1118">
        <v>0</v>
      </c>
      <c r="M1118">
        <v>45.639000000000003</v>
      </c>
      <c r="N1118">
        <v>2738.34</v>
      </c>
      <c r="O1118">
        <v>-2738.34</v>
      </c>
      <c r="P1118">
        <v>0</v>
      </c>
    </row>
    <row r="1119" spans="1:16" hidden="1" x14ac:dyDescent="0.25">
      <c r="A1119" t="s">
        <v>2040</v>
      </c>
      <c r="B1119" t="s">
        <v>2041</v>
      </c>
      <c r="C1119" t="s">
        <v>1976</v>
      </c>
      <c r="D1119" s="11" t="s">
        <v>2250</v>
      </c>
      <c r="E1119" s="12">
        <v>45929</v>
      </c>
      <c r="F1119" s="12">
        <v>45929</v>
      </c>
      <c r="G1119" t="s">
        <v>2248</v>
      </c>
      <c r="H1119" t="s">
        <v>1098</v>
      </c>
      <c r="I1119">
        <v>91</v>
      </c>
      <c r="J1119">
        <v>0</v>
      </c>
      <c r="M1119">
        <v>9.0090000000000003</v>
      </c>
      <c r="N1119">
        <v>819.81899999999996</v>
      </c>
      <c r="O1119">
        <v>-819.81899999999996</v>
      </c>
      <c r="P1119">
        <v>0</v>
      </c>
    </row>
    <row r="1120" spans="1:16" hidden="1" x14ac:dyDescent="0.25">
      <c r="A1120" t="s">
        <v>2040</v>
      </c>
      <c r="B1120" t="s">
        <v>2041</v>
      </c>
      <c r="C1120" t="s">
        <v>1976</v>
      </c>
      <c r="D1120" s="11" t="s">
        <v>2250</v>
      </c>
      <c r="E1120" s="12">
        <v>45929</v>
      </c>
      <c r="F1120" s="12">
        <v>45929</v>
      </c>
      <c r="G1120" t="s">
        <v>2248</v>
      </c>
      <c r="H1120" t="s">
        <v>1133</v>
      </c>
      <c r="I1120">
        <v>100</v>
      </c>
      <c r="J1120">
        <v>0</v>
      </c>
      <c r="M1120">
        <v>4.6310000000000002</v>
      </c>
      <c r="N1120">
        <v>463.1</v>
      </c>
      <c r="O1120">
        <v>-463.1</v>
      </c>
      <c r="P1120">
        <v>0</v>
      </c>
    </row>
    <row r="1121" spans="1:16" hidden="1" x14ac:dyDescent="0.25">
      <c r="A1121" t="s">
        <v>2040</v>
      </c>
      <c r="B1121" t="s">
        <v>2041</v>
      </c>
      <c r="C1121" t="s">
        <v>1976</v>
      </c>
      <c r="D1121" s="11" t="s">
        <v>2250</v>
      </c>
      <c r="E1121" s="12">
        <v>45929</v>
      </c>
      <c r="F1121" s="12">
        <v>45929</v>
      </c>
      <c r="G1121" t="s">
        <v>2248</v>
      </c>
      <c r="H1121" t="s">
        <v>1138</v>
      </c>
      <c r="I1121">
        <v>60</v>
      </c>
      <c r="J1121">
        <v>0</v>
      </c>
      <c r="M1121">
        <v>5.8239999999999998</v>
      </c>
      <c r="N1121">
        <v>349.44</v>
      </c>
      <c r="O1121">
        <v>-349.44</v>
      </c>
      <c r="P1121">
        <v>0</v>
      </c>
    </row>
    <row r="1122" spans="1:16" hidden="1" x14ac:dyDescent="0.25">
      <c r="A1122" t="s">
        <v>2040</v>
      </c>
      <c r="B1122" t="s">
        <v>2041</v>
      </c>
      <c r="C1122" t="s">
        <v>1976</v>
      </c>
      <c r="D1122" s="11" t="s">
        <v>2250</v>
      </c>
      <c r="E1122" s="12">
        <v>45929</v>
      </c>
      <c r="F1122" s="12">
        <v>45929</v>
      </c>
      <c r="G1122" t="s">
        <v>2248</v>
      </c>
      <c r="H1122" t="s">
        <v>1144</v>
      </c>
      <c r="I1122">
        <v>200</v>
      </c>
      <c r="J1122">
        <v>0</v>
      </c>
      <c r="M1122">
        <v>1.1990000000000001</v>
      </c>
      <c r="N1122">
        <v>239.8</v>
      </c>
      <c r="O1122">
        <v>-239.8</v>
      </c>
      <c r="P1122">
        <v>0</v>
      </c>
    </row>
    <row r="1123" spans="1:16" hidden="1" x14ac:dyDescent="0.25">
      <c r="A1123" t="s">
        <v>2040</v>
      </c>
      <c r="B1123" t="s">
        <v>2041</v>
      </c>
      <c r="C1123" t="s">
        <v>1976</v>
      </c>
      <c r="D1123" s="11" t="s">
        <v>2250</v>
      </c>
      <c r="E1123" s="12">
        <v>45929</v>
      </c>
      <c r="F1123" s="12">
        <v>45929</v>
      </c>
      <c r="G1123" t="s">
        <v>2248</v>
      </c>
      <c r="H1123" t="s">
        <v>1146</v>
      </c>
      <c r="I1123">
        <v>60</v>
      </c>
      <c r="J1123">
        <v>0</v>
      </c>
      <c r="M1123">
        <v>3.9159999999999999</v>
      </c>
      <c r="N1123">
        <v>234.96</v>
      </c>
      <c r="O1123">
        <v>-234.96</v>
      </c>
      <c r="P1123">
        <v>0</v>
      </c>
    </row>
    <row r="1124" spans="1:16" hidden="1" x14ac:dyDescent="0.25">
      <c r="A1124" t="s">
        <v>2040</v>
      </c>
      <c r="B1124" t="s">
        <v>2041</v>
      </c>
      <c r="C1124" t="s">
        <v>1976</v>
      </c>
      <c r="D1124" s="11" t="s">
        <v>2250</v>
      </c>
      <c r="E1124" s="12">
        <v>45929</v>
      </c>
      <c r="F1124" s="12">
        <v>45929</v>
      </c>
      <c r="G1124" t="s">
        <v>2248</v>
      </c>
      <c r="H1124" t="s">
        <v>1148</v>
      </c>
      <c r="I1124">
        <v>60</v>
      </c>
      <c r="J1124">
        <v>0</v>
      </c>
      <c r="M1124">
        <v>8.0519999999999996</v>
      </c>
      <c r="N1124">
        <v>483.12</v>
      </c>
      <c r="O1124">
        <v>-483.12</v>
      </c>
      <c r="P1124">
        <v>0</v>
      </c>
    </row>
    <row r="1125" spans="1:16" hidden="1" x14ac:dyDescent="0.25">
      <c r="A1125" t="s">
        <v>2040</v>
      </c>
      <c r="B1125" t="s">
        <v>2041</v>
      </c>
      <c r="C1125" t="s">
        <v>1976</v>
      </c>
      <c r="D1125" s="11" t="s">
        <v>2250</v>
      </c>
      <c r="E1125" s="12">
        <v>45929</v>
      </c>
      <c r="F1125" s="12">
        <v>45929</v>
      </c>
      <c r="G1125" t="s">
        <v>2248</v>
      </c>
      <c r="H1125" t="s">
        <v>1150</v>
      </c>
      <c r="I1125">
        <v>56</v>
      </c>
      <c r="J1125">
        <v>0</v>
      </c>
      <c r="M1125">
        <v>5.2990000000000004</v>
      </c>
      <c r="N1125">
        <v>296.74400000000003</v>
      </c>
      <c r="O1125">
        <v>-296.74400000000003</v>
      </c>
      <c r="P1125">
        <v>0</v>
      </c>
    </row>
    <row r="1126" spans="1:16" hidden="1" x14ac:dyDescent="0.25">
      <c r="A1126" t="s">
        <v>2040</v>
      </c>
      <c r="B1126" t="s">
        <v>2041</v>
      </c>
      <c r="C1126" t="s">
        <v>1976</v>
      </c>
      <c r="D1126" s="11" t="s">
        <v>2250</v>
      </c>
      <c r="E1126" s="12">
        <v>45929</v>
      </c>
      <c r="F1126" s="12">
        <v>45929</v>
      </c>
      <c r="G1126" t="s">
        <v>2248</v>
      </c>
      <c r="H1126" t="s">
        <v>1623</v>
      </c>
      <c r="I1126">
        <v>37006</v>
      </c>
      <c r="J1126">
        <v>0</v>
      </c>
      <c r="M1126">
        <v>1.4999999999999999E-2</v>
      </c>
      <c r="N1126">
        <v>555.09</v>
      </c>
      <c r="O1126">
        <v>-555.09</v>
      </c>
      <c r="P1126">
        <v>0</v>
      </c>
    </row>
    <row r="1127" spans="1:16" hidden="1" x14ac:dyDescent="0.25">
      <c r="A1127" t="s">
        <v>2040</v>
      </c>
      <c r="B1127" t="s">
        <v>2041</v>
      </c>
      <c r="C1127" t="s">
        <v>1976</v>
      </c>
      <c r="D1127" s="11" t="s">
        <v>2250</v>
      </c>
      <c r="E1127" s="12">
        <v>45929</v>
      </c>
      <c r="F1127" s="12">
        <v>45929</v>
      </c>
      <c r="G1127" t="s">
        <v>2248</v>
      </c>
      <c r="H1127" t="s">
        <v>838</v>
      </c>
      <c r="I1127">
        <v>613</v>
      </c>
      <c r="J1127">
        <v>0</v>
      </c>
      <c r="M1127">
        <v>0.10262</v>
      </c>
      <c r="N1127">
        <v>62.906059999999997</v>
      </c>
      <c r="O1127">
        <v>-62.906059999999997</v>
      </c>
      <c r="P1127">
        <v>0</v>
      </c>
    </row>
    <row r="1128" spans="1:16" hidden="1" x14ac:dyDescent="0.25">
      <c r="A1128" t="s">
        <v>2040</v>
      </c>
      <c r="B1128" t="s">
        <v>2041</v>
      </c>
      <c r="C1128" t="s">
        <v>1976</v>
      </c>
      <c r="D1128" s="11" t="s">
        <v>2250</v>
      </c>
      <c r="E1128" s="12">
        <v>45929</v>
      </c>
      <c r="F1128" s="12">
        <v>45929</v>
      </c>
      <c r="G1128" t="s">
        <v>2248</v>
      </c>
      <c r="H1128" t="s">
        <v>327</v>
      </c>
      <c r="I1128">
        <v>350</v>
      </c>
      <c r="J1128">
        <v>0</v>
      </c>
      <c r="M1128">
        <v>1.1962900000000001</v>
      </c>
      <c r="N1128">
        <v>418.70150000000001</v>
      </c>
      <c r="O1128">
        <v>-418.70150000000001</v>
      </c>
      <c r="P1128">
        <v>0</v>
      </c>
    </row>
    <row r="1129" spans="1:16" hidden="1" x14ac:dyDescent="0.25">
      <c r="A1129" t="s">
        <v>2040</v>
      </c>
      <c r="B1129" t="s">
        <v>2041</v>
      </c>
      <c r="C1129" t="s">
        <v>1976</v>
      </c>
      <c r="D1129" s="11" t="s">
        <v>2250</v>
      </c>
      <c r="E1129" s="12">
        <v>45929</v>
      </c>
      <c r="F1129" s="12">
        <v>45929</v>
      </c>
      <c r="G1129" t="s">
        <v>2248</v>
      </c>
      <c r="H1129" t="s">
        <v>2275</v>
      </c>
      <c r="I1129">
        <v>400</v>
      </c>
      <c r="J1129">
        <v>0</v>
      </c>
      <c r="M1129">
        <v>1.5</v>
      </c>
      <c r="N1129">
        <v>600</v>
      </c>
      <c r="O1129">
        <v>-600</v>
      </c>
      <c r="P1129">
        <v>0</v>
      </c>
    </row>
    <row r="1130" spans="1:16" hidden="1" x14ac:dyDescent="0.25">
      <c r="A1130" t="s">
        <v>2040</v>
      </c>
      <c r="B1130" t="s">
        <v>2041</v>
      </c>
      <c r="C1130" t="s">
        <v>1976</v>
      </c>
      <c r="D1130" s="11" t="s">
        <v>2250</v>
      </c>
      <c r="E1130" s="12">
        <v>45929</v>
      </c>
      <c r="F1130" s="12">
        <v>45929</v>
      </c>
      <c r="G1130" t="s">
        <v>2248</v>
      </c>
      <c r="H1130" t="s">
        <v>2276</v>
      </c>
      <c r="I1130">
        <v>100</v>
      </c>
      <c r="J1130">
        <v>0</v>
      </c>
      <c r="M1130">
        <v>1.1299999999999999</v>
      </c>
      <c r="N1130">
        <v>113</v>
      </c>
      <c r="O1130">
        <v>-113</v>
      </c>
      <c r="P1130">
        <v>0</v>
      </c>
    </row>
    <row r="1131" spans="1:16" hidden="1" x14ac:dyDescent="0.25">
      <c r="A1131" t="s">
        <v>2040</v>
      </c>
      <c r="B1131" t="s">
        <v>2041</v>
      </c>
      <c r="C1131" t="s">
        <v>1976</v>
      </c>
      <c r="D1131" s="11" t="s">
        <v>2250</v>
      </c>
      <c r="E1131" s="12">
        <v>45929</v>
      </c>
      <c r="F1131" s="12">
        <v>45929</v>
      </c>
      <c r="G1131" t="s">
        <v>2248</v>
      </c>
      <c r="H1131" t="s">
        <v>1241</v>
      </c>
      <c r="I1131">
        <v>778</v>
      </c>
      <c r="J1131">
        <v>0</v>
      </c>
      <c r="M1131">
        <v>0.83</v>
      </c>
      <c r="N1131">
        <v>645.74</v>
      </c>
      <c r="O1131">
        <v>-645.74</v>
      </c>
      <c r="P1131">
        <v>0</v>
      </c>
    </row>
    <row r="1132" spans="1:16" hidden="1" x14ac:dyDescent="0.25">
      <c r="A1132" t="s">
        <v>2040</v>
      </c>
      <c r="B1132" t="s">
        <v>2041</v>
      </c>
      <c r="C1132" t="s">
        <v>1976</v>
      </c>
      <c r="D1132" s="11" t="s">
        <v>2250</v>
      </c>
      <c r="E1132" s="12">
        <v>45929</v>
      </c>
      <c r="F1132" s="12">
        <v>45929</v>
      </c>
      <c r="G1132" t="s">
        <v>2248</v>
      </c>
      <c r="H1132" t="s">
        <v>1261</v>
      </c>
      <c r="I1132">
        <v>249</v>
      </c>
      <c r="J1132">
        <v>0</v>
      </c>
      <c r="M1132">
        <v>2.9</v>
      </c>
      <c r="N1132">
        <v>722.1</v>
      </c>
      <c r="O1132">
        <v>-722.1</v>
      </c>
      <c r="P1132">
        <v>0</v>
      </c>
    </row>
    <row r="1133" spans="1:16" hidden="1" x14ac:dyDescent="0.25">
      <c r="A1133" t="s">
        <v>2040</v>
      </c>
      <c r="B1133" t="s">
        <v>2041</v>
      </c>
      <c r="C1133" t="s">
        <v>1976</v>
      </c>
      <c r="D1133" s="11" t="s">
        <v>2250</v>
      </c>
      <c r="E1133" s="12">
        <v>45929</v>
      </c>
      <c r="F1133" s="12">
        <v>45929</v>
      </c>
      <c r="G1133" t="s">
        <v>2248</v>
      </c>
      <c r="H1133" t="s">
        <v>1269</v>
      </c>
      <c r="I1133">
        <v>4999</v>
      </c>
      <c r="J1133">
        <v>0</v>
      </c>
      <c r="M1133">
        <v>9.2899999999999996E-2</v>
      </c>
      <c r="N1133">
        <v>464.40710000000001</v>
      </c>
      <c r="O1133">
        <v>-464.40710000000001</v>
      </c>
      <c r="P1133">
        <v>0</v>
      </c>
    </row>
    <row r="1134" spans="1:16" hidden="1" x14ac:dyDescent="0.25">
      <c r="A1134" t="s">
        <v>2040</v>
      </c>
      <c r="B1134" t="s">
        <v>2041</v>
      </c>
      <c r="C1134" t="s">
        <v>1976</v>
      </c>
      <c r="D1134" s="11" t="s">
        <v>2250</v>
      </c>
      <c r="E1134" s="12">
        <v>45929</v>
      </c>
      <c r="F1134" s="12">
        <v>45929</v>
      </c>
      <c r="G1134" t="s">
        <v>2248</v>
      </c>
      <c r="H1134" t="s">
        <v>1273</v>
      </c>
      <c r="I1134">
        <v>464</v>
      </c>
      <c r="J1134">
        <v>0</v>
      </c>
      <c r="M1134">
        <v>1.25</v>
      </c>
      <c r="N1134">
        <v>580</v>
      </c>
      <c r="O1134">
        <v>-580</v>
      </c>
      <c r="P1134">
        <v>0</v>
      </c>
    </row>
    <row r="1135" spans="1:16" hidden="1" x14ac:dyDescent="0.25">
      <c r="A1135" t="s">
        <v>2040</v>
      </c>
      <c r="B1135" t="s">
        <v>2041</v>
      </c>
      <c r="C1135" t="s">
        <v>1976</v>
      </c>
      <c r="D1135" s="11" t="s">
        <v>2250</v>
      </c>
      <c r="E1135" s="12">
        <v>45929</v>
      </c>
      <c r="F1135" s="12">
        <v>45929</v>
      </c>
      <c r="G1135" t="s">
        <v>2248</v>
      </c>
      <c r="H1135" t="s">
        <v>1831</v>
      </c>
      <c r="I1135">
        <v>4650</v>
      </c>
      <c r="J1135">
        <v>0</v>
      </c>
      <c r="M1135">
        <v>0.123</v>
      </c>
      <c r="N1135">
        <v>571.95000000000005</v>
      </c>
      <c r="O1135">
        <v>-571.95000000000005</v>
      </c>
      <c r="P1135">
        <v>0</v>
      </c>
    </row>
    <row r="1136" spans="1:16" hidden="1" x14ac:dyDescent="0.25">
      <c r="A1136" t="s">
        <v>2040</v>
      </c>
      <c r="B1136" t="s">
        <v>2041</v>
      </c>
      <c r="C1136" t="s">
        <v>1976</v>
      </c>
      <c r="D1136" s="11" t="s">
        <v>2250</v>
      </c>
      <c r="E1136" s="12">
        <v>45929</v>
      </c>
      <c r="F1136" s="12">
        <v>45929</v>
      </c>
      <c r="G1136" t="s">
        <v>2248</v>
      </c>
      <c r="H1136" t="s">
        <v>1603</v>
      </c>
      <c r="I1136">
        <v>199</v>
      </c>
      <c r="J1136">
        <v>0</v>
      </c>
      <c r="M1136">
        <v>6.75</v>
      </c>
      <c r="N1136">
        <v>1343.25</v>
      </c>
      <c r="O1136">
        <v>-1343.25</v>
      </c>
      <c r="P1136">
        <v>0</v>
      </c>
    </row>
    <row r="1137" spans="1:16" hidden="1" x14ac:dyDescent="0.25">
      <c r="A1137" t="s">
        <v>2040</v>
      </c>
      <c r="B1137" t="s">
        <v>2041</v>
      </c>
      <c r="C1137" t="s">
        <v>1976</v>
      </c>
      <c r="D1137" s="11" t="s">
        <v>2250</v>
      </c>
      <c r="E1137" s="12">
        <v>45929</v>
      </c>
      <c r="F1137" s="12">
        <v>45929</v>
      </c>
      <c r="G1137" t="s">
        <v>2248</v>
      </c>
      <c r="H1137" t="s">
        <v>2277</v>
      </c>
      <c r="I1137">
        <v>2500</v>
      </c>
      <c r="J1137">
        <v>0</v>
      </c>
      <c r="M1137">
        <v>0.23</v>
      </c>
      <c r="N1137">
        <v>575</v>
      </c>
      <c r="O1137">
        <v>-575</v>
      </c>
      <c r="P1137">
        <v>0</v>
      </c>
    </row>
    <row r="1138" spans="1:16" hidden="1" x14ac:dyDescent="0.25">
      <c r="A1138" t="s">
        <v>2040</v>
      </c>
      <c r="B1138" t="s">
        <v>2041</v>
      </c>
      <c r="C1138" t="s">
        <v>1976</v>
      </c>
      <c r="D1138" s="11" t="s">
        <v>2250</v>
      </c>
      <c r="E1138" s="12">
        <v>45929</v>
      </c>
      <c r="F1138" s="12">
        <v>45929</v>
      </c>
      <c r="G1138" t="s">
        <v>2248</v>
      </c>
      <c r="H1138" t="s">
        <v>1191</v>
      </c>
      <c r="I1138">
        <v>100</v>
      </c>
      <c r="J1138">
        <v>0</v>
      </c>
      <c r="M1138">
        <v>31.08</v>
      </c>
      <c r="N1138">
        <v>3108</v>
      </c>
      <c r="O1138">
        <v>-3108</v>
      </c>
      <c r="P1138">
        <v>0</v>
      </c>
    </row>
    <row r="1139" spans="1:16" hidden="1" x14ac:dyDescent="0.25">
      <c r="A1139" t="s">
        <v>2040</v>
      </c>
      <c r="B1139" t="s">
        <v>2041</v>
      </c>
      <c r="C1139" t="s">
        <v>1976</v>
      </c>
      <c r="D1139" s="11" t="s">
        <v>2250</v>
      </c>
      <c r="E1139" s="12">
        <v>45929</v>
      </c>
      <c r="F1139" s="12">
        <v>45929</v>
      </c>
      <c r="G1139" t="s">
        <v>2248</v>
      </c>
      <c r="H1139" t="s">
        <v>1211</v>
      </c>
      <c r="I1139">
        <v>2500</v>
      </c>
      <c r="J1139">
        <v>0</v>
      </c>
      <c r="M1139">
        <v>0.107</v>
      </c>
      <c r="N1139">
        <v>267.5</v>
      </c>
      <c r="O1139">
        <v>-267.5</v>
      </c>
      <c r="P1139">
        <v>0</v>
      </c>
    </row>
    <row r="1140" spans="1:16" hidden="1" x14ac:dyDescent="0.25">
      <c r="A1140" t="s">
        <v>2040</v>
      </c>
      <c r="B1140" t="s">
        <v>2041</v>
      </c>
      <c r="C1140" t="s">
        <v>1976</v>
      </c>
      <c r="D1140" s="11" t="s">
        <v>2250</v>
      </c>
      <c r="E1140" s="12">
        <v>45929</v>
      </c>
      <c r="F1140" s="12">
        <v>45929</v>
      </c>
      <c r="G1140" t="s">
        <v>2248</v>
      </c>
      <c r="H1140" t="s">
        <v>1247</v>
      </c>
      <c r="I1140">
        <v>100</v>
      </c>
      <c r="J1140">
        <v>0</v>
      </c>
      <c r="M1140">
        <v>4.0259999999999998</v>
      </c>
      <c r="N1140">
        <v>402.6</v>
      </c>
      <c r="O1140">
        <v>-402.6</v>
      </c>
      <c r="P1140">
        <v>0</v>
      </c>
    </row>
    <row r="1141" spans="1:16" hidden="1" x14ac:dyDescent="0.25">
      <c r="A1141" t="s">
        <v>2040</v>
      </c>
      <c r="B1141" t="s">
        <v>2041</v>
      </c>
      <c r="C1141" t="s">
        <v>1976</v>
      </c>
      <c r="D1141" s="11" t="s">
        <v>2250</v>
      </c>
      <c r="E1141" s="12">
        <v>45929</v>
      </c>
      <c r="F1141" s="12">
        <v>45929</v>
      </c>
      <c r="G1141" t="s">
        <v>2248</v>
      </c>
      <c r="H1141" t="s">
        <v>1698</v>
      </c>
      <c r="I1141">
        <v>3000</v>
      </c>
      <c r="J1141">
        <v>0</v>
      </c>
      <c r="M1141">
        <v>0.126</v>
      </c>
      <c r="N1141">
        <v>378</v>
      </c>
      <c r="O1141">
        <v>-378</v>
      </c>
      <c r="P1141">
        <v>0</v>
      </c>
    </row>
    <row r="1142" spans="1:16" hidden="1" x14ac:dyDescent="0.25">
      <c r="A1142" t="s">
        <v>2040</v>
      </c>
      <c r="B1142" t="s">
        <v>2041</v>
      </c>
      <c r="C1142" t="s">
        <v>1976</v>
      </c>
      <c r="D1142" s="11" t="s">
        <v>2250</v>
      </c>
      <c r="E1142" s="12">
        <v>45929</v>
      </c>
      <c r="F1142" s="12">
        <v>45929</v>
      </c>
      <c r="G1142" t="s">
        <v>2248</v>
      </c>
      <c r="H1142" t="s">
        <v>1833</v>
      </c>
      <c r="I1142">
        <v>970</v>
      </c>
      <c r="J1142">
        <v>0</v>
      </c>
      <c r="M1142">
        <v>7.9000000000000001E-2</v>
      </c>
      <c r="N1142">
        <v>76.63</v>
      </c>
      <c r="O1142">
        <v>-76.63</v>
      </c>
      <c r="P1142">
        <v>0</v>
      </c>
    </row>
    <row r="1143" spans="1:16" hidden="1" x14ac:dyDescent="0.25">
      <c r="A1143" t="s">
        <v>2040</v>
      </c>
      <c r="B1143" t="s">
        <v>2041</v>
      </c>
      <c r="C1143" t="s">
        <v>1976</v>
      </c>
      <c r="D1143" s="11" t="s">
        <v>2250</v>
      </c>
      <c r="E1143" s="12">
        <v>45929</v>
      </c>
      <c r="F1143" s="12">
        <v>45929</v>
      </c>
      <c r="G1143" t="s">
        <v>2248</v>
      </c>
      <c r="H1143" t="s">
        <v>10</v>
      </c>
      <c r="I1143">
        <v>61</v>
      </c>
      <c r="J1143">
        <v>0</v>
      </c>
      <c r="M1143">
        <v>0.317</v>
      </c>
      <c r="N1143">
        <v>19.337</v>
      </c>
      <c r="O1143">
        <v>-19.337</v>
      </c>
      <c r="P1143">
        <v>0</v>
      </c>
    </row>
    <row r="1144" spans="1:16" hidden="1" x14ac:dyDescent="0.25">
      <c r="A1144" t="s">
        <v>2040</v>
      </c>
      <c r="B1144" t="s">
        <v>2041</v>
      </c>
      <c r="C1144" t="s">
        <v>1976</v>
      </c>
      <c r="D1144" s="11" t="s">
        <v>2250</v>
      </c>
      <c r="E1144" s="12">
        <v>45929</v>
      </c>
      <c r="F1144" s="12">
        <v>45929</v>
      </c>
      <c r="G1144" t="s">
        <v>2248</v>
      </c>
      <c r="H1144" t="s">
        <v>830</v>
      </c>
      <c r="I1144">
        <v>5000</v>
      </c>
      <c r="J1144">
        <v>0</v>
      </c>
      <c r="M1144">
        <v>2.4199999999999999E-2</v>
      </c>
      <c r="N1144">
        <v>121</v>
      </c>
      <c r="O1144">
        <v>-121</v>
      </c>
      <c r="P1144">
        <v>0</v>
      </c>
    </row>
    <row r="1145" spans="1:16" hidden="1" x14ac:dyDescent="0.25">
      <c r="A1145" t="s">
        <v>2040</v>
      </c>
      <c r="B1145" t="s">
        <v>2041</v>
      </c>
      <c r="C1145" t="s">
        <v>1976</v>
      </c>
      <c r="D1145" s="11" t="s">
        <v>2250</v>
      </c>
      <c r="E1145" s="12">
        <v>45929</v>
      </c>
      <c r="F1145" s="12">
        <v>45929</v>
      </c>
      <c r="G1145" t="s">
        <v>2248</v>
      </c>
      <c r="H1145" t="s">
        <v>1667</v>
      </c>
      <c r="I1145">
        <v>2500</v>
      </c>
      <c r="J1145">
        <v>0</v>
      </c>
      <c r="M1145">
        <v>0.10299999999999999</v>
      </c>
      <c r="N1145">
        <v>257.5</v>
      </c>
      <c r="O1145">
        <v>-257.5</v>
      </c>
      <c r="P1145">
        <v>0</v>
      </c>
    </row>
    <row r="1146" spans="1:16" hidden="1" x14ac:dyDescent="0.25">
      <c r="A1146" t="s">
        <v>2040</v>
      </c>
      <c r="B1146" t="s">
        <v>2041</v>
      </c>
      <c r="C1146" t="s">
        <v>1976</v>
      </c>
      <c r="D1146" s="11" t="s">
        <v>2250</v>
      </c>
      <c r="E1146" s="12">
        <v>45929</v>
      </c>
      <c r="F1146" s="12">
        <v>45929</v>
      </c>
      <c r="G1146" t="s">
        <v>2248</v>
      </c>
      <c r="H1146" t="s">
        <v>1239</v>
      </c>
      <c r="I1146">
        <v>136</v>
      </c>
      <c r="J1146">
        <v>0</v>
      </c>
      <c r="M1146">
        <v>2.5</v>
      </c>
      <c r="N1146">
        <v>340</v>
      </c>
      <c r="O1146">
        <v>-340</v>
      </c>
      <c r="P1146">
        <v>0</v>
      </c>
    </row>
    <row r="1147" spans="1:16" hidden="1" x14ac:dyDescent="0.25">
      <c r="A1147" t="s">
        <v>2040</v>
      </c>
      <c r="B1147" t="s">
        <v>2041</v>
      </c>
      <c r="C1147" t="s">
        <v>1976</v>
      </c>
      <c r="D1147" s="11" t="s">
        <v>2250</v>
      </c>
      <c r="E1147" s="12">
        <v>45929</v>
      </c>
      <c r="F1147" s="12">
        <v>45929</v>
      </c>
      <c r="G1147" t="s">
        <v>2248</v>
      </c>
      <c r="H1147" t="s">
        <v>661</v>
      </c>
      <c r="I1147">
        <v>500</v>
      </c>
      <c r="J1147">
        <v>0</v>
      </c>
      <c r="M1147">
        <v>0.16900000000000001</v>
      </c>
      <c r="N1147">
        <v>84.5</v>
      </c>
      <c r="O1147">
        <v>-84.5</v>
      </c>
      <c r="P1147">
        <v>0</v>
      </c>
    </row>
    <row r="1148" spans="1:16" hidden="1" x14ac:dyDescent="0.25">
      <c r="A1148" t="s">
        <v>2040</v>
      </c>
      <c r="B1148" t="s">
        <v>2041</v>
      </c>
      <c r="C1148" t="s">
        <v>1976</v>
      </c>
      <c r="D1148" s="11" t="s">
        <v>2250</v>
      </c>
      <c r="E1148" s="12">
        <v>45929</v>
      </c>
      <c r="F1148" s="12">
        <v>45929</v>
      </c>
      <c r="G1148" t="s">
        <v>2248</v>
      </c>
      <c r="H1148" t="s">
        <v>671</v>
      </c>
      <c r="I1148">
        <v>10000</v>
      </c>
      <c r="J1148">
        <v>0</v>
      </c>
      <c r="M1148">
        <v>2.0300000000000001E-3</v>
      </c>
      <c r="N1148">
        <v>20.3</v>
      </c>
      <c r="O1148">
        <v>-20.3</v>
      </c>
      <c r="P1148">
        <v>0</v>
      </c>
    </row>
    <row r="1149" spans="1:16" hidden="1" x14ac:dyDescent="0.25">
      <c r="A1149" t="s">
        <v>2040</v>
      </c>
      <c r="B1149" t="s">
        <v>2041</v>
      </c>
      <c r="C1149" t="s">
        <v>1976</v>
      </c>
      <c r="D1149" s="11" t="s">
        <v>2250</v>
      </c>
      <c r="E1149" s="12">
        <v>45929</v>
      </c>
      <c r="F1149" s="12">
        <v>45929</v>
      </c>
      <c r="G1149" t="s">
        <v>2248</v>
      </c>
      <c r="H1149" t="s">
        <v>1857</v>
      </c>
      <c r="I1149">
        <v>101</v>
      </c>
      <c r="J1149">
        <v>0</v>
      </c>
      <c r="M1149">
        <v>15.936999999999999</v>
      </c>
      <c r="N1149">
        <v>1609.6369999999999</v>
      </c>
      <c r="O1149">
        <v>-1609.6369999999999</v>
      </c>
      <c r="P1149">
        <v>0</v>
      </c>
    </row>
    <row r="1150" spans="1:16" hidden="1" x14ac:dyDescent="0.25">
      <c r="A1150" t="s">
        <v>2040</v>
      </c>
      <c r="B1150" t="s">
        <v>2041</v>
      </c>
      <c r="C1150" t="s">
        <v>1976</v>
      </c>
      <c r="D1150" s="11" t="s">
        <v>2250</v>
      </c>
      <c r="E1150" s="12">
        <v>45929</v>
      </c>
      <c r="F1150" s="12">
        <v>45929</v>
      </c>
      <c r="G1150" t="s">
        <v>2248</v>
      </c>
      <c r="H1150" t="s">
        <v>1857</v>
      </c>
      <c r="I1150">
        <v>46</v>
      </c>
      <c r="J1150">
        <v>0</v>
      </c>
      <c r="M1150">
        <v>15.936999999999999</v>
      </c>
      <c r="N1150">
        <v>733.10199999999998</v>
      </c>
      <c r="O1150">
        <v>-733.10199999999998</v>
      </c>
      <c r="P1150">
        <v>0</v>
      </c>
    </row>
    <row r="1151" spans="1:16" hidden="1" x14ac:dyDescent="0.25">
      <c r="A1151" t="s">
        <v>2040</v>
      </c>
      <c r="B1151" t="s">
        <v>2041</v>
      </c>
      <c r="C1151" t="s">
        <v>1976</v>
      </c>
      <c r="D1151" s="11" t="s">
        <v>2250</v>
      </c>
      <c r="E1151" s="12">
        <v>45929</v>
      </c>
      <c r="F1151" s="12">
        <v>45929</v>
      </c>
      <c r="G1151" t="s">
        <v>2248</v>
      </c>
      <c r="H1151" t="s">
        <v>2278</v>
      </c>
      <c r="I1151">
        <v>100</v>
      </c>
      <c r="J1151">
        <v>0</v>
      </c>
      <c r="M1151">
        <v>0.13327</v>
      </c>
      <c r="N1151">
        <v>13.327</v>
      </c>
      <c r="O1151">
        <v>-13.327</v>
      </c>
      <c r="P1151">
        <v>0</v>
      </c>
    </row>
    <row r="1152" spans="1:16" hidden="1" x14ac:dyDescent="0.25">
      <c r="A1152" t="s">
        <v>2040</v>
      </c>
      <c r="B1152" t="s">
        <v>2041</v>
      </c>
      <c r="C1152" t="s">
        <v>1976</v>
      </c>
      <c r="D1152" s="11" t="s">
        <v>2250</v>
      </c>
      <c r="E1152" s="12">
        <v>45929</v>
      </c>
      <c r="F1152" s="12">
        <v>45929</v>
      </c>
      <c r="G1152" t="s">
        <v>2248</v>
      </c>
      <c r="H1152" t="s">
        <v>365</v>
      </c>
      <c r="I1152">
        <v>1001</v>
      </c>
      <c r="J1152">
        <v>0</v>
      </c>
      <c r="M1152">
        <v>1.73</v>
      </c>
      <c r="N1152">
        <v>1731.73</v>
      </c>
      <c r="O1152">
        <v>-1731.73</v>
      </c>
      <c r="P1152">
        <v>0</v>
      </c>
    </row>
    <row r="1153" spans="1:16" hidden="1" x14ac:dyDescent="0.25">
      <c r="A1153" t="s">
        <v>2040</v>
      </c>
      <c r="B1153" t="s">
        <v>2041</v>
      </c>
      <c r="C1153" t="s">
        <v>1976</v>
      </c>
      <c r="D1153" s="11" t="s">
        <v>2250</v>
      </c>
      <c r="E1153" s="12">
        <v>45929</v>
      </c>
      <c r="F1153" s="12">
        <v>45929</v>
      </c>
      <c r="G1153" t="s">
        <v>2248</v>
      </c>
      <c r="H1153" t="s">
        <v>132</v>
      </c>
      <c r="I1153">
        <v>1500</v>
      </c>
      <c r="J1153">
        <v>0</v>
      </c>
      <c r="M1153">
        <v>0.17399999999999999</v>
      </c>
      <c r="N1153">
        <v>261</v>
      </c>
      <c r="O1153">
        <v>-261</v>
      </c>
      <c r="P1153">
        <v>0</v>
      </c>
    </row>
    <row r="1154" spans="1:16" hidden="1" x14ac:dyDescent="0.25">
      <c r="A1154" t="s">
        <v>2040</v>
      </c>
      <c r="B1154" t="s">
        <v>2041</v>
      </c>
      <c r="C1154" t="s">
        <v>1976</v>
      </c>
      <c r="D1154" s="11" t="s">
        <v>2250</v>
      </c>
      <c r="E1154" s="12">
        <v>45929</v>
      </c>
      <c r="F1154" s="12">
        <v>45929</v>
      </c>
      <c r="G1154" t="s">
        <v>2248</v>
      </c>
      <c r="H1154" t="s">
        <v>180</v>
      </c>
      <c r="I1154">
        <v>199</v>
      </c>
      <c r="J1154">
        <v>0</v>
      </c>
      <c r="M1154">
        <v>0.78905000000000003</v>
      </c>
      <c r="N1154">
        <v>157.02095</v>
      </c>
      <c r="O1154">
        <v>-157.02095</v>
      </c>
      <c r="P1154">
        <v>0</v>
      </c>
    </row>
    <row r="1155" spans="1:16" hidden="1" x14ac:dyDescent="0.25">
      <c r="A1155" t="s">
        <v>2040</v>
      </c>
      <c r="B1155" t="s">
        <v>2041</v>
      </c>
      <c r="C1155" t="s">
        <v>1976</v>
      </c>
      <c r="D1155" s="11" t="s">
        <v>2250</v>
      </c>
      <c r="E1155" s="12">
        <v>45929</v>
      </c>
      <c r="F1155" s="12">
        <v>45929</v>
      </c>
      <c r="G1155" t="s">
        <v>2248</v>
      </c>
      <c r="H1155" t="s">
        <v>427</v>
      </c>
      <c r="I1155">
        <v>216</v>
      </c>
      <c r="J1155">
        <v>0</v>
      </c>
      <c r="M1155">
        <v>1.6</v>
      </c>
      <c r="N1155">
        <v>345.6</v>
      </c>
      <c r="O1155">
        <v>-345.6</v>
      </c>
      <c r="P1155">
        <v>0</v>
      </c>
    </row>
    <row r="1156" spans="1:16" hidden="1" x14ac:dyDescent="0.25">
      <c r="A1156" t="s">
        <v>2040</v>
      </c>
      <c r="B1156" t="s">
        <v>2041</v>
      </c>
      <c r="C1156" t="s">
        <v>1976</v>
      </c>
      <c r="D1156" s="11" t="s">
        <v>2250</v>
      </c>
      <c r="E1156" s="12">
        <v>45929</v>
      </c>
      <c r="F1156" s="12">
        <v>45929</v>
      </c>
      <c r="G1156" t="s">
        <v>2248</v>
      </c>
      <c r="H1156" t="s">
        <v>551</v>
      </c>
      <c r="I1156">
        <v>3000</v>
      </c>
      <c r="J1156">
        <v>0</v>
      </c>
      <c r="M1156">
        <v>5.6000000000000001E-2</v>
      </c>
      <c r="N1156">
        <v>168</v>
      </c>
      <c r="O1156">
        <v>-168</v>
      </c>
      <c r="P1156">
        <v>0</v>
      </c>
    </row>
    <row r="1157" spans="1:16" hidden="1" x14ac:dyDescent="0.25">
      <c r="A1157" t="s">
        <v>2040</v>
      </c>
      <c r="B1157" t="s">
        <v>2041</v>
      </c>
      <c r="C1157" t="s">
        <v>1976</v>
      </c>
      <c r="D1157" s="11" t="s">
        <v>2250</v>
      </c>
      <c r="E1157" s="12">
        <v>45929</v>
      </c>
      <c r="F1157" s="12">
        <v>45929</v>
      </c>
      <c r="G1157" t="s">
        <v>2248</v>
      </c>
      <c r="H1157" t="s">
        <v>677</v>
      </c>
      <c r="I1157">
        <v>5000</v>
      </c>
      <c r="J1157">
        <v>0</v>
      </c>
      <c r="M1157">
        <v>2.0300000000000001E-3</v>
      </c>
      <c r="N1157">
        <v>10.15</v>
      </c>
      <c r="O1157">
        <v>-10.15</v>
      </c>
      <c r="P1157">
        <v>0</v>
      </c>
    </row>
    <row r="1158" spans="1:16" hidden="1" x14ac:dyDescent="0.25">
      <c r="A1158" t="s">
        <v>2040</v>
      </c>
      <c r="B1158" t="s">
        <v>2041</v>
      </c>
      <c r="C1158" t="s">
        <v>1976</v>
      </c>
      <c r="D1158" s="11" t="s">
        <v>2250</v>
      </c>
      <c r="E1158" s="12">
        <v>45929</v>
      </c>
      <c r="F1158" s="12">
        <v>45929</v>
      </c>
      <c r="G1158" t="s">
        <v>2248</v>
      </c>
      <c r="H1158" t="s">
        <v>745</v>
      </c>
      <c r="I1158">
        <v>3000</v>
      </c>
      <c r="J1158">
        <v>0</v>
      </c>
      <c r="M1158">
        <v>0.63509000000000004</v>
      </c>
      <c r="N1158">
        <v>1905.27</v>
      </c>
      <c r="O1158">
        <v>-1905.27</v>
      </c>
      <c r="P1158">
        <v>0</v>
      </c>
    </row>
    <row r="1159" spans="1:16" hidden="1" x14ac:dyDescent="0.25">
      <c r="A1159" t="s">
        <v>2040</v>
      </c>
      <c r="B1159" t="s">
        <v>2041</v>
      </c>
      <c r="C1159" t="s">
        <v>1976</v>
      </c>
      <c r="D1159" s="11" t="s">
        <v>2250</v>
      </c>
      <c r="E1159" s="12">
        <v>45929</v>
      </c>
      <c r="F1159" s="12">
        <v>45929</v>
      </c>
      <c r="G1159" t="s">
        <v>2248</v>
      </c>
      <c r="H1159" t="s">
        <v>804</v>
      </c>
      <c r="I1159">
        <v>5000</v>
      </c>
      <c r="J1159">
        <v>0</v>
      </c>
      <c r="M1159">
        <v>2.81E-2</v>
      </c>
      <c r="N1159">
        <v>140.5</v>
      </c>
      <c r="O1159">
        <v>-140.5</v>
      </c>
      <c r="P1159">
        <v>0</v>
      </c>
    </row>
    <row r="1160" spans="1:16" hidden="1" x14ac:dyDescent="0.25">
      <c r="A1160" t="s">
        <v>2040</v>
      </c>
      <c r="B1160" t="s">
        <v>2041</v>
      </c>
      <c r="C1160" t="s">
        <v>1976</v>
      </c>
      <c r="D1160" s="11" t="s">
        <v>2250</v>
      </c>
      <c r="E1160" s="12">
        <v>45929</v>
      </c>
      <c r="F1160" s="12">
        <v>45929</v>
      </c>
      <c r="G1160" t="s">
        <v>2248</v>
      </c>
      <c r="H1160" t="s">
        <v>822</v>
      </c>
      <c r="I1160">
        <v>5000</v>
      </c>
      <c r="J1160">
        <v>0</v>
      </c>
      <c r="M1160">
        <v>2.7300000000000001E-2</v>
      </c>
      <c r="N1160">
        <v>136.5</v>
      </c>
      <c r="O1160">
        <v>-136.5</v>
      </c>
      <c r="P1160">
        <v>0</v>
      </c>
    </row>
    <row r="1161" spans="1:16" hidden="1" x14ac:dyDescent="0.25">
      <c r="A1161" t="s">
        <v>2040</v>
      </c>
      <c r="B1161" t="s">
        <v>2041</v>
      </c>
      <c r="C1161" t="s">
        <v>1976</v>
      </c>
      <c r="D1161" s="11" t="s">
        <v>2250</v>
      </c>
      <c r="E1161" s="12">
        <v>45929</v>
      </c>
      <c r="F1161" s="12">
        <v>45929</v>
      </c>
      <c r="G1161" t="s">
        <v>2248</v>
      </c>
      <c r="H1161" t="s">
        <v>1156</v>
      </c>
      <c r="I1161">
        <v>2370</v>
      </c>
      <c r="J1161">
        <v>0</v>
      </c>
      <c r="M1161">
        <v>7.2800000000000004E-2</v>
      </c>
      <c r="N1161">
        <v>172.536</v>
      </c>
      <c r="O1161">
        <v>-172.536</v>
      </c>
      <c r="P1161">
        <v>0</v>
      </c>
    </row>
    <row r="1162" spans="1:16" hidden="1" x14ac:dyDescent="0.25">
      <c r="A1162" t="s">
        <v>2040</v>
      </c>
      <c r="B1162" t="s">
        <v>2041</v>
      </c>
      <c r="C1162" t="s">
        <v>1976</v>
      </c>
      <c r="D1162" s="11" t="s">
        <v>2250</v>
      </c>
      <c r="E1162" s="12">
        <v>45929</v>
      </c>
      <c r="F1162" s="12">
        <v>45929</v>
      </c>
      <c r="G1162" t="s">
        <v>2248</v>
      </c>
      <c r="H1162" t="s">
        <v>1265</v>
      </c>
      <c r="I1162">
        <v>2970</v>
      </c>
      <c r="J1162">
        <v>0</v>
      </c>
      <c r="M1162">
        <v>2.6100000000000002E-2</v>
      </c>
      <c r="N1162">
        <v>77.516999999999996</v>
      </c>
      <c r="O1162">
        <v>-77.516999999999996</v>
      </c>
      <c r="P1162">
        <v>0</v>
      </c>
    </row>
    <row r="1163" spans="1:16" hidden="1" x14ac:dyDescent="0.25">
      <c r="A1163" t="s">
        <v>2040</v>
      </c>
      <c r="B1163" t="s">
        <v>2041</v>
      </c>
      <c r="C1163" t="s">
        <v>1976</v>
      </c>
      <c r="D1163" s="11" t="s">
        <v>2250</v>
      </c>
      <c r="E1163" s="12">
        <v>45929</v>
      </c>
      <c r="F1163" s="12">
        <v>45929</v>
      </c>
      <c r="G1163" t="s">
        <v>2248</v>
      </c>
      <c r="H1163" t="s">
        <v>1543</v>
      </c>
      <c r="I1163">
        <v>10000</v>
      </c>
      <c r="J1163">
        <v>0</v>
      </c>
      <c r="M1163">
        <v>1.66E-2</v>
      </c>
      <c r="N1163">
        <v>166</v>
      </c>
      <c r="O1163">
        <v>-166</v>
      </c>
      <c r="P1163">
        <v>0</v>
      </c>
    </row>
    <row r="1164" spans="1:16" hidden="1" x14ac:dyDescent="0.25">
      <c r="A1164" t="s">
        <v>2040</v>
      </c>
      <c r="B1164" t="s">
        <v>2041</v>
      </c>
      <c r="C1164" t="s">
        <v>1976</v>
      </c>
      <c r="D1164" s="11" t="s">
        <v>2250</v>
      </c>
      <c r="E1164" s="12">
        <v>45929</v>
      </c>
      <c r="F1164" s="12">
        <v>45929</v>
      </c>
      <c r="G1164" t="s">
        <v>2248</v>
      </c>
      <c r="H1164" t="s">
        <v>1559</v>
      </c>
      <c r="I1164">
        <v>10000</v>
      </c>
      <c r="J1164">
        <v>0</v>
      </c>
      <c r="M1164">
        <v>3.7690000000000001E-2</v>
      </c>
      <c r="N1164">
        <v>376.9</v>
      </c>
      <c r="O1164">
        <v>-376.9</v>
      </c>
      <c r="P1164">
        <v>0</v>
      </c>
    </row>
    <row r="1165" spans="1:16" hidden="1" x14ac:dyDescent="0.25">
      <c r="A1165" t="s">
        <v>2040</v>
      </c>
      <c r="B1165" t="s">
        <v>2041</v>
      </c>
      <c r="C1165" t="s">
        <v>1976</v>
      </c>
      <c r="D1165" s="11" t="s">
        <v>2250</v>
      </c>
      <c r="E1165" s="12">
        <v>45929</v>
      </c>
      <c r="F1165" s="12">
        <v>45929</v>
      </c>
      <c r="G1165" t="s">
        <v>2248</v>
      </c>
      <c r="H1165" t="s">
        <v>1619</v>
      </c>
      <c r="I1165">
        <v>2500</v>
      </c>
      <c r="J1165">
        <v>0</v>
      </c>
      <c r="M1165">
        <v>0.13500000000000001</v>
      </c>
      <c r="N1165">
        <v>337.5</v>
      </c>
      <c r="O1165">
        <v>-337.5</v>
      </c>
      <c r="P1165">
        <v>0</v>
      </c>
    </row>
    <row r="1166" spans="1:16" hidden="1" x14ac:dyDescent="0.25">
      <c r="A1166" t="s">
        <v>2040</v>
      </c>
      <c r="B1166" t="s">
        <v>2041</v>
      </c>
      <c r="C1166" t="s">
        <v>1976</v>
      </c>
      <c r="D1166" s="11" t="s">
        <v>2250</v>
      </c>
      <c r="E1166" s="12">
        <v>45929</v>
      </c>
      <c r="F1166" s="12">
        <v>45929</v>
      </c>
      <c r="G1166" t="s">
        <v>2248</v>
      </c>
      <c r="H1166" t="s">
        <v>6</v>
      </c>
      <c r="I1166">
        <v>1000</v>
      </c>
      <c r="J1166">
        <v>0</v>
      </c>
      <c r="M1166">
        <v>0.11899999999999999</v>
      </c>
      <c r="N1166">
        <v>119</v>
      </c>
      <c r="O1166">
        <v>-119</v>
      </c>
      <c r="P1166">
        <v>0</v>
      </c>
    </row>
    <row r="1167" spans="1:16" hidden="1" x14ac:dyDescent="0.25">
      <c r="A1167" t="s">
        <v>2040</v>
      </c>
      <c r="B1167" t="s">
        <v>2041</v>
      </c>
      <c r="C1167" t="s">
        <v>1976</v>
      </c>
      <c r="D1167" s="11" t="s">
        <v>2250</v>
      </c>
      <c r="E1167" s="12">
        <v>45929</v>
      </c>
      <c r="F1167" s="12">
        <v>45929</v>
      </c>
      <c r="G1167" t="s">
        <v>2248</v>
      </c>
      <c r="H1167" t="s">
        <v>8</v>
      </c>
      <c r="I1167">
        <v>4000</v>
      </c>
      <c r="J1167">
        <v>0</v>
      </c>
      <c r="M1167">
        <v>5.77E-3</v>
      </c>
      <c r="N1167">
        <v>23.08</v>
      </c>
      <c r="O1167">
        <v>-23.08</v>
      </c>
      <c r="P1167">
        <v>0</v>
      </c>
    </row>
    <row r="1168" spans="1:16" hidden="1" x14ac:dyDescent="0.25">
      <c r="A1168" t="s">
        <v>2040</v>
      </c>
      <c r="B1168" t="s">
        <v>2041</v>
      </c>
      <c r="C1168" t="s">
        <v>1976</v>
      </c>
      <c r="D1168" s="11" t="s">
        <v>2250</v>
      </c>
      <c r="E1168" s="12">
        <v>45929</v>
      </c>
      <c r="F1168" s="12">
        <v>45929</v>
      </c>
      <c r="G1168" t="s">
        <v>2248</v>
      </c>
      <c r="H1168" t="s">
        <v>76</v>
      </c>
      <c r="I1168">
        <v>50</v>
      </c>
      <c r="J1168">
        <v>0</v>
      </c>
      <c r="M1168">
        <v>3.9689999999999999</v>
      </c>
      <c r="N1168">
        <v>198.45</v>
      </c>
      <c r="O1168">
        <v>-198.45</v>
      </c>
      <c r="P1168">
        <v>0</v>
      </c>
    </row>
    <row r="1169" spans="1:16" hidden="1" x14ac:dyDescent="0.25">
      <c r="A1169" t="s">
        <v>2040</v>
      </c>
      <c r="B1169" t="s">
        <v>2041</v>
      </c>
      <c r="C1169" t="s">
        <v>1976</v>
      </c>
      <c r="D1169" s="11" t="s">
        <v>2250</v>
      </c>
      <c r="E1169" s="12">
        <v>45929</v>
      </c>
      <c r="F1169" s="12">
        <v>45929</v>
      </c>
      <c r="G1169" t="s">
        <v>2248</v>
      </c>
      <c r="H1169" t="s">
        <v>108</v>
      </c>
      <c r="I1169">
        <v>500</v>
      </c>
      <c r="J1169">
        <v>0</v>
      </c>
      <c r="M1169">
        <v>0.67</v>
      </c>
      <c r="N1169">
        <v>335</v>
      </c>
      <c r="O1169">
        <v>-335</v>
      </c>
      <c r="P1169">
        <v>0</v>
      </c>
    </row>
    <row r="1170" spans="1:16" hidden="1" x14ac:dyDescent="0.25">
      <c r="A1170" t="s">
        <v>2040</v>
      </c>
      <c r="B1170" t="s">
        <v>2041</v>
      </c>
      <c r="C1170" t="s">
        <v>1976</v>
      </c>
      <c r="D1170" s="11" t="s">
        <v>2250</v>
      </c>
      <c r="E1170" s="12">
        <v>45929</v>
      </c>
      <c r="F1170" s="12">
        <v>45929</v>
      </c>
      <c r="G1170" t="s">
        <v>2248</v>
      </c>
      <c r="H1170" t="s">
        <v>138</v>
      </c>
      <c r="I1170">
        <v>2000</v>
      </c>
      <c r="J1170">
        <v>0</v>
      </c>
      <c r="M1170">
        <v>0.21199999999999999</v>
      </c>
      <c r="N1170">
        <v>424</v>
      </c>
      <c r="O1170">
        <v>-424</v>
      </c>
      <c r="P1170">
        <v>0</v>
      </c>
    </row>
    <row r="1171" spans="1:16" hidden="1" x14ac:dyDescent="0.25">
      <c r="A1171" t="s">
        <v>2040</v>
      </c>
      <c r="B1171" t="s">
        <v>2041</v>
      </c>
      <c r="C1171" t="s">
        <v>1976</v>
      </c>
      <c r="D1171" s="11" t="s">
        <v>2250</v>
      </c>
      <c r="E1171" s="12">
        <v>45929</v>
      </c>
      <c r="F1171" s="12">
        <v>45929</v>
      </c>
      <c r="G1171" t="s">
        <v>2248</v>
      </c>
      <c r="H1171" t="s">
        <v>156</v>
      </c>
      <c r="I1171">
        <v>1500</v>
      </c>
      <c r="J1171">
        <v>0</v>
      </c>
      <c r="M1171">
        <v>0.29499999999999998</v>
      </c>
      <c r="N1171">
        <v>442.5</v>
      </c>
      <c r="O1171">
        <v>-442.5</v>
      </c>
      <c r="P1171">
        <v>0</v>
      </c>
    </row>
    <row r="1172" spans="1:16" hidden="1" x14ac:dyDescent="0.25">
      <c r="A1172" t="s">
        <v>2040</v>
      </c>
      <c r="B1172" t="s">
        <v>2041</v>
      </c>
      <c r="C1172" t="s">
        <v>1976</v>
      </c>
      <c r="D1172" s="11" t="s">
        <v>2250</v>
      </c>
      <c r="E1172" s="12">
        <v>45929</v>
      </c>
      <c r="F1172" s="12">
        <v>45929</v>
      </c>
      <c r="G1172" t="s">
        <v>2248</v>
      </c>
      <c r="H1172" t="s">
        <v>194</v>
      </c>
      <c r="I1172">
        <v>240</v>
      </c>
      <c r="J1172">
        <v>0</v>
      </c>
      <c r="M1172">
        <v>11.47</v>
      </c>
      <c r="N1172">
        <v>2752.8</v>
      </c>
      <c r="O1172">
        <v>-2752.8</v>
      </c>
      <c r="P1172">
        <v>0</v>
      </c>
    </row>
    <row r="1173" spans="1:16" hidden="1" x14ac:dyDescent="0.25">
      <c r="A1173" t="s">
        <v>2040</v>
      </c>
      <c r="B1173" t="s">
        <v>2041</v>
      </c>
      <c r="C1173" t="s">
        <v>1976</v>
      </c>
      <c r="D1173" s="11" t="s">
        <v>2250</v>
      </c>
      <c r="E1173" s="12">
        <v>45929</v>
      </c>
      <c r="F1173" s="12">
        <v>45929</v>
      </c>
      <c r="G1173" t="s">
        <v>2248</v>
      </c>
      <c r="H1173" t="s">
        <v>202</v>
      </c>
      <c r="I1173">
        <v>100</v>
      </c>
      <c r="J1173">
        <v>0</v>
      </c>
      <c r="M1173">
        <v>10.273</v>
      </c>
      <c r="N1173">
        <v>1027.3</v>
      </c>
      <c r="O1173">
        <v>-1027.3</v>
      </c>
      <c r="P1173">
        <v>0</v>
      </c>
    </row>
    <row r="1174" spans="1:16" hidden="1" x14ac:dyDescent="0.25">
      <c r="A1174" t="s">
        <v>2040</v>
      </c>
      <c r="B1174" t="s">
        <v>2041</v>
      </c>
      <c r="C1174" t="s">
        <v>1976</v>
      </c>
      <c r="D1174" s="11" t="s">
        <v>2250</v>
      </c>
      <c r="E1174" s="12">
        <v>45929</v>
      </c>
      <c r="F1174" s="12">
        <v>45929</v>
      </c>
      <c r="G1174" t="s">
        <v>2248</v>
      </c>
      <c r="H1174" t="s">
        <v>215</v>
      </c>
      <c r="I1174">
        <v>210</v>
      </c>
      <c r="J1174">
        <v>0</v>
      </c>
      <c r="M1174">
        <v>11.12</v>
      </c>
      <c r="N1174">
        <v>2335.1999999999998</v>
      </c>
      <c r="O1174">
        <v>-2335.1999999999998</v>
      </c>
      <c r="P1174">
        <v>0</v>
      </c>
    </row>
    <row r="1175" spans="1:16" hidden="1" x14ac:dyDescent="0.25">
      <c r="A1175" t="s">
        <v>2040</v>
      </c>
      <c r="B1175" t="s">
        <v>2041</v>
      </c>
      <c r="C1175" t="s">
        <v>1976</v>
      </c>
      <c r="D1175" s="11" t="s">
        <v>2250</v>
      </c>
      <c r="E1175" s="12">
        <v>45929</v>
      </c>
      <c r="F1175" s="12">
        <v>45929</v>
      </c>
      <c r="G1175" t="s">
        <v>2248</v>
      </c>
      <c r="H1175" t="s">
        <v>272</v>
      </c>
      <c r="I1175">
        <v>500</v>
      </c>
      <c r="J1175">
        <v>0</v>
      </c>
      <c r="M1175">
        <v>0.14499999999999999</v>
      </c>
      <c r="N1175">
        <v>72.5</v>
      </c>
      <c r="O1175">
        <v>-72.5</v>
      </c>
      <c r="P1175">
        <v>0</v>
      </c>
    </row>
    <row r="1176" spans="1:16" hidden="1" x14ac:dyDescent="0.25">
      <c r="A1176" t="s">
        <v>2040</v>
      </c>
      <c r="B1176" t="s">
        <v>2041</v>
      </c>
      <c r="C1176" t="s">
        <v>1976</v>
      </c>
      <c r="D1176" s="11" t="s">
        <v>2250</v>
      </c>
      <c r="E1176" s="12">
        <v>45929</v>
      </c>
      <c r="F1176" s="12">
        <v>45929</v>
      </c>
      <c r="G1176" t="s">
        <v>2248</v>
      </c>
      <c r="H1176" t="s">
        <v>276</v>
      </c>
      <c r="I1176">
        <v>1224</v>
      </c>
      <c r="J1176">
        <v>0</v>
      </c>
      <c r="M1176">
        <v>0.39</v>
      </c>
      <c r="N1176">
        <v>477.36</v>
      </c>
      <c r="O1176">
        <v>-477.36</v>
      </c>
      <c r="P1176">
        <v>0</v>
      </c>
    </row>
    <row r="1177" spans="1:16" hidden="1" x14ac:dyDescent="0.25">
      <c r="A1177" t="s">
        <v>2040</v>
      </c>
      <c r="B1177" t="s">
        <v>2041</v>
      </c>
      <c r="C1177" t="s">
        <v>1976</v>
      </c>
      <c r="D1177" s="11" t="s">
        <v>2250</v>
      </c>
      <c r="E1177" s="12">
        <v>45929</v>
      </c>
      <c r="F1177" s="12">
        <v>45929</v>
      </c>
      <c r="G1177" t="s">
        <v>2248</v>
      </c>
      <c r="H1177" t="s">
        <v>361</v>
      </c>
      <c r="I1177">
        <v>2980</v>
      </c>
      <c r="J1177">
        <v>0</v>
      </c>
      <c r="M1177">
        <v>0.83</v>
      </c>
      <c r="N1177">
        <v>2473.4</v>
      </c>
      <c r="O1177">
        <v>-2473.4</v>
      </c>
      <c r="P1177">
        <v>0</v>
      </c>
    </row>
    <row r="1178" spans="1:16" hidden="1" x14ac:dyDescent="0.25">
      <c r="A1178" t="s">
        <v>2040</v>
      </c>
      <c r="B1178" t="s">
        <v>2041</v>
      </c>
      <c r="C1178" t="s">
        <v>1976</v>
      </c>
      <c r="D1178" s="11" t="s">
        <v>2250</v>
      </c>
      <c r="E1178" s="12">
        <v>45929</v>
      </c>
      <c r="F1178" s="12">
        <v>45929</v>
      </c>
      <c r="G1178" t="s">
        <v>2248</v>
      </c>
      <c r="H1178" t="s">
        <v>507</v>
      </c>
      <c r="I1178">
        <v>250</v>
      </c>
      <c r="J1178">
        <v>0</v>
      </c>
      <c r="M1178">
        <v>0.82499999999999996</v>
      </c>
      <c r="N1178">
        <v>206.25</v>
      </c>
      <c r="O1178">
        <v>-206.25</v>
      </c>
      <c r="P1178">
        <v>0</v>
      </c>
    </row>
    <row r="1179" spans="1:16" hidden="1" x14ac:dyDescent="0.25">
      <c r="A1179" t="s">
        <v>2040</v>
      </c>
      <c r="B1179" t="s">
        <v>2041</v>
      </c>
      <c r="C1179" t="s">
        <v>1976</v>
      </c>
      <c r="D1179" s="11" t="s">
        <v>2250</v>
      </c>
      <c r="E1179" s="12">
        <v>45929</v>
      </c>
      <c r="F1179" s="12">
        <v>45929</v>
      </c>
      <c r="G1179" t="s">
        <v>2248</v>
      </c>
      <c r="H1179" t="s">
        <v>561</v>
      </c>
      <c r="I1179">
        <v>4000</v>
      </c>
      <c r="J1179">
        <v>0</v>
      </c>
      <c r="M1179">
        <v>3.3140000000000003E-2</v>
      </c>
      <c r="N1179">
        <v>132.56</v>
      </c>
      <c r="O1179">
        <v>-132.56</v>
      </c>
      <c r="P1179">
        <v>0</v>
      </c>
    </row>
    <row r="1180" spans="1:16" hidden="1" x14ac:dyDescent="0.25">
      <c r="A1180" t="s">
        <v>2040</v>
      </c>
      <c r="B1180" t="s">
        <v>2041</v>
      </c>
      <c r="C1180" t="s">
        <v>1976</v>
      </c>
      <c r="D1180" s="11" t="s">
        <v>2250</v>
      </c>
      <c r="E1180" s="12">
        <v>45929</v>
      </c>
      <c r="F1180" s="12">
        <v>45929</v>
      </c>
      <c r="G1180" t="s">
        <v>2248</v>
      </c>
      <c r="H1180" t="s">
        <v>595</v>
      </c>
      <c r="I1180">
        <v>500</v>
      </c>
      <c r="J1180">
        <v>0</v>
      </c>
      <c r="M1180">
        <v>0.56999999999999995</v>
      </c>
      <c r="N1180">
        <v>285</v>
      </c>
      <c r="O1180">
        <v>-285</v>
      </c>
      <c r="P1180">
        <v>0</v>
      </c>
    </row>
    <row r="1181" spans="1:16" hidden="1" x14ac:dyDescent="0.25">
      <c r="A1181" t="s">
        <v>2040</v>
      </c>
      <c r="B1181" t="s">
        <v>2041</v>
      </c>
      <c r="C1181" t="s">
        <v>1976</v>
      </c>
      <c r="D1181" s="11" t="s">
        <v>2250</v>
      </c>
      <c r="E1181" s="12">
        <v>45929</v>
      </c>
      <c r="F1181" s="12">
        <v>45929</v>
      </c>
      <c r="G1181" t="s">
        <v>2248</v>
      </c>
      <c r="H1181" t="s">
        <v>618</v>
      </c>
      <c r="I1181">
        <v>2000</v>
      </c>
      <c r="J1181">
        <v>0</v>
      </c>
      <c r="M1181">
        <v>4.7500000000000001E-2</v>
      </c>
      <c r="N1181">
        <v>95</v>
      </c>
      <c r="O1181">
        <v>-95</v>
      </c>
      <c r="P1181">
        <v>0</v>
      </c>
    </row>
    <row r="1182" spans="1:16" hidden="1" x14ac:dyDescent="0.25">
      <c r="A1182" t="s">
        <v>2040</v>
      </c>
      <c r="B1182" t="s">
        <v>2041</v>
      </c>
      <c r="C1182" t="s">
        <v>1976</v>
      </c>
      <c r="D1182" s="11" t="s">
        <v>2250</v>
      </c>
      <c r="E1182" s="12">
        <v>45929</v>
      </c>
      <c r="F1182" s="12">
        <v>45929</v>
      </c>
      <c r="G1182" t="s">
        <v>2248</v>
      </c>
      <c r="H1182" t="s">
        <v>649</v>
      </c>
      <c r="I1182">
        <v>4000</v>
      </c>
      <c r="J1182">
        <v>0</v>
      </c>
      <c r="M1182">
        <v>3.0999999999999999E-3</v>
      </c>
      <c r="N1182">
        <v>12.4</v>
      </c>
      <c r="O1182">
        <v>-12.4</v>
      </c>
      <c r="P1182">
        <v>0</v>
      </c>
    </row>
    <row r="1183" spans="1:16" hidden="1" x14ac:dyDescent="0.25">
      <c r="A1183" t="s">
        <v>2040</v>
      </c>
      <c r="B1183" t="s">
        <v>2041</v>
      </c>
      <c r="C1183" t="s">
        <v>1976</v>
      </c>
      <c r="D1183" s="11" t="s">
        <v>2250</v>
      </c>
      <c r="E1183" s="12">
        <v>45929</v>
      </c>
      <c r="F1183" s="12">
        <v>45929</v>
      </c>
      <c r="G1183" t="s">
        <v>2248</v>
      </c>
      <c r="H1183" t="s">
        <v>935</v>
      </c>
      <c r="I1183">
        <v>970</v>
      </c>
      <c r="J1183">
        <v>0</v>
      </c>
      <c r="M1183">
        <v>1.779E-2</v>
      </c>
      <c r="N1183">
        <v>17.2563</v>
      </c>
      <c r="O1183">
        <v>-17.2563</v>
      </c>
      <c r="P1183">
        <v>0</v>
      </c>
    </row>
    <row r="1184" spans="1:16" hidden="1" x14ac:dyDescent="0.25">
      <c r="A1184" t="s">
        <v>2040</v>
      </c>
      <c r="B1184" t="s">
        <v>2041</v>
      </c>
      <c r="C1184" t="s">
        <v>1976</v>
      </c>
      <c r="D1184" s="11" t="s">
        <v>2250</v>
      </c>
      <c r="E1184" s="12">
        <v>45929</v>
      </c>
      <c r="F1184" s="12">
        <v>45929</v>
      </c>
      <c r="G1184" t="s">
        <v>2248</v>
      </c>
      <c r="H1184" t="s">
        <v>1074</v>
      </c>
      <c r="I1184">
        <v>100</v>
      </c>
      <c r="J1184">
        <v>0</v>
      </c>
      <c r="M1184">
        <v>2.41</v>
      </c>
      <c r="N1184">
        <v>241</v>
      </c>
      <c r="O1184">
        <v>-241</v>
      </c>
      <c r="P1184">
        <v>0</v>
      </c>
    </row>
    <row r="1185" spans="1:16" hidden="1" x14ac:dyDescent="0.25">
      <c r="A1185" t="s">
        <v>2040</v>
      </c>
      <c r="B1185" t="s">
        <v>2041</v>
      </c>
      <c r="C1185" t="s">
        <v>1976</v>
      </c>
      <c r="D1185" s="11" t="s">
        <v>2250</v>
      </c>
      <c r="E1185" s="12">
        <v>45929</v>
      </c>
      <c r="F1185" s="12">
        <v>45929</v>
      </c>
      <c r="G1185" t="s">
        <v>2248</v>
      </c>
      <c r="H1185" t="s">
        <v>1166</v>
      </c>
      <c r="I1185">
        <v>1000</v>
      </c>
      <c r="J1185">
        <v>0</v>
      </c>
      <c r="M1185">
        <v>0.34</v>
      </c>
      <c r="N1185">
        <v>340</v>
      </c>
      <c r="O1185">
        <v>-340</v>
      </c>
      <c r="P1185">
        <v>0</v>
      </c>
    </row>
    <row r="1186" spans="1:16" hidden="1" x14ac:dyDescent="0.25">
      <c r="A1186" t="s">
        <v>2040</v>
      </c>
      <c r="B1186" t="s">
        <v>2041</v>
      </c>
      <c r="C1186" t="s">
        <v>1976</v>
      </c>
      <c r="D1186" s="11" t="s">
        <v>2250</v>
      </c>
      <c r="E1186" s="12">
        <v>45929</v>
      </c>
      <c r="F1186" s="12">
        <v>45929</v>
      </c>
      <c r="G1186" t="s">
        <v>2248</v>
      </c>
      <c r="H1186" t="s">
        <v>1288</v>
      </c>
      <c r="I1186">
        <v>500</v>
      </c>
      <c r="J1186">
        <v>0</v>
      </c>
      <c r="M1186">
        <v>0.73080000000000001</v>
      </c>
      <c r="N1186">
        <v>365.4</v>
      </c>
      <c r="O1186">
        <v>-365.4</v>
      </c>
      <c r="P1186">
        <v>0</v>
      </c>
    </row>
    <row r="1187" spans="1:16" hidden="1" x14ac:dyDescent="0.25">
      <c r="A1187" t="s">
        <v>2040</v>
      </c>
      <c r="B1187" t="s">
        <v>2041</v>
      </c>
      <c r="C1187" t="s">
        <v>1976</v>
      </c>
      <c r="D1187" s="11" t="s">
        <v>2250</v>
      </c>
      <c r="E1187" s="12">
        <v>45929</v>
      </c>
      <c r="F1187" s="12">
        <v>45929</v>
      </c>
      <c r="G1187" t="s">
        <v>2248</v>
      </c>
      <c r="H1187" t="s">
        <v>1298</v>
      </c>
      <c r="I1187">
        <v>10000</v>
      </c>
      <c r="J1187">
        <v>0</v>
      </c>
      <c r="M1187">
        <v>8.0000000000000004E-4</v>
      </c>
      <c r="N1187">
        <v>8</v>
      </c>
      <c r="O1187">
        <v>-8</v>
      </c>
      <c r="P1187">
        <v>0</v>
      </c>
    </row>
    <row r="1188" spans="1:16" hidden="1" x14ac:dyDescent="0.25">
      <c r="A1188" t="s">
        <v>2040</v>
      </c>
      <c r="B1188" t="s">
        <v>2041</v>
      </c>
      <c r="C1188" t="s">
        <v>1976</v>
      </c>
      <c r="D1188" s="11" t="s">
        <v>2250</v>
      </c>
      <c r="E1188" s="12">
        <v>45929</v>
      </c>
      <c r="F1188" s="12">
        <v>45929</v>
      </c>
      <c r="G1188" t="s">
        <v>2248</v>
      </c>
      <c r="H1188" t="s">
        <v>1461</v>
      </c>
      <c r="I1188">
        <v>10000</v>
      </c>
      <c r="J1188">
        <v>0</v>
      </c>
      <c r="M1188">
        <v>1.7000000000000001E-2</v>
      </c>
      <c r="N1188">
        <v>170</v>
      </c>
      <c r="O1188">
        <v>-170</v>
      </c>
      <c r="P1188">
        <v>0</v>
      </c>
    </row>
    <row r="1189" spans="1:16" hidden="1" x14ac:dyDescent="0.25">
      <c r="A1189" t="s">
        <v>2040</v>
      </c>
      <c r="B1189" t="s">
        <v>2041</v>
      </c>
      <c r="C1189" t="s">
        <v>1976</v>
      </c>
      <c r="D1189" s="11" t="s">
        <v>2250</v>
      </c>
      <c r="E1189" s="12">
        <v>45929</v>
      </c>
      <c r="F1189" s="12">
        <v>45929</v>
      </c>
      <c r="G1189" t="s">
        <v>2248</v>
      </c>
      <c r="H1189" t="s">
        <v>1539</v>
      </c>
      <c r="I1189">
        <v>10000</v>
      </c>
      <c r="J1189">
        <v>0</v>
      </c>
      <c r="M1189">
        <v>1.6799999999999999E-2</v>
      </c>
      <c r="N1189">
        <v>168</v>
      </c>
      <c r="O1189">
        <v>-168</v>
      </c>
      <c r="P1189">
        <v>0</v>
      </c>
    </row>
    <row r="1190" spans="1:16" hidden="1" x14ac:dyDescent="0.25">
      <c r="A1190" t="s">
        <v>2040</v>
      </c>
      <c r="B1190" t="s">
        <v>2041</v>
      </c>
      <c r="C1190" t="s">
        <v>1976</v>
      </c>
      <c r="D1190" s="11" t="s">
        <v>2250</v>
      </c>
      <c r="E1190" s="12">
        <v>45929</v>
      </c>
      <c r="F1190" s="12">
        <v>45929</v>
      </c>
      <c r="G1190" t="s">
        <v>2248</v>
      </c>
      <c r="H1190" t="s">
        <v>1795</v>
      </c>
      <c r="I1190">
        <v>60</v>
      </c>
      <c r="J1190">
        <v>0</v>
      </c>
      <c r="M1190">
        <v>4.4379999999999997</v>
      </c>
      <c r="N1190">
        <v>266.27999999999997</v>
      </c>
      <c r="O1190">
        <v>-266.27999999999997</v>
      </c>
      <c r="P1190">
        <v>0</v>
      </c>
    </row>
    <row r="1191" spans="1:16" hidden="1" x14ac:dyDescent="0.25">
      <c r="A1191" t="s">
        <v>2040</v>
      </c>
      <c r="B1191" t="s">
        <v>2041</v>
      </c>
      <c r="C1191" t="s">
        <v>1976</v>
      </c>
      <c r="D1191" s="11" t="s">
        <v>2250</v>
      </c>
      <c r="E1191" s="12">
        <v>45929</v>
      </c>
      <c r="F1191" s="12">
        <v>45929</v>
      </c>
      <c r="G1191" t="s">
        <v>2248</v>
      </c>
      <c r="H1191" t="s">
        <v>1823</v>
      </c>
      <c r="I1191">
        <v>500</v>
      </c>
      <c r="J1191">
        <v>0</v>
      </c>
      <c r="M1191">
        <v>3.444</v>
      </c>
      <c r="N1191">
        <v>1722</v>
      </c>
      <c r="O1191">
        <v>-1722</v>
      </c>
      <c r="P1191">
        <v>0</v>
      </c>
    </row>
    <row r="1192" spans="1:16" hidden="1" x14ac:dyDescent="0.25">
      <c r="A1192" t="s">
        <v>2040</v>
      </c>
      <c r="B1192" t="s">
        <v>2041</v>
      </c>
      <c r="C1192" t="s">
        <v>1976</v>
      </c>
      <c r="D1192" s="11" t="s">
        <v>2250</v>
      </c>
      <c r="E1192" s="12">
        <v>45929</v>
      </c>
      <c r="F1192" s="12">
        <v>45929</v>
      </c>
      <c r="G1192" t="s">
        <v>2248</v>
      </c>
      <c r="H1192" t="s">
        <v>170</v>
      </c>
      <c r="I1192">
        <v>51</v>
      </c>
      <c r="J1192">
        <v>0</v>
      </c>
      <c r="M1192">
        <v>2.1439499999999998</v>
      </c>
      <c r="N1192">
        <v>109.34144999999999</v>
      </c>
      <c r="O1192">
        <v>-109.34144999999999</v>
      </c>
      <c r="P1192">
        <v>0</v>
      </c>
    </row>
    <row r="1193" spans="1:16" hidden="1" x14ac:dyDescent="0.25">
      <c r="A1193" t="s">
        <v>2040</v>
      </c>
      <c r="B1193" t="s">
        <v>2041</v>
      </c>
      <c r="C1193" t="s">
        <v>1976</v>
      </c>
      <c r="D1193" s="11" t="s">
        <v>2250</v>
      </c>
      <c r="E1193" s="12">
        <v>45929</v>
      </c>
      <c r="F1193" s="12">
        <v>45929</v>
      </c>
      <c r="G1193" t="s">
        <v>2248</v>
      </c>
      <c r="H1193" t="s">
        <v>319</v>
      </c>
      <c r="I1193">
        <v>207</v>
      </c>
      <c r="J1193">
        <v>0</v>
      </c>
      <c r="M1193">
        <v>0.55915000000000004</v>
      </c>
      <c r="N1193">
        <v>115.74405</v>
      </c>
      <c r="O1193">
        <v>-115.74405</v>
      </c>
      <c r="P1193">
        <v>0</v>
      </c>
    </row>
    <row r="1194" spans="1:16" hidden="1" x14ac:dyDescent="0.25">
      <c r="A1194" t="s">
        <v>2040</v>
      </c>
      <c r="B1194" t="s">
        <v>2041</v>
      </c>
      <c r="C1194" t="s">
        <v>1976</v>
      </c>
      <c r="D1194" s="11" t="s">
        <v>2250</v>
      </c>
      <c r="E1194" s="12">
        <v>45929</v>
      </c>
      <c r="F1194" s="12">
        <v>45929</v>
      </c>
      <c r="G1194" t="s">
        <v>2248</v>
      </c>
      <c r="H1194" t="s">
        <v>331</v>
      </c>
      <c r="I1194">
        <v>500</v>
      </c>
      <c r="J1194">
        <v>0</v>
      </c>
      <c r="M1194">
        <v>0.85063999999999995</v>
      </c>
      <c r="N1194">
        <v>425.32</v>
      </c>
      <c r="O1194">
        <v>-425.32</v>
      </c>
      <c r="P1194">
        <v>0</v>
      </c>
    </row>
    <row r="1195" spans="1:16" hidden="1" x14ac:dyDescent="0.25">
      <c r="A1195" t="s">
        <v>2040</v>
      </c>
      <c r="B1195" t="s">
        <v>2041</v>
      </c>
      <c r="C1195" t="s">
        <v>1976</v>
      </c>
      <c r="D1195" s="11" t="s">
        <v>2250</v>
      </c>
      <c r="E1195" s="12">
        <v>45929</v>
      </c>
      <c r="F1195" s="12">
        <v>45929</v>
      </c>
      <c r="G1195" t="s">
        <v>2248</v>
      </c>
      <c r="H1195" t="s">
        <v>335</v>
      </c>
      <c r="I1195">
        <v>240</v>
      </c>
      <c r="J1195">
        <v>0</v>
      </c>
      <c r="M1195">
        <v>1.6870000000000001</v>
      </c>
      <c r="N1195">
        <v>404.88</v>
      </c>
      <c r="O1195">
        <v>-404.88</v>
      </c>
      <c r="P1195">
        <v>0</v>
      </c>
    </row>
    <row r="1196" spans="1:16" hidden="1" x14ac:dyDescent="0.25">
      <c r="A1196" t="s">
        <v>2040</v>
      </c>
      <c r="B1196" t="s">
        <v>2041</v>
      </c>
      <c r="C1196" t="s">
        <v>1976</v>
      </c>
      <c r="D1196" s="11" t="s">
        <v>2250</v>
      </c>
      <c r="E1196" s="12">
        <v>45929</v>
      </c>
      <c r="F1196" s="12">
        <v>45929</v>
      </c>
      <c r="G1196" t="s">
        <v>2248</v>
      </c>
      <c r="H1196" t="s">
        <v>402</v>
      </c>
      <c r="I1196">
        <v>190</v>
      </c>
      <c r="J1196">
        <v>0</v>
      </c>
      <c r="M1196">
        <v>1.92</v>
      </c>
      <c r="N1196">
        <v>364.8</v>
      </c>
      <c r="O1196">
        <v>-364.8</v>
      </c>
      <c r="P1196">
        <v>0</v>
      </c>
    </row>
    <row r="1197" spans="1:16" hidden="1" x14ac:dyDescent="0.25">
      <c r="A1197" t="s">
        <v>2040</v>
      </c>
      <c r="B1197" t="s">
        <v>2041</v>
      </c>
      <c r="C1197" t="s">
        <v>1976</v>
      </c>
      <c r="D1197" s="11" t="s">
        <v>2250</v>
      </c>
      <c r="E1197" s="12">
        <v>45929</v>
      </c>
      <c r="F1197" s="12">
        <v>45929</v>
      </c>
      <c r="G1197" t="s">
        <v>2248</v>
      </c>
      <c r="H1197" t="s">
        <v>2268</v>
      </c>
      <c r="I1197">
        <v>105</v>
      </c>
      <c r="J1197">
        <v>0</v>
      </c>
      <c r="M1197">
        <v>5.21</v>
      </c>
      <c r="N1197">
        <v>547.04999999999995</v>
      </c>
      <c r="O1197">
        <v>-547.04999999999995</v>
      </c>
      <c r="P1197">
        <v>0</v>
      </c>
    </row>
    <row r="1198" spans="1:16" hidden="1" x14ac:dyDescent="0.25">
      <c r="A1198" t="s">
        <v>2040</v>
      </c>
      <c r="B1198" t="s">
        <v>2041</v>
      </c>
      <c r="C1198" t="s">
        <v>1976</v>
      </c>
      <c r="D1198" s="11" t="s">
        <v>2250</v>
      </c>
      <c r="E1198" s="12">
        <v>45929</v>
      </c>
      <c r="F1198" s="12">
        <v>45929</v>
      </c>
      <c r="G1198" t="s">
        <v>2248</v>
      </c>
      <c r="H1198" t="s">
        <v>541</v>
      </c>
      <c r="I1198">
        <v>200</v>
      </c>
      <c r="J1198">
        <v>0</v>
      </c>
      <c r="M1198">
        <v>0.8</v>
      </c>
      <c r="N1198">
        <v>160</v>
      </c>
      <c r="O1198">
        <v>-160</v>
      </c>
      <c r="P1198">
        <v>0</v>
      </c>
    </row>
    <row r="1199" spans="1:16" hidden="1" x14ac:dyDescent="0.25">
      <c r="A1199" t="s">
        <v>2040</v>
      </c>
      <c r="B1199" t="s">
        <v>2041</v>
      </c>
      <c r="C1199" t="s">
        <v>1976</v>
      </c>
      <c r="D1199" s="11" t="s">
        <v>2250</v>
      </c>
      <c r="E1199" s="12">
        <v>45929</v>
      </c>
      <c r="F1199" s="12">
        <v>45929</v>
      </c>
      <c r="G1199" t="s">
        <v>2248</v>
      </c>
      <c r="H1199" t="s">
        <v>597</v>
      </c>
      <c r="I1199">
        <v>500</v>
      </c>
      <c r="J1199">
        <v>0</v>
      </c>
      <c r="M1199">
        <v>1.89</v>
      </c>
      <c r="N1199">
        <v>945</v>
      </c>
      <c r="O1199">
        <v>-945</v>
      </c>
      <c r="P1199">
        <v>0</v>
      </c>
    </row>
    <row r="1200" spans="1:16" hidden="1" x14ac:dyDescent="0.25">
      <c r="A1200" t="s">
        <v>2040</v>
      </c>
      <c r="B1200" t="s">
        <v>2041</v>
      </c>
      <c r="C1200" t="s">
        <v>1976</v>
      </c>
      <c r="D1200" s="11" t="s">
        <v>2250</v>
      </c>
      <c r="E1200" s="12">
        <v>45929</v>
      </c>
      <c r="F1200" s="12">
        <v>45929</v>
      </c>
      <c r="G1200" t="s">
        <v>2248</v>
      </c>
      <c r="H1200" t="s">
        <v>1770</v>
      </c>
      <c r="I1200">
        <v>500</v>
      </c>
      <c r="J1200">
        <v>0</v>
      </c>
      <c r="M1200">
        <v>0.10299999999999999</v>
      </c>
      <c r="N1200">
        <v>51.5</v>
      </c>
      <c r="O1200">
        <v>-51.5</v>
      </c>
      <c r="P1200">
        <v>0</v>
      </c>
    </row>
    <row r="1201" spans="1:17" hidden="1" x14ac:dyDescent="0.25">
      <c r="A1201" t="s">
        <v>2040</v>
      </c>
      <c r="B1201" t="s">
        <v>2041</v>
      </c>
      <c r="C1201" t="s">
        <v>1976</v>
      </c>
      <c r="D1201" s="11" t="s">
        <v>2250</v>
      </c>
      <c r="E1201" s="12">
        <v>45929</v>
      </c>
      <c r="F1201" s="12">
        <v>45929</v>
      </c>
      <c r="G1201" t="s">
        <v>2248</v>
      </c>
      <c r="H1201" t="s">
        <v>2249</v>
      </c>
      <c r="I1201">
        <v>1</v>
      </c>
      <c r="J1201">
        <v>551259.05889999995</v>
      </c>
      <c r="M1201">
        <v>0</v>
      </c>
      <c r="N1201">
        <v>0</v>
      </c>
      <c r="O1201">
        <v>551259.06000000006</v>
      </c>
      <c r="P1201">
        <v>0</v>
      </c>
    </row>
    <row r="1202" spans="1:17" x14ac:dyDescent="0.25">
      <c r="A1202" t="s">
        <v>1974</v>
      </c>
      <c r="B1202" t="s">
        <v>1975</v>
      </c>
      <c r="C1202" t="s">
        <v>1976</v>
      </c>
      <c r="D1202" s="11">
        <v>82234</v>
      </c>
      <c r="E1202" s="12">
        <v>45929</v>
      </c>
      <c r="F1202" s="12">
        <v>45931</v>
      </c>
      <c r="G1202" t="s">
        <v>2279</v>
      </c>
      <c r="H1202" t="s">
        <v>192</v>
      </c>
      <c r="I1202">
        <v>25</v>
      </c>
      <c r="J1202">
        <v>5.8274999999999997</v>
      </c>
      <c r="M1202">
        <v>7.9000000000000001E-2</v>
      </c>
      <c r="N1202">
        <v>1.9750000000000001</v>
      </c>
      <c r="O1202">
        <v>3.855</v>
      </c>
      <c r="P1202">
        <v>66.123400000000004</v>
      </c>
      <c r="Q1202" t="s">
        <v>2220</v>
      </c>
    </row>
    <row r="1203" spans="1:17" x14ac:dyDescent="0.25">
      <c r="A1203" t="s">
        <v>1974</v>
      </c>
      <c r="B1203" t="s">
        <v>1975</v>
      </c>
      <c r="C1203" t="s">
        <v>1976</v>
      </c>
      <c r="D1203" s="11">
        <v>82234</v>
      </c>
      <c r="E1203" s="12">
        <v>45929</v>
      </c>
      <c r="F1203" s="12">
        <v>45931</v>
      </c>
      <c r="G1203" t="s">
        <v>2279</v>
      </c>
      <c r="H1203" t="s">
        <v>517</v>
      </c>
      <c r="I1203">
        <v>7</v>
      </c>
      <c r="J1203">
        <v>91.329700000000003</v>
      </c>
      <c r="M1203">
        <v>10.52</v>
      </c>
      <c r="N1203">
        <v>73.64</v>
      </c>
      <c r="O1203">
        <v>17.690000000000001</v>
      </c>
      <c r="P1203">
        <v>19.369299999999999</v>
      </c>
      <c r="Q1203" t="s">
        <v>1984</v>
      </c>
    </row>
    <row r="1204" spans="1:17" x14ac:dyDescent="0.25">
      <c r="A1204" t="s">
        <v>1974</v>
      </c>
      <c r="B1204" t="s">
        <v>1975</v>
      </c>
      <c r="C1204" t="s">
        <v>1976</v>
      </c>
      <c r="D1204" s="11">
        <v>82234</v>
      </c>
      <c r="E1204" s="12">
        <v>45929</v>
      </c>
      <c r="F1204" s="12">
        <v>45931</v>
      </c>
      <c r="G1204" t="s">
        <v>2279</v>
      </c>
      <c r="H1204" t="s">
        <v>390</v>
      </c>
      <c r="I1204">
        <v>7</v>
      </c>
      <c r="J1204">
        <v>99.489599999999996</v>
      </c>
      <c r="M1204">
        <v>11.16</v>
      </c>
      <c r="N1204">
        <v>78.12</v>
      </c>
      <c r="O1204">
        <v>21.37</v>
      </c>
      <c r="P1204">
        <v>21.479500000000002</v>
      </c>
      <c r="Q1204" t="s">
        <v>2231</v>
      </c>
    </row>
    <row r="1205" spans="1:17" x14ac:dyDescent="0.25">
      <c r="A1205" t="s">
        <v>2060</v>
      </c>
      <c r="B1205" t="s">
        <v>2061</v>
      </c>
      <c r="C1205" t="s">
        <v>2207</v>
      </c>
      <c r="D1205" s="11">
        <v>6100064778</v>
      </c>
      <c r="E1205" s="12">
        <v>45931</v>
      </c>
      <c r="F1205" s="12">
        <v>45932</v>
      </c>
      <c r="G1205" t="s">
        <v>2280</v>
      </c>
      <c r="H1205" t="s">
        <v>1714</v>
      </c>
      <c r="I1205">
        <v>25</v>
      </c>
      <c r="J1205">
        <v>7.3975</v>
      </c>
      <c r="M1205">
        <v>0.108</v>
      </c>
      <c r="N1205">
        <v>2.7</v>
      </c>
      <c r="O1205">
        <v>4.7</v>
      </c>
      <c r="P1205">
        <v>63.513500000000001</v>
      </c>
      <c r="Q1205" t="s">
        <v>2281</v>
      </c>
    </row>
    <row r="1206" spans="1:17" x14ac:dyDescent="0.25">
      <c r="A1206" t="s">
        <v>2060</v>
      </c>
      <c r="B1206" t="s">
        <v>2061</v>
      </c>
      <c r="C1206" t="s">
        <v>2207</v>
      </c>
      <c r="D1206" s="11">
        <v>6100064778</v>
      </c>
      <c r="E1206" s="12">
        <v>45931</v>
      </c>
      <c r="F1206" s="12">
        <v>45932</v>
      </c>
      <c r="G1206" t="s">
        <v>2280</v>
      </c>
      <c r="H1206" t="s">
        <v>476</v>
      </c>
      <c r="I1206">
        <v>55</v>
      </c>
      <c r="J1206">
        <v>0.33</v>
      </c>
      <c r="M1206">
        <v>0</v>
      </c>
      <c r="N1206">
        <v>0</v>
      </c>
      <c r="O1206">
        <v>0.33</v>
      </c>
      <c r="P1206">
        <v>0</v>
      </c>
      <c r="Q1206" t="s">
        <v>2282</v>
      </c>
    </row>
    <row r="1207" spans="1:17" x14ac:dyDescent="0.25">
      <c r="A1207" t="s">
        <v>2060</v>
      </c>
      <c r="B1207" t="s">
        <v>2061</v>
      </c>
      <c r="C1207" t="s">
        <v>2207</v>
      </c>
      <c r="D1207" s="11">
        <v>6100064778</v>
      </c>
      <c r="E1207" s="12">
        <v>45931</v>
      </c>
      <c r="F1207" s="12">
        <v>45932</v>
      </c>
      <c r="G1207" t="s">
        <v>2280</v>
      </c>
      <c r="H1207" t="s">
        <v>1310</v>
      </c>
      <c r="I1207">
        <v>60</v>
      </c>
      <c r="J1207">
        <v>0.27</v>
      </c>
      <c r="M1207">
        <v>5.1000000000000004E-4</v>
      </c>
      <c r="N1207">
        <v>3.0599999999999999E-2</v>
      </c>
      <c r="O1207">
        <v>0.2394</v>
      </c>
      <c r="P1207">
        <v>88.666600000000003</v>
      </c>
      <c r="Q1207" t="s">
        <v>2283</v>
      </c>
    </row>
    <row r="1208" spans="1:17" x14ac:dyDescent="0.25">
      <c r="A1208" t="s">
        <v>2060</v>
      </c>
      <c r="B1208" t="s">
        <v>2061</v>
      </c>
      <c r="C1208" t="s">
        <v>2207</v>
      </c>
      <c r="D1208" s="11">
        <v>6100064778</v>
      </c>
      <c r="E1208" s="12">
        <v>45931</v>
      </c>
      <c r="F1208" s="12">
        <v>45932</v>
      </c>
      <c r="G1208" t="s">
        <v>2280</v>
      </c>
      <c r="H1208" t="s">
        <v>1312</v>
      </c>
      <c r="I1208">
        <v>55</v>
      </c>
      <c r="J1208">
        <v>0.2475</v>
      </c>
      <c r="M1208">
        <v>2.5000000000000001E-4</v>
      </c>
      <c r="N1208">
        <v>1.375E-2</v>
      </c>
      <c r="O1208">
        <v>0.23624999999999999</v>
      </c>
      <c r="P1208">
        <v>94.5</v>
      </c>
      <c r="Q1208" t="s">
        <v>2284</v>
      </c>
    </row>
    <row r="1209" spans="1:17" x14ac:dyDescent="0.25">
      <c r="A1209" t="s">
        <v>2060</v>
      </c>
      <c r="B1209" t="s">
        <v>2061</v>
      </c>
      <c r="C1209" t="s">
        <v>2207</v>
      </c>
      <c r="D1209" s="11">
        <v>6100064778</v>
      </c>
      <c r="E1209" s="12">
        <v>45931</v>
      </c>
      <c r="F1209" s="12">
        <v>45932</v>
      </c>
      <c r="G1209" t="s">
        <v>2280</v>
      </c>
      <c r="H1209" t="s">
        <v>1235</v>
      </c>
      <c r="I1209">
        <v>55</v>
      </c>
      <c r="J1209">
        <v>35.018500000000003</v>
      </c>
      <c r="M1209">
        <v>0.53136000000000005</v>
      </c>
      <c r="N1209">
        <v>29.224799999999998</v>
      </c>
      <c r="O1209">
        <v>5.7952000000000004</v>
      </c>
      <c r="P1209">
        <v>16.548200000000001</v>
      </c>
      <c r="Q1209" t="s">
        <v>2285</v>
      </c>
    </row>
    <row r="1210" spans="1:17" x14ac:dyDescent="0.25">
      <c r="A1210" t="s">
        <v>2060</v>
      </c>
      <c r="B1210" t="s">
        <v>2061</v>
      </c>
      <c r="C1210" t="s">
        <v>2207</v>
      </c>
      <c r="D1210" s="11">
        <v>6100064778</v>
      </c>
      <c r="E1210" s="12">
        <v>45931</v>
      </c>
      <c r="F1210" s="12">
        <v>45932</v>
      </c>
      <c r="G1210" t="s">
        <v>2280</v>
      </c>
      <c r="H1210" t="s">
        <v>1519</v>
      </c>
      <c r="I1210">
        <v>55</v>
      </c>
      <c r="J1210">
        <v>2.8325</v>
      </c>
      <c r="M1210">
        <v>1.4919999999999999E-2</v>
      </c>
      <c r="N1210">
        <v>0.8206</v>
      </c>
      <c r="O1210">
        <v>2.0093999999999999</v>
      </c>
      <c r="P1210">
        <v>71.003500000000003</v>
      </c>
      <c r="Q1210" t="s">
        <v>2286</v>
      </c>
    </row>
    <row r="1211" spans="1:17" x14ac:dyDescent="0.25">
      <c r="A1211" t="s">
        <v>2060</v>
      </c>
      <c r="B1211" t="s">
        <v>2061</v>
      </c>
      <c r="C1211" t="s">
        <v>2207</v>
      </c>
      <c r="D1211" s="11">
        <v>6100064778</v>
      </c>
      <c r="E1211" s="12">
        <v>45931</v>
      </c>
      <c r="F1211" s="12">
        <v>45932</v>
      </c>
      <c r="G1211" t="s">
        <v>2280</v>
      </c>
      <c r="H1211" t="s">
        <v>1567</v>
      </c>
      <c r="I1211">
        <v>55</v>
      </c>
      <c r="J1211">
        <v>2.4914999999999998</v>
      </c>
      <c r="M1211">
        <v>4.2999999999999997E-2</v>
      </c>
      <c r="N1211">
        <v>2.3650000000000002</v>
      </c>
      <c r="O1211">
        <v>0.125</v>
      </c>
      <c r="P1211">
        <v>5.0199999999999996</v>
      </c>
      <c r="Q1211" t="s">
        <v>2287</v>
      </c>
    </row>
    <row r="1212" spans="1:17" x14ac:dyDescent="0.25">
      <c r="A1212" t="s">
        <v>2060</v>
      </c>
      <c r="B1212" t="s">
        <v>2061</v>
      </c>
      <c r="C1212" t="s">
        <v>2207</v>
      </c>
      <c r="D1212" s="11">
        <v>6100064778</v>
      </c>
      <c r="E1212" s="12">
        <v>45931</v>
      </c>
      <c r="F1212" s="12">
        <v>45932</v>
      </c>
      <c r="G1212" t="s">
        <v>2280</v>
      </c>
      <c r="H1212" t="s">
        <v>1215</v>
      </c>
      <c r="I1212">
        <v>25</v>
      </c>
      <c r="J1212">
        <v>10.91</v>
      </c>
      <c r="M1212">
        <v>0.22</v>
      </c>
      <c r="N1212">
        <v>5.5</v>
      </c>
      <c r="O1212">
        <v>5.41</v>
      </c>
      <c r="P1212">
        <v>49.587499999999999</v>
      </c>
      <c r="Q1212" t="s">
        <v>2288</v>
      </c>
    </row>
    <row r="1213" spans="1:17" x14ac:dyDescent="0.25">
      <c r="A1213" t="s">
        <v>2060</v>
      </c>
      <c r="B1213" t="s">
        <v>2061</v>
      </c>
      <c r="C1213" t="s">
        <v>2207</v>
      </c>
      <c r="D1213" s="11">
        <v>6100064778</v>
      </c>
      <c r="E1213" s="12">
        <v>45931</v>
      </c>
      <c r="F1213" s="12">
        <v>45932</v>
      </c>
      <c r="G1213" t="s">
        <v>2280</v>
      </c>
      <c r="H1213" t="s">
        <v>1059</v>
      </c>
      <c r="I1213">
        <v>10</v>
      </c>
      <c r="J1213">
        <v>9.6549999999999994</v>
      </c>
      <c r="M1213">
        <v>0.57999999999999996</v>
      </c>
      <c r="N1213">
        <v>5.8</v>
      </c>
      <c r="O1213">
        <v>3.86</v>
      </c>
      <c r="P1213">
        <v>39.958500000000001</v>
      </c>
      <c r="Q1213" t="s">
        <v>2289</v>
      </c>
    </row>
    <row r="1214" spans="1:17" x14ac:dyDescent="0.25">
      <c r="A1214" t="s">
        <v>2060</v>
      </c>
      <c r="B1214" t="s">
        <v>2061</v>
      </c>
      <c r="C1214" t="s">
        <v>2207</v>
      </c>
      <c r="D1214" s="11">
        <v>6100064778</v>
      </c>
      <c r="E1214" s="12">
        <v>45931</v>
      </c>
      <c r="F1214" s="12">
        <v>45961</v>
      </c>
      <c r="G1214" t="s">
        <v>2280</v>
      </c>
      <c r="H1214" t="s">
        <v>969</v>
      </c>
      <c r="I1214">
        <v>7</v>
      </c>
      <c r="J1214">
        <v>30.338699999999999</v>
      </c>
      <c r="K1214" t="s">
        <v>2290</v>
      </c>
      <c r="L1214" t="s">
        <v>2041</v>
      </c>
      <c r="M1214">
        <v>3.5539499999999999</v>
      </c>
      <c r="N1214">
        <v>24.877649999999999</v>
      </c>
      <c r="O1214">
        <v>5.4623499999999998</v>
      </c>
      <c r="P1214">
        <v>18.003699999999998</v>
      </c>
      <c r="Q1214" t="s">
        <v>2291</v>
      </c>
    </row>
    <row r="1215" spans="1:17" x14ac:dyDescent="0.25">
      <c r="A1215" t="s">
        <v>2060</v>
      </c>
      <c r="B1215" t="s">
        <v>2061</v>
      </c>
      <c r="C1215" t="s">
        <v>2207</v>
      </c>
      <c r="D1215" s="11">
        <v>6100064778</v>
      </c>
      <c r="E1215" s="12">
        <v>45931</v>
      </c>
      <c r="F1215" s="12">
        <v>45961</v>
      </c>
      <c r="G1215" t="s">
        <v>2280</v>
      </c>
      <c r="H1215" t="s">
        <v>408</v>
      </c>
      <c r="I1215">
        <v>12</v>
      </c>
      <c r="J1215">
        <v>12.3384</v>
      </c>
      <c r="K1215" t="s">
        <v>2290</v>
      </c>
      <c r="L1215" t="s">
        <v>2041</v>
      </c>
      <c r="M1215">
        <v>0.84314</v>
      </c>
      <c r="N1215">
        <v>10.11768</v>
      </c>
      <c r="O1215">
        <v>2.2223199999999999</v>
      </c>
      <c r="P1215">
        <v>18.009</v>
      </c>
      <c r="Q1215" t="s">
        <v>2292</v>
      </c>
    </row>
    <row r="1216" spans="1:17" x14ac:dyDescent="0.25">
      <c r="A1216" t="s">
        <v>2060</v>
      </c>
      <c r="B1216" t="s">
        <v>2061</v>
      </c>
      <c r="C1216" t="s">
        <v>2207</v>
      </c>
      <c r="D1216" s="11">
        <v>6100064778</v>
      </c>
      <c r="E1216" s="12">
        <v>45931</v>
      </c>
      <c r="F1216" s="12">
        <v>45932</v>
      </c>
      <c r="G1216" t="s">
        <v>2280</v>
      </c>
      <c r="H1216" t="s">
        <v>1257</v>
      </c>
      <c r="I1216">
        <v>7</v>
      </c>
      <c r="J1216">
        <v>9.5031999999999996</v>
      </c>
      <c r="M1216">
        <v>1.65</v>
      </c>
      <c r="N1216">
        <v>11.55</v>
      </c>
      <c r="O1216">
        <v>-2.0499999999999998</v>
      </c>
      <c r="P1216">
        <v>-21.578900000000001</v>
      </c>
      <c r="Q1216" t="s">
        <v>2293</v>
      </c>
    </row>
    <row r="1217" spans="1:17" x14ac:dyDescent="0.25">
      <c r="A1217" t="s">
        <v>2060</v>
      </c>
      <c r="B1217" t="s">
        <v>2061</v>
      </c>
      <c r="C1217" t="s">
        <v>2207</v>
      </c>
      <c r="D1217" s="11">
        <v>6100064778</v>
      </c>
      <c r="E1217" s="12">
        <v>45931</v>
      </c>
      <c r="F1217" s="12">
        <v>45932</v>
      </c>
      <c r="G1217" t="s">
        <v>2280</v>
      </c>
      <c r="H1217" t="s">
        <v>1259</v>
      </c>
      <c r="I1217">
        <v>7</v>
      </c>
      <c r="J1217">
        <v>11.8216</v>
      </c>
      <c r="M1217">
        <v>2.0499999999999998</v>
      </c>
      <c r="N1217">
        <v>14.35</v>
      </c>
      <c r="O1217">
        <v>-2.5299999999999998</v>
      </c>
      <c r="P1217">
        <v>-21.404299999999999</v>
      </c>
      <c r="Q1217" t="s">
        <v>2294</v>
      </c>
    </row>
    <row r="1218" spans="1:17" x14ac:dyDescent="0.25">
      <c r="A1218" t="s">
        <v>2060</v>
      </c>
      <c r="B1218" t="s">
        <v>2061</v>
      </c>
      <c r="C1218" t="s">
        <v>2207</v>
      </c>
      <c r="D1218" s="11">
        <v>6100064778</v>
      </c>
      <c r="E1218" s="12">
        <v>45931</v>
      </c>
      <c r="F1218" s="12">
        <v>45932</v>
      </c>
      <c r="G1218" t="s">
        <v>2280</v>
      </c>
      <c r="H1218" t="s">
        <v>1148</v>
      </c>
      <c r="I1218">
        <v>7</v>
      </c>
      <c r="J1218">
        <v>61.644100000000002</v>
      </c>
      <c r="M1218">
        <v>8.0519999999999996</v>
      </c>
      <c r="N1218">
        <v>56.363999999999997</v>
      </c>
      <c r="O1218">
        <v>5.2759999999999998</v>
      </c>
      <c r="P1218">
        <v>8.5593000000000004</v>
      </c>
      <c r="Q1218" t="s">
        <v>2294</v>
      </c>
    </row>
    <row r="1219" spans="1:17" x14ac:dyDescent="0.25">
      <c r="A1219" t="s">
        <v>2060</v>
      </c>
      <c r="B1219" t="s">
        <v>2061</v>
      </c>
      <c r="C1219" t="s">
        <v>2207</v>
      </c>
      <c r="D1219" s="11">
        <v>6100064778</v>
      </c>
      <c r="E1219" s="12">
        <v>45931</v>
      </c>
      <c r="F1219" s="12">
        <v>45932</v>
      </c>
      <c r="G1219" t="s">
        <v>2280</v>
      </c>
      <c r="H1219" t="s">
        <v>140</v>
      </c>
      <c r="I1219">
        <v>10</v>
      </c>
      <c r="J1219">
        <v>0.92700000000000005</v>
      </c>
      <c r="M1219">
        <v>4.5199999999999997E-2</v>
      </c>
      <c r="N1219">
        <v>0.45200000000000001</v>
      </c>
      <c r="O1219">
        <v>0.47799999999999998</v>
      </c>
      <c r="P1219">
        <v>51.397799999999997</v>
      </c>
      <c r="Q1219" t="s">
        <v>2295</v>
      </c>
    </row>
    <row r="1220" spans="1:17" x14ac:dyDescent="0.25">
      <c r="A1220" t="s">
        <v>2060</v>
      </c>
      <c r="B1220" t="s">
        <v>2061</v>
      </c>
      <c r="C1220" t="s">
        <v>2207</v>
      </c>
      <c r="D1220" s="11">
        <v>6100064778</v>
      </c>
      <c r="E1220" s="12">
        <v>45931</v>
      </c>
      <c r="F1220" s="12">
        <v>45932</v>
      </c>
      <c r="G1220" t="s">
        <v>2280</v>
      </c>
      <c r="H1220" t="s">
        <v>447</v>
      </c>
      <c r="I1220">
        <v>6</v>
      </c>
      <c r="J1220">
        <v>10.2768</v>
      </c>
      <c r="M1220">
        <v>1.4256200000000001</v>
      </c>
      <c r="N1220">
        <v>8.5537200000000002</v>
      </c>
      <c r="O1220">
        <v>1.72628</v>
      </c>
      <c r="P1220">
        <v>16.7926</v>
      </c>
      <c r="Q1220" t="s">
        <v>2296</v>
      </c>
    </row>
    <row r="1221" spans="1:17" x14ac:dyDescent="0.25">
      <c r="A1221" t="s">
        <v>2060</v>
      </c>
      <c r="B1221" t="s">
        <v>2061</v>
      </c>
      <c r="C1221" t="s">
        <v>2207</v>
      </c>
      <c r="D1221" s="11">
        <v>6100064778</v>
      </c>
      <c r="E1221" s="12">
        <v>45931</v>
      </c>
      <c r="F1221" s="12">
        <v>45932</v>
      </c>
      <c r="G1221" t="s">
        <v>2280</v>
      </c>
      <c r="H1221" t="s">
        <v>120</v>
      </c>
      <c r="I1221">
        <v>6</v>
      </c>
      <c r="J1221">
        <v>17.3856</v>
      </c>
      <c r="M1221">
        <v>1.48</v>
      </c>
      <c r="N1221">
        <v>8.8800000000000008</v>
      </c>
      <c r="O1221">
        <v>8.51</v>
      </c>
      <c r="P1221">
        <v>48.936100000000003</v>
      </c>
      <c r="Q1221" t="s">
        <v>2297</v>
      </c>
    </row>
    <row r="1222" spans="1:17" x14ac:dyDescent="0.25">
      <c r="A1222" t="s">
        <v>2060</v>
      </c>
      <c r="B1222" t="s">
        <v>2061</v>
      </c>
      <c r="C1222" t="s">
        <v>2207</v>
      </c>
      <c r="D1222" s="11">
        <v>6100064778</v>
      </c>
      <c r="E1222" s="12">
        <v>45931</v>
      </c>
      <c r="F1222" s="12">
        <v>45932</v>
      </c>
      <c r="G1222" t="s">
        <v>2280</v>
      </c>
      <c r="H1222" t="s">
        <v>35</v>
      </c>
      <c r="I1222">
        <v>6</v>
      </c>
      <c r="J1222">
        <v>13.2714</v>
      </c>
      <c r="M1222">
        <v>0</v>
      </c>
      <c r="N1222">
        <v>0</v>
      </c>
      <c r="O1222">
        <v>13.27</v>
      </c>
      <c r="P1222">
        <v>0</v>
      </c>
      <c r="Q1222" t="s">
        <v>2298</v>
      </c>
    </row>
    <row r="1223" spans="1:17" x14ac:dyDescent="0.25">
      <c r="A1223" t="s">
        <v>2060</v>
      </c>
      <c r="B1223" t="s">
        <v>2061</v>
      </c>
      <c r="C1223" t="s">
        <v>2207</v>
      </c>
      <c r="D1223" s="11">
        <v>6100064778</v>
      </c>
      <c r="E1223" s="12">
        <v>45931</v>
      </c>
      <c r="F1223" s="12">
        <v>45932</v>
      </c>
      <c r="G1223" t="s">
        <v>2280</v>
      </c>
      <c r="H1223" t="s">
        <v>33</v>
      </c>
      <c r="I1223">
        <v>6</v>
      </c>
      <c r="J1223">
        <v>13.092000000000001</v>
      </c>
      <c r="M1223">
        <v>1.05</v>
      </c>
      <c r="N1223">
        <v>6.3</v>
      </c>
      <c r="O1223">
        <v>6.79</v>
      </c>
      <c r="P1223">
        <v>51.871600000000001</v>
      </c>
      <c r="Q1223" t="s">
        <v>2299</v>
      </c>
    </row>
    <row r="1224" spans="1:17" x14ac:dyDescent="0.25">
      <c r="A1224" t="s">
        <v>2060</v>
      </c>
      <c r="B1224" t="s">
        <v>2061</v>
      </c>
      <c r="C1224" t="s">
        <v>2207</v>
      </c>
      <c r="D1224" s="11">
        <v>6100064778</v>
      </c>
      <c r="E1224" s="12">
        <v>45931</v>
      </c>
      <c r="F1224" s="12">
        <v>45932</v>
      </c>
      <c r="G1224" t="s">
        <v>2280</v>
      </c>
      <c r="H1224" t="s">
        <v>37</v>
      </c>
      <c r="I1224">
        <v>6</v>
      </c>
      <c r="J1224">
        <v>17.3064</v>
      </c>
      <c r="M1224">
        <v>0</v>
      </c>
      <c r="N1224">
        <v>0</v>
      </c>
      <c r="O1224">
        <v>17.309999999999999</v>
      </c>
      <c r="P1224">
        <v>0</v>
      </c>
      <c r="Q1224" t="s">
        <v>2300</v>
      </c>
    </row>
    <row r="1225" spans="1:17" x14ac:dyDescent="0.25">
      <c r="A1225" t="s">
        <v>2060</v>
      </c>
      <c r="B1225" t="s">
        <v>2061</v>
      </c>
      <c r="C1225" t="s">
        <v>2207</v>
      </c>
      <c r="D1225" s="11">
        <v>6100064778</v>
      </c>
      <c r="E1225" s="12">
        <v>45931</v>
      </c>
      <c r="F1225" s="12">
        <v>45932</v>
      </c>
      <c r="G1225" t="s">
        <v>2280</v>
      </c>
      <c r="H1225" t="s">
        <v>735</v>
      </c>
      <c r="I1225">
        <v>6</v>
      </c>
      <c r="J1225">
        <v>56.223599999999998</v>
      </c>
      <c r="M1225">
        <v>5.9029999999999996</v>
      </c>
      <c r="N1225">
        <v>35.417999999999999</v>
      </c>
      <c r="O1225">
        <v>20.802</v>
      </c>
      <c r="P1225">
        <v>37.000999999999998</v>
      </c>
      <c r="Q1225" t="s">
        <v>2301</v>
      </c>
    </row>
    <row r="1226" spans="1:17" x14ac:dyDescent="0.25">
      <c r="A1226" t="s">
        <v>2060</v>
      </c>
      <c r="B1226" t="s">
        <v>2061</v>
      </c>
      <c r="C1226" t="s">
        <v>2207</v>
      </c>
      <c r="D1226" s="11">
        <v>6100064778</v>
      </c>
      <c r="E1226" s="12">
        <v>45931</v>
      </c>
      <c r="F1226" s="12">
        <v>45932</v>
      </c>
      <c r="G1226" t="s">
        <v>2280</v>
      </c>
      <c r="H1226" t="s">
        <v>737</v>
      </c>
      <c r="I1226">
        <v>6</v>
      </c>
      <c r="J1226">
        <v>72.184799999999996</v>
      </c>
      <c r="M1226">
        <v>8.83</v>
      </c>
      <c r="N1226">
        <v>52.98</v>
      </c>
      <c r="O1226">
        <v>19.2</v>
      </c>
      <c r="P1226">
        <v>26.600100000000001</v>
      </c>
      <c r="Q1226" t="s">
        <v>2302</v>
      </c>
    </row>
    <row r="1227" spans="1:17" x14ac:dyDescent="0.25">
      <c r="A1227" t="s">
        <v>2060</v>
      </c>
      <c r="B1227" t="s">
        <v>2061</v>
      </c>
      <c r="C1227" t="s">
        <v>2207</v>
      </c>
      <c r="D1227" s="11">
        <v>6100064778</v>
      </c>
      <c r="E1227" s="12">
        <v>45931</v>
      </c>
      <c r="F1227" s="12">
        <v>45932</v>
      </c>
      <c r="G1227" t="s">
        <v>2280</v>
      </c>
      <c r="H1227" t="s">
        <v>1663</v>
      </c>
      <c r="I1227">
        <v>25</v>
      </c>
      <c r="J1227">
        <v>14.1975</v>
      </c>
      <c r="M1227">
        <v>0.37590000000000001</v>
      </c>
      <c r="N1227">
        <v>9.3975000000000009</v>
      </c>
      <c r="O1227">
        <v>4.8025000000000002</v>
      </c>
      <c r="P1227">
        <v>33.820399999999999</v>
      </c>
      <c r="Q1227" t="s">
        <v>2175</v>
      </c>
    </row>
    <row r="1228" spans="1:17" x14ac:dyDescent="0.25">
      <c r="A1228" t="s">
        <v>1974</v>
      </c>
      <c r="B1228" t="s">
        <v>1975</v>
      </c>
      <c r="C1228" t="s">
        <v>2207</v>
      </c>
      <c r="D1228" s="11">
        <v>82256</v>
      </c>
      <c r="E1228" s="12">
        <v>45931</v>
      </c>
      <c r="F1228" s="12">
        <v>45932</v>
      </c>
      <c r="G1228" t="s">
        <v>2303</v>
      </c>
      <c r="H1228" t="s">
        <v>1039</v>
      </c>
      <c r="I1228">
        <v>30</v>
      </c>
      <c r="J1228">
        <v>33.6</v>
      </c>
      <c r="K1228" t="s">
        <v>2290</v>
      </c>
      <c r="L1228" t="s">
        <v>2041</v>
      </c>
      <c r="M1228">
        <v>0.91912000000000005</v>
      </c>
      <c r="N1228">
        <v>27.573599999999999</v>
      </c>
      <c r="O1228">
        <v>6.0263999999999998</v>
      </c>
      <c r="P1228">
        <v>17.935700000000001</v>
      </c>
      <c r="Q1228" t="s">
        <v>2007</v>
      </c>
    </row>
    <row r="1229" spans="1:17" x14ac:dyDescent="0.25">
      <c r="A1229" t="s">
        <v>2060</v>
      </c>
      <c r="B1229" t="s">
        <v>2061</v>
      </c>
      <c r="C1229" t="s">
        <v>1976</v>
      </c>
      <c r="D1229" s="11">
        <v>6100064778</v>
      </c>
      <c r="E1229" s="12">
        <v>45931</v>
      </c>
      <c r="F1229" s="12">
        <v>45932</v>
      </c>
      <c r="G1229" t="s">
        <v>2304</v>
      </c>
      <c r="H1229" t="s">
        <v>144</v>
      </c>
      <c r="I1229">
        <v>175</v>
      </c>
      <c r="J1229">
        <v>3.92</v>
      </c>
      <c r="M1229">
        <v>6.1700000000000001E-3</v>
      </c>
      <c r="N1229">
        <v>1.07975</v>
      </c>
      <c r="O1229">
        <v>2.8402500000000002</v>
      </c>
      <c r="P1229">
        <v>72.455299999999994</v>
      </c>
      <c r="Q1229" t="s">
        <v>2305</v>
      </c>
    </row>
    <row r="1230" spans="1:17" x14ac:dyDescent="0.25">
      <c r="A1230" t="s">
        <v>2060</v>
      </c>
      <c r="B1230" t="s">
        <v>2061</v>
      </c>
      <c r="C1230" t="s">
        <v>1976</v>
      </c>
      <c r="D1230" s="11">
        <v>6100064778</v>
      </c>
      <c r="E1230" s="12">
        <v>45931</v>
      </c>
      <c r="F1230" s="12">
        <v>45932</v>
      </c>
      <c r="G1230" t="s">
        <v>2304</v>
      </c>
      <c r="H1230" t="s">
        <v>192</v>
      </c>
      <c r="I1230">
        <v>10</v>
      </c>
      <c r="J1230">
        <v>2.331</v>
      </c>
      <c r="M1230">
        <v>7.9000000000000001E-2</v>
      </c>
      <c r="N1230">
        <v>0.79</v>
      </c>
      <c r="O1230">
        <v>1.54</v>
      </c>
      <c r="P1230">
        <v>66.094399999999993</v>
      </c>
      <c r="Q1230" t="s">
        <v>2306</v>
      </c>
    </row>
    <row r="1231" spans="1:17" x14ac:dyDescent="0.25">
      <c r="A1231" t="s">
        <v>2060</v>
      </c>
      <c r="B1231" t="s">
        <v>2061</v>
      </c>
      <c r="C1231" t="s">
        <v>1976</v>
      </c>
      <c r="D1231" s="11">
        <v>6100064778</v>
      </c>
      <c r="E1231" s="12">
        <v>45931</v>
      </c>
      <c r="F1231" s="12">
        <v>45932</v>
      </c>
      <c r="G1231" t="s">
        <v>2304</v>
      </c>
      <c r="H1231" t="s">
        <v>1249</v>
      </c>
      <c r="I1231">
        <v>15</v>
      </c>
      <c r="J1231">
        <v>56.4255</v>
      </c>
      <c r="M1231">
        <v>2.5</v>
      </c>
      <c r="N1231">
        <v>37.5</v>
      </c>
      <c r="O1231">
        <v>18.93</v>
      </c>
      <c r="P1231">
        <v>33.545900000000003</v>
      </c>
      <c r="Q1231" t="s">
        <v>2077</v>
      </c>
    </row>
    <row r="1232" spans="1:17" x14ac:dyDescent="0.25">
      <c r="A1232" t="s">
        <v>1974</v>
      </c>
      <c r="B1232" t="s">
        <v>1975</v>
      </c>
      <c r="C1232" t="s">
        <v>1976</v>
      </c>
      <c r="D1232" s="11">
        <v>82256</v>
      </c>
      <c r="E1232" s="12">
        <v>45931</v>
      </c>
      <c r="F1232" s="12">
        <v>45932</v>
      </c>
      <c r="G1232" t="s">
        <v>2307</v>
      </c>
      <c r="H1232" t="s">
        <v>1100</v>
      </c>
      <c r="I1232">
        <v>25</v>
      </c>
      <c r="J1232">
        <v>169.55</v>
      </c>
      <c r="M1232">
        <v>6.2039999999999997</v>
      </c>
      <c r="N1232">
        <v>155.1</v>
      </c>
      <c r="O1232">
        <v>14.45</v>
      </c>
      <c r="P1232">
        <v>8.5225000000000009</v>
      </c>
      <c r="Q1232" t="s">
        <v>2008</v>
      </c>
    </row>
    <row r="1233" spans="1:17" x14ac:dyDescent="0.25">
      <c r="A1233" t="s">
        <v>1974</v>
      </c>
      <c r="B1233" t="s">
        <v>1975</v>
      </c>
      <c r="C1233" t="s">
        <v>1976</v>
      </c>
      <c r="D1233" s="11">
        <v>82271</v>
      </c>
      <c r="E1233" s="12">
        <v>45931</v>
      </c>
      <c r="F1233" s="12">
        <v>45933</v>
      </c>
      <c r="G1233" t="s">
        <v>2308</v>
      </c>
      <c r="H1233" t="s">
        <v>500</v>
      </c>
      <c r="I1233">
        <v>30</v>
      </c>
      <c r="J1233">
        <v>42.414000000000001</v>
      </c>
      <c r="M1233">
        <v>7.8150000000000004</v>
      </c>
      <c r="N1233">
        <v>234.45</v>
      </c>
      <c r="O1233">
        <v>-192.04</v>
      </c>
      <c r="P1233">
        <v>-452.8177</v>
      </c>
      <c r="Q1233" t="s">
        <v>1996</v>
      </c>
    </row>
    <row r="1234" spans="1:17" x14ac:dyDescent="0.25">
      <c r="A1234" t="s">
        <v>2060</v>
      </c>
      <c r="B1234" t="s">
        <v>2061</v>
      </c>
      <c r="C1234" t="s">
        <v>1976</v>
      </c>
      <c r="D1234" s="11">
        <v>6100064914</v>
      </c>
      <c r="E1234" s="12">
        <v>45932</v>
      </c>
      <c r="F1234" s="12">
        <v>45933</v>
      </c>
      <c r="G1234" t="s">
        <v>2309</v>
      </c>
      <c r="H1234" t="s">
        <v>1350</v>
      </c>
      <c r="I1234">
        <v>94</v>
      </c>
      <c r="J1234">
        <v>0.62039999999999995</v>
      </c>
      <c r="M1234">
        <v>5.1000000000000004E-4</v>
      </c>
      <c r="N1234">
        <v>4.7940000000000003E-2</v>
      </c>
      <c r="O1234">
        <v>0.57206000000000001</v>
      </c>
      <c r="P1234">
        <v>92.267700000000005</v>
      </c>
      <c r="Q1234" t="s">
        <v>2228</v>
      </c>
    </row>
    <row r="1235" spans="1:17" x14ac:dyDescent="0.25">
      <c r="A1235" t="s">
        <v>2060</v>
      </c>
      <c r="B1235" t="s">
        <v>2061</v>
      </c>
      <c r="C1235" t="s">
        <v>1976</v>
      </c>
      <c r="D1235" s="11">
        <v>6100064914</v>
      </c>
      <c r="E1235" s="12">
        <v>45932</v>
      </c>
      <c r="F1235" s="12">
        <v>45933</v>
      </c>
      <c r="G1235" t="s">
        <v>2309</v>
      </c>
      <c r="H1235" t="s">
        <v>965</v>
      </c>
      <c r="I1235">
        <v>11</v>
      </c>
      <c r="J1235">
        <v>10.637</v>
      </c>
      <c r="M1235">
        <v>0.23035</v>
      </c>
      <c r="N1235">
        <v>2.5338500000000002</v>
      </c>
      <c r="O1235">
        <v>8.1061499999999995</v>
      </c>
      <c r="P1235">
        <v>76.185599999999994</v>
      </c>
      <c r="Q1235" t="s">
        <v>2310</v>
      </c>
    </row>
    <row r="1236" spans="1:17" x14ac:dyDescent="0.25">
      <c r="A1236" t="s">
        <v>2060</v>
      </c>
      <c r="B1236" t="s">
        <v>2061</v>
      </c>
      <c r="C1236" t="s">
        <v>1976</v>
      </c>
      <c r="D1236" s="11">
        <v>6100064914</v>
      </c>
      <c r="E1236" s="12">
        <v>45932</v>
      </c>
      <c r="F1236" s="12">
        <v>45933</v>
      </c>
      <c r="G1236" t="s">
        <v>2309</v>
      </c>
      <c r="H1236" t="s">
        <v>184</v>
      </c>
      <c r="I1236">
        <v>139</v>
      </c>
      <c r="J1236">
        <v>55.6</v>
      </c>
      <c r="M1236">
        <v>9.0190000000000006E-2</v>
      </c>
      <c r="N1236">
        <v>12.53641</v>
      </c>
      <c r="O1236">
        <v>43.063589999999998</v>
      </c>
      <c r="P1236">
        <v>77.452500000000001</v>
      </c>
      <c r="Q1236" t="s">
        <v>2311</v>
      </c>
    </row>
    <row r="1237" spans="1:17" x14ac:dyDescent="0.25">
      <c r="A1237" t="s">
        <v>2060</v>
      </c>
      <c r="B1237" t="s">
        <v>2061</v>
      </c>
      <c r="C1237" t="s">
        <v>1976</v>
      </c>
      <c r="D1237" s="11">
        <v>6100064914</v>
      </c>
      <c r="E1237" s="12">
        <v>45932</v>
      </c>
      <c r="F1237" s="12">
        <v>45933</v>
      </c>
      <c r="G1237" t="s">
        <v>2309</v>
      </c>
      <c r="H1237" t="s">
        <v>186</v>
      </c>
      <c r="I1237">
        <v>27</v>
      </c>
      <c r="J1237">
        <v>15.255000000000001</v>
      </c>
      <c r="M1237">
        <v>0.14188999999999999</v>
      </c>
      <c r="N1237">
        <v>3.8310300000000002</v>
      </c>
      <c r="O1237">
        <v>11.42897</v>
      </c>
      <c r="P1237">
        <v>74.894900000000007</v>
      </c>
      <c r="Q1237" t="s">
        <v>2312</v>
      </c>
    </row>
    <row r="1238" spans="1:17" x14ac:dyDescent="0.25">
      <c r="A1238" t="s">
        <v>2060</v>
      </c>
      <c r="B1238" t="s">
        <v>2061</v>
      </c>
      <c r="C1238" t="s">
        <v>2207</v>
      </c>
      <c r="D1238" s="11">
        <v>6100064914</v>
      </c>
      <c r="E1238" s="12">
        <v>45932</v>
      </c>
      <c r="F1238" s="12">
        <v>45933</v>
      </c>
      <c r="G1238" t="s">
        <v>2313</v>
      </c>
      <c r="H1238" t="s">
        <v>1152</v>
      </c>
      <c r="I1238">
        <v>21</v>
      </c>
      <c r="J1238">
        <v>5.3970000000000002</v>
      </c>
      <c r="K1238" t="s">
        <v>2314</v>
      </c>
      <c r="L1238" t="s">
        <v>2041</v>
      </c>
      <c r="M1238">
        <v>9.4359999999999999E-2</v>
      </c>
      <c r="N1238">
        <v>1.98156</v>
      </c>
      <c r="O1238">
        <v>3.4184399999999999</v>
      </c>
      <c r="P1238">
        <v>63.304400000000001</v>
      </c>
      <c r="Q1238" t="s">
        <v>2315</v>
      </c>
    </row>
    <row r="1239" spans="1:17" x14ac:dyDescent="0.25">
      <c r="A1239" t="s">
        <v>2060</v>
      </c>
      <c r="B1239" t="s">
        <v>2061</v>
      </c>
      <c r="C1239" t="s">
        <v>2207</v>
      </c>
      <c r="D1239" s="11">
        <v>6100064914</v>
      </c>
      <c r="E1239" s="12">
        <v>45932</v>
      </c>
      <c r="F1239" s="12">
        <v>45933</v>
      </c>
      <c r="G1239" t="s">
        <v>2313</v>
      </c>
      <c r="H1239" t="s">
        <v>472</v>
      </c>
      <c r="I1239">
        <v>76</v>
      </c>
      <c r="J1239">
        <v>1.5960000000000001</v>
      </c>
      <c r="K1239" t="s">
        <v>2314</v>
      </c>
      <c r="L1239" t="s">
        <v>2041</v>
      </c>
      <c r="M1239">
        <v>0</v>
      </c>
      <c r="N1239">
        <v>0</v>
      </c>
      <c r="O1239">
        <v>1.6</v>
      </c>
      <c r="P1239">
        <v>0</v>
      </c>
      <c r="Q1239" t="s">
        <v>2316</v>
      </c>
    </row>
    <row r="1240" spans="1:17" x14ac:dyDescent="0.25">
      <c r="A1240" t="s">
        <v>1974</v>
      </c>
      <c r="B1240" t="s">
        <v>1975</v>
      </c>
      <c r="C1240" t="s">
        <v>1976</v>
      </c>
      <c r="D1240" s="11">
        <v>82291</v>
      </c>
      <c r="E1240" s="12">
        <v>45932</v>
      </c>
      <c r="F1240" s="12">
        <v>45933</v>
      </c>
      <c r="G1240" t="s">
        <v>2317</v>
      </c>
      <c r="H1240" t="s">
        <v>983</v>
      </c>
      <c r="I1240">
        <v>10</v>
      </c>
      <c r="J1240">
        <v>99.683999999999997</v>
      </c>
      <c r="M1240">
        <v>6.06</v>
      </c>
      <c r="N1240">
        <v>60.6</v>
      </c>
      <c r="O1240">
        <v>39.08</v>
      </c>
      <c r="P1240">
        <v>39.205399999999997</v>
      </c>
      <c r="Q1240" t="s">
        <v>2006</v>
      </c>
    </row>
    <row r="1241" spans="1:17" x14ac:dyDescent="0.25">
      <c r="A1241" t="s">
        <v>1974</v>
      </c>
      <c r="B1241" t="s">
        <v>1975</v>
      </c>
      <c r="C1241" t="s">
        <v>1976</v>
      </c>
      <c r="D1241" s="11">
        <v>82291</v>
      </c>
      <c r="E1241" s="12">
        <v>45932</v>
      </c>
      <c r="F1241" s="12">
        <v>45933</v>
      </c>
      <c r="G1241" t="s">
        <v>2317</v>
      </c>
      <c r="H1241" t="s">
        <v>212</v>
      </c>
      <c r="I1241">
        <v>3</v>
      </c>
      <c r="J1241">
        <v>32.64</v>
      </c>
      <c r="M1241">
        <v>7.54</v>
      </c>
      <c r="N1241">
        <v>22.62</v>
      </c>
      <c r="O1241">
        <v>10.02</v>
      </c>
      <c r="P1241">
        <v>30.698499999999999</v>
      </c>
      <c r="Q1241" t="s">
        <v>2010</v>
      </c>
    </row>
    <row r="1242" spans="1:17" x14ac:dyDescent="0.25">
      <c r="A1242" t="s">
        <v>2060</v>
      </c>
      <c r="B1242" t="s">
        <v>2061</v>
      </c>
      <c r="C1242" t="s">
        <v>2207</v>
      </c>
      <c r="D1242" s="11">
        <v>6100065115</v>
      </c>
      <c r="E1242" s="12">
        <v>45936</v>
      </c>
      <c r="F1242" s="12">
        <v>45938</v>
      </c>
      <c r="G1242" t="s">
        <v>2318</v>
      </c>
      <c r="H1242" t="s">
        <v>1539</v>
      </c>
      <c r="I1242">
        <v>130</v>
      </c>
      <c r="J1242">
        <v>6.5129999999999999</v>
      </c>
      <c r="K1242" t="s">
        <v>2319</v>
      </c>
      <c r="L1242" t="s">
        <v>2041</v>
      </c>
      <c r="M1242">
        <v>4.1119999999999997E-2</v>
      </c>
      <c r="N1242">
        <v>5.3456000000000001</v>
      </c>
      <c r="O1242">
        <v>1.1644000000000001</v>
      </c>
      <c r="P1242">
        <v>17.886299999999999</v>
      </c>
      <c r="Q1242" t="s">
        <v>2320</v>
      </c>
    </row>
    <row r="1243" spans="1:17" x14ac:dyDescent="0.25">
      <c r="A1243" t="s">
        <v>2060</v>
      </c>
      <c r="B1243" t="s">
        <v>2061</v>
      </c>
      <c r="C1243" t="s">
        <v>2207</v>
      </c>
      <c r="D1243" s="11">
        <v>6100065115</v>
      </c>
      <c r="E1243" s="12">
        <v>45936</v>
      </c>
      <c r="F1243" s="12">
        <v>45938</v>
      </c>
      <c r="G1243" t="s">
        <v>2318</v>
      </c>
      <c r="H1243" t="s">
        <v>1523</v>
      </c>
      <c r="I1243">
        <v>220</v>
      </c>
      <c r="J1243">
        <v>11.022</v>
      </c>
      <c r="K1243" t="s">
        <v>2319</v>
      </c>
      <c r="L1243" t="s">
        <v>2041</v>
      </c>
      <c r="M1243">
        <v>4.1119999999999997E-2</v>
      </c>
      <c r="N1243">
        <v>9.0464000000000002</v>
      </c>
      <c r="O1243">
        <v>1.9736</v>
      </c>
      <c r="P1243">
        <v>17.909199999999998</v>
      </c>
      <c r="Q1243" t="s">
        <v>2321</v>
      </c>
    </row>
    <row r="1244" spans="1:17" x14ac:dyDescent="0.25">
      <c r="A1244" t="s">
        <v>2060</v>
      </c>
      <c r="B1244" t="s">
        <v>2061</v>
      </c>
      <c r="C1244" t="s">
        <v>2207</v>
      </c>
      <c r="D1244" s="11">
        <v>6100065112</v>
      </c>
      <c r="E1244" s="12">
        <v>45936</v>
      </c>
      <c r="F1244" s="12">
        <v>45938</v>
      </c>
      <c r="G1244" t="s">
        <v>2322</v>
      </c>
      <c r="H1244" t="s">
        <v>1178</v>
      </c>
      <c r="I1244">
        <v>10</v>
      </c>
      <c r="J1244">
        <v>0.53800000000000003</v>
      </c>
      <c r="K1244" t="s">
        <v>2319</v>
      </c>
      <c r="L1244" t="s">
        <v>2041</v>
      </c>
      <c r="M1244">
        <v>4.4119999999999999E-2</v>
      </c>
      <c r="N1244">
        <v>0.44119999999999998</v>
      </c>
      <c r="O1244">
        <v>9.8799999999999999E-2</v>
      </c>
      <c r="P1244">
        <v>18.296199999999999</v>
      </c>
      <c r="Q1244" t="s">
        <v>2323</v>
      </c>
    </row>
    <row r="1245" spans="1:17" x14ac:dyDescent="0.25">
      <c r="A1245" t="s">
        <v>2060</v>
      </c>
      <c r="B1245" t="s">
        <v>2061</v>
      </c>
      <c r="C1245" t="s">
        <v>2207</v>
      </c>
      <c r="D1245" s="11">
        <v>6100065112</v>
      </c>
      <c r="E1245" s="12">
        <v>45936</v>
      </c>
      <c r="F1245" s="12">
        <v>45938</v>
      </c>
      <c r="G1245" t="s">
        <v>2322</v>
      </c>
      <c r="H1245" t="s">
        <v>816</v>
      </c>
      <c r="I1245">
        <v>55</v>
      </c>
      <c r="J1245">
        <v>3.5529999999999999</v>
      </c>
      <c r="K1245" t="s">
        <v>2319</v>
      </c>
      <c r="L1245" t="s">
        <v>2041</v>
      </c>
      <c r="M1245">
        <v>5.2999999999999999E-2</v>
      </c>
      <c r="N1245">
        <v>2.915</v>
      </c>
      <c r="O1245">
        <v>0.63500000000000001</v>
      </c>
      <c r="P1245">
        <v>17.8873</v>
      </c>
      <c r="Q1245" t="s">
        <v>2324</v>
      </c>
    </row>
    <row r="1246" spans="1:17" x14ac:dyDescent="0.25">
      <c r="A1246" t="s">
        <v>2060</v>
      </c>
      <c r="B1246" t="s">
        <v>2061</v>
      </c>
      <c r="C1246" t="s">
        <v>2207</v>
      </c>
      <c r="D1246" s="11">
        <v>6100065112</v>
      </c>
      <c r="E1246" s="12">
        <v>45936</v>
      </c>
      <c r="F1246" s="12">
        <v>45938</v>
      </c>
      <c r="G1246" t="s">
        <v>2322</v>
      </c>
      <c r="H1246" t="s">
        <v>551</v>
      </c>
      <c r="I1246">
        <v>9</v>
      </c>
      <c r="J1246">
        <v>1.0359</v>
      </c>
      <c r="K1246" t="s">
        <v>2319</v>
      </c>
      <c r="L1246" t="s">
        <v>2041</v>
      </c>
      <c r="M1246">
        <v>9.4359999999999999E-2</v>
      </c>
      <c r="N1246">
        <v>0.84923999999999999</v>
      </c>
      <c r="O1246">
        <v>0.19076000000000001</v>
      </c>
      <c r="P1246">
        <v>18.342300000000002</v>
      </c>
      <c r="Q1246" t="s">
        <v>2325</v>
      </c>
    </row>
    <row r="1247" spans="1:17" x14ac:dyDescent="0.25">
      <c r="A1247" t="s">
        <v>2060</v>
      </c>
      <c r="B1247" t="s">
        <v>2061</v>
      </c>
      <c r="C1247" t="s">
        <v>2207</v>
      </c>
      <c r="D1247" s="11">
        <v>6100065112</v>
      </c>
      <c r="E1247" s="12">
        <v>45936</v>
      </c>
      <c r="F1247" s="12">
        <v>45938</v>
      </c>
      <c r="G1247" t="s">
        <v>2322</v>
      </c>
      <c r="H1247" t="s">
        <v>515</v>
      </c>
      <c r="I1247">
        <v>9</v>
      </c>
      <c r="J1247">
        <v>80.793899999999994</v>
      </c>
      <c r="K1247" t="s">
        <v>2319</v>
      </c>
      <c r="L1247" t="s">
        <v>2041</v>
      </c>
      <c r="M1247">
        <v>7.3612099999999998</v>
      </c>
      <c r="N1247">
        <v>66.250889999999998</v>
      </c>
      <c r="O1247">
        <v>14.539110000000001</v>
      </c>
      <c r="P1247">
        <v>17.996099999999998</v>
      </c>
      <c r="Q1247" t="s">
        <v>2326</v>
      </c>
    </row>
    <row r="1248" spans="1:17" x14ac:dyDescent="0.25">
      <c r="A1248" t="s">
        <v>2060</v>
      </c>
      <c r="B1248" t="s">
        <v>2061</v>
      </c>
      <c r="C1248" t="s">
        <v>2207</v>
      </c>
      <c r="D1248" s="11">
        <v>6100065112</v>
      </c>
      <c r="E1248" s="12">
        <v>45936</v>
      </c>
      <c r="F1248" s="12">
        <v>45966</v>
      </c>
      <c r="G1248" t="s">
        <v>2322</v>
      </c>
      <c r="H1248" t="s">
        <v>1007</v>
      </c>
      <c r="I1248">
        <v>3</v>
      </c>
      <c r="J1248">
        <v>13.9437</v>
      </c>
      <c r="K1248" t="s">
        <v>2319</v>
      </c>
      <c r="L1248" t="s">
        <v>2041</v>
      </c>
      <c r="M1248">
        <v>3.8113100000000002</v>
      </c>
      <c r="N1248">
        <v>11.43393</v>
      </c>
      <c r="O1248">
        <v>2.5060699999999998</v>
      </c>
      <c r="P1248">
        <v>17.977499999999999</v>
      </c>
      <c r="Q1248" t="s">
        <v>2327</v>
      </c>
    </row>
    <row r="1249" spans="1:17" x14ac:dyDescent="0.25">
      <c r="A1249" t="s">
        <v>2060</v>
      </c>
      <c r="B1249" t="s">
        <v>2061</v>
      </c>
      <c r="C1249" t="s">
        <v>2207</v>
      </c>
      <c r="D1249" s="11">
        <v>6100065112</v>
      </c>
      <c r="E1249" s="12">
        <v>45936</v>
      </c>
      <c r="F1249" s="12">
        <v>45938</v>
      </c>
      <c r="G1249" t="s">
        <v>2322</v>
      </c>
      <c r="H1249" t="s">
        <v>987</v>
      </c>
      <c r="I1249">
        <v>25</v>
      </c>
      <c r="J1249">
        <v>5.4924999999999997</v>
      </c>
      <c r="K1249" t="s">
        <v>2319</v>
      </c>
      <c r="L1249" t="s">
        <v>2041</v>
      </c>
      <c r="M1249">
        <v>0.17</v>
      </c>
      <c r="N1249">
        <v>4.25</v>
      </c>
      <c r="O1249">
        <v>1.24</v>
      </c>
      <c r="P1249">
        <v>22.586500000000001</v>
      </c>
      <c r="Q1249" t="s">
        <v>2328</v>
      </c>
    </row>
    <row r="1250" spans="1:17" x14ac:dyDescent="0.25">
      <c r="A1250" t="s">
        <v>1974</v>
      </c>
      <c r="B1250" t="s">
        <v>1975</v>
      </c>
      <c r="C1250" t="s">
        <v>2207</v>
      </c>
      <c r="D1250" s="11">
        <v>82401</v>
      </c>
      <c r="E1250" s="12">
        <v>45939</v>
      </c>
      <c r="F1250" s="12">
        <v>45939</v>
      </c>
      <c r="G1250" t="s">
        <v>2329</v>
      </c>
      <c r="H1250" t="s">
        <v>104</v>
      </c>
      <c r="I1250">
        <v>21</v>
      </c>
      <c r="J1250">
        <v>35.777700000000003</v>
      </c>
      <c r="K1250" t="s">
        <v>2330</v>
      </c>
      <c r="L1250" t="s">
        <v>2041</v>
      </c>
      <c r="M1250">
        <v>1.319</v>
      </c>
      <c r="N1250">
        <v>27.699000000000002</v>
      </c>
      <c r="O1250">
        <v>8.0809999999999995</v>
      </c>
      <c r="P1250">
        <v>22.5852</v>
      </c>
      <c r="Q1250" t="s">
        <v>1989</v>
      </c>
    </row>
    <row r="1251" spans="1:17" x14ac:dyDescent="0.25">
      <c r="A1251" t="s">
        <v>1974</v>
      </c>
      <c r="B1251" t="s">
        <v>1975</v>
      </c>
      <c r="C1251" t="s">
        <v>2207</v>
      </c>
      <c r="D1251" s="11">
        <v>82401</v>
      </c>
      <c r="E1251" s="12">
        <v>45939</v>
      </c>
      <c r="F1251" s="12">
        <v>45940</v>
      </c>
      <c r="G1251" t="s">
        <v>2329</v>
      </c>
      <c r="H1251" t="s">
        <v>386</v>
      </c>
      <c r="I1251">
        <v>22</v>
      </c>
      <c r="J1251">
        <v>3.7488000000000001</v>
      </c>
      <c r="K1251" t="s">
        <v>2330</v>
      </c>
      <c r="L1251" t="s">
        <v>2041</v>
      </c>
      <c r="M1251">
        <v>0.13971</v>
      </c>
      <c r="N1251">
        <v>3.07362</v>
      </c>
      <c r="O1251">
        <v>0.67637999999999998</v>
      </c>
      <c r="P1251">
        <v>18.036799999999999</v>
      </c>
      <c r="Q1251" t="s">
        <v>2331</v>
      </c>
    </row>
    <row r="1252" spans="1:17" x14ac:dyDescent="0.25">
      <c r="A1252" t="s">
        <v>1974</v>
      </c>
      <c r="B1252" t="s">
        <v>1975</v>
      </c>
      <c r="C1252" t="s">
        <v>2207</v>
      </c>
      <c r="D1252" s="11">
        <v>82401</v>
      </c>
      <c r="E1252" s="12">
        <v>45939</v>
      </c>
      <c r="F1252" s="12">
        <v>45940</v>
      </c>
      <c r="G1252" t="s">
        <v>2329</v>
      </c>
      <c r="H1252" t="s">
        <v>388</v>
      </c>
      <c r="I1252">
        <v>12</v>
      </c>
      <c r="J1252">
        <v>19.728000000000002</v>
      </c>
      <c r="K1252" t="s">
        <v>2330</v>
      </c>
      <c r="L1252" t="s">
        <v>2041</v>
      </c>
      <c r="M1252">
        <v>1.34805</v>
      </c>
      <c r="N1252">
        <v>16.176600000000001</v>
      </c>
      <c r="O1252">
        <v>3.5533999999999999</v>
      </c>
      <c r="P1252">
        <v>18.010100000000001</v>
      </c>
      <c r="Q1252" t="s">
        <v>2332</v>
      </c>
    </row>
    <row r="1253" spans="1:17" x14ac:dyDescent="0.25">
      <c r="A1253" t="s">
        <v>1974</v>
      </c>
      <c r="B1253" t="s">
        <v>1975</v>
      </c>
      <c r="C1253" t="s">
        <v>2207</v>
      </c>
      <c r="D1253" s="11">
        <v>82401</v>
      </c>
      <c r="E1253" s="12">
        <v>45939</v>
      </c>
      <c r="F1253" s="12">
        <v>45940</v>
      </c>
      <c r="G1253" t="s">
        <v>2329</v>
      </c>
      <c r="H1253" t="s">
        <v>101</v>
      </c>
      <c r="I1253">
        <v>11</v>
      </c>
      <c r="J1253">
        <v>13.8094</v>
      </c>
      <c r="K1253" t="s">
        <v>2330</v>
      </c>
      <c r="L1253" t="s">
        <v>2041</v>
      </c>
      <c r="M1253">
        <v>1.02942</v>
      </c>
      <c r="N1253">
        <v>11.32362</v>
      </c>
      <c r="O1253">
        <v>2.48638</v>
      </c>
      <c r="P1253">
        <v>18.004100000000001</v>
      </c>
      <c r="Q1253" t="s">
        <v>2239</v>
      </c>
    </row>
    <row r="1254" spans="1:17" x14ac:dyDescent="0.25">
      <c r="A1254" t="s">
        <v>1974</v>
      </c>
      <c r="B1254" t="s">
        <v>1975</v>
      </c>
      <c r="C1254" t="s">
        <v>2207</v>
      </c>
      <c r="D1254" s="11">
        <v>82428</v>
      </c>
      <c r="E1254" s="12">
        <v>45940</v>
      </c>
      <c r="F1254" s="12">
        <v>45943</v>
      </c>
      <c r="G1254" t="s">
        <v>2333</v>
      </c>
      <c r="H1254" t="s">
        <v>101</v>
      </c>
      <c r="I1254">
        <v>6</v>
      </c>
      <c r="J1254">
        <v>7.5324</v>
      </c>
      <c r="K1254" t="s">
        <v>2334</v>
      </c>
      <c r="L1254" t="s">
        <v>2041</v>
      </c>
      <c r="M1254">
        <v>1.02942</v>
      </c>
      <c r="N1254">
        <v>6.17652</v>
      </c>
      <c r="O1254">
        <v>1.35348</v>
      </c>
      <c r="P1254">
        <v>17.974499999999999</v>
      </c>
      <c r="Q1254" t="s">
        <v>2239</v>
      </c>
    </row>
    <row r="1255" spans="1:17" x14ac:dyDescent="0.25">
      <c r="A1255" t="s">
        <v>1974</v>
      </c>
      <c r="B1255" t="s">
        <v>1975</v>
      </c>
      <c r="C1255" t="s">
        <v>2207</v>
      </c>
      <c r="D1255" s="11">
        <v>82428</v>
      </c>
      <c r="E1255" s="12">
        <v>45940</v>
      </c>
      <c r="F1255" s="12">
        <v>45943</v>
      </c>
      <c r="G1255" t="s">
        <v>2333</v>
      </c>
      <c r="H1255" t="s">
        <v>104</v>
      </c>
      <c r="I1255">
        <v>31</v>
      </c>
      <c r="J1255">
        <v>52.814700000000002</v>
      </c>
      <c r="K1255" t="s">
        <v>2334</v>
      </c>
      <c r="L1255" t="s">
        <v>2041</v>
      </c>
      <c r="M1255">
        <v>1.319</v>
      </c>
      <c r="N1255">
        <v>40.889000000000003</v>
      </c>
      <c r="O1255">
        <v>11.920999999999999</v>
      </c>
      <c r="P1255">
        <v>22.5733</v>
      </c>
      <c r="Q1255" t="s">
        <v>1989</v>
      </c>
    </row>
    <row r="1256" spans="1:17" x14ac:dyDescent="0.25">
      <c r="A1256" t="s">
        <v>1974</v>
      </c>
      <c r="B1256" t="s">
        <v>1975</v>
      </c>
      <c r="C1256" t="s">
        <v>1976</v>
      </c>
      <c r="D1256" s="11">
        <v>82484</v>
      </c>
      <c r="E1256" s="12">
        <v>45944</v>
      </c>
      <c r="F1256" s="12">
        <v>45945</v>
      </c>
      <c r="G1256" t="s">
        <v>2335</v>
      </c>
      <c r="H1256" t="s">
        <v>1186</v>
      </c>
      <c r="I1256">
        <v>36</v>
      </c>
      <c r="J1256">
        <v>743.94359999999995</v>
      </c>
      <c r="M1256">
        <v>15.651</v>
      </c>
      <c r="N1256">
        <v>563.43600000000004</v>
      </c>
      <c r="O1256">
        <v>180.50399999999999</v>
      </c>
      <c r="P1256">
        <v>24.263200000000001</v>
      </c>
      <c r="Q1256" t="s">
        <v>2147</v>
      </c>
    </row>
    <row r="1257" spans="1:17" x14ac:dyDescent="0.25">
      <c r="A1257" t="s">
        <v>1974</v>
      </c>
      <c r="B1257" t="s">
        <v>1975</v>
      </c>
      <c r="C1257" t="s">
        <v>2207</v>
      </c>
      <c r="D1257" s="11">
        <v>8251</v>
      </c>
      <c r="E1257" s="12">
        <v>45945</v>
      </c>
      <c r="F1257" s="12">
        <v>45946</v>
      </c>
      <c r="G1257" t="s">
        <v>2336</v>
      </c>
      <c r="H1257" t="s">
        <v>206</v>
      </c>
      <c r="I1257">
        <v>5</v>
      </c>
      <c r="J1257">
        <v>143.09950000000001</v>
      </c>
      <c r="K1257" t="s">
        <v>2337</v>
      </c>
      <c r="L1257" t="s">
        <v>2041</v>
      </c>
      <c r="M1257">
        <v>23.468330000000002</v>
      </c>
      <c r="N1257">
        <v>117.34165</v>
      </c>
      <c r="O1257">
        <v>25.75835</v>
      </c>
      <c r="P1257">
        <v>18.0002</v>
      </c>
      <c r="Q1257" t="s">
        <v>2338</v>
      </c>
    </row>
    <row r="1258" spans="1:17" x14ac:dyDescent="0.25">
      <c r="A1258" t="s">
        <v>1974</v>
      </c>
      <c r="B1258" t="s">
        <v>1975</v>
      </c>
      <c r="C1258" t="s">
        <v>2207</v>
      </c>
      <c r="D1258" s="11">
        <v>8251</v>
      </c>
      <c r="E1258" s="12">
        <v>45945</v>
      </c>
      <c r="F1258" s="12">
        <v>45950</v>
      </c>
      <c r="G1258" t="s">
        <v>2336</v>
      </c>
      <c r="H1258" t="s">
        <v>101</v>
      </c>
      <c r="I1258">
        <v>5</v>
      </c>
      <c r="J1258">
        <v>6.2770000000000001</v>
      </c>
      <c r="K1258" t="s">
        <v>2337</v>
      </c>
      <c r="L1258" t="s">
        <v>2041</v>
      </c>
      <c r="M1258">
        <v>1.02942</v>
      </c>
      <c r="N1258">
        <v>5.1471</v>
      </c>
      <c r="O1258">
        <v>1.1329</v>
      </c>
      <c r="P1258">
        <v>18.0398</v>
      </c>
      <c r="Q1258" t="s">
        <v>2239</v>
      </c>
    </row>
    <row r="1259" spans="1:17" x14ac:dyDescent="0.25">
      <c r="A1259" t="s">
        <v>2060</v>
      </c>
      <c r="B1259" t="s">
        <v>2061</v>
      </c>
      <c r="C1259" t="s">
        <v>2207</v>
      </c>
      <c r="D1259" s="11">
        <v>6100067141</v>
      </c>
      <c r="E1259" s="12">
        <v>45947</v>
      </c>
      <c r="F1259" s="12">
        <v>45947</v>
      </c>
      <c r="G1259" t="s">
        <v>2339</v>
      </c>
      <c r="H1259" t="s">
        <v>1720</v>
      </c>
      <c r="I1259">
        <v>11</v>
      </c>
      <c r="J1259">
        <v>64.13</v>
      </c>
      <c r="M1259">
        <v>0</v>
      </c>
      <c r="N1259">
        <v>0</v>
      </c>
      <c r="O1259">
        <v>64.13</v>
      </c>
      <c r="P1259">
        <v>0</v>
      </c>
      <c r="Q1259" t="s">
        <v>2340</v>
      </c>
    </row>
    <row r="1260" spans="1:17" x14ac:dyDescent="0.25">
      <c r="A1260" t="s">
        <v>1974</v>
      </c>
      <c r="B1260" t="s">
        <v>1975</v>
      </c>
      <c r="C1260" t="s">
        <v>1976</v>
      </c>
      <c r="D1260" s="11">
        <v>82680</v>
      </c>
      <c r="E1260" s="12">
        <v>45953</v>
      </c>
      <c r="F1260" s="12">
        <v>45957</v>
      </c>
      <c r="G1260" t="s">
        <v>2341</v>
      </c>
      <c r="H1260" t="s">
        <v>517</v>
      </c>
      <c r="I1260">
        <v>9</v>
      </c>
      <c r="J1260">
        <v>117.4239</v>
      </c>
      <c r="M1260">
        <v>10.52</v>
      </c>
      <c r="N1260">
        <v>94.68</v>
      </c>
      <c r="O1260">
        <v>22.74</v>
      </c>
      <c r="P1260">
        <v>19.366299999999999</v>
      </c>
      <c r="Q1260" t="s">
        <v>1984</v>
      </c>
    </row>
    <row r="1261" spans="1:17" x14ac:dyDescent="0.25">
      <c r="A1261" t="s">
        <v>1974</v>
      </c>
      <c r="B1261" t="s">
        <v>1975</v>
      </c>
      <c r="C1261" t="s">
        <v>2207</v>
      </c>
      <c r="D1261" s="11">
        <v>82705</v>
      </c>
      <c r="E1261" s="12">
        <v>45954</v>
      </c>
      <c r="F1261" s="12">
        <v>45957</v>
      </c>
      <c r="G1261" t="s">
        <v>2342</v>
      </c>
      <c r="H1261" t="s">
        <v>733</v>
      </c>
      <c r="I1261">
        <v>4</v>
      </c>
      <c r="J1261">
        <v>106.5288</v>
      </c>
      <c r="K1261" t="s">
        <v>2343</v>
      </c>
      <c r="L1261" t="s">
        <v>2041</v>
      </c>
      <c r="M1261">
        <v>21.83841</v>
      </c>
      <c r="N1261">
        <v>87.353639999999999</v>
      </c>
      <c r="O1261">
        <v>19.176359999999999</v>
      </c>
      <c r="P1261">
        <v>18.000900000000001</v>
      </c>
      <c r="Q1261" t="s">
        <v>2344</v>
      </c>
    </row>
    <row r="1262" spans="1:17" x14ac:dyDescent="0.25">
      <c r="A1262" t="s">
        <v>1974</v>
      </c>
      <c r="B1262" t="s">
        <v>1975</v>
      </c>
      <c r="C1262" t="s">
        <v>1976</v>
      </c>
      <c r="D1262" s="11">
        <v>82819</v>
      </c>
      <c r="E1262" s="12">
        <v>45964</v>
      </c>
      <c r="F1262" s="12">
        <v>45965</v>
      </c>
      <c r="G1262" t="s">
        <v>2345</v>
      </c>
      <c r="H1262" t="s">
        <v>192</v>
      </c>
      <c r="I1262">
        <v>35</v>
      </c>
      <c r="J1262">
        <v>8.1585000000000001</v>
      </c>
      <c r="M1262">
        <v>7.9000000000000001E-2</v>
      </c>
      <c r="N1262">
        <v>2.7650000000000001</v>
      </c>
      <c r="O1262">
        <v>5.3949999999999996</v>
      </c>
      <c r="P1262">
        <v>66.115099999999998</v>
      </c>
      <c r="Q1262" t="s">
        <v>2220</v>
      </c>
    </row>
    <row r="1263" spans="1:17" x14ac:dyDescent="0.25">
      <c r="A1263" t="s">
        <v>1974</v>
      </c>
      <c r="B1263" t="s">
        <v>1975</v>
      </c>
      <c r="C1263" t="s">
        <v>1976</v>
      </c>
      <c r="D1263" s="11">
        <v>82819</v>
      </c>
      <c r="E1263" s="12">
        <v>45964</v>
      </c>
      <c r="F1263" s="12">
        <v>45965</v>
      </c>
      <c r="G1263" t="s">
        <v>2345</v>
      </c>
      <c r="H1263" t="s">
        <v>212</v>
      </c>
      <c r="I1263">
        <v>22</v>
      </c>
      <c r="J1263">
        <v>239.36</v>
      </c>
      <c r="M1263">
        <v>7.54</v>
      </c>
      <c r="N1263">
        <v>165.88</v>
      </c>
      <c r="O1263">
        <v>73.48</v>
      </c>
      <c r="P1263">
        <v>30.698499999999999</v>
      </c>
      <c r="Q1263" t="s">
        <v>2010</v>
      </c>
    </row>
    <row r="1264" spans="1:17" x14ac:dyDescent="0.25">
      <c r="A1264" t="s">
        <v>1974</v>
      </c>
      <c r="B1264" t="s">
        <v>1975</v>
      </c>
      <c r="C1264" t="s">
        <v>2207</v>
      </c>
      <c r="D1264" s="11">
        <v>82819</v>
      </c>
      <c r="E1264" s="12">
        <v>45964</v>
      </c>
      <c r="F1264" s="12">
        <v>45965</v>
      </c>
      <c r="G1264" t="s">
        <v>2346</v>
      </c>
      <c r="H1264" t="s">
        <v>132</v>
      </c>
      <c r="I1264">
        <v>180</v>
      </c>
      <c r="J1264">
        <v>58.374000000000002</v>
      </c>
      <c r="K1264" t="s">
        <v>2347</v>
      </c>
      <c r="L1264" t="s">
        <v>2041</v>
      </c>
      <c r="M1264">
        <v>0.26593</v>
      </c>
      <c r="N1264">
        <v>47.867400000000004</v>
      </c>
      <c r="O1264">
        <v>10.502599999999999</v>
      </c>
      <c r="P1264">
        <v>17.993099999999998</v>
      </c>
      <c r="Q1264" t="s">
        <v>2348</v>
      </c>
    </row>
    <row r="1265" spans="1:17" hidden="1" x14ac:dyDescent="0.25">
      <c r="A1265" t="s">
        <v>2040</v>
      </c>
      <c r="B1265" t="s">
        <v>2041</v>
      </c>
      <c r="C1265" t="s">
        <v>1976</v>
      </c>
      <c r="D1265" s="11" t="s">
        <v>2349</v>
      </c>
      <c r="E1265" s="12">
        <v>45968</v>
      </c>
      <c r="F1265" s="12">
        <v>45968</v>
      </c>
      <c r="G1265" t="s">
        <v>2350</v>
      </c>
      <c r="H1265" t="s">
        <v>2351</v>
      </c>
      <c r="I1265">
        <v>1</v>
      </c>
      <c r="J1265">
        <v>0</v>
      </c>
      <c r="M1265">
        <v>147.25</v>
      </c>
      <c r="N1265">
        <v>147.25</v>
      </c>
      <c r="O1265">
        <v>-147.25</v>
      </c>
      <c r="P1265">
        <v>0</v>
      </c>
    </row>
    <row r="1266" spans="1:17" hidden="1" x14ac:dyDescent="0.25">
      <c r="A1266" t="s">
        <v>2040</v>
      </c>
      <c r="B1266" t="s">
        <v>2041</v>
      </c>
      <c r="C1266" t="s">
        <v>1976</v>
      </c>
      <c r="D1266" s="11" t="s">
        <v>2349</v>
      </c>
      <c r="E1266" s="12">
        <v>45968</v>
      </c>
      <c r="F1266" s="12">
        <v>45968</v>
      </c>
      <c r="G1266" t="s">
        <v>2350</v>
      </c>
      <c r="H1266" t="s">
        <v>2352</v>
      </c>
      <c r="I1266">
        <v>1</v>
      </c>
      <c r="J1266">
        <v>0</v>
      </c>
      <c r="M1266">
        <v>193.54</v>
      </c>
      <c r="N1266">
        <v>193.54</v>
      </c>
      <c r="O1266">
        <v>-193.54</v>
      </c>
      <c r="P1266">
        <v>0</v>
      </c>
    </row>
    <row r="1267" spans="1:17" hidden="1" x14ac:dyDescent="0.25">
      <c r="A1267" t="s">
        <v>2040</v>
      </c>
      <c r="B1267" t="s">
        <v>2041</v>
      </c>
      <c r="C1267" t="s">
        <v>1976</v>
      </c>
      <c r="D1267" s="11" t="s">
        <v>2349</v>
      </c>
      <c r="E1267" s="12">
        <v>45968</v>
      </c>
      <c r="F1267" s="12">
        <v>45968</v>
      </c>
      <c r="G1267" t="s">
        <v>2350</v>
      </c>
      <c r="H1267" t="s">
        <v>2352</v>
      </c>
      <c r="I1267">
        <v>1</v>
      </c>
      <c r="J1267">
        <v>0</v>
      </c>
      <c r="M1267">
        <v>40.799999999999997</v>
      </c>
      <c r="N1267">
        <v>40.799999999999997</v>
      </c>
      <c r="O1267">
        <v>-40.799999999999997</v>
      </c>
      <c r="P1267">
        <v>0</v>
      </c>
    </row>
    <row r="1268" spans="1:17" hidden="1" x14ac:dyDescent="0.25">
      <c r="A1268" t="s">
        <v>2040</v>
      </c>
      <c r="B1268" t="s">
        <v>2041</v>
      </c>
      <c r="C1268" t="s">
        <v>1976</v>
      </c>
      <c r="D1268" s="11" t="s">
        <v>2349</v>
      </c>
      <c r="E1268" s="12">
        <v>45968</v>
      </c>
      <c r="F1268" s="12">
        <v>45968</v>
      </c>
      <c r="G1268" t="s">
        <v>2350</v>
      </c>
      <c r="H1268" t="s">
        <v>2352</v>
      </c>
      <c r="I1268">
        <v>1</v>
      </c>
      <c r="J1268">
        <v>0</v>
      </c>
      <c r="M1268">
        <v>68.17</v>
      </c>
      <c r="N1268">
        <v>68.17</v>
      </c>
      <c r="O1268">
        <v>-68.17</v>
      </c>
      <c r="P1268">
        <v>0</v>
      </c>
    </row>
    <row r="1269" spans="1:17" x14ac:dyDescent="0.25">
      <c r="A1269" t="s">
        <v>1974</v>
      </c>
      <c r="B1269" t="s">
        <v>1975</v>
      </c>
      <c r="C1269" t="s">
        <v>2207</v>
      </c>
      <c r="D1269" s="11">
        <v>83008</v>
      </c>
      <c r="E1269" s="12">
        <v>45974</v>
      </c>
      <c r="F1269" s="12">
        <v>45975</v>
      </c>
      <c r="G1269" t="s">
        <v>2353</v>
      </c>
      <c r="H1269" t="s">
        <v>1047</v>
      </c>
      <c r="I1269">
        <v>30</v>
      </c>
      <c r="J1269">
        <v>34.073999999999998</v>
      </c>
      <c r="M1269">
        <v>0</v>
      </c>
      <c r="N1269">
        <v>0</v>
      </c>
      <c r="O1269">
        <v>34.07</v>
      </c>
      <c r="P1269">
        <v>0</v>
      </c>
      <c r="Q1269" t="s">
        <v>1046</v>
      </c>
    </row>
    <row r="1270" spans="1:17" x14ac:dyDescent="0.25">
      <c r="A1270" t="s">
        <v>1974</v>
      </c>
      <c r="B1270" t="s">
        <v>1975</v>
      </c>
      <c r="C1270" t="s">
        <v>2207</v>
      </c>
      <c r="D1270" s="11">
        <v>83008</v>
      </c>
      <c r="E1270" s="12">
        <v>45974</v>
      </c>
      <c r="F1270" s="12">
        <v>45975</v>
      </c>
      <c r="G1270" t="s">
        <v>2353</v>
      </c>
      <c r="H1270" t="s">
        <v>1653</v>
      </c>
      <c r="I1270">
        <v>25</v>
      </c>
      <c r="J1270">
        <v>2.7650000000000001</v>
      </c>
      <c r="K1270" t="s">
        <v>2354</v>
      </c>
      <c r="L1270" t="s">
        <v>2041</v>
      </c>
      <c r="M1270">
        <v>9.0690000000000007E-2</v>
      </c>
      <c r="N1270">
        <v>2.2672500000000002</v>
      </c>
      <c r="O1270">
        <v>0.50275000000000003</v>
      </c>
      <c r="P1270">
        <v>18.149799999999999</v>
      </c>
      <c r="Q1270" t="s">
        <v>1652</v>
      </c>
    </row>
    <row r="1271" spans="1:17" x14ac:dyDescent="0.25">
      <c r="A1271" t="s">
        <v>1974</v>
      </c>
      <c r="B1271" t="s">
        <v>1975</v>
      </c>
      <c r="C1271" t="s">
        <v>2207</v>
      </c>
      <c r="D1271" s="11">
        <v>83008</v>
      </c>
      <c r="E1271" s="12">
        <v>45974</v>
      </c>
      <c r="F1271" s="12">
        <v>45975</v>
      </c>
      <c r="G1271" t="s">
        <v>2353</v>
      </c>
      <c r="H1271" t="s">
        <v>1265</v>
      </c>
      <c r="I1271">
        <v>35</v>
      </c>
      <c r="J1271">
        <v>2.0405000000000002</v>
      </c>
      <c r="K1271" t="s">
        <v>2354</v>
      </c>
      <c r="L1271" t="s">
        <v>2041</v>
      </c>
      <c r="M1271">
        <v>4.7800000000000002E-2</v>
      </c>
      <c r="N1271">
        <v>1.673</v>
      </c>
      <c r="O1271">
        <v>0.36699999999999999</v>
      </c>
      <c r="P1271">
        <v>17.990100000000002</v>
      </c>
      <c r="Q1271" t="s">
        <v>2355</v>
      </c>
    </row>
    <row r="1272" spans="1:17" x14ac:dyDescent="0.25">
      <c r="A1272" t="s">
        <v>1974</v>
      </c>
      <c r="B1272" t="s">
        <v>1975</v>
      </c>
      <c r="C1272" t="s">
        <v>2207</v>
      </c>
      <c r="D1272" s="11">
        <v>83008</v>
      </c>
      <c r="E1272" s="12">
        <v>45974</v>
      </c>
      <c r="F1272" s="12">
        <v>45975</v>
      </c>
      <c r="G1272" t="s">
        <v>2353</v>
      </c>
      <c r="H1272" t="s">
        <v>1290</v>
      </c>
      <c r="I1272">
        <v>15</v>
      </c>
      <c r="J1272">
        <v>2.3639999999999999</v>
      </c>
      <c r="K1272" t="s">
        <v>2354</v>
      </c>
      <c r="L1272" t="s">
        <v>2041</v>
      </c>
      <c r="M1272">
        <v>0.12925</v>
      </c>
      <c r="N1272">
        <v>1.93875</v>
      </c>
      <c r="O1272">
        <v>0.42125000000000001</v>
      </c>
      <c r="P1272">
        <v>17.849499999999999</v>
      </c>
      <c r="Q1272" t="s">
        <v>1289</v>
      </c>
    </row>
    <row r="1273" spans="1:17" x14ac:dyDescent="0.25">
      <c r="A1273" t="s">
        <v>1974</v>
      </c>
      <c r="B1273" t="s">
        <v>1975</v>
      </c>
      <c r="C1273" t="s">
        <v>2207</v>
      </c>
      <c r="D1273" s="11">
        <v>83008</v>
      </c>
      <c r="E1273" s="12">
        <v>45974</v>
      </c>
      <c r="F1273" s="12">
        <v>45975</v>
      </c>
      <c r="G1273" t="s">
        <v>2353</v>
      </c>
      <c r="H1273" t="s">
        <v>1779</v>
      </c>
      <c r="I1273">
        <v>40</v>
      </c>
      <c r="J1273">
        <v>9.2799999999999994</v>
      </c>
      <c r="K1273" t="s">
        <v>2354</v>
      </c>
      <c r="L1273" t="s">
        <v>2041</v>
      </c>
      <c r="M1273">
        <v>0.19025</v>
      </c>
      <c r="N1273">
        <v>7.61</v>
      </c>
      <c r="O1273">
        <v>1.67</v>
      </c>
      <c r="P1273">
        <v>17.9956</v>
      </c>
      <c r="Q1273" t="s">
        <v>2356</v>
      </c>
    </row>
    <row r="1274" spans="1:17" x14ac:dyDescent="0.25">
      <c r="A1274" t="s">
        <v>2060</v>
      </c>
      <c r="B1274" t="s">
        <v>2061</v>
      </c>
      <c r="C1274" t="s">
        <v>2207</v>
      </c>
      <c r="D1274" s="11">
        <v>6100069257</v>
      </c>
      <c r="E1274" s="12">
        <v>45978</v>
      </c>
      <c r="F1274" s="12">
        <v>45980</v>
      </c>
      <c r="G1274" t="s">
        <v>2357</v>
      </c>
      <c r="H1274" t="s">
        <v>1720</v>
      </c>
      <c r="I1274">
        <v>5</v>
      </c>
      <c r="J1274">
        <v>29.15</v>
      </c>
      <c r="M1274">
        <v>0</v>
      </c>
      <c r="N1274">
        <v>0</v>
      </c>
      <c r="O1274">
        <v>29.15</v>
      </c>
      <c r="P1274">
        <v>0</v>
      </c>
      <c r="Q1274" t="s">
        <v>2340</v>
      </c>
    </row>
    <row r="1275" spans="1:17" x14ac:dyDescent="0.25">
      <c r="A1275" t="s">
        <v>2060</v>
      </c>
      <c r="B1275" t="s">
        <v>2061</v>
      </c>
      <c r="C1275" t="s">
        <v>2207</v>
      </c>
      <c r="D1275" s="11">
        <v>6100069261</v>
      </c>
      <c r="E1275" s="12">
        <v>45979</v>
      </c>
      <c r="F1275" s="12">
        <v>45979</v>
      </c>
      <c r="G1275" t="s">
        <v>2358</v>
      </c>
      <c r="H1275" t="s">
        <v>1759</v>
      </c>
      <c r="I1275">
        <v>100</v>
      </c>
      <c r="J1275">
        <v>46.11</v>
      </c>
      <c r="K1275" t="s">
        <v>2359</v>
      </c>
      <c r="L1275" t="s">
        <v>2041</v>
      </c>
      <c r="M1275">
        <v>0.37807000000000002</v>
      </c>
      <c r="N1275">
        <v>37.807000000000002</v>
      </c>
      <c r="O1275">
        <v>8.3030000000000008</v>
      </c>
      <c r="P1275">
        <v>18.006900000000002</v>
      </c>
      <c r="Q1275" t="s">
        <v>2360</v>
      </c>
    </row>
    <row r="1276" spans="1:17" x14ac:dyDescent="0.25">
      <c r="A1276" t="s">
        <v>2060</v>
      </c>
      <c r="B1276" t="s">
        <v>2061</v>
      </c>
      <c r="C1276" t="s">
        <v>1976</v>
      </c>
      <c r="D1276" s="11">
        <v>6100069324</v>
      </c>
      <c r="E1276" s="12">
        <v>45979</v>
      </c>
      <c r="F1276" s="12">
        <v>45985</v>
      </c>
      <c r="G1276" t="s">
        <v>2361</v>
      </c>
      <c r="H1276" t="s">
        <v>144</v>
      </c>
      <c r="I1276">
        <v>25</v>
      </c>
      <c r="J1276">
        <v>0.56000000000000005</v>
      </c>
      <c r="M1276">
        <v>6.1700000000000001E-3</v>
      </c>
      <c r="N1276">
        <v>0.15425</v>
      </c>
      <c r="O1276">
        <v>0.40575</v>
      </c>
      <c r="P1276">
        <v>72.455299999999994</v>
      </c>
      <c r="Q1276" t="s">
        <v>2305</v>
      </c>
    </row>
    <row r="1277" spans="1:17" x14ac:dyDescent="0.25">
      <c r="A1277" t="s">
        <v>2060</v>
      </c>
      <c r="B1277" t="s">
        <v>2061</v>
      </c>
      <c r="C1277" t="s">
        <v>2207</v>
      </c>
      <c r="D1277" s="11">
        <v>6100069324</v>
      </c>
      <c r="E1277" s="12">
        <v>45979</v>
      </c>
      <c r="F1277" s="12">
        <v>45985</v>
      </c>
      <c r="G1277" t="s">
        <v>2362</v>
      </c>
      <c r="H1277" t="s">
        <v>18</v>
      </c>
      <c r="I1277">
        <v>60</v>
      </c>
      <c r="J1277">
        <v>6.9059999999999997</v>
      </c>
      <c r="K1277" t="s">
        <v>2363</v>
      </c>
      <c r="L1277" t="s">
        <v>2041</v>
      </c>
      <c r="M1277">
        <v>9.4359999999999999E-2</v>
      </c>
      <c r="N1277">
        <v>5.6616</v>
      </c>
      <c r="O1277">
        <v>1.2484</v>
      </c>
      <c r="P1277">
        <v>18.066500000000001</v>
      </c>
      <c r="Q1277" t="s">
        <v>2364</v>
      </c>
    </row>
    <row r="1278" spans="1:17" x14ac:dyDescent="0.25">
      <c r="A1278" t="s">
        <v>2060</v>
      </c>
      <c r="B1278" t="s">
        <v>2061</v>
      </c>
      <c r="C1278" t="s">
        <v>2207</v>
      </c>
      <c r="D1278" s="11">
        <v>6100069324</v>
      </c>
      <c r="E1278" s="12">
        <v>45979</v>
      </c>
      <c r="F1278" s="12">
        <v>45985</v>
      </c>
      <c r="G1278" t="s">
        <v>2362</v>
      </c>
      <c r="H1278" t="s">
        <v>445</v>
      </c>
      <c r="I1278">
        <v>6</v>
      </c>
      <c r="J1278">
        <v>66.102599999999995</v>
      </c>
      <c r="M1278">
        <v>0</v>
      </c>
      <c r="N1278">
        <v>0</v>
      </c>
      <c r="O1278">
        <v>66.099999999999994</v>
      </c>
      <c r="P1278">
        <v>0</v>
      </c>
      <c r="Q1278" t="s">
        <v>2365</v>
      </c>
    </row>
    <row r="1279" spans="1:17" x14ac:dyDescent="0.25">
      <c r="A1279" t="s">
        <v>2060</v>
      </c>
      <c r="B1279" t="s">
        <v>2061</v>
      </c>
      <c r="C1279" t="s">
        <v>2207</v>
      </c>
      <c r="D1279" s="11">
        <v>6100069324</v>
      </c>
      <c r="E1279" s="12">
        <v>45979</v>
      </c>
      <c r="F1279" s="12">
        <v>45985</v>
      </c>
      <c r="G1279" t="s">
        <v>2362</v>
      </c>
      <c r="H1279" t="s">
        <v>470</v>
      </c>
      <c r="I1279">
        <v>80</v>
      </c>
      <c r="J1279">
        <v>0.48</v>
      </c>
      <c r="K1279" t="s">
        <v>2363</v>
      </c>
      <c r="L1279" t="s">
        <v>2041</v>
      </c>
      <c r="M1279">
        <v>4.8999999999999998E-3</v>
      </c>
      <c r="N1279">
        <v>0.39200000000000002</v>
      </c>
      <c r="O1279">
        <v>8.7999999999999995E-2</v>
      </c>
      <c r="P1279">
        <v>18.333300000000001</v>
      </c>
      <c r="Q1279" t="s">
        <v>2366</v>
      </c>
    </row>
    <row r="1280" spans="1:17" x14ac:dyDescent="0.25">
      <c r="A1280" t="s">
        <v>1974</v>
      </c>
      <c r="B1280" t="s">
        <v>1975</v>
      </c>
      <c r="C1280" t="s">
        <v>1976</v>
      </c>
      <c r="D1280" s="11">
        <v>83062</v>
      </c>
      <c r="E1280" s="12">
        <v>45980</v>
      </c>
      <c r="F1280" s="12">
        <v>45981</v>
      </c>
      <c r="G1280" t="s">
        <v>2367</v>
      </c>
      <c r="H1280" t="s">
        <v>192</v>
      </c>
      <c r="I1280">
        <v>20</v>
      </c>
      <c r="J1280">
        <v>4.6619999999999999</v>
      </c>
      <c r="M1280">
        <v>7.9000000000000001E-2</v>
      </c>
      <c r="N1280">
        <v>1.58</v>
      </c>
      <c r="O1280">
        <v>3.08</v>
      </c>
      <c r="P1280">
        <v>66.094399999999993</v>
      </c>
      <c r="Q1280" t="s">
        <v>2220</v>
      </c>
    </row>
    <row r="1281" spans="1:17" x14ac:dyDescent="0.25">
      <c r="A1281" t="s">
        <v>1974</v>
      </c>
      <c r="B1281" t="s">
        <v>1975</v>
      </c>
      <c r="C1281" t="s">
        <v>2207</v>
      </c>
      <c r="D1281" s="11">
        <v>83062</v>
      </c>
      <c r="E1281" s="12">
        <v>45980</v>
      </c>
      <c r="F1281" s="12">
        <v>45981</v>
      </c>
      <c r="G1281" t="s">
        <v>2368</v>
      </c>
      <c r="H1281" t="s">
        <v>991</v>
      </c>
      <c r="I1281">
        <v>6</v>
      </c>
      <c r="J1281">
        <v>13.8918</v>
      </c>
      <c r="K1281" t="s">
        <v>2369</v>
      </c>
      <c r="L1281" t="s">
        <v>2041</v>
      </c>
      <c r="M1281">
        <v>1.89855</v>
      </c>
      <c r="N1281">
        <v>11.391299999999999</v>
      </c>
      <c r="O1281">
        <v>2.4986999999999999</v>
      </c>
      <c r="P1281">
        <v>17.9892</v>
      </c>
      <c r="Q1281" t="s">
        <v>2370</v>
      </c>
    </row>
    <row r="1282" spans="1:17" x14ac:dyDescent="0.25">
      <c r="A1282" t="s">
        <v>2060</v>
      </c>
      <c r="B1282" t="s">
        <v>2061</v>
      </c>
      <c r="C1282" t="s">
        <v>2207</v>
      </c>
      <c r="D1282" s="11">
        <v>6100069627</v>
      </c>
      <c r="E1282" s="12">
        <v>45985</v>
      </c>
      <c r="F1282" s="12">
        <v>45985</v>
      </c>
      <c r="G1282" t="s">
        <v>2371</v>
      </c>
      <c r="H1282" t="s">
        <v>878</v>
      </c>
      <c r="I1282">
        <v>40</v>
      </c>
      <c r="J1282">
        <v>2.7480000000000002</v>
      </c>
      <c r="K1282" t="s">
        <v>2372</v>
      </c>
      <c r="L1282" t="s">
        <v>2041</v>
      </c>
      <c r="M1282">
        <v>5.6370000000000003E-2</v>
      </c>
      <c r="N1282">
        <v>2.2547999999999999</v>
      </c>
      <c r="O1282">
        <v>0.49519999999999997</v>
      </c>
      <c r="P1282">
        <v>18.007200000000001</v>
      </c>
      <c r="Q1282" t="s">
        <v>2373</v>
      </c>
    </row>
    <row r="1283" spans="1:17" x14ac:dyDescent="0.25">
      <c r="A1283" t="s">
        <v>2060</v>
      </c>
      <c r="B1283" t="s">
        <v>2061</v>
      </c>
      <c r="C1283" t="s">
        <v>2207</v>
      </c>
      <c r="D1283" s="11">
        <v>6100069627</v>
      </c>
      <c r="E1283" s="12">
        <v>45985</v>
      </c>
      <c r="F1283" s="12">
        <v>45985</v>
      </c>
      <c r="G1283" t="s">
        <v>2371</v>
      </c>
      <c r="H1283" t="s">
        <v>1275</v>
      </c>
      <c r="I1283">
        <v>10</v>
      </c>
      <c r="J1283">
        <v>24.361000000000001</v>
      </c>
      <c r="K1283" t="s">
        <v>2372</v>
      </c>
      <c r="L1283" t="s">
        <v>2041</v>
      </c>
      <c r="M1283">
        <v>1.9975700000000001</v>
      </c>
      <c r="N1283">
        <v>19.9757</v>
      </c>
      <c r="O1283">
        <v>4.3842999999999996</v>
      </c>
      <c r="P1283">
        <v>17.997900000000001</v>
      </c>
      <c r="Q1283" t="s">
        <v>2374</v>
      </c>
    </row>
    <row r="1284" spans="1:17" x14ac:dyDescent="0.25">
      <c r="A1284" t="s">
        <v>2060</v>
      </c>
      <c r="B1284" t="s">
        <v>2061</v>
      </c>
      <c r="C1284" t="s">
        <v>2207</v>
      </c>
      <c r="D1284" s="11">
        <v>6100069627</v>
      </c>
      <c r="E1284" s="12">
        <v>45985</v>
      </c>
      <c r="F1284" s="12">
        <v>45985</v>
      </c>
      <c r="G1284" t="s">
        <v>2371</v>
      </c>
      <c r="H1284" t="s">
        <v>20</v>
      </c>
      <c r="I1284">
        <v>10</v>
      </c>
      <c r="J1284">
        <v>22.972999999999999</v>
      </c>
      <c r="K1284" t="s">
        <v>2372</v>
      </c>
      <c r="L1284" t="s">
        <v>2041</v>
      </c>
      <c r="M1284">
        <v>1.8837200000000001</v>
      </c>
      <c r="N1284">
        <v>18.837199999999999</v>
      </c>
      <c r="O1284">
        <v>4.1327999999999996</v>
      </c>
      <c r="P1284">
        <v>17.992100000000001</v>
      </c>
      <c r="Q1284" t="s">
        <v>2375</v>
      </c>
    </row>
    <row r="1285" spans="1:17" x14ac:dyDescent="0.25">
      <c r="A1285" t="s">
        <v>2060</v>
      </c>
      <c r="B1285" t="s">
        <v>2061</v>
      </c>
      <c r="C1285" t="s">
        <v>2207</v>
      </c>
      <c r="D1285" s="11">
        <v>6100069627</v>
      </c>
      <c r="E1285" s="12">
        <v>45985</v>
      </c>
      <c r="F1285" s="12">
        <v>45985</v>
      </c>
      <c r="G1285" t="s">
        <v>2371</v>
      </c>
      <c r="H1285" t="s">
        <v>989</v>
      </c>
      <c r="I1285">
        <v>10</v>
      </c>
      <c r="J1285">
        <v>2.472</v>
      </c>
      <c r="K1285" t="s">
        <v>2372</v>
      </c>
      <c r="L1285" t="s">
        <v>2041</v>
      </c>
      <c r="M1285">
        <v>0.20269999999999999</v>
      </c>
      <c r="N1285">
        <v>2.0270000000000001</v>
      </c>
      <c r="O1285">
        <v>0.443</v>
      </c>
      <c r="P1285">
        <v>17.935199999999998</v>
      </c>
      <c r="Q1285" t="s">
        <v>2376</v>
      </c>
    </row>
    <row r="1286" spans="1:17" x14ac:dyDescent="0.25">
      <c r="A1286" t="s">
        <v>2060</v>
      </c>
      <c r="B1286" t="s">
        <v>2061</v>
      </c>
      <c r="C1286" t="s">
        <v>1976</v>
      </c>
      <c r="D1286" s="11">
        <v>6100070204</v>
      </c>
      <c r="E1286" s="12">
        <v>45995</v>
      </c>
      <c r="F1286" s="12">
        <v>45996</v>
      </c>
      <c r="G1286" t="s">
        <v>2377</v>
      </c>
      <c r="H1286" t="s">
        <v>730</v>
      </c>
      <c r="I1286">
        <v>5</v>
      </c>
      <c r="J1286">
        <v>129.35</v>
      </c>
      <c r="M1286">
        <v>17.862400000000001</v>
      </c>
      <c r="N1286">
        <v>89.311999999999998</v>
      </c>
      <c r="O1286">
        <v>40.037999999999997</v>
      </c>
      <c r="P1286">
        <v>30.953199999999999</v>
      </c>
      <c r="Q1286" t="s">
        <v>2378</v>
      </c>
    </row>
    <row r="1287" spans="1:17" x14ac:dyDescent="0.25">
      <c r="A1287" t="s">
        <v>2060</v>
      </c>
      <c r="B1287" t="s">
        <v>2061</v>
      </c>
      <c r="C1287" t="s">
        <v>2207</v>
      </c>
      <c r="D1287" s="11">
        <v>6100070204</v>
      </c>
      <c r="E1287" s="12">
        <v>45995</v>
      </c>
      <c r="F1287" s="12">
        <v>45996</v>
      </c>
      <c r="G1287" t="s">
        <v>2379</v>
      </c>
      <c r="H1287" t="s">
        <v>733</v>
      </c>
      <c r="I1287">
        <v>7</v>
      </c>
      <c r="J1287">
        <v>186.41</v>
      </c>
      <c r="K1287" t="s">
        <v>2380</v>
      </c>
      <c r="L1287" t="s">
        <v>2041</v>
      </c>
      <c r="M1287">
        <v>21.83841</v>
      </c>
      <c r="N1287">
        <v>152.86886999999999</v>
      </c>
      <c r="O1287">
        <v>33.541130000000003</v>
      </c>
      <c r="P1287">
        <v>17.993200000000002</v>
      </c>
      <c r="Q1287" t="s">
        <v>2381</v>
      </c>
    </row>
    <row r="1288" spans="1:17" x14ac:dyDescent="0.25">
      <c r="A1288" t="s">
        <v>2060</v>
      </c>
      <c r="B1288" t="s">
        <v>2061</v>
      </c>
      <c r="C1288" t="s">
        <v>2207</v>
      </c>
      <c r="D1288" s="11">
        <v>6100070204</v>
      </c>
      <c r="E1288" s="12">
        <v>45995</v>
      </c>
      <c r="F1288" s="12">
        <v>45996</v>
      </c>
      <c r="G1288" t="s">
        <v>2379</v>
      </c>
      <c r="H1288" t="s">
        <v>174</v>
      </c>
      <c r="I1288">
        <v>3</v>
      </c>
      <c r="J1288">
        <v>102.72</v>
      </c>
      <c r="K1288" t="s">
        <v>2380</v>
      </c>
      <c r="L1288" t="s">
        <v>2041</v>
      </c>
      <c r="M1288">
        <v>0</v>
      </c>
      <c r="N1288">
        <v>0</v>
      </c>
      <c r="O1288">
        <v>102.72</v>
      </c>
      <c r="P1288">
        <v>0</v>
      </c>
      <c r="Q1288" t="s">
        <v>2382</v>
      </c>
    </row>
    <row r="1289" spans="1:17" x14ac:dyDescent="0.25">
      <c r="A1289" t="s">
        <v>2060</v>
      </c>
      <c r="B1289" t="s">
        <v>2061</v>
      </c>
      <c r="C1289" t="s">
        <v>1976</v>
      </c>
      <c r="D1289" s="11">
        <v>6100070467</v>
      </c>
      <c r="E1289" s="12">
        <v>46000</v>
      </c>
      <c r="F1289" s="12">
        <v>46001</v>
      </c>
      <c r="G1289" t="s">
        <v>2383</v>
      </c>
      <c r="H1289" t="s">
        <v>642</v>
      </c>
      <c r="I1289">
        <v>30</v>
      </c>
      <c r="J1289">
        <v>95.052000000000007</v>
      </c>
      <c r="M1289">
        <v>2.36</v>
      </c>
      <c r="N1289">
        <v>70.8</v>
      </c>
      <c r="O1289">
        <v>24.25</v>
      </c>
      <c r="P1289">
        <v>25.512799999999999</v>
      </c>
      <c r="Q1289" t="s">
        <v>2107</v>
      </c>
    </row>
    <row r="1290" spans="1:17" x14ac:dyDescent="0.25">
      <c r="A1290" t="s">
        <v>2060</v>
      </c>
      <c r="B1290" t="s">
        <v>2061</v>
      </c>
      <c r="C1290" t="s">
        <v>2207</v>
      </c>
      <c r="D1290" s="11">
        <v>6100070467</v>
      </c>
      <c r="E1290" s="12">
        <v>46000</v>
      </c>
      <c r="F1290" s="12">
        <v>46001</v>
      </c>
      <c r="G1290" t="s">
        <v>2384</v>
      </c>
      <c r="H1290" t="s">
        <v>581</v>
      </c>
      <c r="I1290">
        <v>90</v>
      </c>
      <c r="J1290">
        <v>4.3920000000000003</v>
      </c>
      <c r="M1290">
        <v>0</v>
      </c>
      <c r="N1290">
        <v>0</v>
      </c>
      <c r="O1290">
        <v>4.3899999999999997</v>
      </c>
      <c r="P1290">
        <v>0</v>
      </c>
      <c r="Q1290" t="s">
        <v>2385</v>
      </c>
    </row>
    <row r="1291" spans="1:17" x14ac:dyDescent="0.25">
      <c r="A1291" t="s">
        <v>2060</v>
      </c>
      <c r="B1291" t="s">
        <v>2061</v>
      </c>
      <c r="C1291" t="s">
        <v>2207</v>
      </c>
      <c r="D1291" s="11">
        <v>6100070467</v>
      </c>
      <c r="E1291" s="12">
        <v>46000</v>
      </c>
      <c r="F1291" s="12">
        <v>46001</v>
      </c>
      <c r="G1291" t="s">
        <v>2384</v>
      </c>
      <c r="H1291" t="s">
        <v>132</v>
      </c>
      <c r="I1291">
        <v>20</v>
      </c>
      <c r="J1291">
        <v>6.4859999999999998</v>
      </c>
      <c r="M1291">
        <v>0</v>
      </c>
      <c r="N1291">
        <v>0</v>
      </c>
      <c r="O1291">
        <v>6.49</v>
      </c>
      <c r="P1291">
        <v>0</v>
      </c>
      <c r="Q1291" t="s">
        <v>2386</v>
      </c>
    </row>
    <row r="1292" spans="1:17" x14ac:dyDescent="0.25">
      <c r="A1292" t="s">
        <v>2060</v>
      </c>
      <c r="B1292" t="s">
        <v>2061</v>
      </c>
      <c r="C1292" t="s">
        <v>2207</v>
      </c>
      <c r="D1292" s="11">
        <v>6100070467</v>
      </c>
      <c r="E1292" s="12">
        <v>46000</v>
      </c>
      <c r="F1292" s="12">
        <v>46001</v>
      </c>
      <c r="G1292" t="s">
        <v>2384</v>
      </c>
      <c r="H1292" t="s">
        <v>1503</v>
      </c>
      <c r="I1292">
        <v>90</v>
      </c>
      <c r="J1292">
        <v>0.94499999999999995</v>
      </c>
      <c r="M1292">
        <v>0</v>
      </c>
      <c r="N1292">
        <v>0</v>
      </c>
      <c r="O1292">
        <v>0.95</v>
      </c>
      <c r="P1292">
        <v>0</v>
      </c>
      <c r="Q1292" t="s">
        <v>2387</v>
      </c>
    </row>
    <row r="1293" spans="1:17" x14ac:dyDescent="0.25">
      <c r="A1293" t="s">
        <v>2060</v>
      </c>
      <c r="B1293" t="s">
        <v>2061</v>
      </c>
      <c r="C1293" t="s">
        <v>2207</v>
      </c>
      <c r="D1293" s="11">
        <v>6100070467</v>
      </c>
      <c r="E1293" s="12">
        <v>46000</v>
      </c>
      <c r="F1293" s="12">
        <v>46001</v>
      </c>
      <c r="G1293" t="s">
        <v>2384</v>
      </c>
      <c r="H1293" t="s">
        <v>812</v>
      </c>
      <c r="I1293">
        <v>90</v>
      </c>
      <c r="J1293">
        <v>3.762</v>
      </c>
      <c r="K1293" t="s">
        <v>2388</v>
      </c>
      <c r="L1293" t="s">
        <v>2041</v>
      </c>
      <c r="M1293">
        <v>3.431E-2</v>
      </c>
      <c r="N1293">
        <v>3.0878999999999999</v>
      </c>
      <c r="O1293">
        <v>0.67210000000000003</v>
      </c>
      <c r="P1293">
        <v>17.875</v>
      </c>
      <c r="Q1293" t="s">
        <v>2389</v>
      </c>
    </row>
    <row r="1294" spans="1:17" x14ac:dyDescent="0.25">
      <c r="A1294" t="s">
        <v>2060</v>
      </c>
      <c r="B1294" t="s">
        <v>2061</v>
      </c>
      <c r="C1294" t="s">
        <v>2207</v>
      </c>
      <c r="D1294" s="11">
        <v>6100070477</v>
      </c>
      <c r="E1294" s="12">
        <v>46000</v>
      </c>
      <c r="F1294" s="12">
        <v>46003</v>
      </c>
      <c r="G1294" t="s">
        <v>2390</v>
      </c>
      <c r="H1294" t="s">
        <v>1348</v>
      </c>
      <c r="I1294">
        <v>380</v>
      </c>
      <c r="J1294">
        <v>3.8</v>
      </c>
      <c r="M1294">
        <v>0</v>
      </c>
      <c r="N1294">
        <v>0</v>
      </c>
      <c r="O1294">
        <v>3.8</v>
      </c>
      <c r="P1294">
        <v>0</v>
      </c>
      <c r="Q1294" t="s">
        <v>2391</v>
      </c>
    </row>
    <row r="1295" spans="1:17" x14ac:dyDescent="0.25">
      <c r="A1295" t="s">
        <v>2060</v>
      </c>
      <c r="B1295" t="s">
        <v>2061</v>
      </c>
      <c r="C1295" t="s">
        <v>2207</v>
      </c>
      <c r="D1295" s="11">
        <v>6100070477</v>
      </c>
      <c r="E1295" s="12">
        <v>46000</v>
      </c>
      <c r="F1295" s="12">
        <v>46003</v>
      </c>
      <c r="G1295" t="s">
        <v>2390</v>
      </c>
      <c r="H1295" t="s">
        <v>1267</v>
      </c>
      <c r="I1295">
        <v>22</v>
      </c>
      <c r="J1295">
        <v>4.84</v>
      </c>
      <c r="M1295">
        <v>0</v>
      </c>
      <c r="N1295">
        <v>0</v>
      </c>
      <c r="O1295">
        <v>4.84</v>
      </c>
      <c r="P1295">
        <v>0</v>
      </c>
      <c r="Q1295" t="s">
        <v>2392</v>
      </c>
    </row>
    <row r="1296" spans="1:17" x14ac:dyDescent="0.25">
      <c r="A1296" t="s">
        <v>2060</v>
      </c>
      <c r="B1296" t="s">
        <v>2061</v>
      </c>
      <c r="C1296" t="s">
        <v>2207</v>
      </c>
      <c r="D1296" s="11">
        <v>6100070477</v>
      </c>
      <c r="E1296" s="12">
        <v>46000</v>
      </c>
      <c r="F1296" s="12">
        <v>46003</v>
      </c>
      <c r="G1296" t="s">
        <v>2390</v>
      </c>
      <c r="H1296" t="s">
        <v>1567</v>
      </c>
      <c r="I1296">
        <v>57</v>
      </c>
      <c r="J1296">
        <v>2.85</v>
      </c>
      <c r="M1296">
        <v>0</v>
      </c>
      <c r="N1296">
        <v>0</v>
      </c>
      <c r="O1296">
        <v>2.85</v>
      </c>
      <c r="P1296">
        <v>0</v>
      </c>
      <c r="Q1296" t="s">
        <v>2287</v>
      </c>
    </row>
    <row r="1297" spans="1:17" x14ac:dyDescent="0.25">
      <c r="A1297" t="s">
        <v>2060</v>
      </c>
      <c r="B1297" t="s">
        <v>2061</v>
      </c>
      <c r="C1297" t="s">
        <v>2207</v>
      </c>
      <c r="D1297" s="11">
        <v>6100070477</v>
      </c>
      <c r="E1297" s="12">
        <v>46000</v>
      </c>
      <c r="F1297" s="12">
        <v>46003</v>
      </c>
      <c r="G1297" t="s">
        <v>2390</v>
      </c>
      <c r="H1297" t="s">
        <v>979</v>
      </c>
      <c r="I1297">
        <v>27</v>
      </c>
      <c r="J1297">
        <v>54</v>
      </c>
      <c r="M1297">
        <v>0</v>
      </c>
      <c r="N1297">
        <v>0</v>
      </c>
      <c r="O1297">
        <v>54</v>
      </c>
      <c r="P1297">
        <v>0</v>
      </c>
      <c r="Q1297" t="s">
        <v>2393</v>
      </c>
    </row>
    <row r="1298" spans="1:17" x14ac:dyDescent="0.25">
      <c r="A1298" t="s">
        <v>2060</v>
      </c>
      <c r="B1298" t="s">
        <v>2061</v>
      </c>
      <c r="C1298" t="s">
        <v>2207</v>
      </c>
      <c r="D1298" s="11">
        <v>6100070477</v>
      </c>
      <c r="E1298" s="12">
        <v>46000</v>
      </c>
      <c r="F1298" s="12">
        <v>46003</v>
      </c>
      <c r="G1298" t="s">
        <v>2390</v>
      </c>
      <c r="H1298" t="s">
        <v>933</v>
      </c>
      <c r="I1298">
        <v>29</v>
      </c>
      <c r="J1298">
        <v>11.89</v>
      </c>
      <c r="M1298">
        <v>0</v>
      </c>
      <c r="N1298">
        <v>0</v>
      </c>
      <c r="O1298">
        <v>11.89</v>
      </c>
      <c r="P1298">
        <v>0</v>
      </c>
      <c r="Q1298" t="s">
        <v>2394</v>
      </c>
    </row>
    <row r="1299" spans="1:17" x14ac:dyDescent="0.25">
      <c r="A1299" t="s">
        <v>2060</v>
      </c>
      <c r="B1299" t="s">
        <v>2061</v>
      </c>
      <c r="C1299" t="s">
        <v>2207</v>
      </c>
      <c r="D1299" s="11">
        <v>6100070477</v>
      </c>
      <c r="E1299" s="12">
        <v>46000</v>
      </c>
      <c r="F1299" s="12">
        <v>46003</v>
      </c>
      <c r="G1299" t="s">
        <v>2390</v>
      </c>
      <c r="H1299" t="s">
        <v>589</v>
      </c>
      <c r="I1299">
        <v>57</v>
      </c>
      <c r="J1299">
        <v>2.2799999999999998</v>
      </c>
      <c r="M1299">
        <v>0</v>
      </c>
      <c r="N1299">
        <v>0</v>
      </c>
      <c r="O1299">
        <v>2.2799999999999998</v>
      </c>
      <c r="P1299">
        <v>0</v>
      </c>
      <c r="Q1299" t="s">
        <v>2395</v>
      </c>
    </row>
    <row r="1300" spans="1:17" x14ac:dyDescent="0.25">
      <c r="A1300" t="s">
        <v>2060</v>
      </c>
      <c r="B1300" t="s">
        <v>2061</v>
      </c>
      <c r="C1300" t="s">
        <v>2207</v>
      </c>
      <c r="D1300" s="11">
        <v>6100070477</v>
      </c>
      <c r="E1300" s="12">
        <v>46000</v>
      </c>
      <c r="F1300" s="12">
        <v>46003</v>
      </c>
      <c r="G1300" t="s">
        <v>2390</v>
      </c>
      <c r="H1300" t="s">
        <v>1115</v>
      </c>
      <c r="I1300">
        <v>85</v>
      </c>
      <c r="J1300">
        <v>5.0999999999999996</v>
      </c>
      <c r="M1300">
        <v>0</v>
      </c>
      <c r="N1300">
        <v>0</v>
      </c>
      <c r="O1300">
        <v>5.0999999999999996</v>
      </c>
      <c r="P1300">
        <v>0</v>
      </c>
      <c r="Q1300" t="s">
        <v>2396</v>
      </c>
    </row>
    <row r="1301" spans="1:17" x14ac:dyDescent="0.25">
      <c r="A1301" t="s">
        <v>2060</v>
      </c>
      <c r="B1301" t="s">
        <v>2061</v>
      </c>
      <c r="C1301" t="s">
        <v>2207</v>
      </c>
      <c r="D1301" s="11">
        <v>6100070477</v>
      </c>
      <c r="E1301" s="12">
        <v>46000</v>
      </c>
      <c r="F1301" s="12">
        <v>46003</v>
      </c>
      <c r="G1301" t="s">
        <v>2390</v>
      </c>
      <c r="H1301" t="s">
        <v>507</v>
      </c>
      <c r="I1301">
        <v>12</v>
      </c>
      <c r="J1301">
        <v>16.559999999999999</v>
      </c>
      <c r="M1301">
        <v>0</v>
      </c>
      <c r="N1301">
        <v>0</v>
      </c>
      <c r="O1301">
        <v>16.559999999999999</v>
      </c>
      <c r="P1301">
        <v>0</v>
      </c>
      <c r="Q1301" t="s">
        <v>2397</v>
      </c>
    </row>
    <row r="1302" spans="1:17" x14ac:dyDescent="0.25">
      <c r="A1302" t="s">
        <v>2060</v>
      </c>
      <c r="B1302" t="s">
        <v>2061</v>
      </c>
      <c r="C1302" t="s">
        <v>2207</v>
      </c>
      <c r="D1302" s="11">
        <v>6100070477</v>
      </c>
      <c r="E1302" s="12">
        <v>46000</v>
      </c>
      <c r="F1302" s="12">
        <v>46003</v>
      </c>
      <c r="G1302" t="s">
        <v>2390</v>
      </c>
      <c r="H1302" t="s">
        <v>1601</v>
      </c>
      <c r="I1302">
        <v>160</v>
      </c>
      <c r="J1302">
        <v>36.799999999999997</v>
      </c>
      <c r="M1302">
        <v>0</v>
      </c>
      <c r="N1302">
        <v>0</v>
      </c>
      <c r="O1302">
        <v>36.799999999999997</v>
      </c>
      <c r="P1302">
        <v>0</v>
      </c>
      <c r="Q1302" t="s">
        <v>2398</v>
      </c>
    </row>
    <row r="1303" spans="1:17" x14ac:dyDescent="0.25">
      <c r="A1303" t="s">
        <v>2060</v>
      </c>
      <c r="B1303" t="s">
        <v>2061</v>
      </c>
      <c r="C1303" t="s">
        <v>1976</v>
      </c>
      <c r="D1303" s="11">
        <v>6100070477</v>
      </c>
      <c r="E1303" s="12">
        <v>46000</v>
      </c>
      <c r="F1303" s="12">
        <v>46003</v>
      </c>
      <c r="G1303" t="s">
        <v>2399</v>
      </c>
      <c r="H1303" t="s">
        <v>192</v>
      </c>
      <c r="I1303">
        <v>12</v>
      </c>
      <c r="J1303">
        <v>2.76</v>
      </c>
      <c r="M1303">
        <v>7.9000000000000001E-2</v>
      </c>
      <c r="N1303">
        <v>0.94799999999999995</v>
      </c>
      <c r="O1303">
        <v>1.8120000000000001</v>
      </c>
      <c r="P1303">
        <v>65.652100000000004</v>
      </c>
      <c r="Q1303" t="s">
        <v>2306</v>
      </c>
    </row>
    <row r="1304" spans="1:17" x14ac:dyDescent="0.25">
      <c r="A1304" t="s">
        <v>2060</v>
      </c>
      <c r="B1304" t="s">
        <v>2061</v>
      </c>
      <c r="C1304" t="s">
        <v>1976</v>
      </c>
      <c r="D1304" s="11">
        <v>6100070477</v>
      </c>
      <c r="E1304" s="12">
        <v>46000</v>
      </c>
      <c r="F1304" s="12">
        <v>46003</v>
      </c>
      <c r="G1304" t="s">
        <v>2399</v>
      </c>
      <c r="H1304" t="s">
        <v>642</v>
      </c>
      <c r="I1304">
        <v>34</v>
      </c>
      <c r="J1304">
        <v>107.78</v>
      </c>
      <c r="M1304">
        <v>2.36</v>
      </c>
      <c r="N1304">
        <v>80.239999999999995</v>
      </c>
      <c r="O1304">
        <v>27.54</v>
      </c>
      <c r="P1304">
        <v>25.552</v>
      </c>
      <c r="Q1304" t="s">
        <v>2107</v>
      </c>
    </row>
    <row r="1305" spans="1:17" x14ac:dyDescent="0.25">
      <c r="A1305" t="s">
        <v>2060</v>
      </c>
      <c r="B1305" t="s">
        <v>2061</v>
      </c>
      <c r="C1305" t="s">
        <v>1976</v>
      </c>
      <c r="D1305" s="11">
        <v>6100070477</v>
      </c>
      <c r="E1305" s="12">
        <v>46000</v>
      </c>
      <c r="F1305" s="12">
        <v>46003</v>
      </c>
      <c r="G1305" t="s">
        <v>2399</v>
      </c>
      <c r="H1305" t="s">
        <v>390</v>
      </c>
      <c r="I1305">
        <v>8</v>
      </c>
      <c r="J1305">
        <v>113.68</v>
      </c>
      <c r="M1305">
        <v>11.16</v>
      </c>
      <c r="N1305">
        <v>89.28</v>
      </c>
      <c r="O1305">
        <v>24.4</v>
      </c>
      <c r="P1305">
        <v>21.463699999999999</v>
      </c>
      <c r="Q1305" t="s">
        <v>2400</v>
      </c>
    </row>
    <row r="1306" spans="1:17" x14ac:dyDescent="0.25">
      <c r="A1306" t="s">
        <v>1974</v>
      </c>
      <c r="B1306" t="s">
        <v>1975</v>
      </c>
      <c r="C1306" t="s">
        <v>1976</v>
      </c>
      <c r="D1306" s="11">
        <v>83308</v>
      </c>
      <c r="E1306" s="12">
        <v>46001</v>
      </c>
      <c r="F1306" s="12">
        <v>46003</v>
      </c>
      <c r="G1306" t="s">
        <v>2401</v>
      </c>
      <c r="H1306" t="s">
        <v>500</v>
      </c>
      <c r="I1306">
        <v>21</v>
      </c>
      <c r="J1306">
        <v>327.9717</v>
      </c>
      <c r="M1306">
        <v>7.8150000000000004</v>
      </c>
      <c r="N1306">
        <v>164.11500000000001</v>
      </c>
      <c r="O1306">
        <v>163.85499999999999</v>
      </c>
      <c r="P1306">
        <v>49.960299999999997</v>
      </c>
      <c r="Q1306" t="s">
        <v>1996</v>
      </c>
    </row>
    <row r="1307" spans="1:17" x14ac:dyDescent="0.25">
      <c r="A1307" t="s">
        <v>1974</v>
      </c>
      <c r="B1307" t="s">
        <v>1975</v>
      </c>
      <c r="C1307" t="s">
        <v>1976</v>
      </c>
      <c r="D1307" s="11">
        <v>83308</v>
      </c>
      <c r="E1307" s="12">
        <v>46001</v>
      </c>
      <c r="F1307" s="12">
        <v>46003</v>
      </c>
      <c r="G1307" t="s">
        <v>2401</v>
      </c>
      <c r="H1307" t="s">
        <v>1071</v>
      </c>
      <c r="I1307">
        <v>11</v>
      </c>
      <c r="J1307">
        <v>134.4761</v>
      </c>
      <c r="M1307">
        <v>8.766</v>
      </c>
      <c r="N1307">
        <v>96.426000000000002</v>
      </c>
      <c r="O1307">
        <v>38.054000000000002</v>
      </c>
      <c r="P1307">
        <v>28.2971</v>
      </c>
      <c r="Q1307" t="s">
        <v>1995</v>
      </c>
    </row>
    <row r="1308" spans="1:17" x14ac:dyDescent="0.25">
      <c r="A1308" t="s">
        <v>1974</v>
      </c>
      <c r="B1308" t="s">
        <v>1975</v>
      </c>
      <c r="C1308" t="s">
        <v>2207</v>
      </c>
      <c r="D1308" s="11">
        <v>83308</v>
      </c>
      <c r="E1308" s="12">
        <v>46001</v>
      </c>
      <c r="F1308" s="12">
        <v>46003</v>
      </c>
      <c r="G1308" t="s">
        <v>2402</v>
      </c>
      <c r="H1308" t="s">
        <v>1182</v>
      </c>
      <c r="I1308">
        <v>15</v>
      </c>
      <c r="J1308">
        <v>1.1625000000000001</v>
      </c>
      <c r="M1308">
        <v>0</v>
      </c>
      <c r="N1308">
        <v>0</v>
      </c>
      <c r="O1308">
        <v>1.1599999999999999</v>
      </c>
      <c r="P1308">
        <v>0</v>
      </c>
      <c r="Q1308" t="s">
        <v>2213</v>
      </c>
    </row>
    <row r="1309" spans="1:17" x14ac:dyDescent="0.25">
      <c r="A1309" t="s">
        <v>1974</v>
      </c>
      <c r="B1309" t="s">
        <v>1975</v>
      </c>
      <c r="C1309" t="s">
        <v>2207</v>
      </c>
      <c r="D1309" s="11">
        <v>83308</v>
      </c>
      <c r="E1309" s="12">
        <v>46001</v>
      </c>
      <c r="F1309" s="12">
        <v>46003</v>
      </c>
      <c r="G1309" t="s">
        <v>2402</v>
      </c>
      <c r="H1309" t="s">
        <v>371</v>
      </c>
      <c r="I1309">
        <v>22</v>
      </c>
      <c r="J1309">
        <v>153.21680000000001</v>
      </c>
      <c r="M1309">
        <v>0</v>
      </c>
      <c r="N1309">
        <v>0</v>
      </c>
      <c r="O1309">
        <v>153.22</v>
      </c>
      <c r="P1309">
        <v>0</v>
      </c>
      <c r="Q1309" t="s">
        <v>2215</v>
      </c>
    </row>
    <row r="1310" spans="1:17" x14ac:dyDescent="0.25">
      <c r="A1310" t="s">
        <v>1974</v>
      </c>
      <c r="B1310" t="s">
        <v>1975</v>
      </c>
      <c r="C1310" t="s">
        <v>1976</v>
      </c>
      <c r="D1310" s="11">
        <v>83319</v>
      </c>
      <c r="E1310" s="12">
        <v>46002</v>
      </c>
      <c r="F1310" s="12">
        <v>46003</v>
      </c>
      <c r="G1310" t="s">
        <v>2403</v>
      </c>
      <c r="H1310" t="s">
        <v>1661</v>
      </c>
      <c r="I1310">
        <v>365</v>
      </c>
      <c r="J1310">
        <v>22.666499999999999</v>
      </c>
      <c r="M1310">
        <v>0.08</v>
      </c>
      <c r="N1310">
        <v>29.2</v>
      </c>
      <c r="O1310">
        <v>-6.53</v>
      </c>
      <c r="P1310">
        <v>-28.804500000000001</v>
      </c>
      <c r="Q1310" t="s">
        <v>2218</v>
      </c>
    </row>
    <row r="1311" spans="1:17" x14ac:dyDescent="0.25">
      <c r="A1311" t="s">
        <v>1974</v>
      </c>
      <c r="B1311" t="s">
        <v>1975</v>
      </c>
      <c r="C1311" t="s">
        <v>1976</v>
      </c>
      <c r="D1311" s="11">
        <v>83319</v>
      </c>
      <c r="E1311" s="12">
        <v>46002</v>
      </c>
      <c r="F1311" s="12">
        <v>46003</v>
      </c>
      <c r="G1311" t="s">
        <v>2403</v>
      </c>
      <c r="H1311" t="s">
        <v>192</v>
      </c>
      <c r="I1311">
        <v>35</v>
      </c>
      <c r="J1311">
        <v>8.1585000000000001</v>
      </c>
      <c r="M1311">
        <v>7.9000000000000001E-2</v>
      </c>
      <c r="N1311">
        <v>2.7650000000000001</v>
      </c>
      <c r="O1311">
        <v>5.3949999999999996</v>
      </c>
      <c r="P1311">
        <v>66.115099999999998</v>
      </c>
      <c r="Q1311" t="s">
        <v>2220</v>
      </c>
    </row>
    <row r="1312" spans="1:17" x14ac:dyDescent="0.25">
      <c r="A1312" t="s">
        <v>1974</v>
      </c>
      <c r="B1312" t="s">
        <v>1975</v>
      </c>
      <c r="C1312" t="s">
        <v>1976</v>
      </c>
      <c r="D1312" s="11">
        <v>83319</v>
      </c>
      <c r="E1312" s="12">
        <v>46002</v>
      </c>
      <c r="F1312" s="12">
        <v>46003</v>
      </c>
      <c r="G1312" t="s">
        <v>2403</v>
      </c>
      <c r="H1312" t="s">
        <v>599</v>
      </c>
      <c r="I1312">
        <v>11</v>
      </c>
      <c r="J1312">
        <v>402.4427</v>
      </c>
      <c r="M1312">
        <v>13.746499999999999</v>
      </c>
      <c r="N1312">
        <v>151.2115</v>
      </c>
      <c r="O1312">
        <v>251.2285</v>
      </c>
      <c r="P1312">
        <v>62.426299999999998</v>
      </c>
      <c r="Q1312" t="s">
        <v>2404</v>
      </c>
    </row>
    <row r="1313" spans="1:17" x14ac:dyDescent="0.25">
      <c r="A1313" t="s">
        <v>1974</v>
      </c>
      <c r="B1313" t="s">
        <v>1975</v>
      </c>
      <c r="C1313" t="s">
        <v>2207</v>
      </c>
      <c r="D1313" s="11">
        <v>83319</v>
      </c>
      <c r="E1313" s="12">
        <v>46002</v>
      </c>
      <c r="F1313" s="12">
        <v>46003</v>
      </c>
      <c r="G1313" t="s">
        <v>2405</v>
      </c>
      <c r="H1313" t="s">
        <v>1567</v>
      </c>
      <c r="I1313">
        <v>155</v>
      </c>
      <c r="J1313">
        <v>7.0214999999999996</v>
      </c>
      <c r="M1313">
        <v>0</v>
      </c>
      <c r="N1313">
        <v>0</v>
      </c>
      <c r="O1313">
        <v>7.02</v>
      </c>
      <c r="P1313">
        <v>0</v>
      </c>
      <c r="Q1313" t="s">
        <v>1994</v>
      </c>
    </row>
    <row r="1314" spans="1:17" x14ac:dyDescent="0.25">
      <c r="A1314" t="s">
        <v>1974</v>
      </c>
      <c r="B1314" t="s">
        <v>1975</v>
      </c>
      <c r="C1314" t="s">
        <v>2207</v>
      </c>
      <c r="D1314" s="11">
        <v>83319</v>
      </c>
      <c r="E1314" s="12">
        <v>46002</v>
      </c>
      <c r="F1314" s="12">
        <v>46003</v>
      </c>
      <c r="G1314" t="s">
        <v>2405</v>
      </c>
      <c r="H1314" t="s">
        <v>1039</v>
      </c>
      <c r="I1314">
        <v>20</v>
      </c>
      <c r="J1314">
        <v>22.417999999999999</v>
      </c>
      <c r="M1314">
        <v>0</v>
      </c>
      <c r="N1314">
        <v>0</v>
      </c>
      <c r="O1314">
        <v>22.42</v>
      </c>
      <c r="P1314">
        <v>0</v>
      </c>
      <c r="Q1314" t="s">
        <v>2007</v>
      </c>
    </row>
    <row r="1315" spans="1:17" x14ac:dyDescent="0.25">
      <c r="A1315" t="s">
        <v>1974</v>
      </c>
      <c r="B1315" t="s">
        <v>1975</v>
      </c>
      <c r="C1315" t="s">
        <v>2207</v>
      </c>
      <c r="D1315" s="11">
        <v>83319</v>
      </c>
      <c r="E1315" s="12">
        <v>46002</v>
      </c>
      <c r="F1315" s="12">
        <v>46003</v>
      </c>
      <c r="G1315" t="s">
        <v>2405</v>
      </c>
      <c r="H1315" t="s">
        <v>991</v>
      </c>
      <c r="I1315">
        <v>12</v>
      </c>
      <c r="J1315">
        <v>27.7836</v>
      </c>
      <c r="M1315">
        <v>0</v>
      </c>
      <c r="N1315">
        <v>0</v>
      </c>
      <c r="O1315">
        <v>27.78</v>
      </c>
      <c r="P1315">
        <v>0</v>
      </c>
      <c r="Q1315" t="s">
        <v>2370</v>
      </c>
    </row>
    <row r="1316" spans="1:17" x14ac:dyDescent="0.25">
      <c r="A1316" t="s">
        <v>1974</v>
      </c>
      <c r="B1316" t="s">
        <v>1975</v>
      </c>
      <c r="C1316" t="s">
        <v>2207</v>
      </c>
      <c r="D1316" s="11">
        <v>83319</v>
      </c>
      <c r="E1316" s="12">
        <v>46002</v>
      </c>
      <c r="F1316" s="12">
        <v>46003</v>
      </c>
      <c r="G1316" t="s">
        <v>2405</v>
      </c>
      <c r="H1316" t="s">
        <v>1005</v>
      </c>
      <c r="I1316">
        <v>21</v>
      </c>
      <c r="J1316">
        <v>290.67149999999998</v>
      </c>
      <c r="M1316">
        <v>0</v>
      </c>
      <c r="N1316">
        <v>0</v>
      </c>
      <c r="O1316">
        <v>290.67</v>
      </c>
      <c r="P1316">
        <v>0</v>
      </c>
      <c r="Q1316" t="s">
        <v>2406</v>
      </c>
    </row>
    <row r="1317" spans="1:17" x14ac:dyDescent="0.25">
      <c r="A1317" t="s">
        <v>1974</v>
      </c>
      <c r="B1317" t="s">
        <v>1975</v>
      </c>
      <c r="C1317" t="s">
        <v>1976</v>
      </c>
      <c r="D1317" s="11">
        <v>83346</v>
      </c>
      <c r="E1317" s="12">
        <v>46006</v>
      </c>
      <c r="F1317" s="12">
        <v>46006</v>
      </c>
      <c r="G1317" t="s">
        <v>2407</v>
      </c>
      <c r="H1317" t="s">
        <v>23</v>
      </c>
      <c r="I1317">
        <v>30</v>
      </c>
      <c r="J1317">
        <v>8.6969999999999992</v>
      </c>
      <c r="M1317">
        <v>0.316</v>
      </c>
      <c r="N1317">
        <v>9.48</v>
      </c>
      <c r="O1317">
        <v>-0.78</v>
      </c>
      <c r="P1317">
        <v>-8.9655000000000005</v>
      </c>
      <c r="Q1317" t="s">
        <v>1986</v>
      </c>
    </row>
    <row r="1318" spans="1:17" x14ac:dyDescent="0.25">
      <c r="A1318" t="s">
        <v>1974</v>
      </c>
      <c r="B1318" t="s">
        <v>1975</v>
      </c>
      <c r="C1318" t="s">
        <v>1976</v>
      </c>
      <c r="D1318" s="11">
        <v>83346</v>
      </c>
      <c r="E1318" s="12">
        <v>46006</v>
      </c>
      <c r="F1318" s="12">
        <v>46006</v>
      </c>
      <c r="G1318" t="s">
        <v>2407</v>
      </c>
      <c r="H1318" t="s">
        <v>1694</v>
      </c>
      <c r="I1318">
        <v>10</v>
      </c>
      <c r="J1318">
        <v>5.524</v>
      </c>
      <c r="M1318">
        <v>0.373</v>
      </c>
      <c r="N1318">
        <v>3.73</v>
      </c>
      <c r="O1318">
        <v>1.79</v>
      </c>
      <c r="P1318">
        <v>32.427500000000002</v>
      </c>
      <c r="Q1318" t="s">
        <v>2140</v>
      </c>
    </row>
    <row r="1319" spans="1:17" x14ac:dyDescent="0.25">
      <c r="A1319" t="s">
        <v>1974</v>
      </c>
      <c r="B1319" t="s">
        <v>1975</v>
      </c>
      <c r="C1319" t="s">
        <v>1976</v>
      </c>
      <c r="D1319" s="11">
        <v>83346</v>
      </c>
      <c r="E1319" s="12">
        <v>46006</v>
      </c>
      <c r="F1319" s="12">
        <v>46006</v>
      </c>
      <c r="G1319" t="s">
        <v>2407</v>
      </c>
      <c r="H1319" t="s">
        <v>1142</v>
      </c>
      <c r="I1319">
        <v>10</v>
      </c>
      <c r="J1319">
        <v>54.698999999999998</v>
      </c>
      <c r="M1319">
        <v>5.28</v>
      </c>
      <c r="N1319">
        <v>52.8</v>
      </c>
      <c r="O1319">
        <v>1.9</v>
      </c>
      <c r="P1319">
        <v>3.4733999999999998</v>
      </c>
      <c r="Q1319" t="s">
        <v>2142</v>
      </c>
    </row>
    <row r="1320" spans="1:17" x14ac:dyDescent="0.25">
      <c r="A1320" t="s">
        <v>1974</v>
      </c>
      <c r="B1320" t="s">
        <v>1975</v>
      </c>
      <c r="C1320" t="s">
        <v>2207</v>
      </c>
      <c r="D1320" s="11">
        <v>83346</v>
      </c>
      <c r="E1320" s="12">
        <v>46006</v>
      </c>
      <c r="F1320" s="12">
        <v>46006</v>
      </c>
      <c r="G1320" t="s">
        <v>2408</v>
      </c>
      <c r="H1320" t="s">
        <v>232</v>
      </c>
      <c r="I1320">
        <v>15</v>
      </c>
      <c r="J1320">
        <v>28.162500000000001</v>
      </c>
      <c r="M1320">
        <v>0</v>
      </c>
      <c r="N1320">
        <v>0</v>
      </c>
      <c r="O1320">
        <v>28.16</v>
      </c>
      <c r="P1320">
        <v>0</v>
      </c>
      <c r="Q1320" t="s">
        <v>2409</v>
      </c>
    </row>
    <row r="1321" spans="1:17" x14ac:dyDescent="0.25">
      <c r="A1321" t="s">
        <v>1974</v>
      </c>
      <c r="B1321" t="s">
        <v>1975</v>
      </c>
      <c r="C1321" t="s">
        <v>2207</v>
      </c>
      <c r="D1321" s="11">
        <v>83346</v>
      </c>
      <c r="E1321" s="12">
        <v>46006</v>
      </c>
      <c r="F1321" s="12">
        <v>46006</v>
      </c>
      <c r="G1321" t="s">
        <v>2408</v>
      </c>
      <c r="H1321" t="s">
        <v>234</v>
      </c>
      <c r="I1321">
        <v>10</v>
      </c>
      <c r="J1321">
        <v>20.475000000000001</v>
      </c>
      <c r="M1321">
        <v>0</v>
      </c>
      <c r="N1321">
        <v>0</v>
      </c>
      <c r="O1321">
        <v>20.48</v>
      </c>
      <c r="P1321">
        <v>0</v>
      </c>
      <c r="Q1321" t="s">
        <v>2136</v>
      </c>
    </row>
    <row r="1322" spans="1:17" x14ac:dyDescent="0.25">
      <c r="A1322" t="s">
        <v>1974</v>
      </c>
      <c r="B1322" t="s">
        <v>1975</v>
      </c>
      <c r="C1322" t="s">
        <v>2207</v>
      </c>
      <c r="D1322" s="11">
        <v>83346</v>
      </c>
      <c r="E1322" s="12">
        <v>46006</v>
      </c>
      <c r="F1322" s="12">
        <v>46006</v>
      </c>
      <c r="G1322" t="s">
        <v>2408</v>
      </c>
      <c r="H1322" t="s">
        <v>1253</v>
      </c>
      <c r="I1322">
        <v>6</v>
      </c>
      <c r="J1322">
        <v>109.86960000000001</v>
      </c>
      <c r="M1322">
        <v>0</v>
      </c>
      <c r="N1322">
        <v>0</v>
      </c>
      <c r="O1322">
        <v>109.87</v>
      </c>
      <c r="P1322">
        <v>0</v>
      </c>
      <c r="Q1322" t="s">
        <v>2137</v>
      </c>
    </row>
    <row r="1323" spans="1:17" x14ac:dyDescent="0.25">
      <c r="A1323" t="s">
        <v>1974</v>
      </c>
      <c r="B1323" t="s">
        <v>1975</v>
      </c>
      <c r="C1323" t="s">
        <v>2207</v>
      </c>
      <c r="D1323" s="11">
        <v>83346</v>
      </c>
      <c r="E1323" s="12">
        <v>46006</v>
      </c>
      <c r="F1323" s="12">
        <v>46006</v>
      </c>
      <c r="G1323" t="s">
        <v>2408</v>
      </c>
      <c r="H1323" t="s">
        <v>1700</v>
      </c>
      <c r="I1323">
        <v>15</v>
      </c>
      <c r="J1323">
        <v>1.413</v>
      </c>
      <c r="M1323">
        <v>0</v>
      </c>
      <c r="N1323">
        <v>0</v>
      </c>
      <c r="O1323">
        <v>1.41</v>
      </c>
      <c r="P1323">
        <v>0</v>
      </c>
      <c r="Q1323" t="s">
        <v>2141</v>
      </c>
    </row>
    <row r="1324" spans="1:17" x14ac:dyDescent="0.25">
      <c r="A1324" t="s">
        <v>1974</v>
      </c>
      <c r="B1324" t="s">
        <v>1975</v>
      </c>
      <c r="C1324" t="s">
        <v>2207</v>
      </c>
      <c r="D1324" s="11">
        <v>83364</v>
      </c>
      <c r="E1324" s="12">
        <v>46006</v>
      </c>
      <c r="F1324" s="12">
        <v>46006</v>
      </c>
      <c r="G1324" t="s">
        <v>2410</v>
      </c>
      <c r="H1324" t="s">
        <v>335</v>
      </c>
      <c r="I1324">
        <v>10</v>
      </c>
      <c r="J1324">
        <v>19.876999999999999</v>
      </c>
      <c r="M1324">
        <v>0</v>
      </c>
      <c r="N1324">
        <v>0</v>
      </c>
      <c r="O1324">
        <v>19.88</v>
      </c>
      <c r="P1324">
        <v>0</v>
      </c>
      <c r="Q1324" t="s">
        <v>2411</v>
      </c>
    </row>
    <row r="1325" spans="1:17" x14ac:dyDescent="0.25">
      <c r="A1325" t="s">
        <v>2060</v>
      </c>
      <c r="B1325" t="s">
        <v>2061</v>
      </c>
      <c r="C1325" t="s">
        <v>1976</v>
      </c>
      <c r="D1325" s="11">
        <v>6100070915</v>
      </c>
      <c r="E1325" s="12">
        <v>46006</v>
      </c>
      <c r="F1325" s="12">
        <v>46009</v>
      </c>
      <c r="G1325" t="s">
        <v>2412</v>
      </c>
      <c r="H1325" t="s">
        <v>1350</v>
      </c>
      <c r="I1325">
        <v>70</v>
      </c>
      <c r="J1325">
        <v>0.21</v>
      </c>
      <c r="M1325">
        <v>5.1000000000000004E-4</v>
      </c>
      <c r="N1325">
        <v>3.5700000000000003E-2</v>
      </c>
      <c r="O1325">
        <v>0.17430000000000001</v>
      </c>
      <c r="P1325">
        <v>83</v>
      </c>
      <c r="Q1325" t="s">
        <v>2228</v>
      </c>
    </row>
    <row r="1326" spans="1:17" x14ac:dyDescent="0.25">
      <c r="A1326" t="s">
        <v>2060</v>
      </c>
      <c r="B1326" t="s">
        <v>2061</v>
      </c>
      <c r="C1326" t="s">
        <v>1976</v>
      </c>
      <c r="D1326" s="11">
        <v>6100070915</v>
      </c>
      <c r="E1326" s="12">
        <v>46006</v>
      </c>
      <c r="F1326" s="12">
        <v>46009</v>
      </c>
      <c r="G1326" t="s">
        <v>2412</v>
      </c>
      <c r="H1326" t="s">
        <v>965</v>
      </c>
      <c r="I1326">
        <v>35</v>
      </c>
      <c r="J1326">
        <v>19.0365</v>
      </c>
      <c r="M1326">
        <v>0.23035</v>
      </c>
      <c r="N1326">
        <v>8.0622500000000006</v>
      </c>
      <c r="O1326">
        <v>10.97775</v>
      </c>
      <c r="P1326">
        <v>57.656199999999998</v>
      </c>
      <c r="Q1326" t="s">
        <v>2310</v>
      </c>
    </row>
    <row r="1327" spans="1:17" x14ac:dyDescent="0.25">
      <c r="A1327" t="s">
        <v>1974</v>
      </c>
      <c r="B1327" t="s">
        <v>1975</v>
      </c>
      <c r="C1327" t="s">
        <v>1976</v>
      </c>
      <c r="D1327" s="11">
        <v>83417</v>
      </c>
      <c r="E1327" s="12">
        <v>46008</v>
      </c>
      <c r="F1327" s="12">
        <v>46010</v>
      </c>
      <c r="G1327" t="s">
        <v>2413</v>
      </c>
      <c r="H1327" t="s">
        <v>997</v>
      </c>
      <c r="I1327">
        <v>3</v>
      </c>
      <c r="J1327">
        <v>68.378100000000003</v>
      </c>
      <c r="M1327">
        <v>18.690000000000001</v>
      </c>
      <c r="N1327">
        <v>56.07</v>
      </c>
      <c r="O1327">
        <v>12.31</v>
      </c>
      <c r="P1327">
        <v>18.002300000000002</v>
      </c>
      <c r="Q1327" t="s">
        <v>2414</v>
      </c>
    </row>
    <row r="1328" spans="1:17" x14ac:dyDescent="0.25">
      <c r="A1328" t="s">
        <v>2060</v>
      </c>
      <c r="B1328" t="s">
        <v>2061</v>
      </c>
      <c r="C1328" t="s">
        <v>2207</v>
      </c>
      <c r="D1328" s="11">
        <v>6100071127</v>
      </c>
      <c r="E1328" s="12">
        <v>46008</v>
      </c>
      <c r="F1328" s="12">
        <v>46009</v>
      </c>
      <c r="G1328" t="s">
        <v>2415</v>
      </c>
      <c r="H1328" t="s">
        <v>1567</v>
      </c>
      <c r="I1328">
        <v>105</v>
      </c>
      <c r="J1328">
        <v>5.25</v>
      </c>
      <c r="K1328" t="s">
        <v>2416</v>
      </c>
      <c r="L1328" t="s">
        <v>2041</v>
      </c>
      <c r="M1328">
        <v>0</v>
      </c>
      <c r="N1328">
        <v>0</v>
      </c>
      <c r="O1328">
        <v>5.25</v>
      </c>
      <c r="P1328">
        <v>0</v>
      </c>
      <c r="Q1328" t="s">
        <v>2287</v>
      </c>
    </row>
    <row r="1329" spans="1:17" x14ac:dyDescent="0.25">
      <c r="A1329" t="s">
        <v>2060</v>
      </c>
      <c r="B1329" t="s">
        <v>2061</v>
      </c>
      <c r="C1329" t="s">
        <v>2207</v>
      </c>
      <c r="D1329" s="11">
        <v>6100071127</v>
      </c>
      <c r="E1329" s="12">
        <v>46008</v>
      </c>
      <c r="F1329" s="12">
        <v>46009</v>
      </c>
      <c r="G1329" t="s">
        <v>2415</v>
      </c>
      <c r="H1329" t="s">
        <v>415</v>
      </c>
      <c r="I1329">
        <v>15</v>
      </c>
      <c r="J1329">
        <v>4.9770000000000003</v>
      </c>
      <c r="K1329" t="s">
        <v>2416</v>
      </c>
      <c r="L1329" t="s">
        <v>2041</v>
      </c>
      <c r="M1329">
        <v>0</v>
      </c>
      <c r="N1329">
        <v>0</v>
      </c>
      <c r="O1329">
        <v>4.9800000000000004</v>
      </c>
      <c r="P1329">
        <v>0</v>
      </c>
      <c r="Q1329" t="s">
        <v>2417</v>
      </c>
    </row>
    <row r="1330" spans="1:17" x14ac:dyDescent="0.25">
      <c r="A1330" t="s">
        <v>2060</v>
      </c>
      <c r="B1330" t="s">
        <v>2061</v>
      </c>
      <c r="C1330" t="s">
        <v>2207</v>
      </c>
      <c r="D1330" s="11">
        <v>6100071127</v>
      </c>
      <c r="E1330" s="12">
        <v>46008</v>
      </c>
      <c r="F1330" s="12">
        <v>46009</v>
      </c>
      <c r="G1330" t="s">
        <v>2415</v>
      </c>
      <c r="H1330" t="s">
        <v>507</v>
      </c>
      <c r="I1330">
        <v>20</v>
      </c>
      <c r="J1330">
        <v>27.6</v>
      </c>
      <c r="K1330" t="s">
        <v>2416</v>
      </c>
      <c r="L1330" t="s">
        <v>2041</v>
      </c>
      <c r="M1330">
        <v>0</v>
      </c>
      <c r="N1330">
        <v>0</v>
      </c>
      <c r="O1330">
        <v>27.6</v>
      </c>
      <c r="P1330">
        <v>0</v>
      </c>
      <c r="Q1330" t="s">
        <v>2397</v>
      </c>
    </row>
    <row r="1331" spans="1:17" x14ac:dyDescent="0.25">
      <c r="A1331" t="s">
        <v>2060</v>
      </c>
      <c r="B1331" t="s">
        <v>2061</v>
      </c>
      <c r="C1331" t="s">
        <v>2207</v>
      </c>
      <c r="D1331" s="11">
        <v>6100071416</v>
      </c>
      <c r="E1331" s="12">
        <v>46010</v>
      </c>
      <c r="F1331" s="12">
        <v>46014</v>
      </c>
      <c r="G1331" t="s">
        <v>2418</v>
      </c>
      <c r="H1331" t="s">
        <v>1199</v>
      </c>
      <c r="I1331">
        <v>25</v>
      </c>
      <c r="J1331">
        <v>1.9424999999999999</v>
      </c>
      <c r="K1331" t="s">
        <v>2419</v>
      </c>
      <c r="L1331" t="s">
        <v>2041</v>
      </c>
      <c r="M1331">
        <v>6.3729999999999995E-2</v>
      </c>
      <c r="N1331">
        <v>1.5932500000000001</v>
      </c>
      <c r="O1331">
        <v>0.34675</v>
      </c>
      <c r="P1331">
        <v>17.873699999999999</v>
      </c>
      <c r="Q1331" t="s">
        <v>2420</v>
      </c>
    </row>
    <row r="1332" spans="1:17" x14ac:dyDescent="0.25">
      <c r="A1332" t="s">
        <v>2060</v>
      </c>
      <c r="B1332" t="s">
        <v>2061</v>
      </c>
      <c r="C1332" t="s">
        <v>2207</v>
      </c>
      <c r="D1332" s="11">
        <v>6100071416</v>
      </c>
      <c r="E1332" s="12">
        <v>46010</v>
      </c>
      <c r="F1332" s="12">
        <v>46014</v>
      </c>
      <c r="G1332" t="s">
        <v>2418</v>
      </c>
      <c r="H1332" t="s">
        <v>146</v>
      </c>
      <c r="I1332">
        <v>165</v>
      </c>
      <c r="J1332">
        <v>6.6660000000000004</v>
      </c>
      <c r="K1332" t="s">
        <v>2419</v>
      </c>
      <c r="L1332" t="s">
        <v>2041</v>
      </c>
      <c r="M1332">
        <v>3.3090000000000001E-2</v>
      </c>
      <c r="N1332">
        <v>5.4598500000000003</v>
      </c>
      <c r="O1332">
        <v>1.2101500000000001</v>
      </c>
      <c r="P1332">
        <v>18.1431</v>
      </c>
      <c r="Q1332" t="s">
        <v>2421</v>
      </c>
    </row>
    <row r="1333" spans="1:17" x14ac:dyDescent="0.25">
      <c r="A1333" t="s">
        <v>2060</v>
      </c>
      <c r="B1333" t="s">
        <v>2061</v>
      </c>
      <c r="C1333" t="s">
        <v>2207</v>
      </c>
      <c r="D1333" s="11">
        <v>6100071416</v>
      </c>
      <c r="E1333" s="12">
        <v>46010</v>
      </c>
      <c r="F1333" s="12">
        <v>46014</v>
      </c>
      <c r="G1333" t="s">
        <v>2418</v>
      </c>
      <c r="H1333" t="s">
        <v>1117</v>
      </c>
      <c r="I1333">
        <v>25</v>
      </c>
      <c r="J1333">
        <v>16.065000000000001</v>
      </c>
      <c r="K1333" t="s">
        <v>2419</v>
      </c>
      <c r="L1333" t="s">
        <v>2041</v>
      </c>
      <c r="M1333">
        <v>0.52697000000000005</v>
      </c>
      <c r="N1333">
        <v>13.174250000000001</v>
      </c>
      <c r="O1333">
        <v>2.89575</v>
      </c>
      <c r="P1333">
        <v>18.019600000000001</v>
      </c>
      <c r="Q1333" t="s">
        <v>2422</v>
      </c>
    </row>
    <row r="1334" spans="1:17" x14ac:dyDescent="0.25">
      <c r="A1334" t="s">
        <v>2060</v>
      </c>
      <c r="B1334" t="s">
        <v>2061</v>
      </c>
      <c r="C1334" t="s">
        <v>2207</v>
      </c>
      <c r="D1334" s="11">
        <v>6100071416</v>
      </c>
      <c r="E1334" s="12">
        <v>46010</v>
      </c>
      <c r="F1334" s="12">
        <v>46014</v>
      </c>
      <c r="G1334" t="s">
        <v>2418</v>
      </c>
      <c r="H1334" t="s">
        <v>355</v>
      </c>
      <c r="I1334">
        <v>21</v>
      </c>
      <c r="J1334">
        <v>146.244</v>
      </c>
      <c r="K1334" t="s">
        <v>2419</v>
      </c>
      <c r="L1334" t="s">
        <v>2041</v>
      </c>
      <c r="M1334">
        <v>5.7104499999999998</v>
      </c>
      <c r="N1334">
        <v>119.91945</v>
      </c>
      <c r="O1334">
        <v>26.320550000000001</v>
      </c>
      <c r="P1334">
        <v>17.998100000000001</v>
      </c>
      <c r="Q1334" t="s">
        <v>2423</v>
      </c>
    </row>
    <row r="1335" spans="1:17" x14ac:dyDescent="0.25">
      <c r="A1335" t="s">
        <v>2060</v>
      </c>
      <c r="B1335" t="s">
        <v>2061</v>
      </c>
      <c r="C1335" t="s">
        <v>2207</v>
      </c>
      <c r="D1335" s="11">
        <v>6100071216</v>
      </c>
      <c r="E1335" s="12">
        <v>46010</v>
      </c>
      <c r="F1335" s="12">
        <v>46010</v>
      </c>
      <c r="G1335" t="s">
        <v>2424</v>
      </c>
      <c r="H1335" t="s">
        <v>1714</v>
      </c>
      <c r="I1335">
        <v>25</v>
      </c>
      <c r="J1335">
        <v>7.3975</v>
      </c>
      <c r="K1335" t="s">
        <v>2425</v>
      </c>
      <c r="L1335" t="s">
        <v>2041</v>
      </c>
      <c r="M1335">
        <v>0</v>
      </c>
      <c r="N1335">
        <v>0</v>
      </c>
      <c r="O1335">
        <v>7.4</v>
      </c>
      <c r="P1335">
        <v>0</v>
      </c>
      <c r="Q1335" t="s">
        <v>2281</v>
      </c>
    </row>
    <row r="1336" spans="1:17" x14ac:dyDescent="0.25">
      <c r="A1336" t="s">
        <v>2060</v>
      </c>
      <c r="B1336" t="s">
        <v>2061</v>
      </c>
      <c r="C1336" t="s">
        <v>2207</v>
      </c>
      <c r="D1336" s="11">
        <v>6100071216</v>
      </c>
      <c r="E1336" s="12">
        <v>46010</v>
      </c>
      <c r="F1336" s="12">
        <v>46010</v>
      </c>
      <c r="G1336" t="s">
        <v>2424</v>
      </c>
      <c r="H1336" t="s">
        <v>1310</v>
      </c>
      <c r="I1336">
        <v>60</v>
      </c>
      <c r="J1336">
        <v>0.27</v>
      </c>
      <c r="K1336" t="s">
        <v>2425</v>
      </c>
      <c r="L1336" t="s">
        <v>2041</v>
      </c>
      <c r="M1336">
        <v>0</v>
      </c>
      <c r="N1336">
        <v>0</v>
      </c>
      <c r="O1336">
        <v>0.27</v>
      </c>
      <c r="P1336">
        <v>0</v>
      </c>
      <c r="Q1336" t="s">
        <v>2283</v>
      </c>
    </row>
    <row r="1337" spans="1:17" x14ac:dyDescent="0.25">
      <c r="A1337" t="s">
        <v>2060</v>
      </c>
      <c r="B1337" t="s">
        <v>2061</v>
      </c>
      <c r="C1337" t="s">
        <v>2207</v>
      </c>
      <c r="D1337" s="11">
        <v>6100071216</v>
      </c>
      <c r="E1337" s="12">
        <v>46010</v>
      </c>
      <c r="F1337" s="12">
        <v>46010</v>
      </c>
      <c r="G1337" t="s">
        <v>2424</v>
      </c>
      <c r="H1337" t="s">
        <v>1567</v>
      </c>
      <c r="I1337">
        <v>55</v>
      </c>
      <c r="J1337">
        <v>2.4914999999999998</v>
      </c>
      <c r="K1337" t="s">
        <v>2425</v>
      </c>
      <c r="L1337" t="s">
        <v>2041</v>
      </c>
      <c r="M1337">
        <v>0</v>
      </c>
      <c r="N1337">
        <v>0</v>
      </c>
      <c r="O1337">
        <v>2.4900000000000002</v>
      </c>
      <c r="P1337">
        <v>0</v>
      </c>
      <c r="Q1337" t="s">
        <v>2287</v>
      </c>
    </row>
    <row r="1338" spans="1:17" x14ac:dyDescent="0.25">
      <c r="A1338" t="s">
        <v>2060</v>
      </c>
      <c r="B1338" t="s">
        <v>2061</v>
      </c>
      <c r="C1338" t="s">
        <v>2207</v>
      </c>
      <c r="D1338" s="11">
        <v>6100071216</v>
      </c>
      <c r="E1338" s="12">
        <v>46010</v>
      </c>
      <c r="F1338" s="12">
        <v>46010</v>
      </c>
      <c r="G1338" t="s">
        <v>2424</v>
      </c>
      <c r="H1338" t="s">
        <v>1215</v>
      </c>
      <c r="I1338">
        <v>25</v>
      </c>
      <c r="J1338">
        <v>10.91</v>
      </c>
      <c r="K1338" t="s">
        <v>2425</v>
      </c>
      <c r="L1338" t="s">
        <v>2041</v>
      </c>
      <c r="M1338">
        <v>0</v>
      </c>
      <c r="N1338">
        <v>0</v>
      </c>
      <c r="O1338">
        <v>10.91</v>
      </c>
      <c r="P1338">
        <v>0</v>
      </c>
      <c r="Q1338" t="s">
        <v>2288</v>
      </c>
    </row>
    <row r="1339" spans="1:17" x14ac:dyDescent="0.25">
      <c r="A1339" t="s">
        <v>2060</v>
      </c>
      <c r="B1339" t="s">
        <v>2061</v>
      </c>
      <c r="C1339" t="s">
        <v>2207</v>
      </c>
      <c r="D1339" s="11">
        <v>6100071216</v>
      </c>
      <c r="E1339" s="12">
        <v>46010</v>
      </c>
      <c r="F1339" s="12">
        <v>46010</v>
      </c>
      <c r="G1339" t="s">
        <v>2424</v>
      </c>
      <c r="H1339" t="s">
        <v>408</v>
      </c>
      <c r="I1339">
        <v>12</v>
      </c>
      <c r="J1339">
        <v>12.3384</v>
      </c>
      <c r="K1339" t="s">
        <v>2425</v>
      </c>
      <c r="L1339" t="s">
        <v>2041</v>
      </c>
      <c r="M1339">
        <v>0</v>
      </c>
      <c r="N1339">
        <v>0</v>
      </c>
      <c r="O1339">
        <v>12.34</v>
      </c>
      <c r="P1339">
        <v>0</v>
      </c>
      <c r="Q1339" t="s">
        <v>2292</v>
      </c>
    </row>
    <row r="1340" spans="1:17" x14ac:dyDescent="0.25">
      <c r="A1340" t="s">
        <v>2060</v>
      </c>
      <c r="B1340" t="s">
        <v>2061</v>
      </c>
      <c r="C1340" t="s">
        <v>2207</v>
      </c>
      <c r="D1340" s="11">
        <v>6100071216</v>
      </c>
      <c r="E1340" s="12">
        <v>46010</v>
      </c>
      <c r="F1340" s="12">
        <v>46010</v>
      </c>
      <c r="G1340" t="s">
        <v>2424</v>
      </c>
      <c r="H1340" t="s">
        <v>1257</v>
      </c>
      <c r="I1340">
        <v>7</v>
      </c>
      <c r="J1340">
        <v>9.5031999999999996</v>
      </c>
      <c r="K1340" t="s">
        <v>2425</v>
      </c>
      <c r="L1340" t="s">
        <v>2041</v>
      </c>
      <c r="M1340">
        <v>0</v>
      </c>
      <c r="N1340">
        <v>0</v>
      </c>
      <c r="O1340">
        <v>9.5</v>
      </c>
      <c r="P1340">
        <v>0</v>
      </c>
      <c r="Q1340" t="s">
        <v>2426</v>
      </c>
    </row>
    <row r="1341" spans="1:17" x14ac:dyDescent="0.25">
      <c r="A1341" t="s">
        <v>2060</v>
      </c>
      <c r="B1341" t="s">
        <v>2061</v>
      </c>
      <c r="C1341" t="s">
        <v>2207</v>
      </c>
      <c r="D1341" s="11">
        <v>6100071216</v>
      </c>
      <c r="E1341" s="12">
        <v>46010</v>
      </c>
      <c r="F1341" s="12">
        <v>46010</v>
      </c>
      <c r="G1341" t="s">
        <v>2424</v>
      </c>
      <c r="H1341" t="s">
        <v>1259</v>
      </c>
      <c r="I1341">
        <v>7</v>
      </c>
      <c r="J1341">
        <v>11.8216</v>
      </c>
      <c r="K1341" t="s">
        <v>2425</v>
      </c>
      <c r="L1341" t="s">
        <v>2041</v>
      </c>
      <c r="M1341">
        <v>0</v>
      </c>
      <c r="N1341">
        <v>0</v>
      </c>
      <c r="O1341">
        <v>11.82</v>
      </c>
      <c r="P1341">
        <v>0</v>
      </c>
      <c r="Q1341" t="s">
        <v>2293</v>
      </c>
    </row>
    <row r="1342" spans="1:17" x14ac:dyDescent="0.25">
      <c r="A1342" t="s">
        <v>2060</v>
      </c>
      <c r="B1342" t="s">
        <v>2061</v>
      </c>
      <c r="C1342" t="s">
        <v>2207</v>
      </c>
      <c r="D1342" s="11">
        <v>6100071216</v>
      </c>
      <c r="E1342" s="12">
        <v>46010</v>
      </c>
      <c r="F1342" s="12">
        <v>46010</v>
      </c>
      <c r="G1342" t="s">
        <v>2424</v>
      </c>
      <c r="H1342" t="s">
        <v>1148</v>
      </c>
      <c r="I1342">
        <v>7</v>
      </c>
      <c r="J1342">
        <v>61.644100000000002</v>
      </c>
      <c r="K1342" t="s">
        <v>2425</v>
      </c>
      <c r="L1342" t="s">
        <v>2041</v>
      </c>
      <c r="M1342">
        <v>0</v>
      </c>
      <c r="N1342">
        <v>0</v>
      </c>
      <c r="O1342">
        <v>61.64</v>
      </c>
      <c r="P1342">
        <v>0</v>
      </c>
      <c r="Q1342" t="s">
        <v>2294</v>
      </c>
    </row>
    <row r="1343" spans="1:17" x14ac:dyDescent="0.25">
      <c r="A1343" t="s">
        <v>2060</v>
      </c>
      <c r="B1343" t="s">
        <v>2061</v>
      </c>
      <c r="C1343" t="s">
        <v>2207</v>
      </c>
      <c r="D1343" s="11">
        <v>6100071216</v>
      </c>
      <c r="E1343" s="12">
        <v>46010</v>
      </c>
      <c r="F1343" s="12">
        <v>46010</v>
      </c>
      <c r="G1343" t="s">
        <v>2424</v>
      </c>
      <c r="H1343" t="s">
        <v>140</v>
      </c>
      <c r="I1343">
        <v>10</v>
      </c>
      <c r="J1343">
        <v>0.92700000000000005</v>
      </c>
      <c r="K1343" t="s">
        <v>2425</v>
      </c>
      <c r="L1343" t="s">
        <v>2041</v>
      </c>
      <c r="M1343">
        <v>0</v>
      </c>
      <c r="N1343">
        <v>0</v>
      </c>
      <c r="O1343">
        <v>0.93</v>
      </c>
      <c r="P1343">
        <v>0</v>
      </c>
      <c r="Q1343" t="s">
        <v>2295</v>
      </c>
    </row>
    <row r="1344" spans="1:17" x14ac:dyDescent="0.25">
      <c r="A1344" t="s">
        <v>2060</v>
      </c>
      <c r="B1344" t="s">
        <v>2061</v>
      </c>
      <c r="C1344" t="s">
        <v>2207</v>
      </c>
      <c r="D1344" s="11">
        <v>6100071216</v>
      </c>
      <c r="E1344" s="12">
        <v>46010</v>
      </c>
      <c r="F1344" s="12">
        <v>46010</v>
      </c>
      <c r="G1344" t="s">
        <v>2424</v>
      </c>
      <c r="H1344" t="s">
        <v>447</v>
      </c>
      <c r="I1344">
        <v>6</v>
      </c>
      <c r="J1344">
        <v>10.2768</v>
      </c>
      <c r="K1344" t="s">
        <v>2425</v>
      </c>
      <c r="L1344" t="s">
        <v>2041</v>
      </c>
      <c r="M1344">
        <v>0</v>
      </c>
      <c r="N1344">
        <v>0</v>
      </c>
      <c r="O1344">
        <v>10.28</v>
      </c>
      <c r="P1344">
        <v>0</v>
      </c>
      <c r="Q1344" t="s">
        <v>2296</v>
      </c>
    </row>
    <row r="1345" spans="1:17" x14ac:dyDescent="0.25">
      <c r="A1345" t="s">
        <v>2060</v>
      </c>
      <c r="B1345" t="s">
        <v>2061</v>
      </c>
      <c r="C1345" t="s">
        <v>2207</v>
      </c>
      <c r="D1345" s="11">
        <v>6100071216</v>
      </c>
      <c r="E1345" s="12">
        <v>46010</v>
      </c>
      <c r="F1345" s="12">
        <v>46010</v>
      </c>
      <c r="G1345" t="s">
        <v>2424</v>
      </c>
      <c r="H1345" t="s">
        <v>120</v>
      </c>
      <c r="I1345">
        <v>6</v>
      </c>
      <c r="J1345">
        <v>17.3856</v>
      </c>
      <c r="K1345" t="s">
        <v>2425</v>
      </c>
      <c r="L1345" t="s">
        <v>2041</v>
      </c>
      <c r="M1345">
        <v>0</v>
      </c>
      <c r="N1345">
        <v>0</v>
      </c>
      <c r="O1345">
        <v>17.39</v>
      </c>
      <c r="P1345">
        <v>0</v>
      </c>
      <c r="Q1345" t="s">
        <v>2297</v>
      </c>
    </row>
    <row r="1346" spans="1:17" x14ac:dyDescent="0.25">
      <c r="A1346" t="s">
        <v>2060</v>
      </c>
      <c r="B1346" t="s">
        <v>2061</v>
      </c>
      <c r="C1346" t="s">
        <v>2207</v>
      </c>
      <c r="D1346" s="11">
        <v>6100071216</v>
      </c>
      <c r="E1346" s="12">
        <v>46010</v>
      </c>
      <c r="F1346" s="12">
        <v>46010</v>
      </c>
      <c r="G1346" t="s">
        <v>2424</v>
      </c>
      <c r="H1346" t="s">
        <v>35</v>
      </c>
      <c r="I1346">
        <v>6</v>
      </c>
      <c r="J1346">
        <v>13.2714</v>
      </c>
      <c r="K1346" t="s">
        <v>2425</v>
      </c>
      <c r="L1346" t="s">
        <v>2041</v>
      </c>
      <c r="M1346">
        <v>0</v>
      </c>
      <c r="N1346">
        <v>0</v>
      </c>
      <c r="O1346">
        <v>13.27</v>
      </c>
      <c r="P1346">
        <v>0</v>
      </c>
      <c r="Q1346" t="s">
        <v>2298</v>
      </c>
    </row>
    <row r="1347" spans="1:17" x14ac:dyDescent="0.25">
      <c r="A1347" t="s">
        <v>2060</v>
      </c>
      <c r="B1347" t="s">
        <v>2061</v>
      </c>
      <c r="C1347" t="s">
        <v>2207</v>
      </c>
      <c r="D1347" s="11">
        <v>6100071216</v>
      </c>
      <c r="E1347" s="12">
        <v>46010</v>
      </c>
      <c r="F1347" s="12">
        <v>46010</v>
      </c>
      <c r="G1347" t="s">
        <v>2424</v>
      </c>
      <c r="H1347" t="s">
        <v>33</v>
      </c>
      <c r="I1347">
        <v>6</v>
      </c>
      <c r="J1347">
        <v>13.092000000000001</v>
      </c>
      <c r="K1347" t="s">
        <v>2425</v>
      </c>
      <c r="L1347" t="s">
        <v>2041</v>
      </c>
      <c r="M1347">
        <v>0</v>
      </c>
      <c r="N1347">
        <v>0</v>
      </c>
      <c r="O1347">
        <v>13.09</v>
      </c>
      <c r="P1347">
        <v>0</v>
      </c>
      <c r="Q1347" t="s">
        <v>2299</v>
      </c>
    </row>
    <row r="1348" spans="1:17" x14ac:dyDescent="0.25">
      <c r="A1348" t="s">
        <v>2060</v>
      </c>
      <c r="B1348" t="s">
        <v>2061</v>
      </c>
      <c r="C1348" t="s">
        <v>2207</v>
      </c>
      <c r="D1348" s="11">
        <v>6100071216</v>
      </c>
      <c r="E1348" s="12">
        <v>46010</v>
      </c>
      <c r="F1348" s="12">
        <v>46010</v>
      </c>
      <c r="G1348" t="s">
        <v>2424</v>
      </c>
      <c r="H1348" t="s">
        <v>37</v>
      </c>
      <c r="I1348">
        <v>6</v>
      </c>
      <c r="J1348">
        <v>17.3064</v>
      </c>
      <c r="K1348" t="s">
        <v>2425</v>
      </c>
      <c r="L1348" t="s">
        <v>2041</v>
      </c>
      <c r="M1348">
        <v>0</v>
      </c>
      <c r="N1348">
        <v>0</v>
      </c>
      <c r="O1348">
        <v>17.309999999999999</v>
      </c>
      <c r="P1348">
        <v>0</v>
      </c>
      <c r="Q1348" t="s">
        <v>2300</v>
      </c>
    </row>
    <row r="1349" spans="1:17" x14ac:dyDescent="0.25">
      <c r="A1349" t="s">
        <v>2060</v>
      </c>
      <c r="B1349" t="s">
        <v>2061</v>
      </c>
      <c r="C1349" t="s">
        <v>2207</v>
      </c>
      <c r="D1349" s="11">
        <v>6100071216</v>
      </c>
      <c r="E1349" s="12">
        <v>46010</v>
      </c>
      <c r="F1349" s="12">
        <v>46010</v>
      </c>
      <c r="G1349" t="s">
        <v>2424</v>
      </c>
      <c r="H1349" t="s">
        <v>735</v>
      </c>
      <c r="I1349">
        <v>6</v>
      </c>
      <c r="J1349">
        <v>56.223599999999998</v>
      </c>
      <c r="K1349" t="s">
        <v>2425</v>
      </c>
      <c r="L1349" t="s">
        <v>2041</v>
      </c>
      <c r="M1349">
        <v>0</v>
      </c>
      <c r="N1349">
        <v>0</v>
      </c>
      <c r="O1349">
        <v>56.22</v>
      </c>
      <c r="P1349">
        <v>0</v>
      </c>
      <c r="Q1349" t="s">
        <v>2301</v>
      </c>
    </row>
    <row r="1350" spans="1:17" x14ac:dyDescent="0.25">
      <c r="A1350" t="s">
        <v>2060</v>
      </c>
      <c r="B1350" t="s">
        <v>2061</v>
      </c>
      <c r="C1350" t="s">
        <v>2207</v>
      </c>
      <c r="D1350" s="11">
        <v>6100071216</v>
      </c>
      <c r="E1350" s="12">
        <v>46010</v>
      </c>
      <c r="F1350" s="12">
        <v>46010</v>
      </c>
      <c r="G1350" t="s">
        <v>2424</v>
      </c>
      <c r="H1350" t="s">
        <v>737</v>
      </c>
      <c r="I1350">
        <v>6</v>
      </c>
      <c r="J1350">
        <v>72.184799999999996</v>
      </c>
      <c r="K1350" t="s">
        <v>2425</v>
      </c>
      <c r="L1350" t="s">
        <v>2041</v>
      </c>
      <c r="M1350">
        <v>0</v>
      </c>
      <c r="N1350">
        <v>0</v>
      </c>
      <c r="O1350">
        <v>72.180000000000007</v>
      </c>
      <c r="P1350">
        <v>0</v>
      </c>
      <c r="Q1350" t="s">
        <v>2302</v>
      </c>
    </row>
    <row r="1351" spans="1:17" x14ac:dyDescent="0.25">
      <c r="A1351" t="s">
        <v>2060</v>
      </c>
      <c r="B1351" t="s">
        <v>2061</v>
      </c>
      <c r="C1351" t="s">
        <v>2207</v>
      </c>
      <c r="D1351" s="11">
        <v>6100071216</v>
      </c>
      <c r="E1351" s="12">
        <v>46010</v>
      </c>
      <c r="F1351" s="12">
        <v>46010</v>
      </c>
      <c r="G1351" t="s">
        <v>2424</v>
      </c>
      <c r="H1351" t="s">
        <v>1663</v>
      </c>
      <c r="I1351">
        <v>25</v>
      </c>
      <c r="J1351">
        <v>14.1975</v>
      </c>
      <c r="K1351" t="s">
        <v>2425</v>
      </c>
      <c r="L1351" t="s">
        <v>2041</v>
      </c>
      <c r="M1351">
        <v>0</v>
      </c>
      <c r="N1351">
        <v>0</v>
      </c>
      <c r="O1351">
        <v>14.2</v>
      </c>
      <c r="P1351">
        <v>0</v>
      </c>
      <c r="Q1351" t="s">
        <v>2175</v>
      </c>
    </row>
    <row r="1352" spans="1:17" x14ac:dyDescent="0.25">
      <c r="A1352" t="s">
        <v>2060</v>
      </c>
      <c r="B1352" t="s">
        <v>2061</v>
      </c>
      <c r="C1352" t="s">
        <v>2207</v>
      </c>
      <c r="D1352" s="11">
        <v>6100071216</v>
      </c>
      <c r="E1352" s="12">
        <v>46010</v>
      </c>
      <c r="F1352" s="12">
        <v>46010</v>
      </c>
      <c r="G1352" t="s">
        <v>2424</v>
      </c>
      <c r="H1352" t="s">
        <v>1720</v>
      </c>
      <c r="I1352">
        <v>4</v>
      </c>
      <c r="J1352">
        <v>23.32</v>
      </c>
      <c r="K1352" t="s">
        <v>2425</v>
      </c>
      <c r="L1352" t="s">
        <v>2041</v>
      </c>
      <c r="M1352">
        <v>0</v>
      </c>
      <c r="N1352">
        <v>0</v>
      </c>
      <c r="O1352">
        <v>23.32</v>
      </c>
      <c r="P1352">
        <v>0</v>
      </c>
      <c r="Q1352" t="s">
        <v>2340</v>
      </c>
    </row>
    <row r="1353" spans="1:17" x14ac:dyDescent="0.25">
      <c r="A1353" t="s">
        <v>2060</v>
      </c>
      <c r="B1353" t="s">
        <v>2061</v>
      </c>
      <c r="C1353" t="s">
        <v>1976</v>
      </c>
      <c r="D1353" s="11">
        <v>6100071216</v>
      </c>
      <c r="E1353" s="12">
        <v>46010</v>
      </c>
      <c r="F1353" s="12">
        <v>46010</v>
      </c>
      <c r="G1353" t="s">
        <v>2427</v>
      </c>
      <c r="H1353" t="s">
        <v>144</v>
      </c>
      <c r="I1353">
        <v>175</v>
      </c>
      <c r="J1353">
        <v>3.92</v>
      </c>
      <c r="M1353">
        <v>6.1700000000000001E-3</v>
      </c>
      <c r="N1353">
        <v>1.07975</v>
      </c>
      <c r="O1353">
        <v>2.8402500000000002</v>
      </c>
      <c r="P1353">
        <v>72.455299999999994</v>
      </c>
      <c r="Q1353" t="s">
        <v>2305</v>
      </c>
    </row>
    <row r="1354" spans="1:17" x14ac:dyDescent="0.25">
      <c r="A1354" t="s">
        <v>2060</v>
      </c>
      <c r="B1354" t="s">
        <v>2061</v>
      </c>
      <c r="C1354" t="s">
        <v>1976</v>
      </c>
      <c r="D1354" s="11">
        <v>6100071216</v>
      </c>
      <c r="E1354" s="12">
        <v>46010</v>
      </c>
      <c r="F1354" s="12">
        <v>46040</v>
      </c>
      <c r="G1354" t="s">
        <v>2427</v>
      </c>
      <c r="H1354" t="s">
        <v>1249</v>
      </c>
      <c r="I1354">
        <v>15</v>
      </c>
      <c r="J1354">
        <v>56.4255</v>
      </c>
      <c r="M1354">
        <v>2.5</v>
      </c>
      <c r="N1354">
        <v>37.5</v>
      </c>
      <c r="O1354">
        <v>18.93</v>
      </c>
      <c r="P1354">
        <v>33.545900000000003</v>
      </c>
      <c r="Q1354" t="s">
        <v>2077</v>
      </c>
    </row>
    <row r="1355" spans="1:17" x14ac:dyDescent="0.25">
      <c r="A1355" t="s">
        <v>2060</v>
      </c>
      <c r="B1355" t="s">
        <v>2061</v>
      </c>
      <c r="C1355" t="s">
        <v>1976</v>
      </c>
      <c r="D1355" s="11">
        <v>6100071478</v>
      </c>
      <c r="E1355" s="12">
        <v>46014</v>
      </c>
      <c r="F1355" s="12">
        <v>46020</v>
      </c>
      <c r="G1355" t="s">
        <v>2428</v>
      </c>
      <c r="H1355" t="s">
        <v>1199</v>
      </c>
      <c r="I1355">
        <v>18</v>
      </c>
      <c r="J1355">
        <v>1.3986000000000001</v>
      </c>
      <c r="K1355" t="s">
        <v>2429</v>
      </c>
      <c r="L1355" t="s">
        <v>2041</v>
      </c>
      <c r="M1355">
        <v>6.3729999999999995E-2</v>
      </c>
      <c r="N1355">
        <v>1.14714</v>
      </c>
      <c r="O1355">
        <v>0.25285999999999997</v>
      </c>
      <c r="P1355">
        <v>18.061399999999999</v>
      </c>
      <c r="Q1355" t="s">
        <v>2420</v>
      </c>
    </row>
    <row r="1356" spans="1:17" x14ac:dyDescent="0.25">
      <c r="A1356" t="s">
        <v>2060</v>
      </c>
      <c r="B1356" t="s">
        <v>2061</v>
      </c>
      <c r="C1356" t="s">
        <v>1976</v>
      </c>
      <c r="D1356" s="11">
        <v>6100071478</v>
      </c>
      <c r="E1356" s="12">
        <v>46014</v>
      </c>
      <c r="F1356" s="12">
        <v>46020</v>
      </c>
      <c r="G1356" t="s">
        <v>2428</v>
      </c>
      <c r="H1356" t="s">
        <v>146</v>
      </c>
      <c r="I1356">
        <v>57</v>
      </c>
      <c r="J1356">
        <v>2.3028</v>
      </c>
      <c r="K1356" t="s">
        <v>2429</v>
      </c>
      <c r="L1356" t="s">
        <v>2041</v>
      </c>
      <c r="M1356">
        <v>3.3090000000000001E-2</v>
      </c>
      <c r="N1356">
        <v>1.8861300000000001</v>
      </c>
      <c r="O1356">
        <v>0.41387000000000002</v>
      </c>
      <c r="P1356">
        <v>17.994299999999999</v>
      </c>
      <c r="Q1356" t="s">
        <v>2421</v>
      </c>
    </row>
    <row r="1357" spans="1:17" x14ac:dyDescent="0.25">
      <c r="A1357" t="s">
        <v>2060</v>
      </c>
      <c r="B1357" t="s">
        <v>2061</v>
      </c>
      <c r="C1357" t="s">
        <v>1976</v>
      </c>
      <c r="D1357" s="11">
        <v>6100071478</v>
      </c>
      <c r="E1357" s="12">
        <v>46014</v>
      </c>
      <c r="F1357" s="12">
        <v>46020</v>
      </c>
      <c r="G1357" t="s">
        <v>2428</v>
      </c>
      <c r="H1357" t="s">
        <v>1117</v>
      </c>
      <c r="I1357">
        <v>18</v>
      </c>
      <c r="J1357">
        <v>11.566800000000001</v>
      </c>
      <c r="K1357" t="s">
        <v>2429</v>
      </c>
      <c r="L1357" t="s">
        <v>2041</v>
      </c>
      <c r="M1357">
        <v>0.52697000000000005</v>
      </c>
      <c r="N1357">
        <v>9.4854599999999998</v>
      </c>
      <c r="O1357">
        <v>2.0845400000000001</v>
      </c>
      <c r="P1357">
        <v>18.0167</v>
      </c>
      <c r="Q1357" t="s">
        <v>2422</v>
      </c>
    </row>
    <row r="1358" spans="1:17" x14ac:dyDescent="0.25">
      <c r="A1358" t="s">
        <v>2060</v>
      </c>
      <c r="B1358" t="s">
        <v>2061</v>
      </c>
      <c r="C1358" t="s">
        <v>1976</v>
      </c>
      <c r="D1358" s="11">
        <v>6100071478</v>
      </c>
      <c r="E1358" s="12">
        <v>46014</v>
      </c>
      <c r="F1358" s="12">
        <v>46020</v>
      </c>
      <c r="G1358" t="s">
        <v>2428</v>
      </c>
      <c r="H1358" t="s">
        <v>1759</v>
      </c>
      <c r="I1358">
        <v>21</v>
      </c>
      <c r="J1358">
        <v>9.6830999999999996</v>
      </c>
      <c r="K1358" t="s">
        <v>2429</v>
      </c>
      <c r="L1358" t="s">
        <v>2041</v>
      </c>
      <c r="M1358">
        <v>0.37807000000000002</v>
      </c>
      <c r="N1358">
        <v>7.93947</v>
      </c>
      <c r="O1358">
        <v>1.7405299999999999</v>
      </c>
      <c r="P1358">
        <v>17.980599999999999</v>
      </c>
      <c r="Q1358" t="s">
        <v>2360</v>
      </c>
    </row>
    <row r="1359" spans="1:17" x14ac:dyDescent="0.25">
      <c r="A1359" t="s">
        <v>2060</v>
      </c>
      <c r="B1359" t="s">
        <v>2061</v>
      </c>
      <c r="C1359" t="s">
        <v>1976</v>
      </c>
      <c r="D1359" s="11">
        <v>6100071478</v>
      </c>
      <c r="E1359" s="12">
        <v>46014</v>
      </c>
      <c r="F1359" s="12">
        <v>46020</v>
      </c>
      <c r="G1359" t="s">
        <v>2428</v>
      </c>
      <c r="H1359" t="s">
        <v>355</v>
      </c>
      <c r="I1359">
        <v>7</v>
      </c>
      <c r="J1359">
        <v>48.747999999999998</v>
      </c>
      <c r="K1359" t="s">
        <v>2429</v>
      </c>
      <c r="L1359" t="s">
        <v>2041</v>
      </c>
      <c r="M1359">
        <v>5.7104499999999998</v>
      </c>
      <c r="N1359">
        <v>39.973149999999997</v>
      </c>
      <c r="O1359">
        <v>8.7768499999999996</v>
      </c>
      <c r="P1359">
        <v>18.003699999999998</v>
      </c>
      <c r="Q1359" t="s">
        <v>2423</v>
      </c>
    </row>
    <row r="1360" spans="1:17" hidden="1" x14ac:dyDescent="0.25">
      <c r="A1360" t="s">
        <v>2040</v>
      </c>
      <c r="B1360" t="s">
        <v>2041</v>
      </c>
      <c r="C1360" t="s">
        <v>1976</v>
      </c>
      <c r="D1360" s="11" t="s">
        <v>2430</v>
      </c>
      <c r="E1360" s="12">
        <v>46020</v>
      </c>
      <c r="F1360" s="12">
        <v>46022</v>
      </c>
      <c r="G1360" t="s">
        <v>2431</v>
      </c>
      <c r="H1360" t="s">
        <v>2249</v>
      </c>
      <c r="I1360">
        <v>1</v>
      </c>
      <c r="J1360">
        <v>190199.13</v>
      </c>
      <c r="M1360">
        <v>0</v>
      </c>
      <c r="N1360">
        <v>0</v>
      </c>
      <c r="O1360">
        <v>190199.13</v>
      </c>
      <c r="P1360">
        <v>0</v>
      </c>
    </row>
    <row r="1361" spans="1:16" hidden="1" x14ac:dyDescent="0.25">
      <c r="A1361" t="s">
        <v>2040</v>
      </c>
      <c r="B1361" t="s">
        <v>2041</v>
      </c>
      <c r="C1361" t="s">
        <v>1976</v>
      </c>
      <c r="D1361" s="11" t="s">
        <v>2430</v>
      </c>
      <c r="E1361" s="12">
        <v>46020</v>
      </c>
      <c r="F1361" s="12">
        <v>46022</v>
      </c>
      <c r="G1361" t="s">
        <v>2431</v>
      </c>
      <c r="H1361" t="s">
        <v>204</v>
      </c>
      <c r="I1361">
        <v>220</v>
      </c>
      <c r="J1361">
        <v>0</v>
      </c>
      <c r="M1361">
        <v>12.388999999999999</v>
      </c>
      <c r="N1361">
        <v>2725.58</v>
      </c>
      <c r="O1361">
        <v>-2725.58</v>
      </c>
      <c r="P1361">
        <v>0</v>
      </c>
    </row>
    <row r="1362" spans="1:16" hidden="1" x14ac:dyDescent="0.25">
      <c r="A1362" t="s">
        <v>2040</v>
      </c>
      <c r="B1362" t="s">
        <v>2041</v>
      </c>
      <c r="C1362" t="s">
        <v>1976</v>
      </c>
      <c r="D1362" s="11" t="s">
        <v>2430</v>
      </c>
      <c r="E1362" s="12">
        <v>46020</v>
      </c>
      <c r="F1362" s="12">
        <v>46022</v>
      </c>
      <c r="G1362" t="s">
        <v>2431</v>
      </c>
      <c r="H1362" t="s">
        <v>278</v>
      </c>
      <c r="I1362">
        <v>1008</v>
      </c>
      <c r="J1362">
        <v>0</v>
      </c>
      <c r="M1362">
        <v>0.89</v>
      </c>
      <c r="N1362">
        <v>897.12</v>
      </c>
      <c r="O1362">
        <v>-897.12</v>
      </c>
      <c r="P1362">
        <v>0</v>
      </c>
    </row>
    <row r="1363" spans="1:16" hidden="1" x14ac:dyDescent="0.25">
      <c r="A1363" t="s">
        <v>2040</v>
      </c>
      <c r="B1363" t="s">
        <v>2041</v>
      </c>
      <c r="C1363" t="s">
        <v>1976</v>
      </c>
      <c r="D1363" s="11" t="s">
        <v>2430</v>
      </c>
      <c r="E1363" s="12">
        <v>46020</v>
      </c>
      <c r="F1363" s="12">
        <v>46022</v>
      </c>
      <c r="G1363" t="s">
        <v>2431</v>
      </c>
      <c r="H1363" t="s">
        <v>1617</v>
      </c>
      <c r="I1363">
        <v>4500</v>
      </c>
      <c r="J1363">
        <v>0</v>
      </c>
      <c r="M1363">
        <v>0.13714999999999999</v>
      </c>
      <c r="N1363">
        <v>617.17499999999995</v>
      </c>
      <c r="O1363">
        <v>-617.17499999999995</v>
      </c>
      <c r="P1363">
        <v>0</v>
      </c>
    </row>
    <row r="1364" spans="1:16" hidden="1" x14ac:dyDescent="0.25">
      <c r="A1364" t="s">
        <v>2040</v>
      </c>
      <c r="B1364" t="s">
        <v>2041</v>
      </c>
      <c r="C1364" t="s">
        <v>1976</v>
      </c>
      <c r="D1364" s="11" t="s">
        <v>2430</v>
      </c>
      <c r="E1364" s="12">
        <v>46020</v>
      </c>
      <c r="F1364" s="12">
        <v>46022</v>
      </c>
      <c r="G1364" t="s">
        <v>2431</v>
      </c>
      <c r="H1364" t="s">
        <v>661</v>
      </c>
      <c r="I1364">
        <v>1500</v>
      </c>
      <c r="J1364">
        <v>0</v>
      </c>
      <c r="M1364">
        <v>0.16900000000000001</v>
      </c>
      <c r="N1364">
        <v>253.5</v>
      </c>
      <c r="O1364">
        <v>-253.5</v>
      </c>
      <c r="P1364">
        <v>0</v>
      </c>
    </row>
    <row r="1365" spans="1:16" hidden="1" x14ac:dyDescent="0.25">
      <c r="A1365" t="s">
        <v>2040</v>
      </c>
      <c r="B1365" t="s">
        <v>2041</v>
      </c>
      <c r="C1365" t="s">
        <v>1976</v>
      </c>
      <c r="D1365" s="11" t="s">
        <v>2430</v>
      </c>
      <c r="E1365" s="12">
        <v>46020</v>
      </c>
      <c r="F1365" s="12">
        <v>46022</v>
      </c>
      <c r="G1365" t="s">
        <v>2431</v>
      </c>
      <c r="H1365" t="s">
        <v>1109</v>
      </c>
      <c r="I1365">
        <v>60</v>
      </c>
      <c r="J1365">
        <v>0</v>
      </c>
      <c r="M1365">
        <v>57.5</v>
      </c>
      <c r="N1365">
        <v>3450</v>
      </c>
      <c r="O1365">
        <v>-3450</v>
      </c>
      <c r="P1365">
        <v>0</v>
      </c>
    </row>
    <row r="1366" spans="1:16" hidden="1" x14ac:dyDescent="0.25">
      <c r="A1366" t="s">
        <v>2040</v>
      </c>
      <c r="B1366" t="s">
        <v>2041</v>
      </c>
      <c r="C1366" t="s">
        <v>1976</v>
      </c>
      <c r="D1366" s="11" t="s">
        <v>2430</v>
      </c>
      <c r="E1366" s="12">
        <v>46020</v>
      </c>
      <c r="F1366" s="12">
        <v>46022</v>
      </c>
      <c r="G1366" t="s">
        <v>2431</v>
      </c>
      <c r="H1366" t="s">
        <v>37</v>
      </c>
      <c r="I1366">
        <v>167</v>
      </c>
      <c r="J1366">
        <v>0</v>
      </c>
      <c r="M1366">
        <v>2.2709999999999999</v>
      </c>
      <c r="N1366">
        <v>379.25700000000001</v>
      </c>
      <c r="O1366">
        <v>-379.25700000000001</v>
      </c>
      <c r="P1366">
        <v>0</v>
      </c>
    </row>
    <row r="1367" spans="1:16" hidden="1" x14ac:dyDescent="0.25">
      <c r="A1367" t="s">
        <v>2040</v>
      </c>
      <c r="B1367" t="s">
        <v>2041</v>
      </c>
      <c r="C1367" t="s">
        <v>1976</v>
      </c>
      <c r="D1367" s="11" t="s">
        <v>2430</v>
      </c>
      <c r="E1367" s="12">
        <v>46020</v>
      </c>
      <c r="F1367" s="12">
        <v>46022</v>
      </c>
      <c r="G1367" t="s">
        <v>2431</v>
      </c>
      <c r="H1367" t="s">
        <v>620</v>
      </c>
      <c r="I1367">
        <v>450</v>
      </c>
      <c r="J1367">
        <v>0</v>
      </c>
      <c r="M1367">
        <v>0.129</v>
      </c>
      <c r="N1367">
        <v>58.05</v>
      </c>
      <c r="O1367">
        <v>-58.05</v>
      </c>
      <c r="P1367">
        <v>0</v>
      </c>
    </row>
    <row r="1368" spans="1:16" hidden="1" x14ac:dyDescent="0.25">
      <c r="A1368" t="s">
        <v>2040</v>
      </c>
      <c r="B1368" t="s">
        <v>2041</v>
      </c>
      <c r="C1368" t="s">
        <v>1976</v>
      </c>
      <c r="D1368" s="11" t="s">
        <v>2430</v>
      </c>
      <c r="E1368" s="12">
        <v>46020</v>
      </c>
      <c r="F1368" s="12">
        <v>46022</v>
      </c>
      <c r="G1368" t="s">
        <v>2431</v>
      </c>
      <c r="H1368" t="s">
        <v>353</v>
      </c>
      <c r="I1368">
        <v>60</v>
      </c>
      <c r="J1368">
        <v>0</v>
      </c>
      <c r="M1368">
        <v>2.7519999999999998</v>
      </c>
      <c r="N1368">
        <v>165.12</v>
      </c>
      <c r="O1368">
        <v>-165.12</v>
      </c>
      <c r="P1368">
        <v>0</v>
      </c>
    </row>
    <row r="1369" spans="1:16" hidden="1" x14ac:dyDescent="0.25">
      <c r="A1369" t="s">
        <v>2040</v>
      </c>
      <c r="B1369" t="s">
        <v>2041</v>
      </c>
      <c r="C1369" t="s">
        <v>1976</v>
      </c>
      <c r="D1369" s="11" t="s">
        <v>2430</v>
      </c>
      <c r="E1369" s="12">
        <v>46020</v>
      </c>
      <c r="F1369" s="12">
        <v>46022</v>
      </c>
      <c r="G1369" t="s">
        <v>2431</v>
      </c>
      <c r="H1369" t="s">
        <v>1201</v>
      </c>
      <c r="I1369">
        <v>1950</v>
      </c>
      <c r="J1369">
        <v>0</v>
      </c>
      <c r="M1369">
        <v>4.6727699999999999</v>
      </c>
      <c r="N1369">
        <v>9111.9014999999999</v>
      </c>
      <c r="O1369">
        <v>-9111.9014999999999</v>
      </c>
      <c r="P1369">
        <v>0</v>
      </c>
    </row>
    <row r="1370" spans="1:16" hidden="1" x14ac:dyDescent="0.25">
      <c r="A1370" t="s">
        <v>2040</v>
      </c>
      <c r="B1370" t="s">
        <v>2041</v>
      </c>
      <c r="C1370" t="s">
        <v>1976</v>
      </c>
      <c r="D1370" s="11" t="s">
        <v>2430</v>
      </c>
      <c r="E1370" s="12">
        <v>46020</v>
      </c>
      <c r="F1370" s="12">
        <v>46022</v>
      </c>
      <c r="G1370" t="s">
        <v>2431</v>
      </c>
      <c r="H1370" t="s">
        <v>72</v>
      </c>
      <c r="I1370">
        <v>60</v>
      </c>
      <c r="J1370">
        <v>0</v>
      </c>
      <c r="M1370">
        <v>590</v>
      </c>
      <c r="N1370">
        <v>35400</v>
      </c>
      <c r="O1370">
        <v>-35400</v>
      </c>
      <c r="P1370">
        <v>0</v>
      </c>
    </row>
    <row r="1371" spans="1:16" hidden="1" x14ac:dyDescent="0.25">
      <c r="A1371" t="s">
        <v>2040</v>
      </c>
      <c r="B1371" t="s">
        <v>2041</v>
      </c>
      <c r="C1371" t="s">
        <v>1976</v>
      </c>
      <c r="D1371" s="11" t="s">
        <v>2430</v>
      </c>
      <c r="E1371" s="12">
        <v>46020</v>
      </c>
      <c r="F1371" s="12">
        <v>46022</v>
      </c>
      <c r="G1371" t="s">
        <v>2431</v>
      </c>
      <c r="H1371" t="s">
        <v>74</v>
      </c>
      <c r="I1371">
        <v>60</v>
      </c>
      <c r="J1371">
        <v>0</v>
      </c>
      <c r="M1371">
        <v>590</v>
      </c>
      <c r="N1371">
        <v>35400</v>
      </c>
      <c r="O1371">
        <v>-35400</v>
      </c>
      <c r="P1371">
        <v>0</v>
      </c>
    </row>
    <row r="1372" spans="1:16" hidden="1" x14ac:dyDescent="0.25">
      <c r="A1372" t="s">
        <v>2040</v>
      </c>
      <c r="B1372" t="s">
        <v>2041</v>
      </c>
      <c r="C1372" t="s">
        <v>1976</v>
      </c>
      <c r="D1372" s="11" t="s">
        <v>2430</v>
      </c>
      <c r="E1372" s="12">
        <v>46020</v>
      </c>
      <c r="F1372" s="12">
        <v>46022</v>
      </c>
      <c r="G1372" t="s">
        <v>2431</v>
      </c>
      <c r="H1372" t="s">
        <v>89</v>
      </c>
      <c r="I1372">
        <v>240</v>
      </c>
      <c r="J1372">
        <v>0</v>
      </c>
      <c r="M1372">
        <v>1.9719</v>
      </c>
      <c r="N1372">
        <v>473.25599999999997</v>
      </c>
      <c r="O1372">
        <v>-473.25599999999997</v>
      </c>
      <c r="P1372">
        <v>0</v>
      </c>
    </row>
    <row r="1373" spans="1:16" hidden="1" x14ac:dyDescent="0.25">
      <c r="A1373" t="s">
        <v>2040</v>
      </c>
      <c r="B1373" t="s">
        <v>2041</v>
      </c>
      <c r="C1373" t="s">
        <v>1976</v>
      </c>
      <c r="D1373" s="11" t="s">
        <v>2430</v>
      </c>
      <c r="E1373" s="12">
        <v>46020</v>
      </c>
      <c r="F1373" s="12">
        <v>46022</v>
      </c>
      <c r="G1373" t="s">
        <v>2431</v>
      </c>
      <c r="H1373" t="s">
        <v>250</v>
      </c>
      <c r="I1373">
        <v>400</v>
      </c>
      <c r="J1373">
        <v>0</v>
      </c>
      <c r="M1373">
        <v>0.8</v>
      </c>
      <c r="N1373">
        <v>320</v>
      </c>
      <c r="O1373">
        <v>-320</v>
      </c>
      <c r="P1373">
        <v>0</v>
      </c>
    </row>
    <row r="1374" spans="1:16" hidden="1" x14ac:dyDescent="0.25">
      <c r="A1374" t="s">
        <v>2040</v>
      </c>
      <c r="B1374" t="s">
        <v>2041</v>
      </c>
      <c r="C1374" t="s">
        <v>1976</v>
      </c>
      <c r="D1374" s="11" t="s">
        <v>2430</v>
      </c>
      <c r="E1374" s="12">
        <v>46020</v>
      </c>
      <c r="F1374" s="12">
        <v>46022</v>
      </c>
      <c r="G1374" t="s">
        <v>2431</v>
      </c>
      <c r="H1374" t="s">
        <v>252</v>
      </c>
      <c r="I1374">
        <v>250</v>
      </c>
      <c r="J1374">
        <v>0</v>
      </c>
      <c r="M1374">
        <v>2.234</v>
      </c>
      <c r="N1374">
        <v>558.5</v>
      </c>
      <c r="O1374">
        <v>-558.5</v>
      </c>
      <c r="P1374">
        <v>0</v>
      </c>
    </row>
    <row r="1375" spans="1:16" hidden="1" x14ac:dyDescent="0.25">
      <c r="A1375" t="s">
        <v>2040</v>
      </c>
      <c r="B1375" t="s">
        <v>2041</v>
      </c>
      <c r="C1375" t="s">
        <v>1976</v>
      </c>
      <c r="D1375" s="11" t="s">
        <v>2430</v>
      </c>
      <c r="E1375" s="12">
        <v>46020</v>
      </c>
      <c r="F1375" s="12">
        <v>46022</v>
      </c>
      <c r="G1375" t="s">
        <v>2431</v>
      </c>
      <c r="H1375" t="s">
        <v>775</v>
      </c>
      <c r="I1375">
        <v>120</v>
      </c>
      <c r="J1375">
        <v>0</v>
      </c>
      <c r="M1375">
        <v>0.73499999999999999</v>
      </c>
      <c r="N1375">
        <v>88.2</v>
      </c>
      <c r="O1375">
        <v>-88.2</v>
      </c>
      <c r="P1375">
        <v>0</v>
      </c>
    </row>
    <row r="1376" spans="1:16" hidden="1" x14ac:dyDescent="0.25">
      <c r="A1376" t="s">
        <v>2040</v>
      </c>
      <c r="B1376" t="s">
        <v>2041</v>
      </c>
      <c r="C1376" t="s">
        <v>1976</v>
      </c>
      <c r="D1376" s="11" t="s">
        <v>2430</v>
      </c>
      <c r="E1376" s="12">
        <v>46020</v>
      </c>
      <c r="F1376" s="12">
        <v>46022</v>
      </c>
      <c r="G1376" t="s">
        <v>2431</v>
      </c>
      <c r="H1376" t="s">
        <v>806</v>
      </c>
      <c r="I1376">
        <v>5000</v>
      </c>
      <c r="J1376">
        <v>0</v>
      </c>
      <c r="M1376">
        <v>0.14399999999999999</v>
      </c>
      <c r="N1376">
        <v>720</v>
      </c>
      <c r="O1376">
        <v>-720</v>
      </c>
      <c r="P1376">
        <v>0</v>
      </c>
    </row>
    <row r="1377" spans="1:17" hidden="1" x14ac:dyDescent="0.25">
      <c r="A1377" t="s">
        <v>2040</v>
      </c>
      <c r="B1377" t="s">
        <v>2041</v>
      </c>
      <c r="C1377" t="s">
        <v>1976</v>
      </c>
      <c r="D1377" s="11" t="s">
        <v>2430</v>
      </c>
      <c r="E1377" s="12">
        <v>46020</v>
      </c>
      <c r="F1377" s="12">
        <v>46022</v>
      </c>
      <c r="G1377" t="s">
        <v>2431</v>
      </c>
      <c r="H1377" t="s">
        <v>997</v>
      </c>
      <c r="I1377">
        <v>1005</v>
      </c>
      <c r="J1377">
        <v>0</v>
      </c>
      <c r="M1377">
        <v>18.690000000000001</v>
      </c>
      <c r="N1377">
        <v>18783.45</v>
      </c>
      <c r="O1377">
        <v>-18783.45</v>
      </c>
      <c r="P1377">
        <v>0</v>
      </c>
    </row>
    <row r="1378" spans="1:17" hidden="1" x14ac:dyDescent="0.25">
      <c r="A1378" t="s">
        <v>2040</v>
      </c>
      <c r="B1378" t="s">
        <v>2041</v>
      </c>
      <c r="C1378" t="s">
        <v>1976</v>
      </c>
      <c r="D1378" s="11" t="s">
        <v>2430</v>
      </c>
      <c r="E1378" s="12">
        <v>46020</v>
      </c>
      <c r="F1378" s="12">
        <v>46022</v>
      </c>
      <c r="G1378" t="s">
        <v>2431</v>
      </c>
      <c r="H1378" t="s">
        <v>1043</v>
      </c>
      <c r="I1378">
        <v>2500</v>
      </c>
      <c r="J1378">
        <v>0</v>
      </c>
      <c r="M1378">
        <v>0.34100000000000003</v>
      </c>
      <c r="N1378">
        <v>852.5</v>
      </c>
      <c r="O1378">
        <v>-852.5</v>
      </c>
      <c r="P1378">
        <v>0</v>
      </c>
    </row>
    <row r="1379" spans="1:17" hidden="1" x14ac:dyDescent="0.25">
      <c r="A1379" t="s">
        <v>2040</v>
      </c>
      <c r="B1379" t="s">
        <v>2041</v>
      </c>
      <c r="C1379" t="s">
        <v>1976</v>
      </c>
      <c r="D1379" s="11" t="s">
        <v>2430</v>
      </c>
      <c r="E1379" s="12">
        <v>46020</v>
      </c>
      <c r="F1379" s="12">
        <v>46022</v>
      </c>
      <c r="G1379" t="s">
        <v>2431</v>
      </c>
      <c r="H1379" t="s">
        <v>1621</v>
      </c>
      <c r="I1379">
        <v>2984</v>
      </c>
      <c r="J1379">
        <v>0</v>
      </c>
      <c r="M1379">
        <v>8.5967699999999994</v>
      </c>
      <c r="N1379">
        <v>25652.76168</v>
      </c>
      <c r="O1379">
        <v>-25652.76168</v>
      </c>
      <c r="P1379">
        <v>0</v>
      </c>
    </row>
    <row r="1380" spans="1:17" hidden="1" x14ac:dyDescent="0.25">
      <c r="A1380" t="s">
        <v>2040</v>
      </c>
      <c r="B1380" t="s">
        <v>2041</v>
      </c>
      <c r="C1380" t="s">
        <v>1976</v>
      </c>
      <c r="D1380" s="11" t="s">
        <v>2430</v>
      </c>
      <c r="E1380" s="12">
        <v>46020</v>
      </c>
      <c r="F1380" s="12">
        <v>46022</v>
      </c>
      <c r="G1380" t="s">
        <v>2431</v>
      </c>
      <c r="H1380" t="s">
        <v>755</v>
      </c>
      <c r="I1380">
        <v>52</v>
      </c>
      <c r="J1380">
        <v>0</v>
      </c>
      <c r="M1380">
        <v>39</v>
      </c>
      <c r="N1380">
        <v>2028</v>
      </c>
      <c r="O1380">
        <v>-2028</v>
      </c>
      <c r="P1380">
        <v>0</v>
      </c>
    </row>
    <row r="1381" spans="1:17" hidden="1" x14ac:dyDescent="0.25">
      <c r="A1381" t="s">
        <v>2040</v>
      </c>
      <c r="B1381" t="s">
        <v>2041</v>
      </c>
      <c r="C1381" t="s">
        <v>1976</v>
      </c>
      <c r="D1381" s="11" t="s">
        <v>2430</v>
      </c>
      <c r="E1381" s="12">
        <v>46020</v>
      </c>
      <c r="F1381" s="12">
        <v>46022</v>
      </c>
      <c r="G1381" t="s">
        <v>2431</v>
      </c>
      <c r="H1381" t="s">
        <v>1239</v>
      </c>
      <c r="I1381">
        <v>174</v>
      </c>
      <c r="J1381">
        <v>0</v>
      </c>
      <c r="M1381">
        <v>2.5</v>
      </c>
      <c r="N1381">
        <v>435</v>
      </c>
      <c r="O1381">
        <v>-435</v>
      </c>
      <c r="P1381">
        <v>0</v>
      </c>
    </row>
    <row r="1382" spans="1:17" hidden="1" x14ac:dyDescent="0.25">
      <c r="A1382" t="s">
        <v>2040</v>
      </c>
      <c r="B1382" t="s">
        <v>2041</v>
      </c>
      <c r="C1382" t="s">
        <v>1976</v>
      </c>
      <c r="D1382" s="11" t="s">
        <v>2430</v>
      </c>
      <c r="E1382" s="12">
        <v>46020</v>
      </c>
      <c r="F1382" s="12">
        <v>46022</v>
      </c>
      <c r="G1382" t="s">
        <v>2431</v>
      </c>
      <c r="H1382" t="s">
        <v>198</v>
      </c>
      <c r="I1382">
        <v>60</v>
      </c>
      <c r="J1382">
        <v>0</v>
      </c>
      <c r="M1382">
        <v>12.670999999999999</v>
      </c>
      <c r="N1382">
        <v>760.26</v>
      </c>
      <c r="O1382">
        <v>-760.26</v>
      </c>
      <c r="P1382">
        <v>0</v>
      </c>
    </row>
    <row r="1383" spans="1:17" hidden="1" x14ac:dyDescent="0.25">
      <c r="A1383" t="s">
        <v>2040</v>
      </c>
      <c r="B1383" t="s">
        <v>2041</v>
      </c>
      <c r="C1383" t="s">
        <v>1976</v>
      </c>
      <c r="D1383" s="11" t="s">
        <v>2430</v>
      </c>
      <c r="E1383" s="12">
        <v>46020</v>
      </c>
      <c r="F1383" s="12">
        <v>46022</v>
      </c>
      <c r="G1383" t="s">
        <v>2431</v>
      </c>
      <c r="H1383" t="s">
        <v>539</v>
      </c>
      <c r="I1383">
        <v>1000</v>
      </c>
      <c r="J1383">
        <v>0</v>
      </c>
      <c r="M1383">
        <v>0.7</v>
      </c>
      <c r="N1383">
        <v>700</v>
      </c>
      <c r="O1383">
        <v>-700</v>
      </c>
      <c r="P1383">
        <v>0</v>
      </c>
    </row>
    <row r="1384" spans="1:17" hidden="1" x14ac:dyDescent="0.25">
      <c r="A1384" t="s">
        <v>2040</v>
      </c>
      <c r="B1384" t="s">
        <v>2041</v>
      </c>
      <c r="C1384" t="s">
        <v>1976</v>
      </c>
      <c r="D1384" s="11" t="s">
        <v>2430</v>
      </c>
      <c r="E1384" s="12">
        <v>46020</v>
      </c>
      <c r="F1384" s="12">
        <v>46022</v>
      </c>
      <c r="G1384" t="s">
        <v>2431</v>
      </c>
      <c r="H1384" t="s">
        <v>1551</v>
      </c>
      <c r="I1384">
        <v>10000</v>
      </c>
      <c r="J1384">
        <v>0</v>
      </c>
      <c r="M1384">
        <v>1.7999999999999999E-2</v>
      </c>
      <c r="N1384">
        <v>180</v>
      </c>
      <c r="O1384">
        <v>-180</v>
      </c>
      <c r="P1384">
        <v>0</v>
      </c>
    </row>
    <row r="1385" spans="1:17" hidden="1" x14ac:dyDescent="0.25">
      <c r="A1385" t="s">
        <v>2040</v>
      </c>
      <c r="B1385" t="s">
        <v>2041</v>
      </c>
      <c r="C1385" t="s">
        <v>1976</v>
      </c>
      <c r="D1385" s="11" t="s">
        <v>2430</v>
      </c>
      <c r="E1385" s="12">
        <v>46020</v>
      </c>
      <c r="F1385" s="12">
        <v>46022</v>
      </c>
      <c r="G1385" t="s">
        <v>2431</v>
      </c>
      <c r="H1385" t="s">
        <v>284</v>
      </c>
      <c r="I1385">
        <v>1050</v>
      </c>
      <c r="J1385">
        <v>0</v>
      </c>
      <c r="M1385">
        <v>0.69</v>
      </c>
      <c r="N1385">
        <v>724.5</v>
      </c>
      <c r="O1385">
        <v>-724.5</v>
      </c>
      <c r="P1385">
        <v>0</v>
      </c>
    </row>
    <row r="1386" spans="1:17" hidden="1" x14ac:dyDescent="0.25">
      <c r="A1386" t="s">
        <v>2040</v>
      </c>
      <c r="B1386" t="s">
        <v>2041</v>
      </c>
      <c r="C1386" t="s">
        <v>1976</v>
      </c>
      <c r="D1386" s="11" t="s">
        <v>2430</v>
      </c>
      <c r="E1386" s="12">
        <v>46020</v>
      </c>
      <c r="F1386" s="12">
        <v>46022</v>
      </c>
      <c r="G1386" t="s">
        <v>2431</v>
      </c>
      <c r="H1386" t="s">
        <v>1239</v>
      </c>
      <c r="I1386">
        <v>626</v>
      </c>
      <c r="J1386">
        <v>0</v>
      </c>
      <c r="M1386">
        <v>2.5</v>
      </c>
      <c r="N1386">
        <v>1565</v>
      </c>
      <c r="O1386">
        <v>-1565</v>
      </c>
      <c r="P1386">
        <v>0</v>
      </c>
    </row>
    <row r="1387" spans="1:17" x14ac:dyDescent="0.25">
      <c r="A1387" t="s">
        <v>1974</v>
      </c>
      <c r="B1387" t="s">
        <v>1975</v>
      </c>
      <c r="C1387" t="s">
        <v>1976</v>
      </c>
      <c r="D1387" s="11">
        <v>83486</v>
      </c>
      <c r="E1387" s="12">
        <v>46020</v>
      </c>
      <c r="F1387" s="12">
        <v>46020</v>
      </c>
      <c r="G1387" t="s">
        <v>2432</v>
      </c>
      <c r="H1387" t="s">
        <v>1080</v>
      </c>
      <c r="I1387">
        <v>11</v>
      </c>
      <c r="J1387">
        <v>125.76300000000001</v>
      </c>
      <c r="M1387">
        <v>7.5789999999999997</v>
      </c>
      <c r="N1387">
        <v>83.369</v>
      </c>
      <c r="O1387">
        <v>42.390999999999998</v>
      </c>
      <c r="P1387">
        <v>33.707799999999999</v>
      </c>
      <c r="Q1387" t="s">
        <v>1079</v>
      </c>
    </row>
    <row r="1388" spans="1:17" x14ac:dyDescent="0.25">
      <c r="A1388" t="s">
        <v>1974</v>
      </c>
      <c r="B1388" t="s">
        <v>1975</v>
      </c>
      <c r="C1388" t="s">
        <v>1976</v>
      </c>
      <c r="D1388" s="11">
        <v>83627</v>
      </c>
      <c r="E1388" s="12">
        <v>46035</v>
      </c>
      <c r="F1388" s="12">
        <v>46036</v>
      </c>
      <c r="G1388" t="s">
        <v>2433</v>
      </c>
      <c r="H1388" t="s">
        <v>1851</v>
      </c>
      <c r="I1388">
        <v>15</v>
      </c>
      <c r="J1388">
        <v>57.613500000000002</v>
      </c>
      <c r="K1388" t="s">
        <v>2434</v>
      </c>
      <c r="L1388" t="s">
        <v>2041</v>
      </c>
      <c r="M1388">
        <v>3.14954</v>
      </c>
      <c r="N1388">
        <v>47.243099999999998</v>
      </c>
      <c r="O1388">
        <v>10.366899999999999</v>
      </c>
      <c r="P1388">
        <v>17.994900000000001</v>
      </c>
      <c r="Q1388" t="s">
        <v>2435</v>
      </c>
    </row>
    <row r="1389" spans="1:17" x14ac:dyDescent="0.25">
      <c r="A1389" t="s">
        <v>2060</v>
      </c>
      <c r="B1389" t="s">
        <v>2061</v>
      </c>
      <c r="C1389" t="s">
        <v>1976</v>
      </c>
      <c r="D1389" s="11">
        <v>6100072220</v>
      </c>
      <c r="E1389" s="12">
        <v>46035</v>
      </c>
      <c r="F1389" s="12">
        <v>46037</v>
      </c>
      <c r="G1389" t="s">
        <v>2436</v>
      </c>
      <c r="H1389" t="s">
        <v>1047</v>
      </c>
      <c r="I1389">
        <v>15</v>
      </c>
      <c r="J1389">
        <v>17.036999999999999</v>
      </c>
      <c r="K1389" t="s">
        <v>2434</v>
      </c>
      <c r="L1389" t="s">
        <v>2041</v>
      </c>
      <c r="M1389">
        <v>0.93137999999999999</v>
      </c>
      <c r="N1389">
        <v>13.970700000000001</v>
      </c>
      <c r="O1389">
        <v>3.0693000000000001</v>
      </c>
      <c r="P1389">
        <v>18.0123</v>
      </c>
      <c r="Q1389" t="s">
        <v>2437</v>
      </c>
    </row>
    <row r="1390" spans="1:17" x14ac:dyDescent="0.25">
      <c r="A1390" t="s">
        <v>2060</v>
      </c>
      <c r="B1390" t="s">
        <v>2061</v>
      </c>
      <c r="C1390" t="s">
        <v>1976</v>
      </c>
      <c r="D1390" s="11">
        <v>6100072220</v>
      </c>
      <c r="E1390" s="12">
        <v>46035</v>
      </c>
      <c r="F1390" s="12">
        <v>46037</v>
      </c>
      <c r="G1390" t="s">
        <v>2436</v>
      </c>
      <c r="H1390" t="s">
        <v>1653</v>
      </c>
      <c r="I1390">
        <v>25</v>
      </c>
      <c r="J1390">
        <v>2.7650000000000001</v>
      </c>
      <c r="K1390" t="s">
        <v>2434</v>
      </c>
      <c r="L1390" t="s">
        <v>2041</v>
      </c>
      <c r="M1390">
        <v>9.0690000000000007E-2</v>
      </c>
      <c r="N1390">
        <v>2.2672500000000002</v>
      </c>
      <c r="O1390">
        <v>0.50275000000000003</v>
      </c>
      <c r="P1390">
        <v>18.149799999999999</v>
      </c>
      <c r="Q1390" t="s">
        <v>2438</v>
      </c>
    </row>
    <row r="1391" spans="1:17" x14ac:dyDescent="0.25">
      <c r="A1391" t="s">
        <v>2060</v>
      </c>
      <c r="B1391" t="s">
        <v>2061</v>
      </c>
      <c r="C1391" t="s">
        <v>1976</v>
      </c>
      <c r="D1391" s="11">
        <v>6100072220</v>
      </c>
      <c r="E1391" s="12">
        <v>46035</v>
      </c>
      <c r="F1391" s="12">
        <v>46037</v>
      </c>
      <c r="G1391" t="s">
        <v>2436</v>
      </c>
      <c r="H1391" t="s">
        <v>144</v>
      </c>
      <c r="I1391">
        <v>25</v>
      </c>
      <c r="J1391">
        <v>0.56000000000000005</v>
      </c>
      <c r="M1391">
        <v>6.1700000000000001E-3</v>
      </c>
      <c r="N1391">
        <v>0.15425</v>
      </c>
      <c r="O1391">
        <v>0.40575</v>
      </c>
      <c r="P1391">
        <v>72.455299999999994</v>
      </c>
      <c r="Q1391" t="s">
        <v>2305</v>
      </c>
    </row>
    <row r="1392" spans="1:17" x14ac:dyDescent="0.25">
      <c r="A1392" t="s">
        <v>2060</v>
      </c>
      <c r="B1392" t="s">
        <v>2061</v>
      </c>
      <c r="C1392" t="s">
        <v>1976</v>
      </c>
      <c r="D1392" s="11">
        <v>6100072220</v>
      </c>
      <c r="E1392" s="12">
        <v>46035</v>
      </c>
      <c r="F1392" s="12">
        <v>46037</v>
      </c>
      <c r="G1392" t="s">
        <v>2436</v>
      </c>
      <c r="H1392" t="s">
        <v>1290</v>
      </c>
      <c r="I1392">
        <v>20</v>
      </c>
      <c r="J1392">
        <v>3.1520000000000001</v>
      </c>
      <c r="K1392" t="s">
        <v>2434</v>
      </c>
      <c r="L1392" t="s">
        <v>2041</v>
      </c>
      <c r="M1392">
        <v>0.12925</v>
      </c>
      <c r="N1392">
        <v>2.585</v>
      </c>
      <c r="O1392">
        <v>0.56499999999999995</v>
      </c>
      <c r="P1392">
        <v>17.936499999999999</v>
      </c>
      <c r="Q1392" t="s">
        <v>2439</v>
      </c>
    </row>
    <row r="1393" spans="1:17" x14ac:dyDescent="0.25">
      <c r="A1393" t="s">
        <v>2060</v>
      </c>
      <c r="B1393" t="s">
        <v>2061</v>
      </c>
      <c r="C1393" t="s">
        <v>1976</v>
      </c>
      <c r="D1393" s="11">
        <v>6100072220</v>
      </c>
      <c r="E1393" s="12">
        <v>46035</v>
      </c>
      <c r="F1393" s="12">
        <v>46065</v>
      </c>
      <c r="G1393" t="s">
        <v>2436</v>
      </c>
      <c r="H1393" t="s">
        <v>470</v>
      </c>
      <c r="I1393">
        <v>90</v>
      </c>
      <c r="J1393">
        <v>0.54</v>
      </c>
      <c r="K1393" t="s">
        <v>2434</v>
      </c>
      <c r="L1393" t="s">
        <v>2041</v>
      </c>
      <c r="M1393">
        <v>4.8999999999999998E-3</v>
      </c>
      <c r="N1393">
        <v>0.441</v>
      </c>
      <c r="O1393">
        <v>9.9000000000000005E-2</v>
      </c>
      <c r="P1393">
        <v>18.333300000000001</v>
      </c>
      <c r="Q1393" t="s">
        <v>469</v>
      </c>
    </row>
    <row r="1394" spans="1:17" x14ac:dyDescent="0.25">
      <c r="A1394" t="s">
        <v>2060</v>
      </c>
      <c r="B1394" t="s">
        <v>2061</v>
      </c>
      <c r="C1394" t="s">
        <v>1976</v>
      </c>
      <c r="D1394" s="11">
        <v>6100072220</v>
      </c>
      <c r="E1394" s="12">
        <v>46035</v>
      </c>
      <c r="F1394" s="12">
        <v>46037</v>
      </c>
      <c r="G1394" t="s">
        <v>2436</v>
      </c>
      <c r="H1394" t="s">
        <v>1779</v>
      </c>
      <c r="I1394">
        <v>20</v>
      </c>
      <c r="J1394">
        <v>4.6399999999999997</v>
      </c>
      <c r="K1394" t="s">
        <v>2434</v>
      </c>
      <c r="L1394" t="s">
        <v>2041</v>
      </c>
      <c r="M1394">
        <v>0.19025</v>
      </c>
      <c r="N1394">
        <v>3.8050000000000002</v>
      </c>
      <c r="O1394">
        <v>0.83499999999999996</v>
      </c>
      <c r="P1394">
        <v>17.9956</v>
      </c>
      <c r="Q1394" t="s">
        <v>2440</v>
      </c>
    </row>
    <row r="1395" spans="1:17" x14ac:dyDescent="0.25">
      <c r="A1395" t="s">
        <v>2060</v>
      </c>
      <c r="B1395" t="s">
        <v>2061</v>
      </c>
      <c r="C1395" t="s">
        <v>1976</v>
      </c>
      <c r="D1395" s="11">
        <v>6100072220</v>
      </c>
      <c r="E1395" s="12">
        <v>46035</v>
      </c>
      <c r="F1395" s="12">
        <v>46065</v>
      </c>
      <c r="G1395" t="s">
        <v>2436</v>
      </c>
      <c r="H1395" t="s">
        <v>852</v>
      </c>
      <c r="I1395">
        <v>60</v>
      </c>
      <c r="J1395">
        <v>0.27</v>
      </c>
      <c r="K1395" t="s">
        <v>2434</v>
      </c>
      <c r="L1395" t="s">
        <v>2041</v>
      </c>
      <c r="M1395">
        <v>3.6800000000000001E-3</v>
      </c>
      <c r="N1395">
        <v>0.2208</v>
      </c>
      <c r="O1395">
        <v>4.9200000000000001E-2</v>
      </c>
      <c r="P1395">
        <v>18.222200000000001</v>
      </c>
      <c r="Q1395" t="s">
        <v>851</v>
      </c>
    </row>
    <row r="1396" spans="1:17" x14ac:dyDescent="0.25">
      <c r="A1396" t="s">
        <v>2060</v>
      </c>
      <c r="B1396" t="s">
        <v>2061</v>
      </c>
      <c r="C1396" t="s">
        <v>1976</v>
      </c>
      <c r="D1396" s="11">
        <v>6100072220</v>
      </c>
      <c r="E1396" s="12">
        <v>46035</v>
      </c>
      <c r="F1396" s="12">
        <v>46037</v>
      </c>
      <c r="G1396" t="s">
        <v>2436</v>
      </c>
      <c r="H1396" t="s">
        <v>1338</v>
      </c>
      <c r="I1396">
        <v>55</v>
      </c>
      <c r="J1396">
        <v>0.16500000000000001</v>
      </c>
      <c r="K1396" t="s">
        <v>2434</v>
      </c>
      <c r="L1396" t="s">
        <v>2041</v>
      </c>
      <c r="M1396">
        <v>2.4499999999999999E-3</v>
      </c>
      <c r="N1396">
        <v>0.13475000000000001</v>
      </c>
      <c r="O1396">
        <v>3.5249999999999997E-2</v>
      </c>
      <c r="P1396">
        <v>20.735199999999999</v>
      </c>
      <c r="Q1396" t="s">
        <v>2441</v>
      </c>
    </row>
    <row r="1397" spans="1:17" x14ac:dyDescent="0.25">
      <c r="A1397" t="s">
        <v>2060</v>
      </c>
      <c r="B1397" t="s">
        <v>2061</v>
      </c>
      <c r="C1397" t="s">
        <v>1976</v>
      </c>
      <c r="D1397" s="11">
        <v>6100072220</v>
      </c>
      <c r="E1397" s="12">
        <v>46035</v>
      </c>
      <c r="F1397" s="12">
        <v>46037</v>
      </c>
      <c r="G1397" t="s">
        <v>2436</v>
      </c>
      <c r="H1397" t="s">
        <v>1519</v>
      </c>
      <c r="I1397">
        <v>60</v>
      </c>
      <c r="J1397">
        <v>3.09</v>
      </c>
      <c r="K1397" t="s">
        <v>2434</v>
      </c>
      <c r="L1397" t="s">
        <v>2041</v>
      </c>
      <c r="M1397">
        <v>4.2259999999999999E-2</v>
      </c>
      <c r="N1397">
        <v>2.5356000000000001</v>
      </c>
      <c r="O1397">
        <v>0.5544</v>
      </c>
      <c r="P1397">
        <v>17.941700000000001</v>
      </c>
      <c r="Q1397" t="s">
        <v>2286</v>
      </c>
    </row>
    <row r="1398" spans="1:17" x14ac:dyDescent="0.25">
      <c r="A1398" t="s">
        <v>2060</v>
      </c>
      <c r="B1398" t="s">
        <v>2061</v>
      </c>
      <c r="C1398" t="s">
        <v>1976</v>
      </c>
      <c r="D1398" s="11">
        <v>6100072220</v>
      </c>
      <c r="E1398" s="12">
        <v>46035</v>
      </c>
      <c r="F1398" s="12">
        <v>46037</v>
      </c>
      <c r="G1398" t="s">
        <v>2436</v>
      </c>
      <c r="H1398" t="s">
        <v>1513</v>
      </c>
      <c r="I1398">
        <v>20</v>
      </c>
      <c r="J1398">
        <v>3.3180000000000001</v>
      </c>
      <c r="K1398" t="s">
        <v>2434</v>
      </c>
      <c r="L1398" t="s">
        <v>2041</v>
      </c>
      <c r="M1398">
        <v>0.13603000000000001</v>
      </c>
      <c r="N1398">
        <v>2.7206000000000001</v>
      </c>
      <c r="O1398">
        <v>0.59940000000000004</v>
      </c>
      <c r="P1398">
        <v>18.054200000000002</v>
      </c>
      <c r="Q1398" t="s">
        <v>2442</v>
      </c>
    </row>
    <row r="1399" spans="1:17" x14ac:dyDescent="0.25">
      <c r="A1399" t="s">
        <v>2060</v>
      </c>
      <c r="B1399" t="s">
        <v>2061</v>
      </c>
      <c r="C1399" t="s">
        <v>1976</v>
      </c>
      <c r="D1399" s="11">
        <v>6100072220</v>
      </c>
      <c r="E1399" s="12">
        <v>46035</v>
      </c>
      <c r="F1399" s="12">
        <v>46037</v>
      </c>
      <c r="G1399" t="s">
        <v>2436</v>
      </c>
      <c r="H1399" t="s">
        <v>955</v>
      </c>
      <c r="I1399">
        <v>40</v>
      </c>
      <c r="J1399">
        <v>27.856000000000002</v>
      </c>
      <c r="K1399" t="s">
        <v>2434</v>
      </c>
      <c r="L1399" t="s">
        <v>2041</v>
      </c>
      <c r="M1399">
        <v>0.57108000000000003</v>
      </c>
      <c r="N1399">
        <v>22.8432</v>
      </c>
      <c r="O1399">
        <v>5.0167999999999999</v>
      </c>
      <c r="P1399">
        <v>18.007100000000001</v>
      </c>
      <c r="Q1399" t="s">
        <v>2443</v>
      </c>
    </row>
    <row r="1400" spans="1:17" x14ac:dyDescent="0.25">
      <c r="A1400" t="s">
        <v>2060</v>
      </c>
      <c r="B1400" t="s">
        <v>2061</v>
      </c>
      <c r="C1400" t="s">
        <v>1976</v>
      </c>
      <c r="D1400" s="11">
        <v>6100072220</v>
      </c>
      <c r="E1400" s="12">
        <v>46035</v>
      </c>
      <c r="F1400" s="12">
        <v>46065</v>
      </c>
      <c r="G1400" t="s">
        <v>2436</v>
      </c>
      <c r="H1400" t="s">
        <v>1785</v>
      </c>
      <c r="I1400">
        <v>32</v>
      </c>
      <c r="J1400">
        <v>62.6496</v>
      </c>
      <c r="K1400" t="s">
        <v>2434</v>
      </c>
      <c r="L1400" t="s">
        <v>2041</v>
      </c>
      <c r="M1400">
        <v>1.60541</v>
      </c>
      <c r="N1400">
        <v>51.37312</v>
      </c>
      <c r="O1400">
        <v>11.27688</v>
      </c>
      <c r="P1400">
        <v>17.9998</v>
      </c>
      <c r="Q1400" t="s">
        <v>1784</v>
      </c>
    </row>
    <row r="1401" spans="1:17" x14ac:dyDescent="0.25">
      <c r="A1401" t="s">
        <v>2060</v>
      </c>
      <c r="B1401" t="s">
        <v>2061</v>
      </c>
      <c r="C1401" t="s">
        <v>1976</v>
      </c>
      <c r="D1401" s="11">
        <v>6100072220</v>
      </c>
      <c r="E1401" s="12">
        <v>46035</v>
      </c>
      <c r="F1401" s="12">
        <v>46065</v>
      </c>
      <c r="G1401" t="s">
        <v>2436</v>
      </c>
      <c r="H1401" t="s">
        <v>2277</v>
      </c>
      <c r="I1401">
        <v>10</v>
      </c>
      <c r="J1401">
        <v>4.8460000000000001</v>
      </c>
      <c r="K1401" t="s">
        <v>2434</v>
      </c>
      <c r="L1401" t="s">
        <v>2041</v>
      </c>
      <c r="M1401">
        <v>0.39734000000000003</v>
      </c>
      <c r="N1401">
        <v>3.9733999999999998</v>
      </c>
      <c r="O1401">
        <v>0.87660000000000005</v>
      </c>
      <c r="P1401">
        <v>18.074200000000001</v>
      </c>
      <c r="Q1401" t="s">
        <v>2444</v>
      </c>
    </row>
    <row r="1402" spans="1:17" x14ac:dyDescent="0.25">
      <c r="A1402" t="s">
        <v>2060</v>
      </c>
      <c r="B1402" t="s">
        <v>2061</v>
      </c>
      <c r="C1402" t="s">
        <v>1976</v>
      </c>
      <c r="D1402" s="11">
        <v>6100072220</v>
      </c>
      <c r="E1402" s="12">
        <v>46035</v>
      </c>
      <c r="F1402" s="12">
        <v>46065</v>
      </c>
      <c r="G1402" t="s">
        <v>2436</v>
      </c>
      <c r="H1402" t="s">
        <v>969</v>
      </c>
      <c r="I1402">
        <v>10</v>
      </c>
      <c r="J1402">
        <v>43.341000000000001</v>
      </c>
      <c r="K1402" t="s">
        <v>2434</v>
      </c>
      <c r="L1402" t="s">
        <v>2041</v>
      </c>
      <c r="M1402">
        <v>3.5539499999999999</v>
      </c>
      <c r="N1402">
        <v>35.539499999999997</v>
      </c>
      <c r="O1402">
        <v>7.8005000000000004</v>
      </c>
      <c r="P1402">
        <v>17.9983</v>
      </c>
      <c r="Q1402" t="s">
        <v>2291</v>
      </c>
    </row>
    <row r="1403" spans="1:17" x14ac:dyDescent="0.25">
      <c r="A1403" t="s">
        <v>2060</v>
      </c>
      <c r="B1403" t="s">
        <v>2061</v>
      </c>
      <c r="C1403" t="s">
        <v>1976</v>
      </c>
      <c r="D1403" s="11">
        <v>6100072220</v>
      </c>
      <c r="E1403" s="12">
        <v>46035</v>
      </c>
      <c r="F1403" s="12">
        <v>46037</v>
      </c>
      <c r="G1403" t="s">
        <v>2436</v>
      </c>
      <c r="H1403" t="s">
        <v>1229</v>
      </c>
      <c r="I1403">
        <v>10</v>
      </c>
      <c r="J1403">
        <v>16.588999999999999</v>
      </c>
      <c r="M1403">
        <v>0.90100000000000002</v>
      </c>
      <c r="N1403">
        <v>9.01</v>
      </c>
      <c r="O1403">
        <v>7.58</v>
      </c>
      <c r="P1403">
        <v>45.690100000000001</v>
      </c>
      <c r="Q1403" t="s">
        <v>2445</v>
      </c>
    </row>
    <row r="1404" spans="1:17" x14ac:dyDescent="0.25">
      <c r="A1404" t="s">
        <v>2060</v>
      </c>
      <c r="B1404" t="s">
        <v>2061</v>
      </c>
      <c r="C1404" t="s">
        <v>1976</v>
      </c>
      <c r="D1404" s="11">
        <v>6100072220</v>
      </c>
      <c r="E1404" s="12">
        <v>46035</v>
      </c>
      <c r="F1404" s="12">
        <v>46065</v>
      </c>
      <c r="G1404" t="s">
        <v>2436</v>
      </c>
      <c r="H1404" t="s">
        <v>408</v>
      </c>
      <c r="I1404">
        <v>15</v>
      </c>
      <c r="J1404">
        <v>15.423</v>
      </c>
      <c r="K1404" t="s">
        <v>2434</v>
      </c>
      <c r="L1404" t="s">
        <v>2041</v>
      </c>
      <c r="M1404">
        <v>0.84314</v>
      </c>
      <c r="N1404">
        <v>12.6471</v>
      </c>
      <c r="O1404">
        <v>2.7728999999999999</v>
      </c>
      <c r="P1404">
        <v>17.982399999999998</v>
      </c>
      <c r="Q1404" t="s">
        <v>2292</v>
      </c>
    </row>
    <row r="1405" spans="1:17" x14ac:dyDescent="0.25">
      <c r="A1405" t="s">
        <v>2060</v>
      </c>
      <c r="B1405" t="s">
        <v>2061</v>
      </c>
      <c r="C1405" t="s">
        <v>1976</v>
      </c>
      <c r="D1405" s="11">
        <v>6100072220</v>
      </c>
      <c r="E1405" s="12">
        <v>46035</v>
      </c>
      <c r="F1405" s="12">
        <v>46037</v>
      </c>
      <c r="G1405" t="s">
        <v>2436</v>
      </c>
      <c r="H1405" t="s">
        <v>2272</v>
      </c>
      <c r="I1405">
        <v>20</v>
      </c>
      <c r="J1405">
        <v>59.78</v>
      </c>
      <c r="K1405" t="s">
        <v>2434</v>
      </c>
      <c r="L1405" t="s">
        <v>2041</v>
      </c>
      <c r="M1405">
        <v>2.4510000000000001</v>
      </c>
      <c r="N1405">
        <v>49.02</v>
      </c>
      <c r="O1405">
        <v>10.76</v>
      </c>
      <c r="P1405">
        <v>17.999300000000002</v>
      </c>
      <c r="Q1405" t="s">
        <v>2446</v>
      </c>
    </row>
    <row r="1406" spans="1:17" x14ac:dyDescent="0.25">
      <c r="A1406" t="s">
        <v>2060</v>
      </c>
      <c r="B1406" t="s">
        <v>2061</v>
      </c>
      <c r="C1406" t="s">
        <v>1976</v>
      </c>
      <c r="D1406" s="11">
        <v>6100072220</v>
      </c>
      <c r="E1406" s="12">
        <v>46035</v>
      </c>
      <c r="F1406" s="12">
        <v>46037</v>
      </c>
      <c r="G1406" t="s">
        <v>2436</v>
      </c>
      <c r="H1406" t="s">
        <v>608</v>
      </c>
      <c r="I1406">
        <v>55</v>
      </c>
      <c r="J1406">
        <v>0.41249999999999998</v>
      </c>
      <c r="K1406" t="s">
        <v>2434</v>
      </c>
      <c r="L1406" t="s">
        <v>2041</v>
      </c>
      <c r="M1406">
        <v>6.13E-3</v>
      </c>
      <c r="N1406">
        <v>0.33715000000000001</v>
      </c>
      <c r="O1406">
        <v>7.2849999999999998E-2</v>
      </c>
      <c r="P1406">
        <v>17.7682</v>
      </c>
      <c r="Q1406" t="s">
        <v>2447</v>
      </c>
    </row>
    <row r="1407" spans="1:17" x14ac:dyDescent="0.25">
      <c r="A1407" t="s">
        <v>2060</v>
      </c>
      <c r="B1407" t="s">
        <v>2061</v>
      </c>
      <c r="C1407" t="s">
        <v>1976</v>
      </c>
      <c r="D1407" s="11">
        <v>6100072220</v>
      </c>
      <c r="E1407" s="12">
        <v>46035</v>
      </c>
      <c r="F1407" s="12">
        <v>46065</v>
      </c>
      <c r="G1407" t="s">
        <v>2436</v>
      </c>
      <c r="H1407" t="s">
        <v>1065</v>
      </c>
      <c r="I1407">
        <v>20</v>
      </c>
      <c r="J1407">
        <v>4.0060000000000002</v>
      </c>
      <c r="K1407" t="s">
        <v>2434</v>
      </c>
      <c r="L1407" t="s">
        <v>2041</v>
      </c>
      <c r="M1407">
        <v>0.16422</v>
      </c>
      <c r="N1407">
        <v>3.2844000000000002</v>
      </c>
      <c r="O1407">
        <v>0.72560000000000002</v>
      </c>
      <c r="P1407">
        <v>18.0947</v>
      </c>
      <c r="Q1407" t="s">
        <v>1064</v>
      </c>
    </row>
    <row r="1408" spans="1:17" x14ac:dyDescent="0.25">
      <c r="A1408" t="s">
        <v>2060</v>
      </c>
      <c r="B1408" t="s">
        <v>2061</v>
      </c>
      <c r="C1408" t="s">
        <v>1976</v>
      </c>
      <c r="D1408" s="11">
        <v>6100072220</v>
      </c>
      <c r="E1408" s="12">
        <v>46035</v>
      </c>
      <c r="F1408" s="12">
        <v>46037</v>
      </c>
      <c r="G1408" t="s">
        <v>2436</v>
      </c>
      <c r="H1408" t="s">
        <v>935</v>
      </c>
      <c r="I1408">
        <v>25</v>
      </c>
      <c r="J1408">
        <v>8.2949999999999999</v>
      </c>
      <c r="K1408" t="s">
        <v>2434</v>
      </c>
      <c r="L1408" t="s">
        <v>2041</v>
      </c>
      <c r="M1408">
        <v>0.27206000000000002</v>
      </c>
      <c r="N1408">
        <v>6.8014999999999999</v>
      </c>
      <c r="O1408">
        <v>1.4984999999999999</v>
      </c>
      <c r="P1408">
        <v>18.054200000000002</v>
      </c>
      <c r="Q1408" t="s">
        <v>2448</v>
      </c>
    </row>
    <row r="1409" spans="1:17" x14ac:dyDescent="0.25">
      <c r="A1409" t="s">
        <v>2060</v>
      </c>
      <c r="B1409" t="s">
        <v>2061</v>
      </c>
      <c r="C1409" t="s">
        <v>1976</v>
      </c>
      <c r="D1409" s="11">
        <v>6100072220</v>
      </c>
      <c r="E1409" s="12">
        <v>46035</v>
      </c>
      <c r="F1409" s="12">
        <v>46037</v>
      </c>
      <c r="G1409" t="s">
        <v>2436</v>
      </c>
      <c r="H1409" t="s">
        <v>1249</v>
      </c>
      <c r="I1409">
        <v>20</v>
      </c>
      <c r="J1409">
        <v>75.233999999999995</v>
      </c>
      <c r="M1409">
        <v>2.5</v>
      </c>
      <c r="N1409">
        <v>50</v>
      </c>
      <c r="O1409">
        <v>25.23</v>
      </c>
      <c r="P1409">
        <v>33.537100000000002</v>
      </c>
      <c r="Q1409" t="s">
        <v>2077</v>
      </c>
    </row>
    <row r="1410" spans="1:17" x14ac:dyDescent="0.25">
      <c r="A1410" t="s">
        <v>2060</v>
      </c>
      <c r="B1410" t="s">
        <v>2061</v>
      </c>
      <c r="C1410" t="s">
        <v>1976</v>
      </c>
      <c r="D1410" s="11">
        <v>6100072220</v>
      </c>
      <c r="E1410" s="12">
        <v>46035</v>
      </c>
      <c r="F1410" s="12">
        <v>46037</v>
      </c>
      <c r="G1410" t="s">
        <v>2436</v>
      </c>
      <c r="H1410" t="s">
        <v>12</v>
      </c>
      <c r="I1410">
        <v>55</v>
      </c>
      <c r="J1410">
        <v>7.5625</v>
      </c>
      <c r="K1410" t="s">
        <v>2434</v>
      </c>
      <c r="L1410" t="s">
        <v>2041</v>
      </c>
      <c r="M1410">
        <v>0.11275</v>
      </c>
      <c r="N1410">
        <v>6.2012499999999999</v>
      </c>
      <c r="O1410">
        <v>1.3587499999999999</v>
      </c>
      <c r="P1410">
        <v>17.972799999999999</v>
      </c>
      <c r="Q1410" t="s">
        <v>1850</v>
      </c>
    </row>
    <row r="1411" spans="1:17" x14ac:dyDescent="0.25">
      <c r="A1411" t="s">
        <v>1974</v>
      </c>
      <c r="B1411" t="s">
        <v>1975</v>
      </c>
      <c r="C1411" t="s">
        <v>1976</v>
      </c>
      <c r="D1411" s="11">
        <v>83652</v>
      </c>
      <c r="E1411" s="12">
        <v>46035</v>
      </c>
      <c r="F1411" s="12">
        <v>46036</v>
      </c>
      <c r="G1411" t="s">
        <v>2449</v>
      </c>
      <c r="H1411" t="s">
        <v>1582</v>
      </c>
      <c r="I1411">
        <v>8</v>
      </c>
      <c r="J1411">
        <v>3.1328</v>
      </c>
      <c r="M1411">
        <v>0.245</v>
      </c>
      <c r="N1411">
        <v>1.96</v>
      </c>
      <c r="O1411">
        <v>1.17</v>
      </c>
      <c r="P1411">
        <v>37.380099999999999</v>
      </c>
      <c r="Q1411" t="s">
        <v>2057</v>
      </c>
    </row>
    <row r="1412" spans="1:17" x14ac:dyDescent="0.25">
      <c r="A1412" t="s">
        <v>1974</v>
      </c>
      <c r="B1412" t="s">
        <v>1975</v>
      </c>
      <c r="C1412" t="s">
        <v>1976</v>
      </c>
      <c r="D1412" s="11">
        <v>83652</v>
      </c>
      <c r="E1412" s="12">
        <v>46035</v>
      </c>
      <c r="F1412" s="12">
        <v>46036</v>
      </c>
      <c r="G1412" t="s">
        <v>2449</v>
      </c>
      <c r="H1412" t="s">
        <v>1587</v>
      </c>
      <c r="I1412">
        <v>8</v>
      </c>
      <c r="J1412">
        <v>5.6783999999999999</v>
      </c>
      <c r="K1412" t="s">
        <v>2434</v>
      </c>
      <c r="L1412" t="s">
        <v>2041</v>
      </c>
      <c r="M1412">
        <v>0.58199999999999996</v>
      </c>
      <c r="N1412">
        <v>4.6559999999999997</v>
      </c>
      <c r="O1412">
        <v>1.024</v>
      </c>
      <c r="P1412">
        <v>18.028099999999998</v>
      </c>
      <c r="Q1412" t="s">
        <v>2450</v>
      </c>
    </row>
    <row r="1413" spans="1:17" x14ac:dyDescent="0.25">
      <c r="A1413" t="s">
        <v>1974</v>
      </c>
      <c r="B1413" t="s">
        <v>1975</v>
      </c>
      <c r="C1413" t="s">
        <v>1976</v>
      </c>
      <c r="D1413" s="11">
        <v>83652</v>
      </c>
      <c r="E1413" s="12">
        <v>46035</v>
      </c>
      <c r="F1413" s="12">
        <v>46036</v>
      </c>
      <c r="G1413" t="s">
        <v>2449</v>
      </c>
      <c r="H1413" t="s">
        <v>1597</v>
      </c>
      <c r="I1413">
        <v>18</v>
      </c>
      <c r="J1413">
        <v>12.776400000000001</v>
      </c>
      <c r="K1413" t="s">
        <v>2434</v>
      </c>
      <c r="L1413" t="s">
        <v>2041</v>
      </c>
      <c r="M1413">
        <v>0.54779999999999995</v>
      </c>
      <c r="N1413">
        <v>9.8604000000000003</v>
      </c>
      <c r="O1413">
        <v>2.9196</v>
      </c>
      <c r="P1413">
        <v>22.844999999999999</v>
      </c>
      <c r="Q1413" t="s">
        <v>2451</v>
      </c>
    </row>
    <row r="1414" spans="1:17" x14ac:dyDescent="0.25">
      <c r="A1414" t="s">
        <v>1974</v>
      </c>
      <c r="B1414" t="s">
        <v>1975</v>
      </c>
      <c r="C1414" t="s">
        <v>1976</v>
      </c>
      <c r="D1414" s="11">
        <v>83652</v>
      </c>
      <c r="E1414" s="12">
        <v>46035</v>
      </c>
      <c r="F1414" s="12">
        <v>46036</v>
      </c>
      <c r="G1414" t="s">
        <v>2449</v>
      </c>
      <c r="H1414" t="s">
        <v>1584</v>
      </c>
      <c r="I1414">
        <v>13</v>
      </c>
      <c r="J1414">
        <v>7.2656999999999998</v>
      </c>
      <c r="M1414">
        <v>0.29499999999999998</v>
      </c>
      <c r="N1414">
        <v>3.835</v>
      </c>
      <c r="O1414">
        <v>3.4350000000000001</v>
      </c>
      <c r="P1414">
        <v>47.248899999999999</v>
      </c>
      <c r="Q1414" t="s">
        <v>2015</v>
      </c>
    </row>
    <row r="1415" spans="1:17" x14ac:dyDescent="0.25">
      <c r="A1415" t="s">
        <v>1974</v>
      </c>
      <c r="B1415" t="s">
        <v>1975</v>
      </c>
      <c r="C1415" t="s">
        <v>1976</v>
      </c>
      <c r="D1415" s="11">
        <v>83652</v>
      </c>
      <c r="E1415" s="12">
        <v>46035</v>
      </c>
      <c r="F1415" s="12">
        <v>46036</v>
      </c>
      <c r="G1415" t="s">
        <v>2449</v>
      </c>
      <c r="H1415" t="s">
        <v>196</v>
      </c>
      <c r="I1415">
        <v>11</v>
      </c>
      <c r="J1415">
        <v>156.5729</v>
      </c>
      <c r="K1415" t="s">
        <v>2434</v>
      </c>
      <c r="L1415" t="s">
        <v>2041</v>
      </c>
      <c r="M1415">
        <v>11.671760000000001</v>
      </c>
      <c r="N1415">
        <v>128.38936000000001</v>
      </c>
      <c r="O1415">
        <v>28.18064</v>
      </c>
      <c r="P1415">
        <v>17.998699999999999</v>
      </c>
    </row>
    <row r="1416" spans="1:17" hidden="1" x14ac:dyDescent="0.25">
      <c r="A1416" t="s">
        <v>2040</v>
      </c>
      <c r="B1416" t="s">
        <v>2041</v>
      </c>
      <c r="C1416" t="s">
        <v>2452</v>
      </c>
      <c r="D1416" s="11">
        <v>4800144736</v>
      </c>
      <c r="E1416" s="12">
        <v>46036</v>
      </c>
      <c r="F1416" s="12">
        <v>46052</v>
      </c>
      <c r="G1416" t="s">
        <v>2453</v>
      </c>
      <c r="H1416" t="s">
        <v>2043</v>
      </c>
      <c r="I1416">
        <v>1</v>
      </c>
      <c r="J1416">
        <v>15000</v>
      </c>
      <c r="M1416">
        <v>0</v>
      </c>
      <c r="N1416">
        <v>0</v>
      </c>
      <c r="O1416">
        <v>15000</v>
      </c>
      <c r="P1416">
        <v>0</v>
      </c>
      <c r="Q1416" t="s">
        <v>2454</v>
      </c>
    </row>
    <row r="1417" spans="1:17" x14ac:dyDescent="0.25">
      <c r="A1417" t="s">
        <v>1974</v>
      </c>
      <c r="B1417" t="s">
        <v>1975</v>
      </c>
      <c r="C1417" t="s">
        <v>1976</v>
      </c>
      <c r="D1417" s="11">
        <v>83686</v>
      </c>
      <c r="E1417" s="12">
        <v>46037</v>
      </c>
      <c r="F1417" s="12">
        <v>46038</v>
      </c>
      <c r="G1417" t="s">
        <v>2455</v>
      </c>
      <c r="H1417" t="s">
        <v>25</v>
      </c>
      <c r="I1417">
        <v>56</v>
      </c>
      <c r="J1417">
        <v>13.132</v>
      </c>
      <c r="M1417">
        <v>0.18</v>
      </c>
      <c r="N1417">
        <v>10.08</v>
      </c>
      <c r="O1417">
        <v>3.05</v>
      </c>
      <c r="P1417">
        <v>23.229199999999999</v>
      </c>
      <c r="Q1417" t="s">
        <v>1987</v>
      </c>
    </row>
    <row r="1418" spans="1:17" x14ac:dyDescent="0.25">
      <c r="A1418" t="s">
        <v>1974</v>
      </c>
      <c r="B1418" t="s">
        <v>1975</v>
      </c>
      <c r="C1418" t="s">
        <v>1976</v>
      </c>
      <c r="D1418" s="11">
        <v>83686</v>
      </c>
      <c r="E1418" s="12">
        <v>46037</v>
      </c>
      <c r="F1418" s="12">
        <v>46038</v>
      </c>
      <c r="G1418" t="s">
        <v>2455</v>
      </c>
      <c r="H1418" t="s">
        <v>219</v>
      </c>
      <c r="I1418">
        <v>4</v>
      </c>
      <c r="J1418">
        <v>48.6648</v>
      </c>
      <c r="K1418" t="s">
        <v>2456</v>
      </c>
      <c r="L1418" t="s">
        <v>2041</v>
      </c>
      <c r="M1418">
        <v>9.9763099999999998</v>
      </c>
      <c r="N1418">
        <v>39.905239999999999</v>
      </c>
      <c r="O1418">
        <v>8.7547599999999992</v>
      </c>
      <c r="P1418">
        <v>17.991599999999998</v>
      </c>
      <c r="Q1418" t="s">
        <v>2457</v>
      </c>
    </row>
    <row r="1419" spans="1:17" x14ac:dyDescent="0.25">
      <c r="A1419" t="s">
        <v>2060</v>
      </c>
      <c r="B1419" t="s">
        <v>2061</v>
      </c>
      <c r="C1419" t="s">
        <v>1976</v>
      </c>
      <c r="D1419" s="11">
        <v>6100072669</v>
      </c>
      <c r="E1419" s="12">
        <v>46038</v>
      </c>
      <c r="F1419" s="12">
        <v>46042</v>
      </c>
      <c r="G1419" t="s">
        <v>2458</v>
      </c>
      <c r="H1419" t="s">
        <v>902</v>
      </c>
      <c r="I1419">
        <v>52</v>
      </c>
      <c r="J1419">
        <v>9.23</v>
      </c>
      <c r="K1419" t="s">
        <v>2459</v>
      </c>
      <c r="L1419" t="s">
        <v>2041</v>
      </c>
      <c r="M1419">
        <v>0.14774999999999999</v>
      </c>
      <c r="N1419">
        <v>7.6829999999999998</v>
      </c>
      <c r="O1419">
        <v>1.5469999999999999</v>
      </c>
      <c r="P1419">
        <v>16.7605</v>
      </c>
    </row>
    <row r="1420" spans="1:17" x14ac:dyDescent="0.25">
      <c r="A1420" t="s">
        <v>2060</v>
      </c>
      <c r="B1420" t="s">
        <v>2061</v>
      </c>
      <c r="C1420" t="s">
        <v>1976</v>
      </c>
      <c r="D1420" s="11">
        <v>6100072669</v>
      </c>
      <c r="E1420" s="12">
        <v>46038</v>
      </c>
      <c r="F1420" s="12">
        <v>46042</v>
      </c>
      <c r="G1420" t="s">
        <v>2458</v>
      </c>
      <c r="H1420" t="s">
        <v>1332</v>
      </c>
      <c r="I1420">
        <v>90</v>
      </c>
      <c r="J1420">
        <v>0.54</v>
      </c>
      <c r="K1420" t="s">
        <v>2459</v>
      </c>
      <c r="L1420" t="s">
        <v>2041</v>
      </c>
      <c r="M1420">
        <v>4.8999999999999998E-3</v>
      </c>
      <c r="N1420">
        <v>0.441</v>
      </c>
      <c r="O1420">
        <v>9.9000000000000005E-2</v>
      </c>
      <c r="P1420">
        <v>18.333300000000001</v>
      </c>
    </row>
    <row r="1421" spans="1:17" x14ac:dyDescent="0.25">
      <c r="A1421" t="s">
        <v>2060</v>
      </c>
      <c r="B1421" t="s">
        <v>2061</v>
      </c>
      <c r="C1421" t="s">
        <v>1976</v>
      </c>
      <c r="D1421" s="11">
        <v>6100072669</v>
      </c>
      <c r="E1421" s="12">
        <v>46038</v>
      </c>
      <c r="F1421" s="12">
        <v>46068</v>
      </c>
      <c r="G1421" t="s">
        <v>2458</v>
      </c>
      <c r="H1421" t="s">
        <v>669</v>
      </c>
      <c r="I1421">
        <v>130</v>
      </c>
      <c r="J1421">
        <v>1.6379999999999999</v>
      </c>
      <c r="K1421" t="s">
        <v>2459</v>
      </c>
      <c r="L1421" t="s">
        <v>2041</v>
      </c>
      <c r="M1421">
        <v>1.034E-2</v>
      </c>
      <c r="N1421">
        <v>1.3442000000000001</v>
      </c>
      <c r="O1421">
        <v>0.29580000000000001</v>
      </c>
      <c r="P1421">
        <v>18.0365</v>
      </c>
    </row>
    <row r="1422" spans="1:17" x14ac:dyDescent="0.25">
      <c r="A1422" t="s">
        <v>2060</v>
      </c>
      <c r="B1422" t="s">
        <v>2061</v>
      </c>
      <c r="C1422" t="s">
        <v>1976</v>
      </c>
      <c r="D1422" s="11">
        <v>6100072669</v>
      </c>
      <c r="E1422" s="12">
        <v>46038</v>
      </c>
      <c r="F1422" s="12">
        <v>46042</v>
      </c>
      <c r="G1422" t="s">
        <v>2458</v>
      </c>
      <c r="H1422" t="s">
        <v>1547</v>
      </c>
      <c r="I1422">
        <v>90</v>
      </c>
      <c r="J1422">
        <v>4.5090000000000003</v>
      </c>
      <c r="K1422" t="s">
        <v>2459</v>
      </c>
      <c r="L1422" t="s">
        <v>2041</v>
      </c>
      <c r="M1422">
        <v>4.1119999999999997E-2</v>
      </c>
      <c r="N1422">
        <v>3.7008000000000001</v>
      </c>
      <c r="O1422">
        <v>0.80920000000000003</v>
      </c>
      <c r="P1422">
        <v>17.942299999999999</v>
      </c>
    </row>
    <row r="1423" spans="1:17" x14ac:dyDescent="0.25">
      <c r="A1423" t="s">
        <v>2060</v>
      </c>
      <c r="B1423" t="s">
        <v>2061</v>
      </c>
      <c r="C1423" t="s">
        <v>1976</v>
      </c>
      <c r="D1423" s="11">
        <v>6100072669</v>
      </c>
      <c r="E1423" s="12">
        <v>46038</v>
      </c>
      <c r="F1423" s="12">
        <v>46042</v>
      </c>
      <c r="G1423" t="s">
        <v>2458</v>
      </c>
      <c r="H1423" t="s">
        <v>1529</v>
      </c>
      <c r="I1423">
        <v>90</v>
      </c>
      <c r="J1423">
        <v>4.5090000000000003</v>
      </c>
      <c r="K1423" t="s">
        <v>2459</v>
      </c>
      <c r="L1423" t="s">
        <v>2041</v>
      </c>
      <c r="M1423">
        <v>4.1119999999999997E-2</v>
      </c>
      <c r="N1423">
        <v>3.7008000000000001</v>
      </c>
      <c r="O1423">
        <v>0.80920000000000003</v>
      </c>
      <c r="P1423">
        <v>17.942299999999999</v>
      </c>
    </row>
    <row r="1424" spans="1:17" x14ac:dyDescent="0.25">
      <c r="A1424" t="s">
        <v>2060</v>
      </c>
      <c r="B1424" t="s">
        <v>2061</v>
      </c>
      <c r="C1424" t="s">
        <v>1976</v>
      </c>
      <c r="D1424" s="11">
        <v>6100072669</v>
      </c>
      <c r="E1424" s="12">
        <v>46038</v>
      </c>
      <c r="F1424" s="12">
        <v>46042</v>
      </c>
      <c r="G1424" t="s">
        <v>2458</v>
      </c>
      <c r="H1424" t="s">
        <v>1517</v>
      </c>
      <c r="I1424">
        <v>90</v>
      </c>
      <c r="J1424">
        <v>4.5090000000000003</v>
      </c>
      <c r="K1424" t="s">
        <v>2459</v>
      </c>
      <c r="L1424" t="s">
        <v>2041</v>
      </c>
      <c r="M1424">
        <v>4.1119999999999997E-2</v>
      </c>
      <c r="N1424">
        <v>3.7008000000000001</v>
      </c>
      <c r="O1424">
        <v>0.80920000000000003</v>
      </c>
      <c r="P1424">
        <v>17.942299999999999</v>
      </c>
    </row>
    <row r="1425" spans="1:16" x14ac:dyDescent="0.25">
      <c r="A1425" t="s">
        <v>2060</v>
      </c>
      <c r="B1425" t="s">
        <v>2061</v>
      </c>
      <c r="C1425" t="s">
        <v>1976</v>
      </c>
      <c r="D1425" s="11">
        <v>6100072669</v>
      </c>
      <c r="E1425" s="12">
        <v>46038</v>
      </c>
      <c r="F1425" s="12">
        <v>46042</v>
      </c>
      <c r="G1425" t="s">
        <v>2458</v>
      </c>
      <c r="H1425" t="s">
        <v>1553</v>
      </c>
      <c r="I1425">
        <v>90</v>
      </c>
      <c r="J1425">
        <v>4.6349999999999998</v>
      </c>
      <c r="K1425" t="s">
        <v>2459</v>
      </c>
      <c r="L1425" t="s">
        <v>2041</v>
      </c>
      <c r="M1425">
        <v>4.2259999999999999E-2</v>
      </c>
      <c r="N1425">
        <v>3.8033999999999999</v>
      </c>
      <c r="O1425">
        <v>0.83660000000000001</v>
      </c>
      <c r="P1425">
        <v>18.030100000000001</v>
      </c>
    </row>
    <row r="1426" spans="1:16" x14ac:dyDescent="0.25">
      <c r="A1426" t="s">
        <v>2060</v>
      </c>
      <c r="B1426" t="s">
        <v>2061</v>
      </c>
      <c r="C1426" t="s">
        <v>1976</v>
      </c>
      <c r="D1426" s="11">
        <v>6100072669</v>
      </c>
      <c r="E1426" s="12">
        <v>46038</v>
      </c>
      <c r="F1426" s="12">
        <v>46042</v>
      </c>
      <c r="G1426" t="s">
        <v>2458</v>
      </c>
      <c r="H1426" t="s">
        <v>1533</v>
      </c>
      <c r="I1426">
        <v>110</v>
      </c>
      <c r="J1426">
        <v>5.665</v>
      </c>
      <c r="K1426" t="s">
        <v>2459</v>
      </c>
      <c r="L1426" t="s">
        <v>2041</v>
      </c>
      <c r="M1426">
        <v>4.2259999999999999E-2</v>
      </c>
      <c r="N1426">
        <v>4.6486000000000001</v>
      </c>
      <c r="O1426">
        <v>1.0214000000000001</v>
      </c>
      <c r="P1426">
        <v>18.014099999999999</v>
      </c>
    </row>
    <row r="1427" spans="1:16" x14ac:dyDescent="0.25">
      <c r="A1427" t="s">
        <v>2060</v>
      </c>
      <c r="B1427" t="s">
        <v>2061</v>
      </c>
      <c r="C1427" t="s">
        <v>1976</v>
      </c>
      <c r="D1427" s="11">
        <v>6100072669</v>
      </c>
      <c r="E1427" s="12">
        <v>46038</v>
      </c>
      <c r="F1427" s="12">
        <v>46042</v>
      </c>
      <c r="G1427" t="s">
        <v>2458</v>
      </c>
      <c r="H1427" t="s">
        <v>1292</v>
      </c>
      <c r="I1427">
        <v>90</v>
      </c>
      <c r="J1427">
        <v>0.16200000000000001</v>
      </c>
      <c r="K1427" t="s">
        <v>2459</v>
      </c>
      <c r="L1427" t="s">
        <v>2041</v>
      </c>
      <c r="M1427">
        <v>1.4499999999999999E-3</v>
      </c>
      <c r="N1427">
        <v>0.1305</v>
      </c>
      <c r="O1427">
        <v>2.9499999999999998E-2</v>
      </c>
      <c r="P1427">
        <v>18.4375</v>
      </c>
    </row>
    <row r="1428" spans="1:16" x14ac:dyDescent="0.25">
      <c r="A1428" t="s">
        <v>2060</v>
      </c>
      <c r="B1428" t="s">
        <v>2061</v>
      </c>
      <c r="C1428" t="s">
        <v>1976</v>
      </c>
      <c r="D1428" s="11">
        <v>6100072669</v>
      </c>
      <c r="E1428" s="12">
        <v>46038</v>
      </c>
      <c r="F1428" s="12">
        <v>46042</v>
      </c>
      <c r="G1428" t="s">
        <v>2458</v>
      </c>
      <c r="H1428" t="s">
        <v>487</v>
      </c>
      <c r="I1428">
        <v>20</v>
      </c>
      <c r="J1428">
        <v>5279.8119999999999</v>
      </c>
      <c r="K1428" t="s">
        <v>2459</v>
      </c>
      <c r="L1428" t="s">
        <v>2041</v>
      </c>
      <c r="M1428">
        <v>78.5</v>
      </c>
      <c r="N1428">
        <v>1570</v>
      </c>
      <c r="O1428">
        <v>3709.81</v>
      </c>
      <c r="P1428">
        <v>70.263999999999996</v>
      </c>
    </row>
    <row r="1429" spans="1:16" x14ac:dyDescent="0.25">
      <c r="A1429" t="s">
        <v>2060</v>
      </c>
      <c r="B1429" t="s">
        <v>2061</v>
      </c>
      <c r="C1429" t="s">
        <v>1976</v>
      </c>
      <c r="D1429" s="11">
        <v>6100072669</v>
      </c>
      <c r="E1429" s="12">
        <v>46038</v>
      </c>
      <c r="F1429" s="12">
        <v>46042</v>
      </c>
      <c r="G1429" t="s">
        <v>2458</v>
      </c>
      <c r="H1429" t="s">
        <v>1243</v>
      </c>
      <c r="I1429">
        <v>21</v>
      </c>
      <c r="J1429">
        <v>16.646699999999999</v>
      </c>
      <c r="K1429" t="s">
        <v>2459</v>
      </c>
      <c r="L1429" t="s">
        <v>2041</v>
      </c>
      <c r="M1429">
        <v>0.65002000000000004</v>
      </c>
      <c r="N1429">
        <v>13.65042</v>
      </c>
      <c r="O1429">
        <v>2.9995799999999999</v>
      </c>
      <c r="P1429">
        <v>18.0154</v>
      </c>
    </row>
    <row r="1430" spans="1:16" x14ac:dyDescent="0.25">
      <c r="A1430" t="s">
        <v>2060</v>
      </c>
      <c r="B1430" t="s">
        <v>2061</v>
      </c>
      <c r="C1430" t="s">
        <v>1976</v>
      </c>
      <c r="D1430" s="11">
        <v>6100072669</v>
      </c>
      <c r="E1430" s="12">
        <v>46038</v>
      </c>
      <c r="F1430" s="12">
        <v>46042</v>
      </c>
      <c r="G1430" t="s">
        <v>2458</v>
      </c>
      <c r="H1430" t="s">
        <v>1189</v>
      </c>
      <c r="I1430">
        <v>95</v>
      </c>
      <c r="J1430">
        <v>8.5214999999999996</v>
      </c>
      <c r="K1430" t="s">
        <v>2459</v>
      </c>
      <c r="L1430" t="s">
        <v>2041</v>
      </c>
      <c r="M1430">
        <v>7.3529999999999998E-2</v>
      </c>
      <c r="N1430">
        <v>6.9853500000000004</v>
      </c>
      <c r="O1430">
        <v>1.5346500000000001</v>
      </c>
      <c r="P1430">
        <v>18.0123</v>
      </c>
    </row>
    <row r="1431" spans="1:16" x14ac:dyDescent="0.25">
      <c r="A1431" t="s">
        <v>2060</v>
      </c>
      <c r="B1431" t="s">
        <v>2061</v>
      </c>
      <c r="C1431" t="s">
        <v>1976</v>
      </c>
      <c r="D1431" s="11">
        <v>6100072669</v>
      </c>
      <c r="E1431" s="12">
        <v>46038</v>
      </c>
      <c r="F1431" s="12">
        <v>46042</v>
      </c>
      <c r="G1431" t="s">
        <v>2458</v>
      </c>
      <c r="H1431" t="s">
        <v>653</v>
      </c>
      <c r="I1431">
        <v>70</v>
      </c>
      <c r="J1431">
        <v>5.9359999999999999</v>
      </c>
      <c r="K1431" t="s">
        <v>2459</v>
      </c>
      <c r="L1431" t="s">
        <v>2041</v>
      </c>
      <c r="M1431">
        <v>6.9519999999999998E-2</v>
      </c>
      <c r="N1431">
        <v>4.8663999999999996</v>
      </c>
      <c r="O1431">
        <v>1.0736000000000001</v>
      </c>
      <c r="P1431">
        <v>18.074000000000002</v>
      </c>
    </row>
    <row r="1432" spans="1:16" x14ac:dyDescent="0.25">
      <c r="A1432" t="s">
        <v>2060</v>
      </c>
      <c r="B1432" t="s">
        <v>2061</v>
      </c>
      <c r="C1432" t="s">
        <v>1976</v>
      </c>
      <c r="D1432" s="11">
        <v>6100072669</v>
      </c>
      <c r="E1432" s="12">
        <v>46038</v>
      </c>
      <c r="F1432" s="12">
        <v>46042</v>
      </c>
      <c r="G1432" t="s">
        <v>2458</v>
      </c>
      <c r="H1432" t="s">
        <v>644</v>
      </c>
      <c r="I1432">
        <v>21</v>
      </c>
      <c r="J1432">
        <v>1591.9196999999999</v>
      </c>
      <c r="M1432">
        <v>48.0565</v>
      </c>
      <c r="N1432">
        <v>1009.1865</v>
      </c>
      <c r="O1432">
        <v>582.73350000000005</v>
      </c>
      <c r="P1432">
        <v>36.605699999999999</v>
      </c>
    </row>
    <row r="1433" spans="1:16" x14ac:dyDescent="0.25">
      <c r="A1433" t="s">
        <v>2060</v>
      </c>
      <c r="B1433" t="s">
        <v>2061</v>
      </c>
      <c r="C1433" t="s">
        <v>1976</v>
      </c>
      <c r="D1433" s="11">
        <v>6100072669</v>
      </c>
      <c r="E1433" s="12">
        <v>46038</v>
      </c>
      <c r="F1433" s="12">
        <v>46042</v>
      </c>
      <c r="G1433" t="s">
        <v>2458</v>
      </c>
      <c r="H1433" t="s">
        <v>2098</v>
      </c>
      <c r="I1433">
        <v>24</v>
      </c>
      <c r="J1433">
        <v>33.6096</v>
      </c>
      <c r="M1433">
        <v>1.17</v>
      </c>
      <c r="N1433">
        <v>28.08</v>
      </c>
      <c r="O1433">
        <v>5.53</v>
      </c>
      <c r="P1433">
        <v>16.453399999999998</v>
      </c>
    </row>
    <row r="1434" spans="1:16" x14ac:dyDescent="0.25">
      <c r="A1434" t="s">
        <v>2060</v>
      </c>
      <c r="B1434" t="s">
        <v>2061</v>
      </c>
      <c r="C1434" t="s">
        <v>1976</v>
      </c>
      <c r="D1434" s="11">
        <v>6100072669</v>
      </c>
      <c r="E1434" s="12">
        <v>46038</v>
      </c>
      <c r="F1434" s="12">
        <v>46042</v>
      </c>
      <c r="G1434" t="s">
        <v>2458</v>
      </c>
      <c r="H1434" t="s">
        <v>1332</v>
      </c>
      <c r="I1434">
        <v>188</v>
      </c>
      <c r="J1434">
        <v>1.1279999999999999</v>
      </c>
      <c r="K1434" t="s">
        <v>2459</v>
      </c>
      <c r="L1434" t="s">
        <v>2041</v>
      </c>
      <c r="M1434">
        <v>4.8999999999999998E-3</v>
      </c>
      <c r="N1434">
        <v>0.92120000000000002</v>
      </c>
      <c r="O1434">
        <v>0.20880000000000001</v>
      </c>
      <c r="P1434">
        <v>18.477799999999998</v>
      </c>
    </row>
    <row r="1435" spans="1:16" x14ac:dyDescent="0.25">
      <c r="A1435" t="s">
        <v>2060</v>
      </c>
      <c r="B1435" t="s">
        <v>2061</v>
      </c>
      <c r="C1435" t="s">
        <v>1976</v>
      </c>
      <c r="D1435" s="11">
        <v>6100072669</v>
      </c>
      <c r="E1435" s="12">
        <v>46038</v>
      </c>
      <c r="F1435" s="12">
        <v>46042</v>
      </c>
      <c r="G1435" t="s">
        <v>2458</v>
      </c>
      <c r="H1435" t="s">
        <v>1336</v>
      </c>
      <c r="I1435">
        <v>122</v>
      </c>
      <c r="J1435">
        <v>0.81740000000000002</v>
      </c>
      <c r="K1435" t="s">
        <v>2459</v>
      </c>
      <c r="L1435" t="s">
        <v>2041</v>
      </c>
      <c r="M1435">
        <v>5.47E-3</v>
      </c>
      <c r="N1435">
        <v>0.66734000000000004</v>
      </c>
      <c r="O1435">
        <v>0.15265999999999999</v>
      </c>
      <c r="P1435">
        <v>18.617000000000001</v>
      </c>
    </row>
    <row r="1436" spans="1:16" x14ac:dyDescent="0.25">
      <c r="A1436" t="s">
        <v>2060</v>
      </c>
      <c r="B1436" t="s">
        <v>2061</v>
      </c>
      <c r="C1436" t="s">
        <v>1976</v>
      </c>
      <c r="D1436" s="11">
        <v>6100072669</v>
      </c>
      <c r="E1436" s="12">
        <v>46038</v>
      </c>
      <c r="F1436" s="12">
        <v>46042</v>
      </c>
      <c r="G1436" t="s">
        <v>2458</v>
      </c>
      <c r="H1436" t="s">
        <v>818</v>
      </c>
      <c r="I1436">
        <v>232</v>
      </c>
      <c r="J1436">
        <v>14.5</v>
      </c>
      <c r="K1436" t="s">
        <v>2459</v>
      </c>
      <c r="L1436" t="s">
        <v>2041</v>
      </c>
      <c r="M1436">
        <v>5.126E-2</v>
      </c>
      <c r="N1436">
        <v>11.89232</v>
      </c>
      <c r="O1436">
        <v>2.6076800000000002</v>
      </c>
      <c r="P1436">
        <v>17.984000000000002</v>
      </c>
    </row>
    <row r="1437" spans="1:16" x14ac:dyDescent="0.25">
      <c r="A1437" t="s">
        <v>2060</v>
      </c>
      <c r="B1437" t="s">
        <v>2061</v>
      </c>
      <c r="C1437" t="s">
        <v>1976</v>
      </c>
      <c r="D1437" s="11">
        <v>6100072669</v>
      </c>
      <c r="E1437" s="12">
        <v>46038</v>
      </c>
      <c r="F1437" s="12">
        <v>46042</v>
      </c>
      <c r="G1437" t="s">
        <v>2458</v>
      </c>
      <c r="H1437" t="s">
        <v>669</v>
      </c>
      <c r="I1437">
        <v>442</v>
      </c>
      <c r="J1437">
        <v>5.5692000000000004</v>
      </c>
      <c r="K1437" t="s">
        <v>2459</v>
      </c>
      <c r="L1437" t="s">
        <v>2041</v>
      </c>
      <c r="M1437">
        <v>1.034E-2</v>
      </c>
      <c r="N1437">
        <v>4.5702800000000003</v>
      </c>
      <c r="O1437">
        <v>0.99972000000000005</v>
      </c>
      <c r="P1437">
        <v>17.9482</v>
      </c>
    </row>
    <row r="1438" spans="1:16" x14ac:dyDescent="0.25">
      <c r="A1438" t="s">
        <v>2060</v>
      </c>
      <c r="B1438" t="s">
        <v>2061</v>
      </c>
      <c r="C1438" t="s">
        <v>1976</v>
      </c>
      <c r="D1438" s="11">
        <v>6100072669</v>
      </c>
      <c r="E1438" s="12">
        <v>46038</v>
      </c>
      <c r="F1438" s="12">
        <v>46042</v>
      </c>
      <c r="G1438" t="s">
        <v>2458</v>
      </c>
      <c r="H1438" t="s">
        <v>1831</v>
      </c>
      <c r="I1438">
        <v>122</v>
      </c>
      <c r="J1438">
        <v>20.971800000000002</v>
      </c>
      <c r="K1438" t="s">
        <v>2459</v>
      </c>
      <c r="L1438" t="s">
        <v>2041</v>
      </c>
      <c r="M1438">
        <v>0.14093</v>
      </c>
      <c r="N1438">
        <v>17.193460000000002</v>
      </c>
      <c r="O1438">
        <v>3.7765399999999998</v>
      </c>
      <c r="P1438">
        <v>18.0092</v>
      </c>
    </row>
    <row r="1439" spans="1:16" x14ac:dyDescent="0.25">
      <c r="A1439" t="s">
        <v>2060</v>
      </c>
      <c r="B1439" t="s">
        <v>2061</v>
      </c>
      <c r="C1439" t="s">
        <v>1976</v>
      </c>
      <c r="D1439" s="11">
        <v>6100072669</v>
      </c>
      <c r="E1439" s="12">
        <v>46038</v>
      </c>
      <c r="F1439" s="12">
        <v>46042</v>
      </c>
      <c r="G1439" t="s">
        <v>2458</v>
      </c>
      <c r="H1439" t="s">
        <v>1555</v>
      </c>
      <c r="I1439">
        <v>122</v>
      </c>
      <c r="J1439">
        <v>6.1121999999999996</v>
      </c>
      <c r="K1439" t="s">
        <v>2459</v>
      </c>
      <c r="L1439" t="s">
        <v>2041</v>
      </c>
      <c r="M1439">
        <v>4.1119999999999997E-2</v>
      </c>
      <c r="N1439">
        <v>5.0166399999999998</v>
      </c>
      <c r="O1439">
        <v>1.0933600000000001</v>
      </c>
      <c r="P1439">
        <v>17.894500000000001</v>
      </c>
    </row>
    <row r="1440" spans="1:16" x14ac:dyDescent="0.25">
      <c r="A1440" t="s">
        <v>2060</v>
      </c>
      <c r="B1440" t="s">
        <v>2061</v>
      </c>
      <c r="C1440" t="s">
        <v>1976</v>
      </c>
      <c r="D1440" s="11">
        <v>6100072669</v>
      </c>
      <c r="E1440" s="12">
        <v>46038</v>
      </c>
      <c r="F1440" s="12">
        <v>46042</v>
      </c>
      <c r="G1440" t="s">
        <v>2458</v>
      </c>
      <c r="H1440" t="s">
        <v>1547</v>
      </c>
      <c r="I1440">
        <v>188</v>
      </c>
      <c r="J1440">
        <v>9.4187999999999992</v>
      </c>
      <c r="K1440" t="s">
        <v>2459</v>
      </c>
      <c r="L1440" t="s">
        <v>2041</v>
      </c>
      <c r="M1440">
        <v>4.1119999999999997E-2</v>
      </c>
      <c r="N1440">
        <v>7.7305599999999997</v>
      </c>
      <c r="O1440">
        <v>1.6894400000000001</v>
      </c>
      <c r="P1440">
        <v>17.9346</v>
      </c>
    </row>
    <row r="1441" spans="1:16" x14ac:dyDescent="0.25">
      <c r="A1441" t="s">
        <v>2060</v>
      </c>
      <c r="B1441" t="s">
        <v>2061</v>
      </c>
      <c r="C1441" t="s">
        <v>1976</v>
      </c>
      <c r="D1441" s="11">
        <v>6100072669</v>
      </c>
      <c r="E1441" s="12">
        <v>46038</v>
      </c>
      <c r="F1441" s="12">
        <v>46042</v>
      </c>
      <c r="G1441" t="s">
        <v>2458</v>
      </c>
      <c r="H1441" t="s">
        <v>1529</v>
      </c>
      <c r="I1441">
        <v>188</v>
      </c>
      <c r="J1441">
        <v>9.4187999999999992</v>
      </c>
      <c r="K1441" t="s">
        <v>2459</v>
      </c>
      <c r="L1441" t="s">
        <v>2041</v>
      </c>
      <c r="M1441">
        <v>4.1119999999999997E-2</v>
      </c>
      <c r="N1441">
        <v>7.7305599999999997</v>
      </c>
      <c r="O1441">
        <v>1.6894400000000001</v>
      </c>
      <c r="P1441">
        <v>17.9346</v>
      </c>
    </row>
    <row r="1442" spans="1:16" x14ac:dyDescent="0.25">
      <c r="A1442" t="s">
        <v>2060</v>
      </c>
      <c r="B1442" t="s">
        <v>2061</v>
      </c>
      <c r="C1442" t="s">
        <v>1976</v>
      </c>
      <c r="D1442" s="11">
        <v>6100072669</v>
      </c>
      <c r="E1442" s="12">
        <v>46038</v>
      </c>
      <c r="F1442" s="12">
        <v>46042</v>
      </c>
      <c r="G1442" t="s">
        <v>2458</v>
      </c>
      <c r="H1442" t="s">
        <v>1517</v>
      </c>
      <c r="I1442">
        <v>144</v>
      </c>
      <c r="J1442">
        <v>7.2144000000000004</v>
      </c>
      <c r="K1442" t="s">
        <v>2459</v>
      </c>
      <c r="L1442" t="s">
        <v>2041</v>
      </c>
      <c r="M1442">
        <v>4.1119999999999997E-2</v>
      </c>
      <c r="N1442">
        <v>5.9212800000000003</v>
      </c>
      <c r="O1442">
        <v>1.2887200000000001</v>
      </c>
      <c r="P1442">
        <v>17.873999999999999</v>
      </c>
    </row>
    <row r="1443" spans="1:16" x14ac:dyDescent="0.25">
      <c r="A1443" t="s">
        <v>2060</v>
      </c>
      <c r="B1443" t="s">
        <v>2061</v>
      </c>
      <c r="C1443" t="s">
        <v>1976</v>
      </c>
      <c r="D1443" s="11">
        <v>6100072669</v>
      </c>
      <c r="E1443" s="12">
        <v>46038</v>
      </c>
      <c r="F1443" s="12">
        <v>46042</v>
      </c>
      <c r="G1443" t="s">
        <v>2458</v>
      </c>
      <c r="H1443" t="s">
        <v>840</v>
      </c>
      <c r="I1443">
        <v>188</v>
      </c>
      <c r="J1443">
        <v>1.1279999999999999</v>
      </c>
      <c r="K1443" t="s">
        <v>2459</v>
      </c>
      <c r="L1443" t="s">
        <v>2041</v>
      </c>
      <c r="M1443">
        <v>4.8999999999999998E-3</v>
      </c>
      <c r="N1443">
        <v>0.92120000000000002</v>
      </c>
      <c r="O1443">
        <v>0.20880000000000001</v>
      </c>
      <c r="P1443">
        <v>18.477799999999998</v>
      </c>
    </row>
    <row r="1444" spans="1:16" x14ac:dyDescent="0.25">
      <c r="A1444" t="s">
        <v>2060</v>
      </c>
      <c r="B1444" t="s">
        <v>2061</v>
      </c>
      <c r="C1444" t="s">
        <v>1976</v>
      </c>
      <c r="D1444" s="11">
        <v>6100072669</v>
      </c>
      <c r="E1444" s="12">
        <v>46038</v>
      </c>
      <c r="F1444" s="12">
        <v>46042</v>
      </c>
      <c r="G1444" t="s">
        <v>2458</v>
      </c>
      <c r="H1444" t="s">
        <v>842</v>
      </c>
      <c r="I1444">
        <v>398</v>
      </c>
      <c r="J1444">
        <v>3.5819999999999999</v>
      </c>
      <c r="K1444" t="s">
        <v>2459</v>
      </c>
      <c r="L1444" t="s">
        <v>2041</v>
      </c>
      <c r="M1444">
        <v>7.3499999999999998E-3</v>
      </c>
      <c r="N1444">
        <v>2.9253</v>
      </c>
      <c r="O1444">
        <v>0.65469999999999995</v>
      </c>
      <c r="P1444">
        <v>18.287700000000001</v>
      </c>
    </row>
    <row r="1445" spans="1:16" x14ac:dyDescent="0.25">
      <c r="A1445" t="s">
        <v>2060</v>
      </c>
      <c r="B1445" t="s">
        <v>2061</v>
      </c>
      <c r="C1445" t="s">
        <v>1976</v>
      </c>
      <c r="D1445" s="11">
        <v>6100072669</v>
      </c>
      <c r="E1445" s="12">
        <v>46038</v>
      </c>
      <c r="F1445" s="12">
        <v>46042</v>
      </c>
      <c r="G1445" t="s">
        <v>2458</v>
      </c>
      <c r="H1445" t="s">
        <v>1515</v>
      </c>
      <c r="I1445">
        <v>188</v>
      </c>
      <c r="J1445">
        <v>8.7420000000000009</v>
      </c>
      <c r="K1445" t="s">
        <v>2459</v>
      </c>
      <c r="L1445" t="s">
        <v>2041</v>
      </c>
      <c r="M1445">
        <v>3.8159999999999999E-2</v>
      </c>
      <c r="N1445">
        <v>7.17408</v>
      </c>
      <c r="O1445">
        <v>1.56592</v>
      </c>
      <c r="P1445">
        <v>17.916699999999999</v>
      </c>
    </row>
    <row r="1446" spans="1:16" x14ac:dyDescent="0.25">
      <c r="A1446" t="s">
        <v>2060</v>
      </c>
      <c r="B1446" t="s">
        <v>2061</v>
      </c>
      <c r="C1446" t="s">
        <v>1976</v>
      </c>
      <c r="D1446" s="11">
        <v>6100072669</v>
      </c>
      <c r="E1446" s="12">
        <v>46038</v>
      </c>
      <c r="F1446" s="12">
        <v>46042</v>
      </c>
      <c r="G1446" t="s">
        <v>2458</v>
      </c>
      <c r="H1446" t="s">
        <v>1533</v>
      </c>
      <c r="I1446">
        <v>332</v>
      </c>
      <c r="J1446">
        <v>17.097999999999999</v>
      </c>
      <c r="K1446" t="s">
        <v>2459</v>
      </c>
      <c r="L1446" t="s">
        <v>2041</v>
      </c>
      <c r="M1446">
        <v>4.2259999999999999E-2</v>
      </c>
      <c r="N1446">
        <v>14.03032</v>
      </c>
      <c r="O1446">
        <v>3.06968</v>
      </c>
      <c r="P1446">
        <v>17.9513</v>
      </c>
    </row>
    <row r="1447" spans="1:16" x14ac:dyDescent="0.25">
      <c r="A1447" t="s">
        <v>2060</v>
      </c>
      <c r="B1447" t="s">
        <v>2061</v>
      </c>
      <c r="C1447" t="s">
        <v>1976</v>
      </c>
      <c r="D1447" s="11">
        <v>6100072669</v>
      </c>
      <c r="E1447" s="12">
        <v>46038</v>
      </c>
      <c r="F1447" s="12">
        <v>46042</v>
      </c>
      <c r="G1447" t="s">
        <v>2458</v>
      </c>
      <c r="H1447" t="s">
        <v>782</v>
      </c>
      <c r="I1447">
        <v>122</v>
      </c>
      <c r="J1447">
        <v>6.1121999999999996</v>
      </c>
      <c r="K1447" t="s">
        <v>2459</v>
      </c>
      <c r="L1447" t="s">
        <v>2041</v>
      </c>
      <c r="M1447">
        <v>4.1119999999999997E-2</v>
      </c>
      <c r="N1447">
        <v>5.0166399999999998</v>
      </c>
      <c r="O1447">
        <v>1.0933600000000001</v>
      </c>
      <c r="P1447">
        <v>17.894500000000001</v>
      </c>
    </row>
    <row r="1448" spans="1:16" x14ac:dyDescent="0.25">
      <c r="A1448" t="s">
        <v>2060</v>
      </c>
      <c r="B1448" t="s">
        <v>2061</v>
      </c>
      <c r="C1448" t="s">
        <v>1976</v>
      </c>
      <c r="D1448" s="11">
        <v>6100072669</v>
      </c>
      <c r="E1448" s="12">
        <v>46038</v>
      </c>
      <c r="F1448" s="12">
        <v>46042</v>
      </c>
      <c r="G1448" t="s">
        <v>2458</v>
      </c>
      <c r="H1448" t="s">
        <v>1521</v>
      </c>
      <c r="I1448">
        <v>122</v>
      </c>
      <c r="J1448">
        <v>6.2830000000000004</v>
      </c>
      <c r="K1448" t="s">
        <v>2459</v>
      </c>
      <c r="L1448" t="s">
        <v>2041</v>
      </c>
      <c r="M1448">
        <v>4.2259999999999999E-2</v>
      </c>
      <c r="N1448">
        <v>5.1557199999999996</v>
      </c>
      <c r="O1448">
        <v>1.1242799999999999</v>
      </c>
      <c r="P1448">
        <v>17.9025</v>
      </c>
    </row>
    <row r="1449" spans="1:16" x14ac:dyDescent="0.25">
      <c r="A1449" t="s">
        <v>2060</v>
      </c>
      <c r="B1449" t="s">
        <v>2061</v>
      </c>
      <c r="C1449" t="s">
        <v>1976</v>
      </c>
      <c r="D1449" s="11">
        <v>6100072669</v>
      </c>
      <c r="E1449" s="12">
        <v>46038</v>
      </c>
      <c r="F1449" s="12">
        <v>46042</v>
      </c>
      <c r="G1449" t="s">
        <v>2458</v>
      </c>
      <c r="H1449" t="s">
        <v>1525</v>
      </c>
      <c r="I1449">
        <v>122</v>
      </c>
      <c r="J1449">
        <v>6.1121999999999996</v>
      </c>
      <c r="K1449" t="s">
        <v>2459</v>
      </c>
      <c r="L1449" t="s">
        <v>2041</v>
      </c>
      <c r="M1449">
        <v>4.1119999999999997E-2</v>
      </c>
      <c r="N1449">
        <v>5.0166399999999998</v>
      </c>
      <c r="O1449">
        <v>1.0933600000000001</v>
      </c>
      <c r="P1449">
        <v>17.894500000000001</v>
      </c>
    </row>
    <row r="1450" spans="1:16" x14ac:dyDescent="0.25">
      <c r="A1450" t="s">
        <v>2060</v>
      </c>
      <c r="B1450" t="s">
        <v>2061</v>
      </c>
      <c r="C1450" t="s">
        <v>1976</v>
      </c>
      <c r="D1450" s="11">
        <v>6100072669</v>
      </c>
      <c r="E1450" s="12">
        <v>46038</v>
      </c>
      <c r="F1450" s="12">
        <v>46042</v>
      </c>
      <c r="G1450" t="s">
        <v>2458</v>
      </c>
      <c r="H1450" t="s">
        <v>1535</v>
      </c>
      <c r="I1450">
        <v>122</v>
      </c>
      <c r="J1450">
        <v>6.1121999999999996</v>
      </c>
      <c r="K1450" t="s">
        <v>2459</v>
      </c>
      <c r="L1450" t="s">
        <v>2041</v>
      </c>
      <c r="M1450">
        <v>4.1119999999999997E-2</v>
      </c>
      <c r="N1450">
        <v>5.0166399999999998</v>
      </c>
      <c r="O1450">
        <v>1.0933600000000001</v>
      </c>
      <c r="P1450">
        <v>17.894500000000001</v>
      </c>
    </row>
    <row r="1451" spans="1:16" x14ac:dyDescent="0.25">
      <c r="A1451" t="s">
        <v>2060</v>
      </c>
      <c r="B1451" t="s">
        <v>2061</v>
      </c>
      <c r="C1451" t="s">
        <v>1976</v>
      </c>
      <c r="D1451" s="11">
        <v>6100072669</v>
      </c>
      <c r="E1451" s="12">
        <v>46038</v>
      </c>
      <c r="F1451" s="12">
        <v>46042</v>
      </c>
      <c r="G1451" t="s">
        <v>2458</v>
      </c>
      <c r="H1451" t="s">
        <v>1541</v>
      </c>
      <c r="I1451">
        <v>144</v>
      </c>
      <c r="J1451">
        <v>7.2144000000000004</v>
      </c>
      <c r="K1451" t="s">
        <v>2459</v>
      </c>
      <c r="L1451" t="s">
        <v>2041</v>
      </c>
      <c r="M1451">
        <v>4.1119999999999997E-2</v>
      </c>
      <c r="N1451">
        <v>5.9212800000000003</v>
      </c>
      <c r="O1451">
        <v>1.2887200000000001</v>
      </c>
      <c r="P1451">
        <v>17.873999999999999</v>
      </c>
    </row>
    <row r="1452" spans="1:16" x14ac:dyDescent="0.25">
      <c r="A1452" t="s">
        <v>2060</v>
      </c>
      <c r="B1452" t="s">
        <v>2061</v>
      </c>
      <c r="C1452" t="s">
        <v>1976</v>
      </c>
      <c r="D1452" s="11">
        <v>6100072669</v>
      </c>
      <c r="E1452" s="12">
        <v>46038</v>
      </c>
      <c r="F1452" s="12">
        <v>46042</v>
      </c>
      <c r="G1452" t="s">
        <v>2458</v>
      </c>
      <c r="H1452" t="s">
        <v>1549</v>
      </c>
      <c r="I1452">
        <v>122</v>
      </c>
      <c r="J1452">
        <v>6.1121999999999996</v>
      </c>
      <c r="K1452" t="s">
        <v>2459</v>
      </c>
      <c r="L1452" t="s">
        <v>2041</v>
      </c>
      <c r="M1452">
        <v>4.1119999999999997E-2</v>
      </c>
      <c r="N1452">
        <v>5.0166399999999998</v>
      </c>
      <c r="O1452">
        <v>1.0933600000000001</v>
      </c>
      <c r="P1452">
        <v>17.894500000000001</v>
      </c>
    </row>
    <row r="1453" spans="1:16" x14ac:dyDescent="0.25">
      <c r="A1453" t="s">
        <v>2060</v>
      </c>
      <c r="B1453" t="s">
        <v>2061</v>
      </c>
      <c r="C1453" t="s">
        <v>1976</v>
      </c>
      <c r="D1453" s="11">
        <v>6100072669</v>
      </c>
      <c r="E1453" s="12">
        <v>46038</v>
      </c>
      <c r="F1453" s="12">
        <v>46042</v>
      </c>
      <c r="G1453" t="s">
        <v>2458</v>
      </c>
      <c r="H1453" t="s">
        <v>1557</v>
      </c>
      <c r="I1453">
        <v>122</v>
      </c>
      <c r="J1453">
        <v>6.1121999999999996</v>
      </c>
      <c r="K1453" t="s">
        <v>2459</v>
      </c>
      <c r="L1453" t="s">
        <v>2041</v>
      </c>
      <c r="M1453">
        <v>4.1119999999999997E-2</v>
      </c>
      <c r="N1453">
        <v>5.0166399999999998</v>
      </c>
      <c r="O1453">
        <v>1.0933600000000001</v>
      </c>
      <c r="P1453">
        <v>17.894500000000001</v>
      </c>
    </row>
    <row r="1454" spans="1:16" x14ac:dyDescent="0.25">
      <c r="A1454" t="s">
        <v>2060</v>
      </c>
      <c r="B1454" t="s">
        <v>2061</v>
      </c>
      <c r="C1454" t="s">
        <v>1976</v>
      </c>
      <c r="D1454" s="11">
        <v>6100072669</v>
      </c>
      <c r="E1454" s="12">
        <v>46038</v>
      </c>
      <c r="F1454" s="12">
        <v>46042</v>
      </c>
      <c r="G1454" t="s">
        <v>2458</v>
      </c>
      <c r="H1454" t="s">
        <v>1565</v>
      </c>
      <c r="I1454">
        <v>122</v>
      </c>
      <c r="J1454">
        <v>6.1121999999999996</v>
      </c>
      <c r="K1454" t="s">
        <v>2459</v>
      </c>
      <c r="L1454" t="s">
        <v>2041</v>
      </c>
      <c r="M1454">
        <v>4.1119999999999997E-2</v>
      </c>
      <c r="N1454">
        <v>5.0166399999999998</v>
      </c>
      <c r="O1454">
        <v>1.0933600000000001</v>
      </c>
      <c r="P1454">
        <v>17.894500000000001</v>
      </c>
    </row>
    <row r="1455" spans="1:16" x14ac:dyDescent="0.25">
      <c r="A1455" t="s">
        <v>2060</v>
      </c>
      <c r="B1455" t="s">
        <v>2061</v>
      </c>
      <c r="C1455" t="s">
        <v>1976</v>
      </c>
      <c r="D1455" s="11">
        <v>6100072669</v>
      </c>
      <c r="E1455" s="12">
        <v>46038</v>
      </c>
      <c r="F1455" s="12">
        <v>46042</v>
      </c>
      <c r="G1455" t="s">
        <v>2458</v>
      </c>
      <c r="H1455" t="s">
        <v>1292</v>
      </c>
      <c r="I1455">
        <v>188</v>
      </c>
      <c r="J1455">
        <v>0.33839999999999998</v>
      </c>
      <c r="K1455" t="s">
        <v>2459</v>
      </c>
      <c r="L1455" t="s">
        <v>2041</v>
      </c>
      <c r="M1455">
        <v>1.4499999999999999E-3</v>
      </c>
      <c r="N1455">
        <v>0.27260000000000001</v>
      </c>
      <c r="O1455">
        <v>6.7400000000000002E-2</v>
      </c>
      <c r="P1455">
        <v>19.823499999999999</v>
      </c>
    </row>
    <row r="1456" spans="1:16" x14ac:dyDescent="0.25">
      <c r="A1456" t="s">
        <v>2060</v>
      </c>
      <c r="B1456" t="s">
        <v>2061</v>
      </c>
      <c r="C1456" t="s">
        <v>1976</v>
      </c>
      <c r="D1456" s="11">
        <v>6100072669</v>
      </c>
      <c r="E1456" s="12">
        <v>46038</v>
      </c>
      <c r="F1456" s="12">
        <v>46042</v>
      </c>
      <c r="G1456" t="s">
        <v>2458</v>
      </c>
      <c r="H1456" t="s">
        <v>894</v>
      </c>
      <c r="I1456">
        <v>52</v>
      </c>
      <c r="J1456">
        <v>74.838399999999993</v>
      </c>
      <c r="K1456" t="s">
        <v>2459</v>
      </c>
      <c r="L1456" t="s">
        <v>2041</v>
      </c>
      <c r="M1456">
        <v>1.1801600000000001</v>
      </c>
      <c r="N1456">
        <v>61.368319999999997</v>
      </c>
      <c r="O1456">
        <v>13.471679999999999</v>
      </c>
      <c r="P1456">
        <v>18.000599999999999</v>
      </c>
    </row>
    <row r="1457" spans="1:16" x14ac:dyDescent="0.25">
      <c r="A1457" t="s">
        <v>2060</v>
      </c>
      <c r="B1457" t="s">
        <v>2061</v>
      </c>
      <c r="C1457" t="s">
        <v>1976</v>
      </c>
      <c r="D1457" s="11">
        <v>6100072669</v>
      </c>
      <c r="E1457" s="12">
        <v>46038</v>
      </c>
      <c r="F1457" s="12">
        <v>46042</v>
      </c>
      <c r="G1457" t="s">
        <v>2458</v>
      </c>
      <c r="H1457" t="s">
        <v>1696</v>
      </c>
      <c r="I1457">
        <v>32</v>
      </c>
      <c r="J1457">
        <v>4.5439999999999996</v>
      </c>
      <c r="K1457" t="s">
        <v>2459</v>
      </c>
      <c r="L1457" t="s">
        <v>2041</v>
      </c>
      <c r="M1457">
        <v>0.11642</v>
      </c>
      <c r="N1457">
        <v>3.7254399999999999</v>
      </c>
      <c r="O1457">
        <v>0.81455999999999995</v>
      </c>
      <c r="P1457">
        <v>17.941800000000001</v>
      </c>
    </row>
    <row r="1458" spans="1:16" x14ac:dyDescent="0.25">
      <c r="A1458" t="s">
        <v>2060</v>
      </c>
      <c r="B1458" t="s">
        <v>2061</v>
      </c>
      <c r="C1458" t="s">
        <v>1976</v>
      </c>
      <c r="D1458" s="11">
        <v>6100072669</v>
      </c>
      <c r="E1458" s="12">
        <v>46038</v>
      </c>
      <c r="F1458" s="12">
        <v>46042</v>
      </c>
      <c r="G1458" t="s">
        <v>2458</v>
      </c>
      <c r="H1458" t="s">
        <v>1785</v>
      </c>
      <c r="I1458">
        <v>32</v>
      </c>
      <c r="J1458">
        <v>62.6496</v>
      </c>
      <c r="K1458" t="s">
        <v>2459</v>
      </c>
      <c r="L1458" t="s">
        <v>2041</v>
      </c>
      <c r="M1458">
        <v>1.60541</v>
      </c>
      <c r="N1458">
        <v>51.37312</v>
      </c>
      <c r="O1458">
        <v>11.27688</v>
      </c>
      <c r="P1458">
        <v>17.9998</v>
      </c>
    </row>
    <row r="1459" spans="1:16" x14ac:dyDescent="0.25">
      <c r="A1459" t="s">
        <v>2060</v>
      </c>
      <c r="B1459" t="s">
        <v>2061</v>
      </c>
      <c r="C1459" t="s">
        <v>1976</v>
      </c>
      <c r="D1459" s="11">
        <v>6100072669</v>
      </c>
      <c r="E1459" s="12">
        <v>46038</v>
      </c>
      <c r="F1459" s="12">
        <v>46042</v>
      </c>
      <c r="G1459" t="s">
        <v>2458</v>
      </c>
      <c r="H1459" t="s">
        <v>1688</v>
      </c>
      <c r="I1459">
        <v>52</v>
      </c>
      <c r="J1459">
        <v>1.9448000000000001</v>
      </c>
      <c r="K1459" t="s">
        <v>2459</v>
      </c>
      <c r="L1459" t="s">
        <v>2041</v>
      </c>
      <c r="M1459">
        <v>3.0640000000000001E-2</v>
      </c>
      <c r="N1459">
        <v>1.59328</v>
      </c>
      <c r="O1459">
        <v>0.34671999999999997</v>
      </c>
      <c r="P1459">
        <v>17.8721</v>
      </c>
    </row>
    <row r="1460" spans="1:16" x14ac:dyDescent="0.25">
      <c r="A1460" t="s">
        <v>2060</v>
      </c>
      <c r="B1460" t="s">
        <v>2061</v>
      </c>
      <c r="C1460" t="s">
        <v>1976</v>
      </c>
      <c r="D1460" s="11">
        <v>6100072669</v>
      </c>
      <c r="E1460" s="12">
        <v>46038</v>
      </c>
      <c r="F1460" s="12">
        <v>46042</v>
      </c>
      <c r="G1460" t="s">
        <v>2458</v>
      </c>
      <c r="H1460" t="s">
        <v>490</v>
      </c>
      <c r="I1460">
        <v>26</v>
      </c>
      <c r="J1460">
        <v>419.12520000000001</v>
      </c>
      <c r="K1460" t="s">
        <v>2459</v>
      </c>
      <c r="L1460" t="s">
        <v>2041</v>
      </c>
      <c r="M1460">
        <v>11.206</v>
      </c>
      <c r="N1460">
        <v>291.35599999999999</v>
      </c>
      <c r="O1460">
        <v>127.774</v>
      </c>
      <c r="P1460">
        <v>30.485499999999998</v>
      </c>
    </row>
    <row r="1461" spans="1:16" x14ac:dyDescent="0.25">
      <c r="A1461" t="s">
        <v>2060</v>
      </c>
      <c r="B1461" t="s">
        <v>2061</v>
      </c>
      <c r="C1461" t="s">
        <v>1976</v>
      </c>
      <c r="D1461" s="11">
        <v>6100072669</v>
      </c>
      <c r="E1461" s="12">
        <v>46038</v>
      </c>
      <c r="F1461" s="12">
        <v>46042</v>
      </c>
      <c r="G1461" t="s">
        <v>2458</v>
      </c>
      <c r="H1461" t="s">
        <v>1090</v>
      </c>
      <c r="I1461">
        <v>70</v>
      </c>
      <c r="J1461">
        <v>822.28300000000002</v>
      </c>
      <c r="K1461" t="s">
        <v>2459</v>
      </c>
      <c r="L1461" t="s">
        <v>2041</v>
      </c>
      <c r="M1461">
        <v>9.6324299999999994</v>
      </c>
      <c r="N1461">
        <v>674.27009999999996</v>
      </c>
      <c r="O1461">
        <v>148.00989999999999</v>
      </c>
      <c r="P1461">
        <v>17.9999</v>
      </c>
    </row>
    <row r="1462" spans="1:16" x14ac:dyDescent="0.25">
      <c r="A1462" t="s">
        <v>2060</v>
      </c>
      <c r="B1462" t="s">
        <v>2061</v>
      </c>
      <c r="C1462" t="s">
        <v>1976</v>
      </c>
      <c r="D1462" s="11">
        <v>6100072669</v>
      </c>
      <c r="E1462" s="12">
        <v>46038</v>
      </c>
      <c r="F1462" s="12">
        <v>46042</v>
      </c>
      <c r="G1462" t="s">
        <v>2458</v>
      </c>
      <c r="H1462" t="s">
        <v>1737</v>
      </c>
      <c r="I1462">
        <v>24</v>
      </c>
      <c r="J1462">
        <v>27.5472</v>
      </c>
      <c r="K1462" t="s">
        <v>2459</v>
      </c>
      <c r="L1462" t="s">
        <v>2041</v>
      </c>
      <c r="M1462">
        <v>0.94118000000000002</v>
      </c>
      <c r="N1462">
        <v>22.58832</v>
      </c>
      <c r="O1462">
        <v>4.9616800000000003</v>
      </c>
      <c r="P1462">
        <v>18.009699999999999</v>
      </c>
    </row>
    <row r="1463" spans="1:16" x14ac:dyDescent="0.25">
      <c r="A1463" t="s">
        <v>2060</v>
      </c>
      <c r="B1463" t="s">
        <v>2061</v>
      </c>
      <c r="C1463" t="s">
        <v>1976</v>
      </c>
      <c r="D1463" s="11">
        <v>6100072669</v>
      </c>
      <c r="E1463" s="12">
        <v>46038</v>
      </c>
      <c r="F1463" s="12">
        <v>46042</v>
      </c>
      <c r="G1463" t="s">
        <v>2458</v>
      </c>
      <c r="H1463" t="s">
        <v>487</v>
      </c>
      <c r="I1463">
        <v>44</v>
      </c>
      <c r="J1463">
        <v>11615.5864</v>
      </c>
      <c r="M1463">
        <v>106.72161091</v>
      </c>
      <c r="N1463">
        <v>4695.7508800400001</v>
      </c>
      <c r="O1463">
        <v>6919.8391199999996</v>
      </c>
      <c r="P1463">
        <v>59.573700000000002</v>
      </c>
    </row>
    <row r="1464" spans="1:16" x14ac:dyDescent="0.25">
      <c r="A1464" t="s">
        <v>2060</v>
      </c>
      <c r="B1464" t="s">
        <v>2061</v>
      </c>
      <c r="C1464" t="s">
        <v>1976</v>
      </c>
      <c r="D1464" s="11">
        <v>6100072669</v>
      </c>
      <c r="E1464" s="12">
        <v>46038</v>
      </c>
      <c r="F1464" s="12">
        <v>46042</v>
      </c>
      <c r="G1464" t="s">
        <v>2458</v>
      </c>
      <c r="H1464" t="s">
        <v>1757</v>
      </c>
      <c r="I1464">
        <v>96</v>
      </c>
      <c r="J1464">
        <v>108.4704</v>
      </c>
      <c r="K1464" t="s">
        <v>2459</v>
      </c>
      <c r="L1464" t="s">
        <v>2041</v>
      </c>
      <c r="M1464">
        <v>0.92647999999999997</v>
      </c>
      <c r="N1464">
        <v>88.942080000000004</v>
      </c>
      <c r="O1464">
        <v>19.527920000000002</v>
      </c>
      <c r="P1464">
        <v>18.003</v>
      </c>
    </row>
    <row r="1465" spans="1:16" x14ac:dyDescent="0.25">
      <c r="A1465" t="s">
        <v>2060</v>
      </c>
      <c r="B1465" t="s">
        <v>2061</v>
      </c>
      <c r="C1465" t="s">
        <v>1976</v>
      </c>
      <c r="D1465" s="11">
        <v>6100072669</v>
      </c>
      <c r="E1465" s="12">
        <v>46038</v>
      </c>
      <c r="F1465" s="12">
        <v>46042</v>
      </c>
      <c r="G1465" t="s">
        <v>2458</v>
      </c>
      <c r="H1465" t="s">
        <v>1128</v>
      </c>
      <c r="I1465">
        <v>24</v>
      </c>
      <c r="J1465">
        <v>214.20480000000001</v>
      </c>
      <c r="M1465">
        <v>7.8760000000000003</v>
      </c>
      <c r="N1465">
        <v>189.024</v>
      </c>
      <c r="O1465">
        <v>25.175999999999998</v>
      </c>
      <c r="P1465">
        <v>11.753500000000001</v>
      </c>
    </row>
    <row r="1466" spans="1:16" x14ac:dyDescent="0.25">
      <c r="A1466" t="s">
        <v>2060</v>
      </c>
      <c r="B1466" t="s">
        <v>2061</v>
      </c>
      <c r="C1466" t="s">
        <v>1976</v>
      </c>
      <c r="D1466" s="11">
        <v>6100072669</v>
      </c>
      <c r="E1466" s="12">
        <v>46038</v>
      </c>
      <c r="F1466" s="12">
        <v>46042</v>
      </c>
      <c r="G1466" t="s">
        <v>2458</v>
      </c>
      <c r="H1466" t="s">
        <v>1605</v>
      </c>
      <c r="I1466">
        <v>24</v>
      </c>
      <c r="J1466">
        <v>218.41919999999999</v>
      </c>
      <c r="M1466">
        <v>5.12</v>
      </c>
      <c r="N1466">
        <v>122.88</v>
      </c>
      <c r="O1466">
        <v>95.54</v>
      </c>
      <c r="P1466">
        <v>43.741399999999999</v>
      </c>
    </row>
    <row r="1467" spans="1:16" x14ac:dyDescent="0.25">
      <c r="A1467" t="s">
        <v>2060</v>
      </c>
      <c r="B1467" t="s">
        <v>2061</v>
      </c>
      <c r="C1467" t="s">
        <v>1976</v>
      </c>
      <c r="D1467" s="11">
        <v>6100072669</v>
      </c>
      <c r="E1467" s="12">
        <v>46038</v>
      </c>
      <c r="F1467" s="12">
        <v>46042</v>
      </c>
      <c r="G1467" t="s">
        <v>2458</v>
      </c>
      <c r="H1467" t="s">
        <v>1681</v>
      </c>
      <c r="I1467">
        <v>46</v>
      </c>
      <c r="J1467">
        <v>11.2056</v>
      </c>
      <c r="M1467">
        <v>0.17</v>
      </c>
      <c r="N1467">
        <v>7.82</v>
      </c>
      <c r="O1467">
        <v>3.39</v>
      </c>
      <c r="P1467">
        <v>30.2408</v>
      </c>
    </row>
    <row r="1468" spans="1:16" x14ac:dyDescent="0.25">
      <c r="A1468" t="s">
        <v>2060</v>
      </c>
      <c r="B1468" t="s">
        <v>2061</v>
      </c>
      <c r="C1468" t="s">
        <v>1976</v>
      </c>
      <c r="D1468" s="11">
        <v>6100072669</v>
      </c>
      <c r="E1468" s="12">
        <v>46038</v>
      </c>
      <c r="F1468" s="12">
        <v>46042</v>
      </c>
      <c r="G1468" t="s">
        <v>2458</v>
      </c>
      <c r="H1468" t="s">
        <v>1675</v>
      </c>
      <c r="I1468">
        <v>24</v>
      </c>
      <c r="J1468">
        <v>22.6464</v>
      </c>
      <c r="K1468" t="s">
        <v>2459</v>
      </c>
      <c r="L1468" t="s">
        <v>2041</v>
      </c>
      <c r="M1468">
        <v>0.77373000000000003</v>
      </c>
      <c r="N1468">
        <v>18.569520000000001</v>
      </c>
      <c r="O1468">
        <v>4.0804799999999997</v>
      </c>
      <c r="P1468">
        <v>18.0153</v>
      </c>
    </row>
    <row r="1469" spans="1:16" x14ac:dyDescent="0.25">
      <c r="A1469" t="s">
        <v>2060</v>
      </c>
      <c r="B1469" t="s">
        <v>2061</v>
      </c>
      <c r="C1469" t="s">
        <v>1976</v>
      </c>
      <c r="D1469" s="11">
        <v>6100072669</v>
      </c>
      <c r="E1469" s="12">
        <v>46038</v>
      </c>
      <c r="F1469" s="12">
        <v>46042</v>
      </c>
      <c r="G1469" t="s">
        <v>2458</v>
      </c>
      <c r="H1469" t="s">
        <v>1160</v>
      </c>
      <c r="I1469">
        <v>52</v>
      </c>
      <c r="J1469">
        <v>27.861599999999999</v>
      </c>
      <c r="K1469" t="s">
        <v>2459</v>
      </c>
      <c r="L1469" t="s">
        <v>2041</v>
      </c>
      <c r="M1469">
        <v>0.43935000000000002</v>
      </c>
      <c r="N1469">
        <v>22.8462</v>
      </c>
      <c r="O1469">
        <v>5.0137999999999998</v>
      </c>
      <c r="P1469">
        <v>17.996400000000001</v>
      </c>
    </row>
    <row r="1470" spans="1:16" x14ac:dyDescent="0.25">
      <c r="A1470" t="s">
        <v>2060</v>
      </c>
      <c r="B1470" t="s">
        <v>2061</v>
      </c>
      <c r="C1470" t="s">
        <v>1976</v>
      </c>
      <c r="D1470" s="11">
        <v>6100072669</v>
      </c>
      <c r="E1470" s="12">
        <v>46038</v>
      </c>
      <c r="F1470" s="12">
        <v>46042</v>
      </c>
      <c r="G1470" t="s">
        <v>2458</v>
      </c>
      <c r="H1470" t="s">
        <v>624</v>
      </c>
      <c r="I1470">
        <v>24</v>
      </c>
      <c r="J1470">
        <v>1065.8543999999999</v>
      </c>
      <c r="M1470">
        <v>34.830950000000001</v>
      </c>
      <c r="N1470">
        <v>835.94280000000003</v>
      </c>
      <c r="O1470">
        <v>229.90719999999999</v>
      </c>
      <c r="P1470">
        <v>21.5703</v>
      </c>
    </row>
    <row r="1471" spans="1:16" x14ac:dyDescent="0.25">
      <c r="A1471" t="s">
        <v>2060</v>
      </c>
      <c r="B1471" t="s">
        <v>2061</v>
      </c>
      <c r="C1471" t="s">
        <v>1976</v>
      </c>
      <c r="D1471" s="11">
        <v>6100072669</v>
      </c>
      <c r="E1471" s="12">
        <v>46038</v>
      </c>
      <c r="F1471" s="12">
        <v>46042</v>
      </c>
      <c r="G1471" t="s">
        <v>2458</v>
      </c>
      <c r="H1471" t="s">
        <v>1635</v>
      </c>
      <c r="I1471">
        <v>52</v>
      </c>
      <c r="J1471">
        <v>85.607600000000005</v>
      </c>
      <c r="K1471" t="s">
        <v>2459</v>
      </c>
      <c r="L1471" t="s">
        <v>2041</v>
      </c>
      <c r="M1471">
        <v>1.35</v>
      </c>
      <c r="N1471">
        <v>70.2</v>
      </c>
      <c r="O1471">
        <v>15.41</v>
      </c>
      <c r="P1471">
        <v>18.0002</v>
      </c>
    </row>
    <row r="1472" spans="1:16" x14ac:dyDescent="0.25">
      <c r="A1472" t="s">
        <v>2060</v>
      </c>
      <c r="B1472" t="s">
        <v>2061</v>
      </c>
      <c r="C1472" t="s">
        <v>1976</v>
      </c>
      <c r="D1472" s="11">
        <v>6100072669</v>
      </c>
      <c r="E1472" s="12">
        <v>46038</v>
      </c>
      <c r="F1472" s="12">
        <v>46042</v>
      </c>
      <c r="G1472" t="s">
        <v>2458</v>
      </c>
      <c r="H1472" t="s">
        <v>1189</v>
      </c>
      <c r="I1472">
        <v>206</v>
      </c>
      <c r="J1472">
        <v>18.478200000000001</v>
      </c>
      <c r="K1472" t="s">
        <v>2459</v>
      </c>
      <c r="L1472" t="s">
        <v>2041</v>
      </c>
      <c r="M1472">
        <v>7.3529999999999998E-2</v>
      </c>
      <c r="N1472">
        <v>15.147180000000001</v>
      </c>
      <c r="O1472">
        <v>3.3328199999999999</v>
      </c>
      <c r="P1472">
        <v>18.034700000000001</v>
      </c>
    </row>
    <row r="1473" spans="1:16" x14ac:dyDescent="0.25">
      <c r="A1473" t="s">
        <v>2060</v>
      </c>
      <c r="B1473" t="s">
        <v>2061</v>
      </c>
      <c r="C1473" t="s">
        <v>1976</v>
      </c>
      <c r="D1473" s="11">
        <v>6100072669</v>
      </c>
      <c r="E1473" s="12">
        <v>46038</v>
      </c>
      <c r="F1473" s="12">
        <v>46042</v>
      </c>
      <c r="G1473" t="s">
        <v>2458</v>
      </c>
      <c r="H1473" t="s">
        <v>47</v>
      </c>
      <c r="I1473">
        <v>82</v>
      </c>
      <c r="J1473">
        <v>10.701000000000001</v>
      </c>
      <c r="K1473" t="s">
        <v>2459</v>
      </c>
      <c r="L1473" t="s">
        <v>2041</v>
      </c>
      <c r="M1473">
        <v>0.107</v>
      </c>
      <c r="N1473">
        <v>8.7739999999999991</v>
      </c>
      <c r="O1473">
        <v>1.9259999999999999</v>
      </c>
      <c r="P1473">
        <v>18</v>
      </c>
    </row>
    <row r="1474" spans="1:16" x14ac:dyDescent="0.25">
      <c r="A1474" t="s">
        <v>2060</v>
      </c>
      <c r="B1474" t="s">
        <v>2061</v>
      </c>
      <c r="C1474" t="s">
        <v>1976</v>
      </c>
      <c r="D1474" s="11">
        <v>6100072669</v>
      </c>
      <c r="E1474" s="12">
        <v>46038</v>
      </c>
      <c r="F1474" s="12">
        <v>46042</v>
      </c>
      <c r="G1474" t="s">
        <v>2458</v>
      </c>
      <c r="H1474" t="s">
        <v>585</v>
      </c>
      <c r="I1474">
        <v>662</v>
      </c>
      <c r="J1474">
        <v>27.671600000000002</v>
      </c>
      <c r="K1474" t="s">
        <v>2459</v>
      </c>
      <c r="L1474" t="s">
        <v>2041</v>
      </c>
      <c r="M1474">
        <v>3.4299999999999997E-2</v>
      </c>
      <c r="N1474">
        <v>22.706600000000002</v>
      </c>
      <c r="O1474">
        <v>4.9634</v>
      </c>
      <c r="P1474">
        <v>17.937799999999999</v>
      </c>
    </row>
    <row r="1475" spans="1:16" x14ac:dyDescent="0.25">
      <c r="A1475" t="s">
        <v>2060</v>
      </c>
      <c r="B1475" t="s">
        <v>2061</v>
      </c>
      <c r="C1475" t="s">
        <v>1976</v>
      </c>
      <c r="D1475" s="11">
        <v>6100072669</v>
      </c>
      <c r="E1475" s="12">
        <v>46038</v>
      </c>
      <c r="F1475" s="12">
        <v>46042</v>
      </c>
      <c r="G1475" t="s">
        <v>2458</v>
      </c>
      <c r="H1475" t="s">
        <v>925</v>
      </c>
      <c r="I1475">
        <v>706</v>
      </c>
      <c r="J1475">
        <v>130.3982</v>
      </c>
      <c r="K1475" t="s">
        <v>2459</v>
      </c>
      <c r="L1475" t="s">
        <v>2041</v>
      </c>
      <c r="M1475">
        <v>0.15143999999999999</v>
      </c>
      <c r="N1475">
        <v>106.91664</v>
      </c>
      <c r="O1475">
        <v>23.483360000000001</v>
      </c>
      <c r="P1475">
        <v>18.008700000000001</v>
      </c>
    </row>
    <row r="1476" spans="1:16" x14ac:dyDescent="0.25">
      <c r="A1476" t="s">
        <v>2060</v>
      </c>
      <c r="B1476" t="s">
        <v>2061</v>
      </c>
      <c r="C1476" t="s">
        <v>1976</v>
      </c>
      <c r="D1476" s="11">
        <v>6100072669</v>
      </c>
      <c r="E1476" s="12">
        <v>46038</v>
      </c>
      <c r="F1476" s="12">
        <v>46042</v>
      </c>
      <c r="G1476" t="s">
        <v>2458</v>
      </c>
      <c r="H1476" t="s">
        <v>563</v>
      </c>
      <c r="I1476">
        <v>144</v>
      </c>
      <c r="J1476">
        <v>16.574400000000001</v>
      </c>
      <c r="K1476" t="s">
        <v>2459</v>
      </c>
      <c r="L1476" t="s">
        <v>2041</v>
      </c>
      <c r="M1476">
        <v>9.4359999999999999E-2</v>
      </c>
      <c r="N1476">
        <v>13.58784</v>
      </c>
      <c r="O1476">
        <v>2.9821599999999999</v>
      </c>
      <c r="P1476">
        <v>17.997299999999999</v>
      </c>
    </row>
    <row r="1477" spans="1:16" x14ac:dyDescent="0.25">
      <c r="A1477" t="s">
        <v>2060</v>
      </c>
      <c r="B1477" t="s">
        <v>2061</v>
      </c>
      <c r="C1477" t="s">
        <v>1976</v>
      </c>
      <c r="D1477" s="11">
        <v>6100072669</v>
      </c>
      <c r="E1477" s="12">
        <v>46038</v>
      </c>
      <c r="F1477" s="12">
        <v>46042</v>
      </c>
      <c r="G1477" t="s">
        <v>2458</v>
      </c>
      <c r="H1477" t="s">
        <v>565</v>
      </c>
      <c r="I1477">
        <v>122</v>
      </c>
      <c r="J1477">
        <v>11.4924</v>
      </c>
      <c r="K1477" t="s">
        <v>2459</v>
      </c>
      <c r="L1477" t="s">
        <v>2041</v>
      </c>
      <c r="M1477">
        <v>7.7210000000000001E-2</v>
      </c>
      <c r="N1477">
        <v>9.4196200000000001</v>
      </c>
      <c r="O1477">
        <v>2.0703800000000001</v>
      </c>
      <c r="P1477">
        <v>18.018899999999999</v>
      </c>
    </row>
    <row r="1478" spans="1:16" x14ac:dyDescent="0.25">
      <c r="A1478" t="s">
        <v>2060</v>
      </c>
      <c r="B1478" t="s">
        <v>2061</v>
      </c>
      <c r="C1478" t="s">
        <v>1976</v>
      </c>
      <c r="D1478" s="11">
        <v>6100072669</v>
      </c>
      <c r="E1478" s="12">
        <v>46038</v>
      </c>
      <c r="F1478" s="12">
        <v>46042</v>
      </c>
      <c r="G1478" t="s">
        <v>2458</v>
      </c>
      <c r="H1478" t="s">
        <v>653</v>
      </c>
      <c r="I1478">
        <v>794</v>
      </c>
      <c r="J1478">
        <v>67.331199999999995</v>
      </c>
      <c r="K1478" t="s">
        <v>2459</v>
      </c>
      <c r="L1478" t="s">
        <v>2041</v>
      </c>
      <c r="M1478">
        <v>6.9519999999999998E-2</v>
      </c>
      <c r="N1478">
        <v>55.198880000000003</v>
      </c>
      <c r="O1478">
        <v>12.131119999999999</v>
      </c>
      <c r="P1478">
        <v>18.017399999999999</v>
      </c>
    </row>
    <row r="1479" spans="1:16" x14ac:dyDescent="0.25">
      <c r="A1479" t="s">
        <v>2060</v>
      </c>
      <c r="B1479" t="s">
        <v>2061</v>
      </c>
      <c r="C1479" t="s">
        <v>1976</v>
      </c>
      <c r="D1479" s="11">
        <v>6100072669</v>
      </c>
      <c r="E1479" s="12">
        <v>46038</v>
      </c>
      <c r="F1479" s="12">
        <v>46042</v>
      </c>
      <c r="G1479" t="s">
        <v>2458</v>
      </c>
      <c r="H1479" t="s">
        <v>575</v>
      </c>
      <c r="I1479">
        <v>486</v>
      </c>
      <c r="J1479">
        <v>13.8024</v>
      </c>
      <c r="K1479" t="s">
        <v>2459</v>
      </c>
      <c r="L1479" t="s">
        <v>2041</v>
      </c>
      <c r="M1479">
        <v>2.3290000000000002E-2</v>
      </c>
      <c r="N1479">
        <v>11.31894</v>
      </c>
      <c r="O1479">
        <v>2.4810599999999998</v>
      </c>
      <c r="P1479">
        <v>17.9786</v>
      </c>
    </row>
    <row r="1480" spans="1:16" x14ac:dyDescent="0.25">
      <c r="A1480" t="s">
        <v>2060</v>
      </c>
      <c r="B1480" t="s">
        <v>2061</v>
      </c>
      <c r="C1480" t="s">
        <v>1976</v>
      </c>
      <c r="D1480" s="11">
        <v>6100072669</v>
      </c>
      <c r="E1480" s="12">
        <v>46038</v>
      </c>
      <c r="F1480" s="12">
        <v>46042</v>
      </c>
      <c r="G1480" t="s">
        <v>2458</v>
      </c>
      <c r="H1480" t="s">
        <v>1106</v>
      </c>
      <c r="I1480">
        <v>22</v>
      </c>
      <c r="J1480">
        <v>322.21640000000002</v>
      </c>
      <c r="K1480" t="s">
        <v>2459</v>
      </c>
      <c r="L1480" t="s">
        <v>2041</v>
      </c>
      <c r="M1480">
        <v>12.0099</v>
      </c>
      <c r="N1480">
        <v>264.21780000000001</v>
      </c>
      <c r="O1480">
        <v>58.002200000000002</v>
      </c>
      <c r="P1480">
        <v>18.000800000000002</v>
      </c>
    </row>
    <row r="1481" spans="1:16" x14ac:dyDescent="0.25">
      <c r="A1481" t="s">
        <v>2060</v>
      </c>
      <c r="B1481" t="s">
        <v>2061</v>
      </c>
      <c r="C1481" t="s">
        <v>1976</v>
      </c>
      <c r="D1481" s="11">
        <v>6100072669</v>
      </c>
      <c r="E1481" s="12">
        <v>46038</v>
      </c>
      <c r="F1481" s="12">
        <v>46042</v>
      </c>
      <c r="G1481" t="s">
        <v>2458</v>
      </c>
      <c r="H1481" t="s">
        <v>1111</v>
      </c>
      <c r="I1481">
        <v>24</v>
      </c>
      <c r="J1481">
        <v>233.27520000000001</v>
      </c>
      <c r="M1481">
        <v>10.241</v>
      </c>
      <c r="N1481">
        <v>245.78399999999999</v>
      </c>
      <c r="O1481">
        <v>-12.504</v>
      </c>
      <c r="P1481">
        <v>-5.36</v>
      </c>
    </row>
    <row r="1482" spans="1:16" x14ac:dyDescent="0.25">
      <c r="A1482" t="s">
        <v>2060</v>
      </c>
      <c r="B1482" t="s">
        <v>2061</v>
      </c>
      <c r="C1482" t="s">
        <v>1976</v>
      </c>
      <c r="D1482" s="11">
        <v>6100072669</v>
      </c>
      <c r="E1482" s="12">
        <v>46038</v>
      </c>
      <c r="F1482" s="12">
        <v>46042</v>
      </c>
      <c r="G1482" t="s">
        <v>2458</v>
      </c>
      <c r="H1482" t="s">
        <v>361</v>
      </c>
      <c r="I1482">
        <v>74</v>
      </c>
      <c r="J1482">
        <v>77.085800000000006</v>
      </c>
      <c r="K1482" t="s">
        <v>2459</v>
      </c>
      <c r="L1482" t="s">
        <v>2041</v>
      </c>
      <c r="M1482">
        <v>0.73958999999999997</v>
      </c>
      <c r="N1482">
        <v>54.729660000000003</v>
      </c>
      <c r="O1482">
        <v>22.360340000000001</v>
      </c>
      <c r="P1482">
        <v>29.005500000000001</v>
      </c>
    </row>
    <row r="1483" spans="1:16" x14ac:dyDescent="0.25">
      <c r="A1483" t="s">
        <v>2060</v>
      </c>
      <c r="B1483" t="s">
        <v>2061</v>
      </c>
      <c r="C1483" t="s">
        <v>1976</v>
      </c>
      <c r="D1483" s="11">
        <v>6100072669</v>
      </c>
      <c r="E1483" s="12">
        <v>46038</v>
      </c>
      <c r="F1483" s="12">
        <v>46042</v>
      </c>
      <c r="G1483" t="s">
        <v>2458</v>
      </c>
      <c r="H1483" t="s">
        <v>1113</v>
      </c>
      <c r="I1483">
        <v>684</v>
      </c>
      <c r="J1483">
        <v>59.302799999999998</v>
      </c>
      <c r="K1483" t="s">
        <v>2459</v>
      </c>
      <c r="L1483" t="s">
        <v>2041</v>
      </c>
      <c r="M1483">
        <v>7.1080000000000004E-2</v>
      </c>
      <c r="N1483">
        <v>48.618720000000003</v>
      </c>
      <c r="O1483">
        <v>10.681279999999999</v>
      </c>
      <c r="P1483">
        <v>18.0122</v>
      </c>
    </row>
    <row r="1484" spans="1:16" x14ac:dyDescent="0.25">
      <c r="A1484" t="s">
        <v>2060</v>
      </c>
      <c r="B1484" t="s">
        <v>2061</v>
      </c>
      <c r="C1484" t="s">
        <v>1976</v>
      </c>
      <c r="D1484" s="11">
        <v>6100072669</v>
      </c>
      <c r="E1484" s="12">
        <v>46038</v>
      </c>
      <c r="F1484" s="12">
        <v>46042</v>
      </c>
      <c r="G1484" t="s">
        <v>2458</v>
      </c>
      <c r="H1484" t="s">
        <v>299</v>
      </c>
      <c r="I1484">
        <v>24</v>
      </c>
      <c r="J1484">
        <v>55.1952</v>
      </c>
      <c r="K1484" t="s">
        <v>2459</v>
      </c>
      <c r="L1484" t="s">
        <v>2041</v>
      </c>
      <c r="M1484">
        <v>1.8857999999999999</v>
      </c>
      <c r="N1484">
        <v>45.2592</v>
      </c>
      <c r="O1484">
        <v>9.9407999999999994</v>
      </c>
      <c r="P1484">
        <v>18.008600000000001</v>
      </c>
    </row>
    <row r="1485" spans="1:16" x14ac:dyDescent="0.25">
      <c r="A1485" t="s">
        <v>2060</v>
      </c>
      <c r="B1485" t="s">
        <v>2061</v>
      </c>
      <c r="C1485" t="s">
        <v>1976</v>
      </c>
      <c r="D1485" s="11">
        <v>6100072669</v>
      </c>
      <c r="E1485" s="12">
        <v>46038</v>
      </c>
      <c r="F1485" s="12">
        <v>46042</v>
      </c>
      <c r="G1485" t="s">
        <v>2458</v>
      </c>
      <c r="H1485" t="s">
        <v>369</v>
      </c>
      <c r="I1485">
        <v>24</v>
      </c>
      <c r="J1485">
        <v>120.36</v>
      </c>
      <c r="K1485" t="s">
        <v>2459</v>
      </c>
      <c r="L1485" t="s">
        <v>2041</v>
      </c>
      <c r="M1485">
        <v>4.1122899999999998</v>
      </c>
      <c r="N1485">
        <v>98.694959999999995</v>
      </c>
      <c r="O1485">
        <v>21.665040000000001</v>
      </c>
      <c r="P1485">
        <v>18.0001</v>
      </c>
    </row>
    <row r="1486" spans="1:16" x14ac:dyDescent="0.25">
      <c r="A1486" t="s">
        <v>2060</v>
      </c>
      <c r="B1486" t="s">
        <v>2061</v>
      </c>
      <c r="C1486" t="s">
        <v>1976</v>
      </c>
      <c r="D1486" s="11">
        <v>6100072669</v>
      </c>
      <c r="E1486" s="12">
        <v>46038</v>
      </c>
      <c r="F1486" s="12">
        <v>46042</v>
      </c>
      <c r="G1486" t="s">
        <v>2458</v>
      </c>
      <c r="H1486" t="s">
        <v>2158</v>
      </c>
      <c r="I1486">
        <v>24</v>
      </c>
      <c r="J1486">
        <v>9.0047999999999995</v>
      </c>
      <c r="K1486" t="s">
        <v>2459</v>
      </c>
      <c r="L1486" t="s">
        <v>2041</v>
      </c>
      <c r="M1486">
        <v>0.30767</v>
      </c>
      <c r="N1486">
        <v>7.38408</v>
      </c>
      <c r="O1486">
        <v>1.61592</v>
      </c>
      <c r="P1486">
        <v>17.954599999999999</v>
      </c>
    </row>
    <row r="1487" spans="1:16" x14ac:dyDescent="0.25">
      <c r="A1487" t="s">
        <v>2060</v>
      </c>
      <c r="B1487" t="s">
        <v>2061</v>
      </c>
      <c r="C1487" t="s">
        <v>1976</v>
      </c>
      <c r="D1487" s="11">
        <v>6100072669</v>
      </c>
      <c r="E1487" s="12">
        <v>46038</v>
      </c>
      <c r="F1487" s="12">
        <v>46042</v>
      </c>
      <c r="G1487" t="s">
        <v>2458</v>
      </c>
      <c r="H1487" t="s">
        <v>314</v>
      </c>
      <c r="I1487">
        <v>24</v>
      </c>
      <c r="J1487">
        <v>22.4544</v>
      </c>
      <c r="K1487" t="s">
        <v>2459</v>
      </c>
      <c r="L1487" t="s">
        <v>2041</v>
      </c>
      <c r="M1487">
        <v>0.76715999999999995</v>
      </c>
      <c r="N1487">
        <v>18.411840000000002</v>
      </c>
      <c r="O1487">
        <v>4.0381600000000004</v>
      </c>
      <c r="P1487">
        <v>17.987300000000001</v>
      </c>
    </row>
    <row r="1488" spans="1:16" x14ac:dyDescent="0.25">
      <c r="A1488" t="s">
        <v>2060</v>
      </c>
      <c r="B1488" t="s">
        <v>2061</v>
      </c>
      <c r="C1488" t="s">
        <v>1976</v>
      </c>
      <c r="D1488" s="11">
        <v>6100072669</v>
      </c>
      <c r="E1488" s="12">
        <v>46038</v>
      </c>
      <c r="F1488" s="12">
        <v>46042</v>
      </c>
      <c r="G1488" t="s">
        <v>2458</v>
      </c>
      <c r="H1488" t="s">
        <v>644</v>
      </c>
      <c r="I1488">
        <v>46</v>
      </c>
      <c r="J1488">
        <v>3487.0621999999998</v>
      </c>
      <c r="M1488">
        <v>48.0565</v>
      </c>
      <c r="N1488">
        <v>2210.5990000000002</v>
      </c>
      <c r="O1488">
        <v>1276.461</v>
      </c>
      <c r="P1488">
        <v>36.605600000000003</v>
      </c>
    </row>
    <row r="1489" spans="1:17" x14ac:dyDescent="0.25">
      <c r="A1489" t="s">
        <v>2060</v>
      </c>
      <c r="B1489" t="s">
        <v>2061</v>
      </c>
      <c r="C1489" t="s">
        <v>1976</v>
      </c>
      <c r="D1489" s="11">
        <v>6100072669</v>
      </c>
      <c r="E1489" s="12">
        <v>46038</v>
      </c>
      <c r="F1489" s="12">
        <v>46042</v>
      </c>
      <c r="G1489" t="s">
        <v>2458</v>
      </c>
      <c r="H1489" t="s">
        <v>922</v>
      </c>
      <c r="I1489">
        <v>24</v>
      </c>
      <c r="J1489">
        <v>1012.0536</v>
      </c>
      <c r="K1489" t="s">
        <v>2459</v>
      </c>
      <c r="L1489" t="s">
        <v>2041</v>
      </c>
      <c r="M1489">
        <v>34.57846</v>
      </c>
      <c r="N1489">
        <v>829.88304000000005</v>
      </c>
      <c r="O1489">
        <v>182.16695999999999</v>
      </c>
      <c r="P1489">
        <v>17.999700000000001</v>
      </c>
    </row>
    <row r="1490" spans="1:17" x14ac:dyDescent="0.25">
      <c r="A1490" t="s">
        <v>2060</v>
      </c>
      <c r="B1490" t="s">
        <v>2061</v>
      </c>
      <c r="C1490" t="s">
        <v>1976</v>
      </c>
      <c r="D1490" s="11">
        <v>6100072669</v>
      </c>
      <c r="E1490" s="12">
        <v>46038</v>
      </c>
      <c r="F1490" s="12">
        <v>46042</v>
      </c>
      <c r="G1490" t="s">
        <v>2458</v>
      </c>
      <c r="H1490" t="s">
        <v>890</v>
      </c>
      <c r="I1490">
        <v>16</v>
      </c>
      <c r="J1490">
        <v>8.2143999999999995</v>
      </c>
      <c r="M1490">
        <v>0.33660000000000001</v>
      </c>
      <c r="N1490">
        <v>5.3856000000000002</v>
      </c>
      <c r="O1490">
        <v>2.8243999999999998</v>
      </c>
      <c r="P1490">
        <v>34.401899999999998</v>
      </c>
    </row>
    <row r="1491" spans="1:17" x14ac:dyDescent="0.25">
      <c r="A1491" t="s">
        <v>2060</v>
      </c>
      <c r="B1491" t="s">
        <v>2061</v>
      </c>
      <c r="C1491" t="s">
        <v>1976</v>
      </c>
      <c r="D1491" s="11">
        <v>6100072669</v>
      </c>
      <c r="E1491" s="12">
        <v>46038</v>
      </c>
      <c r="F1491" s="12">
        <v>46042</v>
      </c>
      <c r="G1491" t="s">
        <v>2458</v>
      </c>
      <c r="H1491" t="s">
        <v>1121</v>
      </c>
      <c r="I1491">
        <v>13</v>
      </c>
      <c r="J1491">
        <v>32.2517</v>
      </c>
      <c r="K1491" t="s">
        <v>2459</v>
      </c>
      <c r="L1491" t="s">
        <v>2041</v>
      </c>
      <c r="M1491">
        <v>2.0343300000000002</v>
      </c>
      <c r="N1491">
        <v>26.446290000000001</v>
      </c>
      <c r="O1491">
        <v>5.8037099999999997</v>
      </c>
      <c r="P1491">
        <v>17.995999999999999</v>
      </c>
    </row>
    <row r="1492" spans="1:17" x14ac:dyDescent="0.25">
      <c r="A1492" t="s">
        <v>2060</v>
      </c>
      <c r="B1492" t="s">
        <v>2061</v>
      </c>
      <c r="C1492" t="s">
        <v>1976</v>
      </c>
      <c r="D1492" s="11">
        <v>6100072669</v>
      </c>
      <c r="E1492" s="12">
        <v>46038</v>
      </c>
      <c r="F1492" s="12">
        <v>46042</v>
      </c>
      <c r="G1492" t="s">
        <v>2458</v>
      </c>
      <c r="H1492" t="s">
        <v>561</v>
      </c>
      <c r="I1492">
        <v>53</v>
      </c>
      <c r="J1492">
        <v>3.9590999999999998</v>
      </c>
      <c r="K1492" t="s">
        <v>2459</v>
      </c>
      <c r="L1492" t="s">
        <v>2041</v>
      </c>
      <c r="M1492">
        <v>6.1280000000000001E-2</v>
      </c>
      <c r="N1492">
        <v>3.2478400000000001</v>
      </c>
      <c r="O1492">
        <v>0.71216000000000002</v>
      </c>
      <c r="P1492">
        <v>17.983799999999999</v>
      </c>
    </row>
    <row r="1493" spans="1:17" x14ac:dyDescent="0.25">
      <c r="A1493" t="s">
        <v>2060</v>
      </c>
      <c r="B1493" t="s">
        <v>2061</v>
      </c>
      <c r="C1493" t="s">
        <v>1976</v>
      </c>
      <c r="D1493" s="11">
        <v>6100072669</v>
      </c>
      <c r="E1493" s="12">
        <v>46038</v>
      </c>
      <c r="F1493" s="12">
        <v>46042</v>
      </c>
      <c r="G1493" t="s">
        <v>2458</v>
      </c>
      <c r="H1493" t="s">
        <v>993</v>
      </c>
      <c r="I1493">
        <v>4</v>
      </c>
      <c r="J1493">
        <v>16.200399999999998</v>
      </c>
      <c r="K1493" t="s">
        <v>2459</v>
      </c>
      <c r="L1493" t="s">
        <v>2041</v>
      </c>
      <c r="M1493">
        <v>3.32111</v>
      </c>
      <c r="N1493">
        <v>13.28444</v>
      </c>
      <c r="O1493">
        <v>2.9155600000000002</v>
      </c>
      <c r="P1493">
        <v>17.997199999999999</v>
      </c>
    </row>
    <row r="1494" spans="1:17" x14ac:dyDescent="0.25">
      <c r="A1494" t="s">
        <v>2060</v>
      </c>
      <c r="B1494" t="s">
        <v>2061</v>
      </c>
      <c r="C1494" t="s">
        <v>1976</v>
      </c>
      <c r="D1494" s="11">
        <v>7510067983</v>
      </c>
      <c r="E1494" s="12">
        <v>46045</v>
      </c>
      <c r="F1494" s="12">
        <v>46048</v>
      </c>
      <c r="G1494" t="s">
        <v>2460</v>
      </c>
      <c r="H1494" t="s">
        <v>780</v>
      </c>
      <c r="I1494">
        <v>53</v>
      </c>
      <c r="J1494">
        <v>2.7294999999999998</v>
      </c>
      <c r="K1494" t="s">
        <v>2461</v>
      </c>
      <c r="L1494" t="s">
        <v>2041</v>
      </c>
      <c r="M1494">
        <v>4.2259999999999999E-2</v>
      </c>
      <c r="N1494">
        <v>2.2397800000000001</v>
      </c>
      <c r="O1494">
        <v>0.49021999999999999</v>
      </c>
      <c r="P1494">
        <v>17.956700000000001</v>
      </c>
      <c r="Q1494" t="s">
        <v>2462</v>
      </c>
    </row>
    <row r="1495" spans="1:17" x14ac:dyDescent="0.25">
      <c r="A1495" t="s">
        <v>1974</v>
      </c>
      <c r="B1495" t="s">
        <v>1975</v>
      </c>
      <c r="C1495" t="s">
        <v>1976</v>
      </c>
      <c r="D1495" s="11">
        <v>83854</v>
      </c>
      <c r="E1495" s="12">
        <v>46049</v>
      </c>
      <c r="F1495" s="12">
        <v>46050</v>
      </c>
      <c r="G1495" t="s">
        <v>2463</v>
      </c>
      <c r="H1495" t="s">
        <v>25</v>
      </c>
      <c r="I1495">
        <v>40</v>
      </c>
      <c r="J1495">
        <v>9.3800000000000008</v>
      </c>
      <c r="M1495">
        <v>0.18</v>
      </c>
      <c r="N1495">
        <v>7.2</v>
      </c>
      <c r="O1495">
        <v>2.1800000000000002</v>
      </c>
      <c r="P1495">
        <v>23.2409</v>
      </c>
      <c r="Q1495" t="s">
        <v>1987</v>
      </c>
    </row>
    <row r="1496" spans="1:17" x14ac:dyDescent="0.25">
      <c r="A1496" t="s">
        <v>1974</v>
      </c>
      <c r="B1496" t="s">
        <v>1975</v>
      </c>
      <c r="C1496" t="s">
        <v>1976</v>
      </c>
      <c r="D1496" s="11">
        <v>83854</v>
      </c>
      <c r="E1496" s="12">
        <v>46049</v>
      </c>
      <c r="F1496" s="12">
        <v>46050</v>
      </c>
      <c r="G1496" t="s">
        <v>2463</v>
      </c>
      <c r="H1496" t="s">
        <v>665</v>
      </c>
      <c r="I1496">
        <v>10</v>
      </c>
      <c r="J1496">
        <v>8.5790000000000006</v>
      </c>
      <c r="M1496">
        <v>0.69699999999999995</v>
      </c>
      <c r="N1496">
        <v>6.97</v>
      </c>
      <c r="O1496">
        <v>1.61</v>
      </c>
      <c r="P1496">
        <v>18.764500000000002</v>
      </c>
      <c r="Q1496" t="s">
        <v>1988</v>
      </c>
    </row>
    <row r="1497" spans="1:17" x14ac:dyDescent="0.25">
      <c r="A1497" t="s">
        <v>2060</v>
      </c>
      <c r="B1497" t="s">
        <v>2061</v>
      </c>
      <c r="C1497" t="s">
        <v>1976</v>
      </c>
      <c r="D1497" s="11">
        <v>7510068079</v>
      </c>
      <c r="E1497" s="12">
        <v>46049</v>
      </c>
      <c r="F1497" s="12">
        <v>46050</v>
      </c>
      <c r="G1497" t="s">
        <v>2464</v>
      </c>
      <c r="H1497" t="s">
        <v>101</v>
      </c>
      <c r="I1497">
        <v>9</v>
      </c>
      <c r="J1497">
        <v>11.2986</v>
      </c>
      <c r="K1497" t="s">
        <v>2465</v>
      </c>
      <c r="L1497" t="s">
        <v>2041</v>
      </c>
      <c r="M1497">
        <v>1.02942</v>
      </c>
      <c r="N1497">
        <v>9.26478</v>
      </c>
      <c r="O1497">
        <v>2.0352199999999998</v>
      </c>
      <c r="P1497">
        <v>18.0107</v>
      </c>
      <c r="Q1497" t="s">
        <v>2466</v>
      </c>
    </row>
    <row r="1498" spans="1:17" x14ac:dyDescent="0.25">
      <c r="A1498" t="s">
        <v>2060</v>
      </c>
      <c r="B1498" t="s">
        <v>2061</v>
      </c>
      <c r="C1498" t="s">
        <v>1976</v>
      </c>
      <c r="D1498" s="11">
        <v>7510068079</v>
      </c>
      <c r="E1498" s="12">
        <v>46049</v>
      </c>
      <c r="F1498" s="12">
        <v>46050</v>
      </c>
      <c r="G1498" t="s">
        <v>2464</v>
      </c>
      <c r="H1498" t="s">
        <v>120</v>
      </c>
      <c r="I1498">
        <v>5</v>
      </c>
      <c r="J1498">
        <v>14.488</v>
      </c>
      <c r="K1498" t="s">
        <v>2465</v>
      </c>
      <c r="L1498" t="s">
        <v>2041</v>
      </c>
      <c r="M1498">
        <v>2.3760599999999998</v>
      </c>
      <c r="N1498">
        <v>11.8803</v>
      </c>
      <c r="O1498">
        <v>2.6097000000000001</v>
      </c>
      <c r="P1498">
        <v>18.010300000000001</v>
      </c>
      <c r="Q1498" t="s">
        <v>2297</v>
      </c>
    </row>
    <row r="1499" spans="1:17" x14ac:dyDescent="0.25">
      <c r="A1499" t="s">
        <v>1974</v>
      </c>
      <c r="B1499" t="s">
        <v>1975</v>
      </c>
      <c r="C1499" t="s">
        <v>1976</v>
      </c>
      <c r="D1499" s="11">
        <v>83917</v>
      </c>
      <c r="E1499" s="12">
        <v>46051</v>
      </c>
      <c r="F1499" s="12">
        <v>46052</v>
      </c>
      <c r="G1499" t="s">
        <v>2467</v>
      </c>
      <c r="H1499" t="s">
        <v>104</v>
      </c>
      <c r="I1499">
        <v>12</v>
      </c>
      <c r="J1499">
        <v>20.444400000000002</v>
      </c>
      <c r="M1499">
        <v>1.319</v>
      </c>
      <c r="N1499">
        <v>15.827999999999999</v>
      </c>
      <c r="O1499">
        <v>4.6120000000000001</v>
      </c>
      <c r="P1499">
        <v>22.563600000000001</v>
      </c>
      <c r="Q1499" t="s">
        <v>1989</v>
      </c>
    </row>
    <row r="1500" spans="1:17" x14ac:dyDescent="0.25">
      <c r="A1500" t="s">
        <v>1974</v>
      </c>
      <c r="B1500" t="s">
        <v>1975</v>
      </c>
      <c r="C1500" t="s">
        <v>1976</v>
      </c>
      <c r="D1500" s="11">
        <v>83917</v>
      </c>
      <c r="E1500" s="12">
        <v>46051</v>
      </c>
      <c r="F1500" s="12">
        <v>46052</v>
      </c>
      <c r="G1500" t="s">
        <v>2467</v>
      </c>
      <c r="H1500" t="s">
        <v>345</v>
      </c>
      <c r="I1500">
        <v>24</v>
      </c>
      <c r="J1500">
        <v>81.897599999999997</v>
      </c>
      <c r="K1500" t="s">
        <v>2468</v>
      </c>
      <c r="L1500" t="s">
        <v>2041</v>
      </c>
      <c r="M1500">
        <v>2.7981500000000001</v>
      </c>
      <c r="N1500">
        <v>67.155600000000007</v>
      </c>
      <c r="O1500">
        <v>14.744400000000001</v>
      </c>
      <c r="P1500">
        <v>18.0029</v>
      </c>
      <c r="Q1500" t="s">
        <v>2096</v>
      </c>
    </row>
    <row r="1501" spans="1:17" x14ac:dyDescent="0.25">
      <c r="A1501" t="s">
        <v>1974</v>
      </c>
      <c r="B1501" t="s">
        <v>1975</v>
      </c>
      <c r="C1501" t="s">
        <v>1976</v>
      </c>
      <c r="D1501" s="11">
        <v>83942</v>
      </c>
      <c r="E1501" s="12">
        <v>46052</v>
      </c>
      <c r="F1501" s="12">
        <v>46056</v>
      </c>
      <c r="G1501" t="s">
        <v>2469</v>
      </c>
      <c r="H1501" t="s">
        <v>345</v>
      </c>
      <c r="I1501">
        <v>11</v>
      </c>
      <c r="J1501">
        <v>37.5364</v>
      </c>
      <c r="K1501" t="s">
        <v>2470</v>
      </c>
      <c r="L1501" t="s">
        <v>2041</v>
      </c>
      <c r="M1501">
        <v>2.7981500000000001</v>
      </c>
      <c r="N1501">
        <v>30.77965</v>
      </c>
      <c r="O1501">
        <v>6.7603499999999999</v>
      </c>
      <c r="P1501">
        <v>18.008299999999998</v>
      </c>
      <c r="Q1501" t="s">
        <v>2096</v>
      </c>
    </row>
    <row r="1502" spans="1:17" x14ac:dyDescent="0.25">
      <c r="A1502" t="s">
        <v>2060</v>
      </c>
      <c r="B1502" t="s">
        <v>2061</v>
      </c>
      <c r="C1502" t="s">
        <v>1976</v>
      </c>
      <c r="D1502" s="11">
        <v>7510068019</v>
      </c>
      <c r="E1502" s="12">
        <v>46055</v>
      </c>
      <c r="F1502" s="12">
        <v>46057</v>
      </c>
      <c r="G1502" t="s">
        <v>2471</v>
      </c>
      <c r="H1502" t="s">
        <v>1340</v>
      </c>
      <c r="I1502">
        <v>60</v>
      </c>
      <c r="J1502">
        <v>0.24</v>
      </c>
      <c r="K1502" t="s">
        <v>2472</v>
      </c>
      <c r="L1502" t="s">
        <v>2041</v>
      </c>
      <c r="M1502">
        <v>3.2599999999999999E-3</v>
      </c>
      <c r="N1502">
        <v>0.1956</v>
      </c>
      <c r="O1502">
        <v>4.4400000000000002E-2</v>
      </c>
      <c r="P1502">
        <v>18.5</v>
      </c>
    </row>
    <row r="1503" spans="1:17" x14ac:dyDescent="0.25">
      <c r="A1503" t="s">
        <v>2060</v>
      </c>
      <c r="B1503" t="s">
        <v>2061</v>
      </c>
      <c r="C1503" t="s">
        <v>1976</v>
      </c>
      <c r="D1503" s="11">
        <v>7510068019</v>
      </c>
      <c r="E1503" s="12">
        <v>46055</v>
      </c>
      <c r="F1503" s="12">
        <v>46057</v>
      </c>
      <c r="G1503" t="s">
        <v>2471</v>
      </c>
      <c r="H1503" t="s">
        <v>1346</v>
      </c>
      <c r="I1503">
        <v>60</v>
      </c>
      <c r="J1503">
        <v>0.18</v>
      </c>
      <c r="K1503" t="s">
        <v>2472</v>
      </c>
      <c r="L1503" t="s">
        <v>2041</v>
      </c>
      <c r="M1503">
        <v>2.4499999999999999E-3</v>
      </c>
      <c r="N1503">
        <v>0.14699999999999999</v>
      </c>
      <c r="O1503">
        <v>3.3000000000000002E-2</v>
      </c>
      <c r="P1503">
        <v>18.333300000000001</v>
      </c>
    </row>
    <row r="1504" spans="1:17" x14ac:dyDescent="0.25">
      <c r="A1504" t="s">
        <v>2060</v>
      </c>
      <c r="B1504" t="s">
        <v>2061</v>
      </c>
      <c r="C1504" t="s">
        <v>1976</v>
      </c>
      <c r="D1504" s="11">
        <v>7510068019</v>
      </c>
      <c r="E1504" s="12">
        <v>46055</v>
      </c>
      <c r="F1504" s="12">
        <v>46057</v>
      </c>
      <c r="G1504" t="s">
        <v>2471</v>
      </c>
      <c r="H1504" t="s">
        <v>669</v>
      </c>
      <c r="I1504">
        <v>100</v>
      </c>
      <c r="J1504">
        <v>1.26</v>
      </c>
      <c r="K1504" t="s">
        <v>2472</v>
      </c>
      <c r="L1504" t="s">
        <v>2041</v>
      </c>
      <c r="M1504">
        <v>1.034E-2</v>
      </c>
      <c r="N1504">
        <v>1.034</v>
      </c>
      <c r="O1504">
        <v>0.22600000000000001</v>
      </c>
      <c r="P1504">
        <v>17.936499999999999</v>
      </c>
    </row>
    <row r="1505" spans="1:16" x14ac:dyDescent="0.25">
      <c r="A1505" t="s">
        <v>2060</v>
      </c>
      <c r="B1505" t="s">
        <v>2061</v>
      </c>
      <c r="C1505" t="s">
        <v>1976</v>
      </c>
      <c r="D1505" s="11">
        <v>7510068019</v>
      </c>
      <c r="E1505" s="12">
        <v>46055</v>
      </c>
      <c r="F1505" s="12">
        <v>46057</v>
      </c>
      <c r="G1505" t="s">
        <v>2471</v>
      </c>
      <c r="H1505" t="s">
        <v>1831</v>
      </c>
      <c r="I1505">
        <v>70</v>
      </c>
      <c r="J1505">
        <v>12.032999999999999</v>
      </c>
      <c r="K1505" t="s">
        <v>2472</v>
      </c>
      <c r="L1505" t="s">
        <v>2041</v>
      </c>
      <c r="M1505">
        <v>0.14093</v>
      </c>
      <c r="N1505">
        <v>9.8651</v>
      </c>
      <c r="O1505">
        <v>2.1648999999999998</v>
      </c>
      <c r="P1505">
        <v>17.995799999999999</v>
      </c>
    </row>
    <row r="1506" spans="1:16" x14ac:dyDescent="0.25">
      <c r="A1506" t="s">
        <v>2060</v>
      </c>
      <c r="B1506" t="s">
        <v>2061</v>
      </c>
      <c r="C1506" t="s">
        <v>1976</v>
      </c>
      <c r="D1506" s="11">
        <v>7510068019</v>
      </c>
      <c r="E1506" s="12">
        <v>46055</v>
      </c>
      <c r="F1506" s="12">
        <v>46057</v>
      </c>
      <c r="G1506" t="s">
        <v>2471</v>
      </c>
      <c r="H1506" t="s">
        <v>842</v>
      </c>
      <c r="I1506">
        <v>120</v>
      </c>
      <c r="J1506">
        <v>1.08</v>
      </c>
      <c r="K1506" t="s">
        <v>2472</v>
      </c>
      <c r="L1506" t="s">
        <v>2041</v>
      </c>
      <c r="M1506">
        <v>7.3499999999999998E-3</v>
      </c>
      <c r="N1506">
        <v>0.88200000000000001</v>
      </c>
      <c r="O1506">
        <v>0.19800000000000001</v>
      </c>
      <c r="P1506">
        <v>18.333300000000001</v>
      </c>
    </row>
    <row r="1507" spans="1:16" x14ac:dyDescent="0.25">
      <c r="A1507" t="s">
        <v>2060</v>
      </c>
      <c r="B1507" t="s">
        <v>2061</v>
      </c>
      <c r="C1507" t="s">
        <v>1976</v>
      </c>
      <c r="D1507" s="11">
        <v>7510068019</v>
      </c>
      <c r="E1507" s="12">
        <v>46055</v>
      </c>
      <c r="F1507" s="12">
        <v>46057</v>
      </c>
      <c r="G1507" t="s">
        <v>2471</v>
      </c>
      <c r="H1507" t="s">
        <v>1515</v>
      </c>
      <c r="I1507">
        <v>70</v>
      </c>
      <c r="J1507">
        <v>3.2549999999999999</v>
      </c>
      <c r="K1507" t="s">
        <v>2472</v>
      </c>
      <c r="L1507" t="s">
        <v>2041</v>
      </c>
      <c r="M1507">
        <v>3.8159999999999999E-2</v>
      </c>
      <c r="N1507">
        <v>2.6711999999999998</v>
      </c>
      <c r="O1507">
        <v>0.58879999999999999</v>
      </c>
      <c r="P1507">
        <v>18.061299999999999</v>
      </c>
    </row>
    <row r="1508" spans="1:16" x14ac:dyDescent="0.25">
      <c r="A1508" t="s">
        <v>2060</v>
      </c>
      <c r="B1508" t="s">
        <v>2061</v>
      </c>
      <c r="C1508" t="s">
        <v>1976</v>
      </c>
      <c r="D1508" s="11">
        <v>7510068019</v>
      </c>
      <c r="E1508" s="12">
        <v>46055</v>
      </c>
      <c r="F1508" s="12">
        <v>46057</v>
      </c>
      <c r="G1508" t="s">
        <v>2471</v>
      </c>
      <c r="H1508" t="s">
        <v>1535</v>
      </c>
      <c r="I1508">
        <v>60</v>
      </c>
      <c r="J1508">
        <v>3.0059999999999998</v>
      </c>
      <c r="K1508" t="s">
        <v>2472</v>
      </c>
      <c r="L1508" t="s">
        <v>2041</v>
      </c>
      <c r="M1508">
        <v>4.1119999999999997E-2</v>
      </c>
      <c r="N1508">
        <v>2.4672000000000001</v>
      </c>
      <c r="O1508">
        <v>0.54279999999999995</v>
      </c>
      <c r="P1508">
        <v>18.033200000000001</v>
      </c>
    </row>
    <row r="1509" spans="1:16" x14ac:dyDescent="0.25">
      <c r="A1509" t="s">
        <v>2060</v>
      </c>
      <c r="B1509" t="s">
        <v>2061</v>
      </c>
      <c r="C1509" t="s">
        <v>1976</v>
      </c>
      <c r="D1509" s="11">
        <v>7510068019</v>
      </c>
      <c r="E1509" s="12">
        <v>46055</v>
      </c>
      <c r="F1509" s="12">
        <v>46057</v>
      </c>
      <c r="G1509" t="s">
        <v>2471</v>
      </c>
      <c r="H1509" t="s">
        <v>1549</v>
      </c>
      <c r="I1509">
        <v>60</v>
      </c>
      <c r="J1509">
        <v>3.0059999999999998</v>
      </c>
      <c r="K1509" t="s">
        <v>2472</v>
      </c>
      <c r="L1509" t="s">
        <v>2041</v>
      </c>
      <c r="M1509">
        <v>4.1119999999999997E-2</v>
      </c>
      <c r="N1509">
        <v>2.4672000000000001</v>
      </c>
      <c r="O1509">
        <v>0.54279999999999995</v>
      </c>
      <c r="P1509">
        <v>18.033200000000001</v>
      </c>
    </row>
    <row r="1510" spans="1:16" x14ac:dyDescent="0.25">
      <c r="A1510" t="s">
        <v>2060</v>
      </c>
      <c r="B1510" t="s">
        <v>2061</v>
      </c>
      <c r="C1510" t="s">
        <v>1976</v>
      </c>
      <c r="D1510" s="11">
        <v>7510068019</v>
      </c>
      <c r="E1510" s="12">
        <v>46055</v>
      </c>
      <c r="F1510" s="12">
        <v>46057</v>
      </c>
      <c r="G1510" t="s">
        <v>2471</v>
      </c>
      <c r="H1510" t="s">
        <v>192</v>
      </c>
      <c r="I1510">
        <v>30</v>
      </c>
      <c r="J1510">
        <v>6.9930000000000003</v>
      </c>
      <c r="M1510">
        <v>7.9000000000000001E-2</v>
      </c>
      <c r="N1510">
        <v>2.37</v>
      </c>
      <c r="O1510">
        <v>4.62</v>
      </c>
      <c r="P1510">
        <v>66.094399999999993</v>
      </c>
    </row>
    <row r="1511" spans="1:16" x14ac:dyDescent="0.25">
      <c r="A1511" t="s">
        <v>2060</v>
      </c>
      <c r="B1511" t="s">
        <v>2061</v>
      </c>
      <c r="C1511" t="s">
        <v>1976</v>
      </c>
      <c r="D1511" s="11">
        <v>7510068019</v>
      </c>
      <c r="E1511" s="12">
        <v>46055</v>
      </c>
      <c r="F1511" s="12">
        <v>46057</v>
      </c>
      <c r="G1511" t="s">
        <v>2471</v>
      </c>
      <c r="H1511" t="s">
        <v>1733</v>
      </c>
      <c r="I1511">
        <v>13</v>
      </c>
      <c r="J1511">
        <v>12.551500000000001</v>
      </c>
      <c r="K1511" t="s">
        <v>2472</v>
      </c>
      <c r="L1511" t="s">
        <v>2041</v>
      </c>
      <c r="M1511">
        <v>0.79166999999999998</v>
      </c>
      <c r="N1511">
        <v>10.29171</v>
      </c>
      <c r="O1511">
        <v>2.2582900000000001</v>
      </c>
      <c r="P1511">
        <v>17.994299999999999</v>
      </c>
    </row>
    <row r="1512" spans="1:16" x14ac:dyDescent="0.25">
      <c r="A1512" t="s">
        <v>2060</v>
      </c>
      <c r="B1512" t="s">
        <v>2061</v>
      </c>
      <c r="C1512" t="s">
        <v>1976</v>
      </c>
      <c r="D1512" s="11">
        <v>7510068019</v>
      </c>
      <c r="E1512" s="12">
        <v>46055</v>
      </c>
      <c r="F1512" s="12">
        <v>46057</v>
      </c>
      <c r="G1512" t="s">
        <v>2471</v>
      </c>
      <c r="H1512" t="s">
        <v>1090</v>
      </c>
      <c r="I1512">
        <v>30</v>
      </c>
      <c r="J1512">
        <v>352.40699999999998</v>
      </c>
      <c r="K1512" t="s">
        <v>2472</v>
      </c>
      <c r="L1512" t="s">
        <v>2041</v>
      </c>
      <c r="M1512">
        <v>9.6324299999999994</v>
      </c>
      <c r="N1512">
        <v>288.97289999999998</v>
      </c>
      <c r="O1512">
        <v>63.437100000000001</v>
      </c>
      <c r="P1512">
        <v>18.000900000000001</v>
      </c>
    </row>
    <row r="1513" spans="1:16" x14ac:dyDescent="0.25">
      <c r="A1513" t="s">
        <v>2060</v>
      </c>
      <c r="B1513" t="s">
        <v>2061</v>
      </c>
      <c r="C1513" t="s">
        <v>1976</v>
      </c>
      <c r="D1513" s="11">
        <v>7510068019</v>
      </c>
      <c r="E1513" s="12">
        <v>46055</v>
      </c>
      <c r="F1513" s="12">
        <v>46057</v>
      </c>
      <c r="G1513" t="s">
        <v>2471</v>
      </c>
      <c r="H1513" t="s">
        <v>1737</v>
      </c>
      <c r="I1513">
        <v>11</v>
      </c>
      <c r="J1513">
        <v>12.6258</v>
      </c>
      <c r="K1513" t="s">
        <v>2472</v>
      </c>
      <c r="L1513" t="s">
        <v>2041</v>
      </c>
      <c r="M1513">
        <v>0.94118000000000002</v>
      </c>
      <c r="N1513">
        <v>10.352980000000001</v>
      </c>
      <c r="O1513">
        <v>2.2770199999999998</v>
      </c>
      <c r="P1513">
        <v>18.028600000000001</v>
      </c>
    </row>
    <row r="1514" spans="1:16" x14ac:dyDescent="0.25">
      <c r="A1514" t="s">
        <v>2060</v>
      </c>
      <c r="B1514" t="s">
        <v>2061</v>
      </c>
      <c r="C1514" t="s">
        <v>1976</v>
      </c>
      <c r="D1514" s="11">
        <v>7510068019</v>
      </c>
      <c r="E1514" s="12">
        <v>46055</v>
      </c>
      <c r="F1514" s="12">
        <v>46057</v>
      </c>
      <c r="G1514" t="s">
        <v>2471</v>
      </c>
      <c r="H1514" t="s">
        <v>1803</v>
      </c>
      <c r="I1514">
        <v>11</v>
      </c>
      <c r="J1514">
        <v>41.485399999999998</v>
      </c>
      <c r="M1514">
        <v>1.7370000000000001</v>
      </c>
      <c r="N1514">
        <v>19.106999999999999</v>
      </c>
      <c r="O1514">
        <v>22.382999999999999</v>
      </c>
      <c r="P1514">
        <v>53.947899999999997</v>
      </c>
    </row>
    <row r="1515" spans="1:16" x14ac:dyDescent="0.25">
      <c r="A1515" t="s">
        <v>2060</v>
      </c>
      <c r="B1515" t="s">
        <v>2061</v>
      </c>
      <c r="C1515" t="s">
        <v>1976</v>
      </c>
      <c r="D1515" s="11">
        <v>7510068019</v>
      </c>
      <c r="E1515" s="12">
        <v>46055</v>
      </c>
      <c r="F1515" s="12">
        <v>46057</v>
      </c>
      <c r="G1515" t="s">
        <v>2471</v>
      </c>
      <c r="H1515" t="s">
        <v>1675</v>
      </c>
      <c r="I1515">
        <v>283</v>
      </c>
      <c r="J1515">
        <v>267.03879999999998</v>
      </c>
      <c r="K1515" t="s">
        <v>2472</v>
      </c>
      <c r="L1515" t="s">
        <v>2041</v>
      </c>
      <c r="M1515">
        <v>0.77373000000000003</v>
      </c>
      <c r="N1515">
        <v>218.96558999999999</v>
      </c>
      <c r="O1515">
        <v>48.07441</v>
      </c>
      <c r="P1515">
        <v>18.002600000000001</v>
      </c>
    </row>
    <row r="1516" spans="1:16" x14ac:dyDescent="0.25">
      <c r="A1516" t="s">
        <v>2060</v>
      </c>
      <c r="B1516" t="s">
        <v>2061</v>
      </c>
      <c r="C1516" t="s">
        <v>1976</v>
      </c>
      <c r="D1516" s="11">
        <v>7510068019</v>
      </c>
      <c r="E1516" s="12">
        <v>46055</v>
      </c>
      <c r="F1516" s="12">
        <v>46057</v>
      </c>
      <c r="G1516" t="s">
        <v>2471</v>
      </c>
      <c r="H1516" t="s">
        <v>595</v>
      </c>
      <c r="I1516">
        <v>75</v>
      </c>
      <c r="J1516">
        <v>78.525000000000006</v>
      </c>
      <c r="K1516" t="s">
        <v>2472</v>
      </c>
      <c r="L1516" t="s">
        <v>2041</v>
      </c>
      <c r="M1516">
        <v>0.85858000000000001</v>
      </c>
      <c r="N1516">
        <v>64.393500000000003</v>
      </c>
      <c r="O1516">
        <v>14.1365</v>
      </c>
      <c r="P1516">
        <v>18.0014</v>
      </c>
    </row>
    <row r="1517" spans="1:16" x14ac:dyDescent="0.25">
      <c r="A1517" t="s">
        <v>2060</v>
      </c>
      <c r="B1517" t="s">
        <v>2061</v>
      </c>
      <c r="C1517" t="s">
        <v>1976</v>
      </c>
      <c r="D1517" s="11">
        <v>7510068019</v>
      </c>
      <c r="E1517" s="12">
        <v>46055</v>
      </c>
      <c r="F1517" s="12">
        <v>46057</v>
      </c>
      <c r="G1517" t="s">
        <v>2471</v>
      </c>
      <c r="H1517" t="s">
        <v>653</v>
      </c>
      <c r="I1517">
        <v>110</v>
      </c>
      <c r="J1517">
        <v>9.3279999999999994</v>
      </c>
      <c r="K1517" t="s">
        <v>2472</v>
      </c>
      <c r="L1517" t="s">
        <v>2041</v>
      </c>
      <c r="M1517">
        <v>6.9519999999999998E-2</v>
      </c>
      <c r="N1517">
        <v>7.6471999999999998</v>
      </c>
      <c r="O1517">
        <v>1.6828000000000001</v>
      </c>
      <c r="P1517">
        <v>18.0364</v>
      </c>
    </row>
    <row r="1518" spans="1:16" x14ac:dyDescent="0.25">
      <c r="A1518" t="s">
        <v>2060</v>
      </c>
      <c r="B1518" t="s">
        <v>2061</v>
      </c>
      <c r="C1518" t="s">
        <v>1976</v>
      </c>
      <c r="D1518" s="11">
        <v>7510068019</v>
      </c>
      <c r="E1518" s="12">
        <v>46055</v>
      </c>
      <c r="F1518" s="12">
        <v>46057</v>
      </c>
      <c r="G1518" t="s">
        <v>2471</v>
      </c>
      <c r="H1518" t="s">
        <v>388</v>
      </c>
      <c r="I1518">
        <v>12</v>
      </c>
      <c r="J1518">
        <v>19.728000000000002</v>
      </c>
      <c r="K1518" t="s">
        <v>2472</v>
      </c>
      <c r="L1518" t="s">
        <v>2041</v>
      </c>
      <c r="M1518">
        <v>1.34805</v>
      </c>
      <c r="N1518">
        <v>16.176600000000001</v>
      </c>
      <c r="O1518">
        <v>3.5533999999999999</v>
      </c>
      <c r="P1518">
        <v>18.010100000000001</v>
      </c>
    </row>
    <row r="1519" spans="1:16" x14ac:dyDescent="0.25">
      <c r="A1519" t="s">
        <v>2060</v>
      </c>
      <c r="B1519" t="s">
        <v>2061</v>
      </c>
      <c r="C1519" t="s">
        <v>1976</v>
      </c>
      <c r="D1519" s="11">
        <v>7510068019</v>
      </c>
      <c r="E1519" s="12">
        <v>46055</v>
      </c>
      <c r="F1519" s="12">
        <v>46057</v>
      </c>
      <c r="G1519" t="s">
        <v>2471</v>
      </c>
      <c r="H1519" t="s">
        <v>246</v>
      </c>
      <c r="I1519">
        <v>122</v>
      </c>
      <c r="J1519">
        <v>767.61180000000002</v>
      </c>
      <c r="K1519" t="s">
        <v>2472</v>
      </c>
      <c r="L1519" t="s">
        <v>2041</v>
      </c>
      <c r="M1519">
        <v>5.1593600000000004</v>
      </c>
      <c r="N1519">
        <v>629.44191999999998</v>
      </c>
      <c r="O1519">
        <v>138.16808</v>
      </c>
      <c r="P1519">
        <v>17.999700000000001</v>
      </c>
    </row>
    <row r="1520" spans="1:16" x14ac:dyDescent="0.25">
      <c r="A1520" t="s">
        <v>2060</v>
      </c>
      <c r="B1520" t="s">
        <v>2061</v>
      </c>
      <c r="C1520" t="s">
        <v>1976</v>
      </c>
      <c r="D1520" s="11">
        <v>7510068019</v>
      </c>
      <c r="E1520" s="12">
        <v>46055</v>
      </c>
      <c r="F1520" s="12">
        <v>46057</v>
      </c>
      <c r="G1520" t="s">
        <v>2471</v>
      </c>
      <c r="H1520" t="s">
        <v>2098</v>
      </c>
      <c r="I1520">
        <v>6</v>
      </c>
      <c r="J1520">
        <v>8.4024000000000001</v>
      </c>
      <c r="M1520">
        <v>1.17</v>
      </c>
      <c r="N1520">
        <v>7.02</v>
      </c>
      <c r="O1520">
        <v>1.38</v>
      </c>
      <c r="P1520">
        <v>16.4285</v>
      </c>
    </row>
    <row r="1521" spans="1:16" x14ac:dyDescent="0.25">
      <c r="A1521" t="s">
        <v>2060</v>
      </c>
      <c r="B1521" t="s">
        <v>2061</v>
      </c>
      <c r="C1521" t="s">
        <v>1976</v>
      </c>
      <c r="D1521" s="11">
        <v>7510068019</v>
      </c>
      <c r="E1521" s="12">
        <v>46055</v>
      </c>
      <c r="F1521" s="12">
        <v>46057</v>
      </c>
      <c r="G1521" t="s">
        <v>2471</v>
      </c>
      <c r="H1521" t="s">
        <v>669</v>
      </c>
      <c r="I1521">
        <v>130</v>
      </c>
      <c r="J1521">
        <v>1.6379999999999999</v>
      </c>
      <c r="K1521" t="s">
        <v>2472</v>
      </c>
      <c r="L1521" t="s">
        <v>2041</v>
      </c>
      <c r="M1521">
        <v>1.034E-2</v>
      </c>
      <c r="N1521">
        <v>1.3442000000000001</v>
      </c>
      <c r="O1521">
        <v>0.29580000000000001</v>
      </c>
      <c r="P1521">
        <v>18.0365</v>
      </c>
    </row>
    <row r="1522" spans="1:16" x14ac:dyDescent="0.25">
      <c r="A1522" t="s">
        <v>2060</v>
      </c>
      <c r="B1522" t="s">
        <v>2061</v>
      </c>
      <c r="C1522" t="s">
        <v>1976</v>
      </c>
      <c r="D1522" s="11">
        <v>7510068019</v>
      </c>
      <c r="E1522" s="12">
        <v>46055</v>
      </c>
      <c r="F1522" s="12">
        <v>46057</v>
      </c>
      <c r="G1522" t="s">
        <v>2471</v>
      </c>
      <c r="H1522" t="s">
        <v>1555</v>
      </c>
      <c r="I1522">
        <v>60</v>
      </c>
      <c r="J1522">
        <v>3.0059999999999998</v>
      </c>
      <c r="K1522" t="s">
        <v>2472</v>
      </c>
      <c r="L1522" t="s">
        <v>2041</v>
      </c>
      <c r="M1522">
        <v>4.1119999999999997E-2</v>
      </c>
      <c r="N1522">
        <v>2.4672000000000001</v>
      </c>
      <c r="O1522">
        <v>0.54279999999999995</v>
      </c>
      <c r="P1522">
        <v>18.033200000000001</v>
      </c>
    </row>
    <row r="1523" spans="1:16" x14ac:dyDescent="0.25">
      <c r="A1523" t="s">
        <v>2060</v>
      </c>
      <c r="B1523" t="s">
        <v>2061</v>
      </c>
      <c r="C1523" t="s">
        <v>1976</v>
      </c>
      <c r="D1523" s="11">
        <v>7510068019</v>
      </c>
      <c r="E1523" s="12">
        <v>46055</v>
      </c>
      <c r="F1523" s="12">
        <v>46057</v>
      </c>
      <c r="G1523" t="s">
        <v>2471</v>
      </c>
      <c r="H1523" t="s">
        <v>840</v>
      </c>
      <c r="I1523">
        <v>440</v>
      </c>
      <c r="J1523">
        <v>2.64</v>
      </c>
      <c r="K1523" t="s">
        <v>2472</v>
      </c>
      <c r="L1523" t="s">
        <v>2041</v>
      </c>
      <c r="M1523">
        <v>4.8999999999999998E-3</v>
      </c>
      <c r="N1523">
        <v>2.1560000000000001</v>
      </c>
      <c r="O1523">
        <v>0.48399999999999999</v>
      </c>
      <c r="P1523">
        <v>18.333300000000001</v>
      </c>
    </row>
    <row r="1524" spans="1:16" x14ac:dyDescent="0.25">
      <c r="A1524" t="s">
        <v>2060</v>
      </c>
      <c r="B1524" t="s">
        <v>2061</v>
      </c>
      <c r="C1524" t="s">
        <v>1976</v>
      </c>
      <c r="D1524" s="11">
        <v>7510068019</v>
      </c>
      <c r="E1524" s="12">
        <v>46055</v>
      </c>
      <c r="F1524" s="12">
        <v>46057</v>
      </c>
      <c r="G1524" t="s">
        <v>2471</v>
      </c>
      <c r="H1524" t="s">
        <v>842</v>
      </c>
      <c r="I1524">
        <v>140</v>
      </c>
      <c r="J1524">
        <v>1.26</v>
      </c>
      <c r="K1524" t="s">
        <v>2472</v>
      </c>
      <c r="L1524" t="s">
        <v>2041</v>
      </c>
      <c r="M1524">
        <v>7.3499999999999998E-3</v>
      </c>
      <c r="N1524">
        <v>1.0289999999999999</v>
      </c>
      <c r="O1524">
        <v>0.23100000000000001</v>
      </c>
      <c r="P1524">
        <v>18.333300000000001</v>
      </c>
    </row>
    <row r="1525" spans="1:16" x14ac:dyDescent="0.25">
      <c r="A1525" t="s">
        <v>2060</v>
      </c>
      <c r="B1525" t="s">
        <v>2061</v>
      </c>
      <c r="C1525" t="s">
        <v>1976</v>
      </c>
      <c r="D1525" s="11">
        <v>7510068019</v>
      </c>
      <c r="E1525" s="12">
        <v>46055</v>
      </c>
      <c r="F1525" s="12">
        <v>46057</v>
      </c>
      <c r="G1525" t="s">
        <v>2471</v>
      </c>
      <c r="H1525" t="s">
        <v>782</v>
      </c>
      <c r="I1525">
        <v>60</v>
      </c>
      <c r="J1525">
        <v>3.0059999999999998</v>
      </c>
      <c r="K1525" t="s">
        <v>2472</v>
      </c>
      <c r="L1525" t="s">
        <v>2041</v>
      </c>
      <c r="M1525">
        <v>4.1119999999999997E-2</v>
      </c>
      <c r="N1525">
        <v>2.4672000000000001</v>
      </c>
      <c r="O1525">
        <v>0.54279999999999995</v>
      </c>
      <c r="P1525">
        <v>18.033200000000001</v>
      </c>
    </row>
    <row r="1526" spans="1:16" x14ac:dyDescent="0.25">
      <c r="A1526" t="s">
        <v>2060</v>
      </c>
      <c r="B1526" t="s">
        <v>2061</v>
      </c>
      <c r="C1526" t="s">
        <v>1976</v>
      </c>
      <c r="D1526" s="11">
        <v>7510068019</v>
      </c>
      <c r="E1526" s="12">
        <v>46055</v>
      </c>
      <c r="F1526" s="12">
        <v>46057</v>
      </c>
      <c r="G1526" t="s">
        <v>2471</v>
      </c>
      <c r="H1526" t="s">
        <v>1521</v>
      </c>
      <c r="I1526">
        <v>80</v>
      </c>
      <c r="J1526">
        <v>4.12</v>
      </c>
      <c r="K1526" t="s">
        <v>2472</v>
      </c>
      <c r="L1526" t="s">
        <v>2041</v>
      </c>
      <c r="M1526">
        <v>4.2259999999999999E-2</v>
      </c>
      <c r="N1526">
        <v>3.3807999999999998</v>
      </c>
      <c r="O1526">
        <v>0.73919999999999997</v>
      </c>
      <c r="P1526">
        <v>17.941700000000001</v>
      </c>
    </row>
    <row r="1527" spans="1:16" x14ac:dyDescent="0.25">
      <c r="A1527" t="s">
        <v>2060</v>
      </c>
      <c r="B1527" t="s">
        <v>2061</v>
      </c>
      <c r="C1527" t="s">
        <v>1976</v>
      </c>
      <c r="D1527" s="11">
        <v>7510068019</v>
      </c>
      <c r="E1527" s="12">
        <v>46055</v>
      </c>
      <c r="F1527" s="12">
        <v>46057</v>
      </c>
      <c r="G1527" t="s">
        <v>2471</v>
      </c>
      <c r="H1527" t="s">
        <v>1525</v>
      </c>
      <c r="I1527">
        <v>60</v>
      </c>
      <c r="J1527">
        <v>3.0059999999999998</v>
      </c>
      <c r="K1527" t="s">
        <v>2472</v>
      </c>
      <c r="L1527" t="s">
        <v>2041</v>
      </c>
      <c r="M1527">
        <v>4.1119999999999997E-2</v>
      </c>
      <c r="N1527">
        <v>2.4672000000000001</v>
      </c>
      <c r="O1527">
        <v>0.54279999999999995</v>
      </c>
      <c r="P1527">
        <v>18.033200000000001</v>
      </c>
    </row>
    <row r="1528" spans="1:16" x14ac:dyDescent="0.25">
      <c r="A1528" t="s">
        <v>2060</v>
      </c>
      <c r="B1528" t="s">
        <v>2061</v>
      </c>
      <c r="C1528" t="s">
        <v>1976</v>
      </c>
      <c r="D1528" s="11">
        <v>7510068019</v>
      </c>
      <c r="E1528" s="12">
        <v>46055</v>
      </c>
      <c r="F1528" s="12">
        <v>46057</v>
      </c>
      <c r="G1528" t="s">
        <v>2471</v>
      </c>
      <c r="H1528" t="s">
        <v>1541</v>
      </c>
      <c r="I1528">
        <v>70</v>
      </c>
      <c r="J1528">
        <v>3.5070000000000001</v>
      </c>
      <c r="K1528" t="s">
        <v>2472</v>
      </c>
      <c r="L1528" t="s">
        <v>2041</v>
      </c>
      <c r="M1528">
        <v>4.1119999999999997E-2</v>
      </c>
      <c r="N1528">
        <v>2.8784000000000001</v>
      </c>
      <c r="O1528">
        <v>0.63160000000000005</v>
      </c>
      <c r="P1528">
        <v>17.994299999999999</v>
      </c>
    </row>
    <row r="1529" spans="1:16" x14ac:dyDescent="0.25">
      <c r="A1529" t="s">
        <v>2060</v>
      </c>
      <c r="B1529" t="s">
        <v>2061</v>
      </c>
      <c r="C1529" t="s">
        <v>1976</v>
      </c>
      <c r="D1529" s="11">
        <v>7510068019</v>
      </c>
      <c r="E1529" s="12">
        <v>46055</v>
      </c>
      <c r="F1529" s="12">
        <v>46057</v>
      </c>
      <c r="G1529" t="s">
        <v>2471</v>
      </c>
      <c r="H1529" t="s">
        <v>1557</v>
      </c>
      <c r="I1529">
        <v>60</v>
      </c>
      <c r="J1529">
        <v>3.0059999999999998</v>
      </c>
      <c r="K1529" t="s">
        <v>2472</v>
      </c>
      <c r="L1529" t="s">
        <v>2041</v>
      </c>
      <c r="M1529">
        <v>4.1119999999999997E-2</v>
      </c>
      <c r="N1529">
        <v>2.4672000000000001</v>
      </c>
      <c r="O1529">
        <v>0.54279999999999995</v>
      </c>
      <c r="P1529">
        <v>18.033200000000001</v>
      </c>
    </row>
    <row r="1530" spans="1:16" x14ac:dyDescent="0.25">
      <c r="A1530" t="s">
        <v>2060</v>
      </c>
      <c r="B1530" t="s">
        <v>2061</v>
      </c>
      <c r="C1530" t="s">
        <v>1976</v>
      </c>
      <c r="D1530" s="11">
        <v>7510068019</v>
      </c>
      <c r="E1530" s="12">
        <v>46055</v>
      </c>
      <c r="F1530" s="12">
        <v>46057</v>
      </c>
      <c r="G1530" t="s">
        <v>2471</v>
      </c>
      <c r="H1530" t="s">
        <v>1565</v>
      </c>
      <c r="I1530">
        <v>60</v>
      </c>
      <c r="J1530">
        <v>3.0059999999999998</v>
      </c>
      <c r="K1530" t="s">
        <v>2472</v>
      </c>
      <c r="L1530" t="s">
        <v>2041</v>
      </c>
      <c r="M1530">
        <v>4.1119999999999997E-2</v>
      </c>
      <c r="N1530">
        <v>2.4672000000000001</v>
      </c>
      <c r="O1530">
        <v>0.54279999999999995</v>
      </c>
      <c r="P1530">
        <v>18.033200000000001</v>
      </c>
    </row>
    <row r="1531" spans="1:16" x14ac:dyDescent="0.25">
      <c r="A1531" t="s">
        <v>2060</v>
      </c>
      <c r="B1531" t="s">
        <v>2061</v>
      </c>
      <c r="C1531" t="s">
        <v>1976</v>
      </c>
      <c r="D1531" s="11">
        <v>7510068019</v>
      </c>
      <c r="E1531" s="12">
        <v>46055</v>
      </c>
      <c r="F1531" s="12">
        <v>46057</v>
      </c>
      <c r="G1531" t="s">
        <v>2471</v>
      </c>
      <c r="H1531" t="s">
        <v>1733</v>
      </c>
      <c r="I1531">
        <v>12</v>
      </c>
      <c r="J1531">
        <v>11.586</v>
      </c>
      <c r="K1531" t="s">
        <v>2472</v>
      </c>
      <c r="L1531" t="s">
        <v>2041</v>
      </c>
      <c r="M1531">
        <v>0.79166999999999998</v>
      </c>
      <c r="N1531">
        <v>9.5000400000000003</v>
      </c>
      <c r="O1531">
        <v>2.08996</v>
      </c>
      <c r="P1531">
        <v>18.032399999999999</v>
      </c>
    </row>
    <row r="1532" spans="1:16" x14ac:dyDescent="0.25">
      <c r="A1532" t="s">
        <v>2060</v>
      </c>
      <c r="B1532" t="s">
        <v>2061</v>
      </c>
      <c r="C1532" t="s">
        <v>1976</v>
      </c>
      <c r="D1532" s="11">
        <v>7510068019</v>
      </c>
      <c r="E1532" s="12">
        <v>46055</v>
      </c>
      <c r="F1532" s="12">
        <v>46057</v>
      </c>
      <c r="G1532" t="s">
        <v>2471</v>
      </c>
      <c r="H1532" t="s">
        <v>1090</v>
      </c>
      <c r="I1532">
        <v>60</v>
      </c>
      <c r="J1532">
        <v>704.81399999999996</v>
      </c>
      <c r="K1532" t="s">
        <v>2472</v>
      </c>
      <c r="L1532" t="s">
        <v>2041</v>
      </c>
      <c r="M1532">
        <v>9.6324299999999994</v>
      </c>
      <c r="N1532">
        <v>577.94579999999996</v>
      </c>
      <c r="O1532">
        <v>126.8642</v>
      </c>
      <c r="P1532">
        <v>17.999700000000001</v>
      </c>
    </row>
    <row r="1533" spans="1:16" x14ac:dyDescent="0.25">
      <c r="A1533" t="s">
        <v>2060</v>
      </c>
      <c r="B1533" t="s">
        <v>2061</v>
      </c>
      <c r="C1533" t="s">
        <v>1976</v>
      </c>
      <c r="D1533" s="11">
        <v>7510068019</v>
      </c>
      <c r="E1533" s="12">
        <v>46055</v>
      </c>
      <c r="F1533" s="12">
        <v>46057</v>
      </c>
      <c r="G1533" t="s">
        <v>2471</v>
      </c>
      <c r="H1533" t="s">
        <v>1737</v>
      </c>
      <c r="I1533">
        <v>11</v>
      </c>
      <c r="J1533">
        <v>12.6258</v>
      </c>
      <c r="K1533" t="s">
        <v>2472</v>
      </c>
      <c r="L1533" t="s">
        <v>2041</v>
      </c>
      <c r="M1533">
        <v>0.94118000000000002</v>
      </c>
      <c r="N1533">
        <v>10.352980000000001</v>
      </c>
      <c r="O1533">
        <v>2.2770199999999998</v>
      </c>
      <c r="P1533">
        <v>18.028600000000001</v>
      </c>
    </row>
    <row r="1534" spans="1:16" x14ac:dyDescent="0.25">
      <c r="A1534" t="s">
        <v>2060</v>
      </c>
      <c r="B1534" t="s">
        <v>2061</v>
      </c>
      <c r="C1534" t="s">
        <v>1976</v>
      </c>
      <c r="D1534" s="11">
        <v>7510068019</v>
      </c>
      <c r="E1534" s="12">
        <v>46055</v>
      </c>
      <c r="F1534" s="12">
        <v>46057</v>
      </c>
      <c r="G1534" t="s">
        <v>2471</v>
      </c>
      <c r="H1534" t="s">
        <v>1803</v>
      </c>
      <c r="I1534">
        <v>40</v>
      </c>
      <c r="J1534">
        <v>150.85599999999999</v>
      </c>
      <c r="M1534">
        <v>1.92004</v>
      </c>
      <c r="N1534">
        <v>76.801599999999993</v>
      </c>
      <c r="O1534">
        <v>74.058400000000006</v>
      </c>
      <c r="P1534">
        <v>49.090800000000002</v>
      </c>
    </row>
    <row r="1535" spans="1:16" x14ac:dyDescent="0.25">
      <c r="A1535" t="s">
        <v>2060</v>
      </c>
      <c r="B1535" t="s">
        <v>2061</v>
      </c>
      <c r="C1535" t="s">
        <v>1976</v>
      </c>
      <c r="D1535" s="11">
        <v>7510068019</v>
      </c>
      <c r="E1535" s="12">
        <v>46055</v>
      </c>
      <c r="F1535" s="12">
        <v>46057</v>
      </c>
      <c r="G1535" t="s">
        <v>2471</v>
      </c>
      <c r="H1535" t="s">
        <v>1605</v>
      </c>
      <c r="I1535">
        <v>35</v>
      </c>
      <c r="J1535">
        <v>318.52800000000002</v>
      </c>
      <c r="M1535">
        <v>5.12</v>
      </c>
      <c r="N1535">
        <v>179.2</v>
      </c>
      <c r="O1535">
        <v>139.33000000000001</v>
      </c>
      <c r="P1535">
        <v>43.741500000000002</v>
      </c>
    </row>
    <row r="1536" spans="1:16" x14ac:dyDescent="0.25">
      <c r="A1536" t="s">
        <v>2060</v>
      </c>
      <c r="B1536" t="s">
        <v>2061</v>
      </c>
      <c r="C1536" t="s">
        <v>1976</v>
      </c>
      <c r="D1536" s="11">
        <v>7510068019</v>
      </c>
      <c r="E1536" s="12">
        <v>46055</v>
      </c>
      <c r="F1536" s="12">
        <v>46057</v>
      </c>
      <c r="G1536" t="s">
        <v>2471</v>
      </c>
      <c r="H1536" t="s">
        <v>1681</v>
      </c>
      <c r="I1536">
        <v>54</v>
      </c>
      <c r="J1536">
        <v>13.154400000000001</v>
      </c>
      <c r="M1536">
        <v>0.17</v>
      </c>
      <c r="N1536">
        <v>9.18</v>
      </c>
      <c r="O1536">
        <v>3.97</v>
      </c>
      <c r="P1536">
        <v>30.190100000000001</v>
      </c>
    </row>
    <row r="1537" spans="1:17" x14ac:dyDescent="0.25">
      <c r="A1537" t="s">
        <v>2060</v>
      </c>
      <c r="B1537" t="s">
        <v>2061</v>
      </c>
      <c r="C1537" t="s">
        <v>1976</v>
      </c>
      <c r="D1537" s="11">
        <v>7510068019</v>
      </c>
      <c r="E1537" s="12">
        <v>46055</v>
      </c>
      <c r="F1537" s="12">
        <v>46057</v>
      </c>
      <c r="G1537" t="s">
        <v>2471</v>
      </c>
      <c r="H1537" t="s">
        <v>575</v>
      </c>
      <c r="I1537">
        <v>1110</v>
      </c>
      <c r="J1537">
        <v>31.524000000000001</v>
      </c>
      <c r="K1537" t="s">
        <v>2472</v>
      </c>
      <c r="L1537" t="s">
        <v>2041</v>
      </c>
      <c r="M1537">
        <v>2.3290000000000002E-2</v>
      </c>
      <c r="N1537">
        <v>25.851900000000001</v>
      </c>
      <c r="O1537">
        <v>5.6680999999999999</v>
      </c>
      <c r="P1537">
        <v>17.982500000000002</v>
      </c>
    </row>
    <row r="1538" spans="1:17" x14ac:dyDescent="0.25">
      <c r="A1538" t="s">
        <v>2060</v>
      </c>
      <c r="B1538" t="s">
        <v>2061</v>
      </c>
      <c r="C1538" t="s">
        <v>1976</v>
      </c>
      <c r="D1538" s="11">
        <v>7510068019</v>
      </c>
      <c r="E1538" s="12">
        <v>46055</v>
      </c>
      <c r="F1538" s="12">
        <v>46057</v>
      </c>
      <c r="G1538" t="s">
        <v>2471</v>
      </c>
      <c r="H1538" t="s">
        <v>1106</v>
      </c>
      <c r="I1538">
        <v>40</v>
      </c>
      <c r="J1538">
        <v>585.84799999999996</v>
      </c>
      <c r="K1538" t="s">
        <v>2472</v>
      </c>
      <c r="L1538" t="s">
        <v>2041</v>
      </c>
      <c r="M1538">
        <v>12.0099</v>
      </c>
      <c r="N1538">
        <v>480.39600000000002</v>
      </c>
      <c r="O1538">
        <v>105.45399999999999</v>
      </c>
      <c r="P1538">
        <v>18.0001</v>
      </c>
    </row>
    <row r="1539" spans="1:17" x14ac:dyDescent="0.25">
      <c r="A1539" t="s">
        <v>2060</v>
      </c>
      <c r="B1539" t="s">
        <v>2061</v>
      </c>
      <c r="C1539" t="s">
        <v>1976</v>
      </c>
      <c r="D1539" s="11">
        <v>7510068019</v>
      </c>
      <c r="E1539" s="12">
        <v>46055</v>
      </c>
      <c r="F1539" s="12">
        <v>46057</v>
      </c>
      <c r="G1539" t="s">
        <v>2471</v>
      </c>
      <c r="H1539" t="s">
        <v>361</v>
      </c>
      <c r="I1539">
        <v>100</v>
      </c>
      <c r="J1539">
        <v>104.17</v>
      </c>
      <c r="K1539" t="s">
        <v>2472</v>
      </c>
      <c r="L1539" t="s">
        <v>2041</v>
      </c>
      <c r="M1539">
        <v>0.85416999999999998</v>
      </c>
      <c r="N1539">
        <v>85.417000000000002</v>
      </c>
      <c r="O1539">
        <v>18.753</v>
      </c>
      <c r="P1539">
        <v>18.002300000000002</v>
      </c>
    </row>
    <row r="1540" spans="1:17" x14ac:dyDescent="0.25">
      <c r="A1540" t="s">
        <v>2060</v>
      </c>
      <c r="B1540" t="s">
        <v>2061</v>
      </c>
      <c r="C1540" t="s">
        <v>1976</v>
      </c>
      <c r="D1540" s="11">
        <v>7510068019</v>
      </c>
      <c r="E1540" s="12">
        <v>46055</v>
      </c>
      <c r="F1540" s="12">
        <v>46057</v>
      </c>
      <c r="G1540" t="s">
        <v>2471</v>
      </c>
      <c r="H1540" t="s">
        <v>299</v>
      </c>
      <c r="I1540">
        <v>31</v>
      </c>
      <c r="J1540">
        <v>71.293800000000005</v>
      </c>
      <c r="K1540" t="s">
        <v>2472</v>
      </c>
      <c r="L1540" t="s">
        <v>2041</v>
      </c>
      <c r="M1540">
        <v>1.8857999999999999</v>
      </c>
      <c r="N1540">
        <v>58.459800000000001</v>
      </c>
      <c r="O1540">
        <v>12.8302</v>
      </c>
      <c r="P1540">
        <v>17.9971</v>
      </c>
    </row>
    <row r="1541" spans="1:17" x14ac:dyDescent="0.25">
      <c r="A1541" t="s">
        <v>2060</v>
      </c>
      <c r="B1541" t="s">
        <v>2061</v>
      </c>
      <c r="C1541" t="s">
        <v>1976</v>
      </c>
      <c r="D1541" s="11">
        <v>7510068019</v>
      </c>
      <c r="E1541" s="12">
        <v>46055</v>
      </c>
      <c r="F1541" s="12">
        <v>46057</v>
      </c>
      <c r="G1541" t="s">
        <v>2471</v>
      </c>
      <c r="H1541" t="s">
        <v>1813</v>
      </c>
      <c r="I1541">
        <v>12</v>
      </c>
      <c r="J1541">
        <v>4.1807999999999996</v>
      </c>
      <c r="K1541" t="s">
        <v>2472</v>
      </c>
      <c r="L1541" t="s">
        <v>2041</v>
      </c>
      <c r="M1541">
        <v>0.28571000000000002</v>
      </c>
      <c r="N1541">
        <v>3.4285199999999998</v>
      </c>
      <c r="O1541">
        <v>0.75148000000000004</v>
      </c>
      <c r="P1541">
        <v>17.977900000000002</v>
      </c>
    </row>
    <row r="1542" spans="1:17" x14ac:dyDescent="0.25">
      <c r="A1542" t="s">
        <v>2060</v>
      </c>
      <c r="B1542" t="s">
        <v>2061</v>
      </c>
      <c r="C1542" t="s">
        <v>1976</v>
      </c>
      <c r="D1542" s="11">
        <v>7510068133</v>
      </c>
      <c r="E1542" s="12">
        <v>46055</v>
      </c>
      <c r="F1542" s="12">
        <v>46057</v>
      </c>
      <c r="G1542" t="s">
        <v>2473</v>
      </c>
      <c r="H1542" t="s">
        <v>1104</v>
      </c>
      <c r="I1542">
        <v>23</v>
      </c>
      <c r="J1542">
        <v>2.2677999999999998</v>
      </c>
      <c r="K1542" t="s">
        <v>2474</v>
      </c>
      <c r="L1542" t="s">
        <v>2041</v>
      </c>
      <c r="M1542">
        <v>8.0879999999999994E-2</v>
      </c>
      <c r="N1542">
        <v>1.8602399999999999</v>
      </c>
      <c r="O1542">
        <v>0.40976000000000001</v>
      </c>
      <c r="P1542">
        <v>18.051100000000002</v>
      </c>
      <c r="Q1542" t="s">
        <v>2475</v>
      </c>
    </row>
    <row r="1543" spans="1:17" x14ac:dyDescent="0.25">
      <c r="A1543" t="s">
        <v>2060</v>
      </c>
      <c r="B1543" t="s">
        <v>2061</v>
      </c>
      <c r="C1543" t="s">
        <v>1976</v>
      </c>
      <c r="D1543" s="11">
        <v>7510068191</v>
      </c>
      <c r="E1543" s="12">
        <v>46055</v>
      </c>
      <c r="F1543" s="12">
        <v>46058</v>
      </c>
      <c r="G1543" t="s">
        <v>2476</v>
      </c>
      <c r="H1543" t="s">
        <v>174</v>
      </c>
      <c r="I1543">
        <v>6</v>
      </c>
      <c r="J1543">
        <v>205.4358</v>
      </c>
      <c r="K1543" t="s">
        <v>2474</v>
      </c>
      <c r="L1543" t="s">
        <v>2041</v>
      </c>
      <c r="M1543">
        <v>28.07621</v>
      </c>
      <c r="N1543">
        <v>168.45725999999999</v>
      </c>
      <c r="O1543">
        <v>36.98274</v>
      </c>
      <c r="P1543">
        <v>18.0017</v>
      </c>
      <c r="Q1543" t="s">
        <v>2382</v>
      </c>
    </row>
    <row r="1544" spans="1:17" x14ac:dyDescent="0.25">
      <c r="A1544" t="s">
        <v>2060</v>
      </c>
      <c r="B1544" t="s">
        <v>2061</v>
      </c>
      <c r="C1544" t="s">
        <v>1976</v>
      </c>
      <c r="D1544" s="11">
        <v>7510068191</v>
      </c>
      <c r="E1544" s="12">
        <v>46055</v>
      </c>
      <c r="F1544" s="12">
        <v>46058</v>
      </c>
      <c r="G1544" t="s">
        <v>2476</v>
      </c>
      <c r="H1544" t="s">
        <v>870</v>
      </c>
      <c r="I1544">
        <v>25</v>
      </c>
      <c r="J1544">
        <v>3.1375000000000002</v>
      </c>
      <c r="K1544" t="s">
        <v>2474</v>
      </c>
      <c r="L1544" t="s">
        <v>2041</v>
      </c>
      <c r="M1544">
        <v>0.10294</v>
      </c>
      <c r="N1544">
        <v>2.5735000000000001</v>
      </c>
      <c r="O1544">
        <v>0.5665</v>
      </c>
      <c r="P1544">
        <v>18.041399999999999</v>
      </c>
      <c r="Q1544" t="s">
        <v>2477</v>
      </c>
    </row>
    <row r="1545" spans="1:17" x14ac:dyDescent="0.25">
      <c r="A1545" t="s">
        <v>2060</v>
      </c>
      <c r="B1545" t="s">
        <v>2061</v>
      </c>
      <c r="C1545" t="s">
        <v>1976</v>
      </c>
      <c r="D1545" s="11">
        <v>7510068191</v>
      </c>
      <c r="E1545" s="12">
        <v>46055</v>
      </c>
      <c r="F1545" s="12">
        <v>46058</v>
      </c>
      <c r="G1545" t="s">
        <v>2476</v>
      </c>
      <c r="H1545" t="s">
        <v>868</v>
      </c>
      <c r="I1545">
        <v>25</v>
      </c>
      <c r="J1545">
        <v>1.4950000000000001</v>
      </c>
      <c r="K1545" t="s">
        <v>2474</v>
      </c>
      <c r="L1545" t="s">
        <v>2041</v>
      </c>
      <c r="M1545">
        <v>4.9020000000000001E-2</v>
      </c>
      <c r="N1545">
        <v>1.2255</v>
      </c>
      <c r="O1545">
        <v>0.27450000000000002</v>
      </c>
      <c r="P1545">
        <v>18.3</v>
      </c>
      <c r="Q1545" t="s">
        <v>2478</v>
      </c>
    </row>
    <row r="1546" spans="1:17" x14ac:dyDescent="0.25">
      <c r="A1546" t="s">
        <v>2060</v>
      </c>
      <c r="B1546" t="s">
        <v>2061</v>
      </c>
      <c r="C1546" t="s">
        <v>1976</v>
      </c>
      <c r="D1546" s="11">
        <v>7510068191</v>
      </c>
      <c r="E1546" s="12">
        <v>46055</v>
      </c>
      <c r="F1546" s="12">
        <v>46058</v>
      </c>
      <c r="G1546" t="s">
        <v>2476</v>
      </c>
      <c r="H1546" t="s">
        <v>229</v>
      </c>
      <c r="I1546">
        <v>15</v>
      </c>
      <c r="J1546">
        <v>52.749000000000002</v>
      </c>
      <c r="M1546">
        <v>2.2999999999999998</v>
      </c>
      <c r="N1546">
        <v>34.5</v>
      </c>
      <c r="O1546">
        <v>18.25</v>
      </c>
      <c r="P1546">
        <v>34.597099999999998</v>
      </c>
      <c r="Q1546" t="s">
        <v>2479</v>
      </c>
    </row>
    <row r="1547" spans="1:17" x14ac:dyDescent="0.25">
      <c r="A1547" t="s">
        <v>2060</v>
      </c>
      <c r="B1547" t="s">
        <v>2061</v>
      </c>
      <c r="C1547" t="s">
        <v>1976</v>
      </c>
      <c r="D1547" s="11">
        <v>7510068191</v>
      </c>
      <c r="E1547" s="12">
        <v>46055</v>
      </c>
      <c r="F1547" s="12">
        <v>46058</v>
      </c>
      <c r="G1547" t="s">
        <v>2476</v>
      </c>
      <c r="H1547" t="s">
        <v>80</v>
      </c>
      <c r="I1547">
        <v>26</v>
      </c>
      <c r="J1547">
        <v>314.04360000000003</v>
      </c>
      <c r="M1547">
        <v>8.2113999999999994</v>
      </c>
      <c r="N1547">
        <v>213.49639999999999</v>
      </c>
      <c r="O1547">
        <v>100.5436</v>
      </c>
      <c r="P1547">
        <v>32.016100000000002</v>
      </c>
      <c r="Q1547" t="s">
        <v>2480</v>
      </c>
    </row>
    <row r="1548" spans="1:17" x14ac:dyDescent="0.25">
      <c r="A1548" t="s">
        <v>2060</v>
      </c>
      <c r="B1548" t="s">
        <v>2061</v>
      </c>
      <c r="C1548" t="s">
        <v>1976</v>
      </c>
      <c r="D1548" s="11">
        <v>7510068191</v>
      </c>
      <c r="E1548" s="12">
        <v>46055</v>
      </c>
      <c r="F1548" s="12">
        <v>46058</v>
      </c>
      <c r="G1548" t="s">
        <v>2476</v>
      </c>
      <c r="H1548" t="s">
        <v>83</v>
      </c>
      <c r="I1548">
        <v>31</v>
      </c>
      <c r="J1548">
        <v>499.02870000000001</v>
      </c>
      <c r="M1548">
        <v>10.039999999999999</v>
      </c>
      <c r="N1548">
        <v>311.24</v>
      </c>
      <c r="O1548">
        <v>187.79</v>
      </c>
      <c r="P1548">
        <v>37.631</v>
      </c>
      <c r="Q1548" t="s">
        <v>2481</v>
      </c>
    </row>
    <row r="1549" spans="1:17" x14ac:dyDescent="0.25">
      <c r="A1549" t="s">
        <v>2060</v>
      </c>
      <c r="B1549" t="s">
        <v>2061</v>
      </c>
      <c r="C1549" t="s">
        <v>1976</v>
      </c>
      <c r="D1549" s="11">
        <v>7510068191</v>
      </c>
      <c r="E1549" s="12">
        <v>46055</v>
      </c>
      <c r="F1549" s="12">
        <v>46058</v>
      </c>
      <c r="G1549" t="s">
        <v>2476</v>
      </c>
      <c r="H1549" t="s">
        <v>85</v>
      </c>
      <c r="I1549">
        <v>6</v>
      </c>
      <c r="J1549">
        <v>126.705</v>
      </c>
      <c r="M1549">
        <v>9.2799999999999994</v>
      </c>
      <c r="N1549">
        <v>55.68</v>
      </c>
      <c r="O1549">
        <v>71.03</v>
      </c>
      <c r="P1549">
        <v>56.057099999999998</v>
      </c>
      <c r="Q1549" t="s">
        <v>2482</v>
      </c>
    </row>
    <row r="1550" spans="1:17" x14ac:dyDescent="0.25">
      <c r="A1550" t="s">
        <v>1974</v>
      </c>
      <c r="B1550" t="s">
        <v>1975</v>
      </c>
      <c r="C1550" t="s">
        <v>1976</v>
      </c>
      <c r="D1550" s="11">
        <v>83963</v>
      </c>
      <c r="E1550" s="12">
        <v>46056</v>
      </c>
      <c r="F1550" s="12">
        <v>46059</v>
      </c>
      <c r="G1550" t="s">
        <v>2483</v>
      </c>
      <c r="H1550" t="s">
        <v>485</v>
      </c>
      <c r="I1550">
        <v>6</v>
      </c>
      <c r="J1550">
        <v>21.251999999999999</v>
      </c>
      <c r="M1550">
        <v>2.7719999999999998</v>
      </c>
      <c r="N1550">
        <v>16.632000000000001</v>
      </c>
      <c r="O1550">
        <v>4.6180000000000003</v>
      </c>
      <c r="P1550">
        <v>21.7317</v>
      </c>
      <c r="Q1550" t="s">
        <v>2139</v>
      </c>
    </row>
    <row r="1551" spans="1:17" x14ac:dyDescent="0.25">
      <c r="A1551" t="s">
        <v>2060</v>
      </c>
      <c r="B1551" t="s">
        <v>2061</v>
      </c>
      <c r="C1551" t="s">
        <v>1976</v>
      </c>
      <c r="D1551" s="11">
        <v>7510068255</v>
      </c>
      <c r="E1551" s="12">
        <v>46056</v>
      </c>
      <c r="F1551" s="12">
        <v>46058</v>
      </c>
      <c r="G1551" t="s">
        <v>2484</v>
      </c>
      <c r="H1551" t="s">
        <v>1757</v>
      </c>
      <c r="I1551">
        <v>75</v>
      </c>
      <c r="J1551">
        <v>84.742500000000007</v>
      </c>
      <c r="K1551" t="s">
        <v>2485</v>
      </c>
      <c r="L1551" t="s">
        <v>2041</v>
      </c>
      <c r="M1551">
        <v>0.92647999999999997</v>
      </c>
      <c r="N1551">
        <v>69.486000000000004</v>
      </c>
      <c r="O1551">
        <v>15.254</v>
      </c>
      <c r="P1551">
        <v>18.000900000000001</v>
      </c>
      <c r="Q1551" t="s">
        <v>2486</v>
      </c>
    </row>
    <row r="1552" spans="1:17" x14ac:dyDescent="0.25">
      <c r="A1552" t="s">
        <v>2060</v>
      </c>
      <c r="B1552" t="s">
        <v>2061</v>
      </c>
      <c r="C1552" t="s">
        <v>1976</v>
      </c>
      <c r="D1552" s="11">
        <v>7510068255</v>
      </c>
      <c r="E1552" s="12">
        <v>46056</v>
      </c>
      <c r="F1552" s="12">
        <v>46058</v>
      </c>
      <c r="G1552" t="s">
        <v>2484</v>
      </c>
      <c r="H1552" t="s">
        <v>1128</v>
      </c>
      <c r="I1552">
        <v>21</v>
      </c>
      <c r="J1552">
        <v>187.42920000000001</v>
      </c>
      <c r="M1552">
        <v>7.8760000000000003</v>
      </c>
      <c r="N1552">
        <v>165.39599999999999</v>
      </c>
      <c r="O1552">
        <v>22.033999999999999</v>
      </c>
      <c r="P1552">
        <v>11.755800000000001</v>
      </c>
      <c r="Q1552" t="s">
        <v>2487</v>
      </c>
    </row>
    <row r="1553" spans="1:17" x14ac:dyDescent="0.25">
      <c r="A1553" t="s">
        <v>2060</v>
      </c>
      <c r="B1553" t="s">
        <v>2061</v>
      </c>
      <c r="C1553" t="s">
        <v>1976</v>
      </c>
      <c r="D1553" s="11">
        <v>7510068255</v>
      </c>
      <c r="E1553" s="12">
        <v>46056</v>
      </c>
      <c r="F1553" s="12">
        <v>46058</v>
      </c>
      <c r="G1553" t="s">
        <v>2484</v>
      </c>
      <c r="H1553" t="s">
        <v>902</v>
      </c>
      <c r="I1553">
        <v>35</v>
      </c>
      <c r="J1553">
        <v>6.2125000000000004</v>
      </c>
      <c r="K1553" t="s">
        <v>2485</v>
      </c>
      <c r="L1553" t="s">
        <v>2041</v>
      </c>
      <c r="M1553">
        <v>0.14557</v>
      </c>
      <c r="N1553">
        <v>5.0949499999999999</v>
      </c>
      <c r="O1553">
        <v>1.1150500000000001</v>
      </c>
      <c r="P1553">
        <v>17.9557</v>
      </c>
      <c r="Q1553" t="s">
        <v>2488</v>
      </c>
    </row>
    <row r="1554" spans="1:17" x14ac:dyDescent="0.25">
      <c r="A1554" t="s">
        <v>2060</v>
      </c>
      <c r="B1554" t="s">
        <v>2061</v>
      </c>
      <c r="C1554" t="s">
        <v>1976</v>
      </c>
      <c r="D1554" s="11">
        <v>7510068255</v>
      </c>
      <c r="E1554" s="12">
        <v>46056</v>
      </c>
      <c r="F1554" s="12">
        <v>46058</v>
      </c>
      <c r="G1554" t="s">
        <v>2484</v>
      </c>
      <c r="H1554" t="s">
        <v>1675</v>
      </c>
      <c r="I1554">
        <v>21</v>
      </c>
      <c r="J1554">
        <v>19.8156</v>
      </c>
      <c r="K1554" t="s">
        <v>2485</v>
      </c>
      <c r="L1554" t="s">
        <v>2041</v>
      </c>
      <c r="M1554">
        <v>0.77373000000000003</v>
      </c>
      <c r="N1554">
        <v>16.248329999999999</v>
      </c>
      <c r="O1554">
        <v>3.5716700000000001</v>
      </c>
      <c r="P1554">
        <v>18.020499999999998</v>
      </c>
      <c r="Q1554" t="s">
        <v>2489</v>
      </c>
    </row>
    <row r="1555" spans="1:17" x14ac:dyDescent="0.25">
      <c r="A1555" t="s">
        <v>2060</v>
      </c>
      <c r="B1555" t="s">
        <v>2061</v>
      </c>
      <c r="C1555" t="s">
        <v>1976</v>
      </c>
      <c r="D1555" s="11">
        <v>7510068255</v>
      </c>
      <c r="E1555" s="12">
        <v>46056</v>
      </c>
      <c r="F1555" s="12">
        <v>46058</v>
      </c>
      <c r="G1555" t="s">
        <v>2484</v>
      </c>
      <c r="H1555" t="s">
        <v>1160</v>
      </c>
      <c r="I1555">
        <v>35</v>
      </c>
      <c r="J1555">
        <v>18.753</v>
      </c>
      <c r="K1555" t="s">
        <v>2485</v>
      </c>
      <c r="L1555" t="s">
        <v>2041</v>
      </c>
      <c r="M1555">
        <v>0.43935000000000002</v>
      </c>
      <c r="N1555">
        <v>15.37725</v>
      </c>
      <c r="O1555">
        <v>3.3727499999999999</v>
      </c>
      <c r="P1555">
        <v>17.988</v>
      </c>
      <c r="Q1555" t="s">
        <v>2490</v>
      </c>
    </row>
    <row r="1556" spans="1:17" x14ac:dyDescent="0.25">
      <c r="A1556" t="s">
        <v>2060</v>
      </c>
      <c r="B1556" t="s">
        <v>2061</v>
      </c>
      <c r="C1556" t="s">
        <v>1976</v>
      </c>
      <c r="D1556" s="11">
        <v>7510068255</v>
      </c>
      <c r="E1556" s="12">
        <v>46056</v>
      </c>
      <c r="F1556" s="12">
        <v>46058</v>
      </c>
      <c r="G1556" t="s">
        <v>2484</v>
      </c>
      <c r="H1556" t="s">
        <v>624</v>
      </c>
      <c r="I1556">
        <v>21</v>
      </c>
      <c r="J1556">
        <v>932.62260000000003</v>
      </c>
      <c r="M1556">
        <v>30.4876</v>
      </c>
      <c r="N1556">
        <v>640.2396</v>
      </c>
      <c r="O1556">
        <v>292.38040000000001</v>
      </c>
      <c r="P1556">
        <v>31.3504</v>
      </c>
      <c r="Q1556" t="s">
        <v>2177</v>
      </c>
    </row>
    <row r="1557" spans="1:17" x14ac:dyDescent="0.25">
      <c r="A1557" t="s">
        <v>2060</v>
      </c>
      <c r="B1557" t="s">
        <v>2061</v>
      </c>
      <c r="C1557" t="s">
        <v>1976</v>
      </c>
      <c r="D1557" s="11">
        <v>7510068255</v>
      </c>
      <c r="E1557" s="12">
        <v>46056</v>
      </c>
      <c r="F1557" s="12">
        <v>46058</v>
      </c>
      <c r="G1557" t="s">
        <v>2484</v>
      </c>
      <c r="H1557" t="s">
        <v>1635</v>
      </c>
      <c r="I1557">
        <v>35</v>
      </c>
      <c r="J1557">
        <v>57.6205</v>
      </c>
      <c r="K1557" t="s">
        <v>2485</v>
      </c>
      <c r="L1557" t="s">
        <v>2041</v>
      </c>
      <c r="M1557">
        <v>1.35</v>
      </c>
      <c r="N1557">
        <v>47.25</v>
      </c>
      <c r="O1557">
        <v>10.37</v>
      </c>
      <c r="P1557">
        <v>17.997199999999999</v>
      </c>
      <c r="Q1557" t="s">
        <v>2178</v>
      </c>
    </row>
    <row r="1558" spans="1:17" x14ac:dyDescent="0.25">
      <c r="A1558" t="s">
        <v>2060</v>
      </c>
      <c r="B1558" t="s">
        <v>2061</v>
      </c>
      <c r="C1558" t="s">
        <v>1976</v>
      </c>
      <c r="D1558" s="11">
        <v>7510068255</v>
      </c>
      <c r="E1558" s="12">
        <v>46056</v>
      </c>
      <c r="F1558" s="12">
        <v>46058</v>
      </c>
      <c r="G1558" t="s">
        <v>2484</v>
      </c>
      <c r="H1558" t="s">
        <v>1189</v>
      </c>
      <c r="I1558">
        <v>175</v>
      </c>
      <c r="J1558">
        <v>15.6975</v>
      </c>
      <c r="K1558" t="s">
        <v>2485</v>
      </c>
      <c r="L1558" t="s">
        <v>2041</v>
      </c>
      <c r="M1558">
        <v>7.3529999999999998E-2</v>
      </c>
      <c r="N1558">
        <v>12.867749999999999</v>
      </c>
      <c r="O1558">
        <v>2.8322500000000002</v>
      </c>
      <c r="P1558">
        <v>18.0398</v>
      </c>
      <c r="Q1558" t="s">
        <v>2491</v>
      </c>
    </row>
    <row r="1559" spans="1:17" x14ac:dyDescent="0.25">
      <c r="A1559" t="s">
        <v>2060</v>
      </c>
      <c r="B1559" t="s">
        <v>2061</v>
      </c>
      <c r="C1559" t="s">
        <v>1976</v>
      </c>
      <c r="D1559" s="11">
        <v>7510068255</v>
      </c>
      <c r="E1559" s="12">
        <v>46056</v>
      </c>
      <c r="F1559" s="12">
        <v>46058</v>
      </c>
      <c r="G1559" t="s">
        <v>2484</v>
      </c>
      <c r="H1559" t="s">
        <v>47</v>
      </c>
      <c r="I1559">
        <v>50</v>
      </c>
      <c r="J1559">
        <v>6.5250000000000004</v>
      </c>
      <c r="K1559" t="s">
        <v>2485</v>
      </c>
      <c r="L1559" t="s">
        <v>2041</v>
      </c>
      <c r="M1559">
        <v>0.107</v>
      </c>
      <c r="N1559">
        <v>5.35</v>
      </c>
      <c r="O1559">
        <v>1.18</v>
      </c>
      <c r="P1559">
        <v>18.070399999999999</v>
      </c>
      <c r="Q1559" t="s">
        <v>2492</v>
      </c>
    </row>
    <row r="1560" spans="1:17" x14ac:dyDescent="0.25">
      <c r="A1560" t="s">
        <v>2060</v>
      </c>
      <c r="B1560" t="s">
        <v>2061</v>
      </c>
      <c r="C1560" t="s">
        <v>1976</v>
      </c>
      <c r="D1560" s="11">
        <v>7510068255</v>
      </c>
      <c r="E1560" s="12">
        <v>46056</v>
      </c>
      <c r="F1560" s="12">
        <v>46058</v>
      </c>
      <c r="G1560" t="s">
        <v>2484</v>
      </c>
      <c r="H1560" t="s">
        <v>585</v>
      </c>
      <c r="I1560">
        <v>520</v>
      </c>
      <c r="J1560">
        <v>21.736000000000001</v>
      </c>
      <c r="K1560" t="s">
        <v>2485</v>
      </c>
      <c r="L1560" t="s">
        <v>2041</v>
      </c>
      <c r="M1560">
        <v>3.4299999999999997E-2</v>
      </c>
      <c r="N1560">
        <v>17.835999999999999</v>
      </c>
      <c r="O1560">
        <v>3.9039999999999999</v>
      </c>
      <c r="P1560">
        <v>17.957599999999999</v>
      </c>
      <c r="Q1560" t="s">
        <v>2493</v>
      </c>
    </row>
    <row r="1561" spans="1:17" x14ac:dyDescent="0.25">
      <c r="A1561" t="s">
        <v>2060</v>
      </c>
      <c r="B1561" t="s">
        <v>2061</v>
      </c>
      <c r="C1561" t="s">
        <v>1976</v>
      </c>
      <c r="D1561" s="11">
        <v>7510068255</v>
      </c>
      <c r="E1561" s="12">
        <v>46056</v>
      </c>
      <c r="F1561" s="12">
        <v>46058</v>
      </c>
      <c r="G1561" t="s">
        <v>2484</v>
      </c>
      <c r="H1561" t="s">
        <v>925</v>
      </c>
      <c r="I1561">
        <v>560</v>
      </c>
      <c r="J1561">
        <v>103.432</v>
      </c>
      <c r="K1561" t="s">
        <v>2485</v>
      </c>
      <c r="L1561" t="s">
        <v>2041</v>
      </c>
      <c r="M1561">
        <v>0.15143999999999999</v>
      </c>
      <c r="N1561">
        <v>84.806399999999996</v>
      </c>
      <c r="O1561">
        <v>18.6236</v>
      </c>
      <c r="P1561">
        <v>18.0059</v>
      </c>
      <c r="Q1561" t="s">
        <v>2494</v>
      </c>
    </row>
    <row r="1562" spans="1:17" x14ac:dyDescent="0.25">
      <c r="A1562" t="s">
        <v>2060</v>
      </c>
      <c r="B1562" t="s">
        <v>2061</v>
      </c>
      <c r="C1562" t="s">
        <v>1976</v>
      </c>
      <c r="D1562" s="11">
        <v>7510068255</v>
      </c>
      <c r="E1562" s="12">
        <v>46056</v>
      </c>
      <c r="F1562" s="12">
        <v>46058</v>
      </c>
      <c r="G1562" t="s">
        <v>2484</v>
      </c>
      <c r="H1562" t="s">
        <v>563</v>
      </c>
      <c r="I1562">
        <v>90</v>
      </c>
      <c r="J1562">
        <v>10.359</v>
      </c>
      <c r="K1562" t="s">
        <v>2485</v>
      </c>
      <c r="L1562" t="s">
        <v>2041</v>
      </c>
      <c r="M1562">
        <v>9.4359999999999999E-2</v>
      </c>
      <c r="N1562">
        <v>8.4923999999999999</v>
      </c>
      <c r="O1562">
        <v>1.8675999999999999</v>
      </c>
      <c r="P1562">
        <v>18.027000000000001</v>
      </c>
      <c r="Q1562" t="s">
        <v>2495</v>
      </c>
    </row>
    <row r="1563" spans="1:17" x14ac:dyDescent="0.25">
      <c r="A1563" t="s">
        <v>2060</v>
      </c>
      <c r="B1563" t="s">
        <v>2061</v>
      </c>
      <c r="C1563" t="s">
        <v>1976</v>
      </c>
      <c r="D1563" s="11">
        <v>7510068255</v>
      </c>
      <c r="E1563" s="12">
        <v>46056</v>
      </c>
      <c r="F1563" s="12">
        <v>46058</v>
      </c>
      <c r="G1563" t="s">
        <v>2484</v>
      </c>
      <c r="H1563" t="s">
        <v>565</v>
      </c>
      <c r="I1563">
        <v>70</v>
      </c>
      <c r="J1563">
        <v>6.5940000000000003</v>
      </c>
      <c r="K1563" t="s">
        <v>2485</v>
      </c>
      <c r="L1563" t="s">
        <v>2041</v>
      </c>
      <c r="M1563">
        <v>7.7210000000000001E-2</v>
      </c>
      <c r="N1563">
        <v>5.4047000000000001</v>
      </c>
      <c r="O1563">
        <v>1.1853</v>
      </c>
      <c r="P1563">
        <v>17.9863</v>
      </c>
      <c r="Q1563" t="s">
        <v>2496</v>
      </c>
    </row>
    <row r="1564" spans="1:17" x14ac:dyDescent="0.25">
      <c r="A1564" t="s">
        <v>2060</v>
      </c>
      <c r="B1564" t="s">
        <v>2061</v>
      </c>
      <c r="C1564" t="s">
        <v>1976</v>
      </c>
      <c r="D1564" s="11">
        <v>7510068255</v>
      </c>
      <c r="E1564" s="12">
        <v>46056</v>
      </c>
      <c r="F1564" s="12">
        <v>46058</v>
      </c>
      <c r="G1564" t="s">
        <v>2484</v>
      </c>
      <c r="H1564" t="s">
        <v>653</v>
      </c>
      <c r="I1564">
        <v>640</v>
      </c>
      <c r="J1564">
        <v>54.271999999999998</v>
      </c>
      <c r="K1564" t="s">
        <v>2485</v>
      </c>
      <c r="L1564" t="s">
        <v>2041</v>
      </c>
      <c r="M1564">
        <v>6.9519999999999998E-2</v>
      </c>
      <c r="N1564">
        <v>44.492800000000003</v>
      </c>
      <c r="O1564">
        <v>9.7772000000000006</v>
      </c>
      <c r="P1564">
        <v>18.015799999999999</v>
      </c>
      <c r="Q1564" t="s">
        <v>2497</v>
      </c>
    </row>
    <row r="1565" spans="1:17" x14ac:dyDescent="0.25">
      <c r="A1565" t="s">
        <v>2060</v>
      </c>
      <c r="B1565" t="s">
        <v>2061</v>
      </c>
      <c r="C1565" t="s">
        <v>1976</v>
      </c>
      <c r="D1565" s="11">
        <v>7510068255</v>
      </c>
      <c r="E1565" s="12">
        <v>46056</v>
      </c>
      <c r="F1565" s="12">
        <v>46058</v>
      </c>
      <c r="G1565" t="s">
        <v>2484</v>
      </c>
      <c r="H1565" t="s">
        <v>575</v>
      </c>
      <c r="I1565">
        <v>360</v>
      </c>
      <c r="J1565">
        <v>10.224</v>
      </c>
      <c r="K1565" t="s">
        <v>2485</v>
      </c>
      <c r="L1565" t="s">
        <v>2041</v>
      </c>
      <c r="M1565">
        <v>2.3290000000000002E-2</v>
      </c>
      <c r="N1565">
        <v>8.3843999999999994</v>
      </c>
      <c r="O1565">
        <v>1.8355999999999999</v>
      </c>
      <c r="P1565">
        <v>17.960799999999999</v>
      </c>
      <c r="Q1565" t="s">
        <v>2498</v>
      </c>
    </row>
    <row r="1566" spans="1:17" x14ac:dyDescent="0.25">
      <c r="A1566" t="s">
        <v>2060</v>
      </c>
      <c r="B1566" t="s">
        <v>2061</v>
      </c>
      <c r="C1566" t="s">
        <v>1976</v>
      </c>
      <c r="D1566" s="11">
        <v>7510068255</v>
      </c>
      <c r="E1566" s="12">
        <v>46056</v>
      </c>
      <c r="F1566" s="12">
        <v>46058</v>
      </c>
      <c r="G1566" t="s">
        <v>2484</v>
      </c>
      <c r="H1566" t="s">
        <v>1106</v>
      </c>
      <c r="I1566">
        <v>18</v>
      </c>
      <c r="J1566">
        <v>263.63159999999999</v>
      </c>
      <c r="K1566" t="s">
        <v>2485</v>
      </c>
      <c r="L1566" t="s">
        <v>2041</v>
      </c>
      <c r="M1566">
        <v>12.0099</v>
      </c>
      <c r="N1566">
        <v>216.1782</v>
      </c>
      <c r="O1566">
        <v>47.451799999999999</v>
      </c>
      <c r="P1566">
        <v>17.999300000000002</v>
      </c>
      <c r="Q1566" t="s">
        <v>2499</v>
      </c>
    </row>
    <row r="1567" spans="1:17" x14ac:dyDescent="0.25">
      <c r="A1567" t="s">
        <v>2060</v>
      </c>
      <c r="B1567" t="s">
        <v>2061</v>
      </c>
      <c r="C1567" t="s">
        <v>1976</v>
      </c>
      <c r="D1567" s="11">
        <v>7510068255</v>
      </c>
      <c r="E1567" s="12">
        <v>46056</v>
      </c>
      <c r="F1567" s="12">
        <v>46058</v>
      </c>
      <c r="G1567" t="s">
        <v>2484</v>
      </c>
      <c r="H1567" t="s">
        <v>1111</v>
      </c>
      <c r="I1567">
        <v>7</v>
      </c>
      <c r="J1567">
        <v>68.038600000000002</v>
      </c>
      <c r="M1567">
        <v>9.9166000000000007</v>
      </c>
      <c r="N1567">
        <v>69.416200000000003</v>
      </c>
      <c r="O1567">
        <v>-1.3762000000000001</v>
      </c>
      <c r="P1567">
        <v>-2.0226000000000002</v>
      </c>
      <c r="Q1567" t="s">
        <v>2500</v>
      </c>
    </row>
    <row r="1568" spans="1:17" x14ac:dyDescent="0.25">
      <c r="A1568" t="s">
        <v>2060</v>
      </c>
      <c r="B1568" t="s">
        <v>2061</v>
      </c>
      <c r="C1568" t="s">
        <v>1976</v>
      </c>
      <c r="D1568" s="11">
        <v>7510068255</v>
      </c>
      <c r="E1568" s="12">
        <v>46056</v>
      </c>
      <c r="F1568" s="12">
        <v>46058</v>
      </c>
      <c r="G1568" t="s">
        <v>2484</v>
      </c>
      <c r="H1568" t="s">
        <v>361</v>
      </c>
      <c r="I1568">
        <v>55</v>
      </c>
      <c r="J1568">
        <v>57.293500000000002</v>
      </c>
      <c r="K1568" t="s">
        <v>2485</v>
      </c>
      <c r="L1568" t="s">
        <v>2041</v>
      </c>
      <c r="M1568">
        <v>0.85416999999999998</v>
      </c>
      <c r="N1568">
        <v>46.979349999999997</v>
      </c>
      <c r="O1568">
        <v>10.310650000000001</v>
      </c>
      <c r="P1568">
        <v>17.997199999999999</v>
      </c>
      <c r="Q1568" t="s">
        <v>2501</v>
      </c>
    </row>
    <row r="1569" spans="1:17" x14ac:dyDescent="0.25">
      <c r="A1569" t="s">
        <v>2060</v>
      </c>
      <c r="B1569" t="s">
        <v>2061</v>
      </c>
      <c r="C1569" t="s">
        <v>1976</v>
      </c>
      <c r="D1569" s="11">
        <v>7510068255</v>
      </c>
      <c r="E1569" s="12">
        <v>46056</v>
      </c>
      <c r="F1569" s="12">
        <v>46058</v>
      </c>
      <c r="G1569" t="s">
        <v>2484</v>
      </c>
      <c r="H1569" t="s">
        <v>1113</v>
      </c>
      <c r="I1569">
        <v>540</v>
      </c>
      <c r="J1569">
        <v>46.817999999999998</v>
      </c>
      <c r="K1569" t="s">
        <v>2485</v>
      </c>
      <c r="L1569" t="s">
        <v>2041</v>
      </c>
      <c r="M1569">
        <v>7.1080000000000004E-2</v>
      </c>
      <c r="N1569">
        <v>38.383200000000002</v>
      </c>
      <c r="O1569">
        <v>8.4367999999999999</v>
      </c>
      <c r="P1569">
        <v>18.019600000000001</v>
      </c>
      <c r="Q1569" t="s">
        <v>2085</v>
      </c>
    </row>
    <row r="1570" spans="1:17" x14ac:dyDescent="0.25">
      <c r="A1570" t="s">
        <v>2060</v>
      </c>
      <c r="B1570" t="s">
        <v>2061</v>
      </c>
      <c r="C1570" t="s">
        <v>1976</v>
      </c>
      <c r="D1570" s="11">
        <v>7510068255</v>
      </c>
      <c r="E1570" s="12">
        <v>46056</v>
      </c>
      <c r="F1570" s="12">
        <v>46058</v>
      </c>
      <c r="G1570" t="s">
        <v>2484</v>
      </c>
      <c r="H1570" t="s">
        <v>299</v>
      </c>
      <c r="I1570">
        <v>21</v>
      </c>
      <c r="J1570">
        <v>48.2958</v>
      </c>
      <c r="K1570" t="s">
        <v>2485</v>
      </c>
      <c r="L1570" t="s">
        <v>2041</v>
      </c>
      <c r="M1570">
        <v>1.8857999999999999</v>
      </c>
      <c r="N1570">
        <v>39.601799999999997</v>
      </c>
      <c r="O1570">
        <v>8.6981999999999999</v>
      </c>
      <c r="P1570">
        <v>18.008600000000001</v>
      </c>
      <c r="Q1570" t="s">
        <v>2502</v>
      </c>
    </row>
    <row r="1571" spans="1:17" x14ac:dyDescent="0.25">
      <c r="A1571" t="s">
        <v>2060</v>
      </c>
      <c r="B1571" t="s">
        <v>2061</v>
      </c>
      <c r="C1571" t="s">
        <v>1976</v>
      </c>
      <c r="D1571" s="11">
        <v>7510068255</v>
      </c>
      <c r="E1571" s="12">
        <v>46056</v>
      </c>
      <c r="F1571" s="12">
        <v>46058</v>
      </c>
      <c r="G1571" t="s">
        <v>2484</v>
      </c>
      <c r="H1571" t="s">
        <v>369</v>
      </c>
      <c r="I1571">
        <v>21</v>
      </c>
      <c r="J1571">
        <v>105.315</v>
      </c>
      <c r="K1571" t="s">
        <v>2485</v>
      </c>
      <c r="L1571" t="s">
        <v>2041</v>
      </c>
      <c r="M1571">
        <v>4.1122899999999998</v>
      </c>
      <c r="N1571">
        <v>86.358090000000004</v>
      </c>
      <c r="O1571">
        <v>18.96191</v>
      </c>
      <c r="P1571">
        <v>18.004000000000001</v>
      </c>
      <c r="Q1571" t="s">
        <v>2503</v>
      </c>
    </row>
    <row r="1572" spans="1:17" x14ac:dyDescent="0.25">
      <c r="A1572" t="s">
        <v>2060</v>
      </c>
      <c r="B1572" t="s">
        <v>2061</v>
      </c>
      <c r="C1572" t="s">
        <v>1976</v>
      </c>
      <c r="D1572" s="11">
        <v>7510068255</v>
      </c>
      <c r="E1572" s="12">
        <v>46056</v>
      </c>
      <c r="F1572" s="12">
        <v>46058</v>
      </c>
      <c r="G1572" t="s">
        <v>2484</v>
      </c>
      <c r="H1572" t="s">
        <v>2158</v>
      </c>
      <c r="I1572">
        <v>21</v>
      </c>
      <c r="J1572">
        <v>7.8792</v>
      </c>
      <c r="K1572" t="s">
        <v>2485</v>
      </c>
      <c r="L1572" t="s">
        <v>2041</v>
      </c>
      <c r="M1572">
        <v>0.30767</v>
      </c>
      <c r="N1572">
        <v>6.4610700000000003</v>
      </c>
      <c r="O1572">
        <v>1.41893</v>
      </c>
      <c r="P1572">
        <v>18.006699999999999</v>
      </c>
      <c r="Q1572" t="s">
        <v>2504</v>
      </c>
    </row>
    <row r="1573" spans="1:17" x14ac:dyDescent="0.25">
      <c r="A1573" t="s">
        <v>2060</v>
      </c>
      <c r="B1573" t="s">
        <v>2061</v>
      </c>
      <c r="C1573" t="s">
        <v>1976</v>
      </c>
      <c r="D1573" s="11">
        <v>7510068255</v>
      </c>
      <c r="E1573" s="12">
        <v>46056</v>
      </c>
      <c r="F1573" s="12">
        <v>46058</v>
      </c>
      <c r="G1573" t="s">
        <v>2484</v>
      </c>
      <c r="H1573" t="s">
        <v>314</v>
      </c>
      <c r="I1573">
        <v>21</v>
      </c>
      <c r="J1573">
        <v>19.647600000000001</v>
      </c>
      <c r="K1573" t="s">
        <v>2485</v>
      </c>
      <c r="L1573" t="s">
        <v>2041</v>
      </c>
      <c r="M1573">
        <v>0.76715999999999995</v>
      </c>
      <c r="N1573">
        <v>16.11036</v>
      </c>
      <c r="O1573">
        <v>3.5396399999999999</v>
      </c>
      <c r="P1573">
        <v>18.013400000000001</v>
      </c>
      <c r="Q1573" t="s">
        <v>2505</v>
      </c>
    </row>
    <row r="1574" spans="1:17" x14ac:dyDescent="0.25">
      <c r="A1574" t="s">
        <v>2060</v>
      </c>
      <c r="B1574" t="s">
        <v>2061</v>
      </c>
      <c r="C1574" t="s">
        <v>1976</v>
      </c>
      <c r="D1574" s="11">
        <v>7510068255</v>
      </c>
      <c r="E1574" s="12">
        <v>46056</v>
      </c>
      <c r="F1574" s="12">
        <v>46058</v>
      </c>
      <c r="G1574" t="s">
        <v>2484</v>
      </c>
      <c r="H1574" t="s">
        <v>644</v>
      </c>
      <c r="I1574">
        <v>13</v>
      </c>
      <c r="J1574">
        <v>985.47410000000002</v>
      </c>
      <c r="M1574">
        <v>48.0565</v>
      </c>
      <c r="N1574">
        <v>624.73450000000003</v>
      </c>
      <c r="O1574">
        <v>360.7355</v>
      </c>
      <c r="P1574">
        <v>36.605400000000003</v>
      </c>
      <c r="Q1574" t="s">
        <v>2506</v>
      </c>
    </row>
    <row r="1575" spans="1:17" x14ac:dyDescent="0.25">
      <c r="A1575" t="s">
        <v>2060</v>
      </c>
      <c r="B1575" t="s">
        <v>2061</v>
      </c>
      <c r="C1575" t="s">
        <v>1976</v>
      </c>
      <c r="D1575" s="11">
        <v>7510068255</v>
      </c>
      <c r="E1575" s="12">
        <v>46056</v>
      </c>
      <c r="F1575" s="12">
        <v>46058</v>
      </c>
      <c r="G1575" t="s">
        <v>2484</v>
      </c>
      <c r="H1575" t="s">
        <v>922</v>
      </c>
      <c r="I1575">
        <v>21</v>
      </c>
      <c r="J1575">
        <v>885.54690000000005</v>
      </c>
      <c r="K1575" t="s">
        <v>2485</v>
      </c>
      <c r="L1575" t="s">
        <v>2041</v>
      </c>
      <c r="M1575">
        <v>34.57846</v>
      </c>
      <c r="N1575">
        <v>726.14765999999997</v>
      </c>
      <c r="O1575">
        <v>159.40234000000001</v>
      </c>
      <c r="P1575">
        <v>18.000299999999999</v>
      </c>
      <c r="Q1575" t="s">
        <v>2507</v>
      </c>
    </row>
    <row r="1576" spans="1:17" x14ac:dyDescent="0.25">
      <c r="A1576" t="s">
        <v>1974</v>
      </c>
      <c r="B1576" t="s">
        <v>1975</v>
      </c>
      <c r="C1576" t="s">
        <v>1976</v>
      </c>
      <c r="D1576" s="11">
        <v>83963</v>
      </c>
      <c r="E1576" s="12">
        <v>46056</v>
      </c>
      <c r="F1576" s="12">
        <v>46057</v>
      </c>
      <c r="G1576" t="s">
        <v>2483</v>
      </c>
      <c r="H1576" t="s">
        <v>485</v>
      </c>
      <c r="I1576">
        <v>5</v>
      </c>
      <c r="J1576">
        <v>17.71</v>
      </c>
      <c r="M1576">
        <v>2.7719999999999998</v>
      </c>
      <c r="N1576">
        <v>13.86</v>
      </c>
      <c r="O1576">
        <v>3.85</v>
      </c>
      <c r="P1576">
        <v>21.739100000000001</v>
      </c>
      <c r="Q1576" t="s">
        <v>2139</v>
      </c>
    </row>
    <row r="1577" spans="1:17" x14ac:dyDescent="0.25">
      <c r="A1577" t="s">
        <v>2060</v>
      </c>
      <c r="B1577" t="s">
        <v>2061</v>
      </c>
      <c r="C1577" t="s">
        <v>1976</v>
      </c>
      <c r="D1577" s="11">
        <v>7510068294</v>
      </c>
      <c r="E1577" s="12">
        <v>46056</v>
      </c>
      <c r="F1577" s="12">
        <v>46058</v>
      </c>
      <c r="G1577" t="s">
        <v>2508</v>
      </c>
      <c r="H1577" t="s">
        <v>400</v>
      </c>
      <c r="I1577">
        <v>113</v>
      </c>
      <c r="J1577">
        <v>249.73</v>
      </c>
      <c r="K1577" t="s">
        <v>2509</v>
      </c>
      <c r="L1577" t="s">
        <v>2041</v>
      </c>
      <c r="M1577">
        <v>1.81176</v>
      </c>
      <c r="N1577">
        <v>204.72888</v>
      </c>
      <c r="O1577">
        <v>45.00112</v>
      </c>
      <c r="P1577">
        <v>18.0199</v>
      </c>
      <c r="Q1577" t="s">
        <v>2510</v>
      </c>
    </row>
    <row r="1578" spans="1:17" x14ac:dyDescent="0.25">
      <c r="A1578" t="s">
        <v>2060</v>
      </c>
      <c r="B1578" t="s">
        <v>2061</v>
      </c>
      <c r="C1578" t="s">
        <v>1976</v>
      </c>
      <c r="D1578" s="11">
        <v>7510068192</v>
      </c>
      <c r="E1578" s="12">
        <v>46057</v>
      </c>
      <c r="F1578" s="12">
        <v>46058</v>
      </c>
      <c r="G1578" t="s">
        <v>2511</v>
      </c>
      <c r="H1578" t="s">
        <v>1414</v>
      </c>
      <c r="I1578">
        <v>25</v>
      </c>
      <c r="J1578">
        <v>0.22500000000000001</v>
      </c>
      <c r="K1578" t="s">
        <v>2512</v>
      </c>
      <c r="L1578" t="s">
        <v>2041</v>
      </c>
      <c r="M1578">
        <v>7.3499999999999998E-3</v>
      </c>
      <c r="N1578">
        <v>0.18375</v>
      </c>
      <c r="O1578">
        <v>4.6249999999999999E-2</v>
      </c>
      <c r="P1578">
        <v>20.108599999999999</v>
      </c>
      <c r="Q1578" t="s">
        <v>2513</v>
      </c>
    </row>
    <row r="1579" spans="1:17" x14ac:dyDescent="0.25">
      <c r="A1579" t="s">
        <v>2060</v>
      </c>
      <c r="B1579" t="s">
        <v>2061</v>
      </c>
      <c r="C1579" t="s">
        <v>1976</v>
      </c>
      <c r="D1579" s="11">
        <v>7510068192</v>
      </c>
      <c r="E1579" s="12">
        <v>46057</v>
      </c>
      <c r="F1579" s="12">
        <v>46058</v>
      </c>
      <c r="G1579" t="s">
        <v>2511</v>
      </c>
      <c r="H1579" t="s">
        <v>1271</v>
      </c>
      <c r="I1579">
        <v>25</v>
      </c>
      <c r="J1579">
        <v>4.1475</v>
      </c>
      <c r="K1579" t="s">
        <v>2512</v>
      </c>
      <c r="L1579" t="s">
        <v>2041</v>
      </c>
      <c r="M1579">
        <v>0.13603000000000001</v>
      </c>
      <c r="N1579">
        <v>3.4007499999999999</v>
      </c>
      <c r="O1579">
        <v>0.74924999999999997</v>
      </c>
      <c r="P1579">
        <v>18.054200000000002</v>
      </c>
      <c r="Q1579" t="s">
        <v>2514</v>
      </c>
    </row>
    <row r="1580" spans="1:17" x14ac:dyDescent="0.25">
      <c r="A1580" t="s">
        <v>2060</v>
      </c>
      <c r="B1580" t="s">
        <v>2061</v>
      </c>
      <c r="C1580" t="s">
        <v>1976</v>
      </c>
      <c r="D1580" s="11">
        <v>7510068192</v>
      </c>
      <c r="E1580" s="12">
        <v>46057</v>
      </c>
      <c r="F1580" s="12">
        <v>46058</v>
      </c>
      <c r="G1580" t="s">
        <v>2511</v>
      </c>
      <c r="H1580" t="s">
        <v>983</v>
      </c>
      <c r="I1580">
        <v>12</v>
      </c>
      <c r="J1580">
        <v>119.6208</v>
      </c>
      <c r="M1580">
        <v>6.11</v>
      </c>
      <c r="N1580">
        <v>73.319999999999993</v>
      </c>
      <c r="O1580">
        <v>46.3</v>
      </c>
      <c r="P1580">
        <v>38.7059</v>
      </c>
      <c r="Q1580" t="s">
        <v>2515</v>
      </c>
    </row>
    <row r="1581" spans="1:17" x14ac:dyDescent="0.25">
      <c r="A1581" t="s">
        <v>2060</v>
      </c>
      <c r="B1581" t="s">
        <v>2061</v>
      </c>
      <c r="C1581" t="s">
        <v>1976</v>
      </c>
      <c r="D1581" s="11">
        <v>7510068192</v>
      </c>
      <c r="E1581" s="12">
        <v>46057</v>
      </c>
      <c r="F1581" s="12">
        <v>46058</v>
      </c>
      <c r="G1581" t="s">
        <v>2511</v>
      </c>
      <c r="H1581" t="s">
        <v>371</v>
      </c>
      <c r="I1581">
        <v>11</v>
      </c>
      <c r="J1581">
        <v>76.608400000000003</v>
      </c>
      <c r="K1581" t="s">
        <v>2512</v>
      </c>
      <c r="L1581" t="s">
        <v>2041</v>
      </c>
      <c r="M1581">
        <v>5.7108299999999996</v>
      </c>
      <c r="N1581">
        <v>62.819130000000001</v>
      </c>
      <c r="O1581">
        <v>13.79087</v>
      </c>
      <c r="P1581">
        <v>18.001300000000001</v>
      </c>
      <c r="Q1581" t="s">
        <v>2516</v>
      </c>
    </row>
    <row r="1582" spans="1:17" x14ac:dyDescent="0.25">
      <c r="A1582" t="s">
        <v>2060</v>
      </c>
      <c r="B1582" t="s">
        <v>2061</v>
      </c>
      <c r="C1582" t="s">
        <v>1976</v>
      </c>
      <c r="D1582" s="11">
        <v>7510068192</v>
      </c>
      <c r="E1582" s="12">
        <v>46057</v>
      </c>
      <c r="F1582" s="12">
        <v>46058</v>
      </c>
      <c r="G1582" t="s">
        <v>2511</v>
      </c>
      <c r="H1582" t="s">
        <v>1015</v>
      </c>
      <c r="I1582">
        <v>25</v>
      </c>
      <c r="J1582">
        <v>12.255000000000001</v>
      </c>
      <c r="K1582" t="s">
        <v>2512</v>
      </c>
      <c r="L1582" t="s">
        <v>2041</v>
      </c>
      <c r="M1582">
        <v>0.40195999999999998</v>
      </c>
      <c r="N1582">
        <v>10.048999999999999</v>
      </c>
      <c r="O1582">
        <v>2.2109999999999999</v>
      </c>
      <c r="P1582">
        <v>18.034199999999998</v>
      </c>
      <c r="Q1582" t="s">
        <v>2517</v>
      </c>
    </row>
    <row r="1583" spans="1:17" x14ac:dyDescent="0.25">
      <c r="A1583" t="s">
        <v>2060</v>
      </c>
      <c r="B1583" t="s">
        <v>2061</v>
      </c>
      <c r="C1583" t="s">
        <v>1976</v>
      </c>
      <c r="D1583" s="11">
        <v>7510068322</v>
      </c>
      <c r="E1583" s="12">
        <v>46058</v>
      </c>
      <c r="F1583" s="12">
        <v>46062</v>
      </c>
      <c r="G1583" t="s">
        <v>2518</v>
      </c>
      <c r="H1583" t="s">
        <v>174</v>
      </c>
      <c r="I1583">
        <v>6</v>
      </c>
      <c r="J1583">
        <v>205.4358</v>
      </c>
      <c r="K1583" t="s">
        <v>2519</v>
      </c>
      <c r="L1583" t="s">
        <v>2041</v>
      </c>
      <c r="M1583">
        <v>28.07621</v>
      </c>
      <c r="N1583">
        <v>168.45725999999999</v>
      </c>
      <c r="O1583">
        <v>36.98274</v>
      </c>
      <c r="P1583">
        <v>18.0017</v>
      </c>
      <c r="Q1583" t="s">
        <v>2382</v>
      </c>
    </row>
    <row r="1584" spans="1:17" x14ac:dyDescent="0.25">
      <c r="A1584" t="s">
        <v>1974</v>
      </c>
      <c r="B1584" t="s">
        <v>1975</v>
      </c>
      <c r="C1584" t="s">
        <v>1976</v>
      </c>
      <c r="D1584" s="11">
        <v>84020</v>
      </c>
      <c r="E1584" s="12">
        <v>46058</v>
      </c>
      <c r="F1584" s="12">
        <v>46059</v>
      </c>
      <c r="G1584" t="s">
        <v>2520</v>
      </c>
      <c r="H1584" t="s">
        <v>104</v>
      </c>
      <c r="I1584">
        <v>6</v>
      </c>
      <c r="J1584">
        <v>10.222200000000001</v>
      </c>
      <c r="M1584">
        <v>1.319</v>
      </c>
      <c r="N1584">
        <v>7.9139999999999997</v>
      </c>
      <c r="O1584">
        <v>2.306</v>
      </c>
      <c r="P1584">
        <v>22.563600000000001</v>
      </c>
      <c r="Q1584" t="s">
        <v>1989</v>
      </c>
    </row>
    <row r="1585" spans="1:17" x14ac:dyDescent="0.25">
      <c r="A1585" t="s">
        <v>1974</v>
      </c>
      <c r="B1585" t="s">
        <v>1975</v>
      </c>
      <c r="C1585" t="s">
        <v>1976</v>
      </c>
      <c r="D1585" s="11">
        <v>84020</v>
      </c>
      <c r="E1585" s="12">
        <v>46058</v>
      </c>
      <c r="F1585" s="12">
        <v>46059</v>
      </c>
      <c r="G1585" t="s">
        <v>2520</v>
      </c>
      <c r="H1585" t="s">
        <v>316</v>
      </c>
      <c r="I1585">
        <v>6</v>
      </c>
      <c r="J1585">
        <v>8.9532000000000007</v>
      </c>
      <c r="M1585">
        <v>0.49</v>
      </c>
      <c r="N1585">
        <v>2.94</v>
      </c>
      <c r="O1585">
        <v>6.01</v>
      </c>
      <c r="P1585">
        <v>67.150800000000004</v>
      </c>
      <c r="Q1585" t="s">
        <v>1981</v>
      </c>
    </row>
    <row r="1586" spans="1:17" x14ac:dyDescent="0.25">
      <c r="A1586" t="s">
        <v>2060</v>
      </c>
      <c r="B1586" t="s">
        <v>2061</v>
      </c>
      <c r="C1586" t="s">
        <v>1976</v>
      </c>
      <c r="D1586" s="11">
        <v>7510068295</v>
      </c>
      <c r="E1586" s="12">
        <v>46059</v>
      </c>
      <c r="F1586" s="12">
        <v>46062</v>
      </c>
      <c r="G1586" t="s">
        <v>2521</v>
      </c>
      <c r="H1586" t="s">
        <v>1567</v>
      </c>
      <c r="I1586">
        <v>53</v>
      </c>
      <c r="J1586">
        <v>2.4009</v>
      </c>
      <c r="K1586" t="s">
        <v>2519</v>
      </c>
      <c r="L1586" t="s">
        <v>2041</v>
      </c>
      <c r="M1586">
        <v>3.7109999999999997E-2</v>
      </c>
      <c r="N1586">
        <v>1.9668300000000001</v>
      </c>
      <c r="O1586">
        <v>0.43317</v>
      </c>
      <c r="P1586">
        <v>18.0487</v>
      </c>
      <c r="Q1586" t="s">
        <v>2287</v>
      </c>
    </row>
    <row r="1587" spans="1:17" x14ac:dyDescent="0.25">
      <c r="A1587" t="s">
        <v>2060</v>
      </c>
      <c r="B1587" t="s">
        <v>2061</v>
      </c>
      <c r="C1587" t="s">
        <v>1976</v>
      </c>
      <c r="D1587" s="11">
        <v>7510068295</v>
      </c>
      <c r="E1587" s="12">
        <v>46059</v>
      </c>
      <c r="F1587" s="12">
        <v>46062</v>
      </c>
      <c r="G1587" t="s">
        <v>2521</v>
      </c>
      <c r="H1587" t="s">
        <v>589</v>
      </c>
      <c r="I1587">
        <v>53</v>
      </c>
      <c r="J1587">
        <v>2.0617000000000001</v>
      </c>
      <c r="K1587" t="s">
        <v>2519</v>
      </c>
      <c r="L1587" t="s">
        <v>2041</v>
      </c>
      <c r="M1587">
        <v>3.1859999999999999E-2</v>
      </c>
      <c r="N1587">
        <v>1.68858</v>
      </c>
      <c r="O1587">
        <v>0.37141999999999997</v>
      </c>
      <c r="P1587">
        <v>18.03</v>
      </c>
      <c r="Q1587" t="s">
        <v>2395</v>
      </c>
    </row>
    <row r="1588" spans="1:17" x14ac:dyDescent="0.25">
      <c r="A1588" t="s">
        <v>2060</v>
      </c>
      <c r="B1588" t="s">
        <v>2061</v>
      </c>
      <c r="C1588" t="s">
        <v>1976</v>
      </c>
      <c r="D1588" s="11">
        <v>7510068295</v>
      </c>
      <c r="E1588" s="12">
        <v>46059</v>
      </c>
      <c r="F1588" s="12">
        <v>46062</v>
      </c>
      <c r="G1588" t="s">
        <v>2521</v>
      </c>
      <c r="H1588" t="s">
        <v>507</v>
      </c>
      <c r="I1588">
        <v>11</v>
      </c>
      <c r="J1588">
        <v>15.125</v>
      </c>
      <c r="K1588" t="s">
        <v>2519</v>
      </c>
      <c r="L1588" t="s">
        <v>2041</v>
      </c>
      <c r="M1588">
        <v>1.1274599999999999</v>
      </c>
      <c r="N1588">
        <v>12.402060000000001</v>
      </c>
      <c r="O1588">
        <v>2.7279399999999998</v>
      </c>
      <c r="P1588">
        <v>18.03</v>
      </c>
      <c r="Q1588" t="s">
        <v>2397</v>
      </c>
    </row>
    <row r="1589" spans="1:17" x14ac:dyDescent="0.25">
      <c r="A1589" t="s">
        <v>2060</v>
      </c>
      <c r="B1589" t="s">
        <v>2061</v>
      </c>
      <c r="C1589" t="s">
        <v>1976</v>
      </c>
      <c r="D1589" s="11">
        <v>7510068360</v>
      </c>
      <c r="E1589" s="12">
        <v>46059</v>
      </c>
      <c r="F1589" s="12">
        <v>46063</v>
      </c>
      <c r="G1589" t="s">
        <v>2522</v>
      </c>
      <c r="H1589" t="s">
        <v>1813</v>
      </c>
      <c r="I1589">
        <v>52</v>
      </c>
      <c r="J1589">
        <v>18.116800000000001</v>
      </c>
      <c r="K1589" t="s">
        <v>2523</v>
      </c>
      <c r="L1589" t="s">
        <v>2041</v>
      </c>
      <c r="M1589">
        <v>0.28571000000000002</v>
      </c>
      <c r="N1589">
        <v>14.856920000000001</v>
      </c>
      <c r="O1589">
        <v>3.26308</v>
      </c>
      <c r="P1589">
        <v>18.008099999999999</v>
      </c>
      <c r="Q1589" t="s">
        <v>2524</v>
      </c>
    </row>
    <row r="1590" spans="1:17" x14ac:dyDescent="0.25">
      <c r="A1590" t="s">
        <v>2060</v>
      </c>
      <c r="B1590" t="s">
        <v>2061</v>
      </c>
      <c r="C1590" t="s">
        <v>1976</v>
      </c>
      <c r="D1590" s="11">
        <v>7510068360</v>
      </c>
      <c r="E1590" s="12">
        <v>46059</v>
      </c>
      <c r="F1590" s="12">
        <v>46063</v>
      </c>
      <c r="G1590" t="s">
        <v>2522</v>
      </c>
      <c r="H1590" t="s">
        <v>382</v>
      </c>
      <c r="I1590">
        <v>55</v>
      </c>
      <c r="J1590">
        <v>24.661999999999999</v>
      </c>
      <c r="K1590" t="s">
        <v>2523</v>
      </c>
      <c r="L1590" t="s">
        <v>2041</v>
      </c>
      <c r="M1590">
        <v>0.36764999999999998</v>
      </c>
      <c r="N1590">
        <v>20.220749999999999</v>
      </c>
      <c r="O1590">
        <v>4.4392500000000004</v>
      </c>
      <c r="P1590">
        <v>18.001799999999999</v>
      </c>
      <c r="Q1590" t="s">
        <v>2525</v>
      </c>
    </row>
    <row r="1591" spans="1:17" x14ac:dyDescent="0.25">
      <c r="A1591" t="s">
        <v>1974</v>
      </c>
      <c r="B1591" t="s">
        <v>1975</v>
      </c>
      <c r="C1591" t="s">
        <v>1976</v>
      </c>
      <c r="D1591" s="11">
        <v>84069</v>
      </c>
      <c r="E1591" s="12">
        <v>46062</v>
      </c>
      <c r="F1591" s="12">
        <v>46063</v>
      </c>
      <c r="G1591" t="s">
        <v>2526</v>
      </c>
      <c r="H1591" t="s">
        <v>104</v>
      </c>
      <c r="I1591">
        <v>6</v>
      </c>
      <c r="J1591">
        <v>10.222200000000001</v>
      </c>
      <c r="M1591">
        <v>1.319</v>
      </c>
      <c r="N1591">
        <v>7.9139999999999997</v>
      </c>
      <c r="O1591">
        <v>2.306</v>
      </c>
      <c r="P1591">
        <v>22.563600000000001</v>
      </c>
      <c r="Q1591" t="s">
        <v>1989</v>
      </c>
    </row>
    <row r="1592" spans="1:17" x14ac:dyDescent="0.25">
      <c r="A1592" t="s">
        <v>1974</v>
      </c>
      <c r="B1592" t="s">
        <v>1975</v>
      </c>
      <c r="C1592" t="s">
        <v>1976</v>
      </c>
      <c r="D1592" s="11">
        <v>84069</v>
      </c>
      <c r="E1592" s="12">
        <v>46062</v>
      </c>
      <c r="F1592" s="12">
        <v>46063</v>
      </c>
      <c r="G1592" t="s">
        <v>2526</v>
      </c>
      <c r="H1592" t="s">
        <v>388</v>
      </c>
      <c r="I1592">
        <v>6</v>
      </c>
      <c r="J1592">
        <v>9.8640000000000008</v>
      </c>
      <c r="K1592" t="s">
        <v>2527</v>
      </c>
      <c r="L1592" t="s">
        <v>2041</v>
      </c>
      <c r="M1592">
        <v>1.34805</v>
      </c>
      <c r="N1592">
        <v>8.0883000000000003</v>
      </c>
      <c r="O1592">
        <v>1.7717000000000001</v>
      </c>
      <c r="P1592">
        <v>17.968499999999999</v>
      </c>
      <c r="Q1592" t="s">
        <v>2332</v>
      </c>
    </row>
    <row r="1593" spans="1:17" x14ac:dyDescent="0.25">
      <c r="A1593" t="s">
        <v>1974</v>
      </c>
      <c r="B1593" t="s">
        <v>1975</v>
      </c>
      <c r="C1593" t="s">
        <v>1976</v>
      </c>
      <c r="D1593" s="11">
        <v>84069</v>
      </c>
      <c r="E1593" s="12">
        <v>46062</v>
      </c>
      <c r="F1593" s="12">
        <v>46063</v>
      </c>
      <c r="G1593" t="s">
        <v>2526</v>
      </c>
      <c r="H1593" t="s">
        <v>345</v>
      </c>
      <c r="I1593">
        <v>13</v>
      </c>
      <c r="J1593">
        <v>44.361199999999997</v>
      </c>
      <c r="K1593" t="s">
        <v>2527</v>
      </c>
      <c r="L1593" t="s">
        <v>2041</v>
      </c>
      <c r="M1593">
        <v>2.7981500000000001</v>
      </c>
      <c r="N1593">
        <v>36.375950000000003</v>
      </c>
      <c r="O1593">
        <v>7.9840499999999999</v>
      </c>
      <c r="P1593">
        <v>17.9983</v>
      </c>
      <c r="Q1593" t="s">
        <v>2096</v>
      </c>
    </row>
    <row r="1594" spans="1:17" x14ac:dyDescent="0.25">
      <c r="A1594" t="s">
        <v>1974</v>
      </c>
      <c r="B1594" t="s">
        <v>1975</v>
      </c>
      <c r="C1594" t="s">
        <v>1976</v>
      </c>
      <c r="D1594" s="11">
        <v>84069</v>
      </c>
      <c r="E1594" s="12">
        <v>46062</v>
      </c>
      <c r="F1594" s="12">
        <v>46063</v>
      </c>
      <c r="G1594" t="s">
        <v>2526</v>
      </c>
      <c r="H1594" t="s">
        <v>429</v>
      </c>
      <c r="I1594">
        <v>31</v>
      </c>
      <c r="J1594">
        <v>102.2349</v>
      </c>
      <c r="K1594" t="s">
        <v>2527</v>
      </c>
      <c r="L1594" t="s">
        <v>2041</v>
      </c>
      <c r="M1594">
        <v>2.7042700000000002</v>
      </c>
      <c r="N1594">
        <v>83.832369999999997</v>
      </c>
      <c r="O1594">
        <v>18.397629999999999</v>
      </c>
      <c r="P1594">
        <v>17.996300000000002</v>
      </c>
      <c r="Q1594" t="s">
        <v>2528</v>
      </c>
    </row>
    <row r="1595" spans="1:17" x14ac:dyDescent="0.25">
      <c r="A1595" t="s">
        <v>1974</v>
      </c>
      <c r="B1595" t="s">
        <v>1975</v>
      </c>
      <c r="C1595" t="s">
        <v>1976</v>
      </c>
      <c r="D1595" s="11">
        <v>84081</v>
      </c>
      <c r="E1595" s="12">
        <v>46062</v>
      </c>
      <c r="F1595" s="12">
        <v>46064</v>
      </c>
      <c r="G1595" t="s">
        <v>2529</v>
      </c>
      <c r="H1595" t="s">
        <v>1207</v>
      </c>
      <c r="I1595">
        <v>4</v>
      </c>
      <c r="J1595">
        <v>1.0760000000000001</v>
      </c>
      <c r="K1595" t="s">
        <v>2530</v>
      </c>
      <c r="L1595" t="s">
        <v>2041</v>
      </c>
      <c r="M1595">
        <v>0.22059000000000001</v>
      </c>
      <c r="N1595">
        <v>0.88236000000000003</v>
      </c>
      <c r="O1595">
        <v>0.19764000000000001</v>
      </c>
      <c r="P1595">
        <v>18.3</v>
      </c>
      <c r="Q1595" t="s">
        <v>2531</v>
      </c>
    </row>
    <row r="1596" spans="1:17" x14ac:dyDescent="0.25">
      <c r="A1596" t="s">
        <v>1974</v>
      </c>
      <c r="B1596" t="s">
        <v>1975</v>
      </c>
      <c r="C1596" t="s">
        <v>1976</v>
      </c>
      <c r="D1596" s="11">
        <v>84081</v>
      </c>
      <c r="E1596" s="12">
        <v>46062</v>
      </c>
      <c r="F1596" s="12">
        <v>46064</v>
      </c>
      <c r="G1596" t="s">
        <v>2529</v>
      </c>
      <c r="H1596" t="s">
        <v>2257</v>
      </c>
      <c r="I1596">
        <v>14</v>
      </c>
      <c r="J1596">
        <v>6.3895999999999997</v>
      </c>
      <c r="K1596" t="s">
        <v>2530</v>
      </c>
      <c r="L1596" t="s">
        <v>2041</v>
      </c>
      <c r="M1596">
        <v>0.37426999999999999</v>
      </c>
      <c r="N1596">
        <v>5.2397799999999997</v>
      </c>
      <c r="O1596">
        <v>1.15022</v>
      </c>
      <c r="P1596">
        <v>18.000299999999999</v>
      </c>
      <c r="Q1596" t="s">
        <v>2532</v>
      </c>
    </row>
    <row r="1597" spans="1:17" x14ac:dyDescent="0.25">
      <c r="A1597" t="s">
        <v>1974</v>
      </c>
      <c r="B1597" t="s">
        <v>1975</v>
      </c>
      <c r="C1597" t="s">
        <v>1976</v>
      </c>
      <c r="D1597" s="11">
        <v>84081</v>
      </c>
      <c r="E1597" s="12">
        <v>46062</v>
      </c>
      <c r="F1597" s="12">
        <v>46064</v>
      </c>
      <c r="G1597" t="s">
        <v>2529</v>
      </c>
      <c r="H1597" t="s">
        <v>441</v>
      </c>
      <c r="I1597">
        <v>5</v>
      </c>
      <c r="J1597">
        <v>2.4135</v>
      </c>
      <c r="K1597" t="s">
        <v>2530</v>
      </c>
      <c r="L1597" t="s">
        <v>2041</v>
      </c>
      <c r="M1597">
        <v>0.39584000000000003</v>
      </c>
      <c r="N1597">
        <v>1.9792000000000001</v>
      </c>
      <c r="O1597">
        <v>0.43080000000000002</v>
      </c>
      <c r="P1597">
        <v>17.875499999999999</v>
      </c>
      <c r="Q1597" t="s">
        <v>2533</v>
      </c>
    </row>
    <row r="1598" spans="1:17" x14ac:dyDescent="0.25">
      <c r="A1598" t="s">
        <v>1974</v>
      </c>
      <c r="B1598" t="s">
        <v>1975</v>
      </c>
      <c r="C1598" t="s">
        <v>1976</v>
      </c>
      <c r="D1598" s="11">
        <v>84081</v>
      </c>
      <c r="E1598" s="12">
        <v>46062</v>
      </c>
      <c r="F1598" s="12">
        <v>46064</v>
      </c>
      <c r="G1598" t="s">
        <v>2529</v>
      </c>
      <c r="H1598" t="s">
        <v>1615</v>
      </c>
      <c r="I1598">
        <v>10</v>
      </c>
      <c r="J1598">
        <v>1.869</v>
      </c>
      <c r="K1598" t="s">
        <v>2530</v>
      </c>
      <c r="L1598" t="s">
        <v>2041</v>
      </c>
      <c r="M1598">
        <v>0.15323999999999999</v>
      </c>
      <c r="N1598">
        <v>1.5324</v>
      </c>
      <c r="O1598">
        <v>0.33760000000000001</v>
      </c>
      <c r="P1598">
        <v>18.0534</v>
      </c>
      <c r="Q1598" t="s">
        <v>2534</v>
      </c>
    </row>
    <row r="1599" spans="1:17" x14ac:dyDescent="0.25">
      <c r="A1599" t="s">
        <v>2060</v>
      </c>
      <c r="B1599" t="s">
        <v>2061</v>
      </c>
      <c r="C1599" t="s">
        <v>1976</v>
      </c>
      <c r="D1599" s="11">
        <v>7510068323</v>
      </c>
      <c r="E1599" s="12">
        <v>46064</v>
      </c>
      <c r="F1599" s="12">
        <v>46066</v>
      </c>
      <c r="G1599" t="s">
        <v>2535</v>
      </c>
      <c r="H1599" t="s">
        <v>485</v>
      </c>
      <c r="I1599">
        <v>21</v>
      </c>
      <c r="J1599">
        <v>74.382000000000005</v>
      </c>
      <c r="M1599">
        <v>2.7719999999999998</v>
      </c>
      <c r="N1599">
        <v>58.212000000000003</v>
      </c>
      <c r="O1599">
        <v>16.167999999999999</v>
      </c>
      <c r="P1599">
        <v>21.736999999999998</v>
      </c>
      <c r="Q1599" t="s">
        <v>2536</v>
      </c>
    </row>
    <row r="1600" spans="1:17" x14ac:dyDescent="0.25">
      <c r="A1600" t="s">
        <v>2060</v>
      </c>
      <c r="B1600" t="s">
        <v>2061</v>
      </c>
      <c r="C1600" t="s">
        <v>1976</v>
      </c>
      <c r="D1600" s="11">
        <v>7510068323</v>
      </c>
      <c r="E1600" s="12">
        <v>46064</v>
      </c>
      <c r="F1600" s="12">
        <v>46066</v>
      </c>
      <c r="G1600" t="s">
        <v>2535</v>
      </c>
      <c r="H1600" t="s">
        <v>1870</v>
      </c>
      <c r="I1600">
        <v>7</v>
      </c>
      <c r="J1600">
        <v>99.792699999999996</v>
      </c>
      <c r="M1600">
        <v>10.9</v>
      </c>
      <c r="N1600">
        <v>76.3</v>
      </c>
      <c r="O1600">
        <v>23.49</v>
      </c>
      <c r="P1600">
        <v>23.539400000000001</v>
      </c>
      <c r="Q1600" t="s">
        <v>2537</v>
      </c>
    </row>
    <row r="1601" spans="1:17" x14ac:dyDescent="0.25">
      <c r="A1601" t="s">
        <v>2060</v>
      </c>
      <c r="B1601" t="s">
        <v>2061</v>
      </c>
      <c r="C1601" t="s">
        <v>1976</v>
      </c>
      <c r="D1601" s="11">
        <v>7510068357</v>
      </c>
      <c r="E1601" s="12">
        <v>46064</v>
      </c>
      <c r="F1601" s="12">
        <v>46066</v>
      </c>
      <c r="G1601" t="s">
        <v>2538</v>
      </c>
      <c r="H1601" t="s">
        <v>665</v>
      </c>
      <c r="I1601">
        <v>17</v>
      </c>
      <c r="J1601">
        <v>14.584300000000001</v>
      </c>
      <c r="M1601">
        <v>0.69699999999999995</v>
      </c>
      <c r="N1601">
        <v>11.849</v>
      </c>
      <c r="O1601">
        <v>2.7309999999999999</v>
      </c>
      <c r="P1601">
        <v>18.731100000000001</v>
      </c>
      <c r="Q1601" t="s">
        <v>2539</v>
      </c>
    </row>
    <row r="1602" spans="1:17" x14ac:dyDescent="0.25">
      <c r="A1602" t="s">
        <v>2060</v>
      </c>
      <c r="B1602" t="s">
        <v>2061</v>
      </c>
      <c r="C1602" t="s">
        <v>1976</v>
      </c>
      <c r="D1602" s="11">
        <v>7510068357</v>
      </c>
      <c r="E1602" s="12">
        <v>46064</v>
      </c>
      <c r="F1602" s="12">
        <v>46066</v>
      </c>
      <c r="G1602" t="s">
        <v>2538</v>
      </c>
      <c r="H1602" t="s">
        <v>106</v>
      </c>
      <c r="I1602">
        <v>13</v>
      </c>
      <c r="J1602">
        <v>22.148099999999999</v>
      </c>
      <c r="M1602">
        <v>2.2429999999999999</v>
      </c>
      <c r="N1602">
        <v>29.158999999999999</v>
      </c>
      <c r="O1602">
        <v>-7.0090000000000003</v>
      </c>
      <c r="P1602">
        <v>-31.6433</v>
      </c>
      <c r="Q1602" t="s">
        <v>2540</v>
      </c>
    </row>
    <row r="1603" spans="1:17" x14ac:dyDescent="0.25">
      <c r="A1603" t="s">
        <v>2060</v>
      </c>
      <c r="B1603" t="s">
        <v>2061</v>
      </c>
      <c r="C1603" t="s">
        <v>1976</v>
      </c>
      <c r="D1603" s="11">
        <v>7510068357</v>
      </c>
      <c r="E1603" s="12">
        <v>46064</v>
      </c>
      <c r="F1603" s="12">
        <v>46066</v>
      </c>
      <c r="G1603" t="s">
        <v>2538</v>
      </c>
      <c r="H1603" t="s">
        <v>266</v>
      </c>
      <c r="I1603">
        <v>17</v>
      </c>
      <c r="J1603">
        <v>5.5488</v>
      </c>
      <c r="K1603" t="s">
        <v>2541</v>
      </c>
      <c r="L1603" t="s">
        <v>2041</v>
      </c>
      <c r="M1603">
        <v>0.26765</v>
      </c>
      <c r="N1603">
        <v>4.5500499999999997</v>
      </c>
      <c r="O1603">
        <v>0.99995000000000001</v>
      </c>
      <c r="P1603">
        <v>18.017099999999999</v>
      </c>
      <c r="Q1603" t="s">
        <v>2542</v>
      </c>
    </row>
    <row r="1604" spans="1:17" x14ac:dyDescent="0.25">
      <c r="A1604" t="s">
        <v>2060</v>
      </c>
      <c r="B1604" t="s">
        <v>2061</v>
      </c>
      <c r="C1604" t="s">
        <v>1976</v>
      </c>
      <c r="D1604" s="11">
        <v>7510068359</v>
      </c>
      <c r="E1604" s="12">
        <v>46064</v>
      </c>
      <c r="F1604" s="12">
        <v>46066</v>
      </c>
      <c r="G1604" t="s">
        <v>2543</v>
      </c>
      <c r="H1604" t="s">
        <v>174</v>
      </c>
      <c r="I1604">
        <v>2</v>
      </c>
      <c r="J1604">
        <v>68.4786</v>
      </c>
      <c r="K1604" t="s">
        <v>2541</v>
      </c>
      <c r="L1604" t="s">
        <v>2041</v>
      </c>
      <c r="M1604">
        <v>28.07621</v>
      </c>
      <c r="N1604">
        <v>56.152419999999999</v>
      </c>
      <c r="O1604">
        <v>12.327579999999999</v>
      </c>
      <c r="P1604">
        <v>18.0017</v>
      </c>
      <c r="Q1604" t="s">
        <v>2382</v>
      </c>
    </row>
    <row r="1605" spans="1:17" x14ac:dyDescent="0.25">
      <c r="A1605" t="s">
        <v>2060</v>
      </c>
      <c r="B1605" t="s">
        <v>2061</v>
      </c>
      <c r="C1605" t="s">
        <v>1976</v>
      </c>
      <c r="D1605" s="11">
        <v>7510068359</v>
      </c>
      <c r="E1605" s="12">
        <v>46064</v>
      </c>
      <c r="F1605" s="12">
        <v>46062</v>
      </c>
      <c r="G1605" t="s">
        <v>2543</v>
      </c>
      <c r="H1605" t="s">
        <v>1414</v>
      </c>
      <c r="I1605">
        <v>40</v>
      </c>
      <c r="J1605">
        <v>0.36</v>
      </c>
      <c r="K1605" t="s">
        <v>2541</v>
      </c>
      <c r="L1605" t="s">
        <v>2041</v>
      </c>
      <c r="M1605">
        <v>7.3499999999999998E-3</v>
      </c>
      <c r="N1605">
        <v>0.29399999999999998</v>
      </c>
      <c r="O1605">
        <v>6.6000000000000003E-2</v>
      </c>
      <c r="P1605">
        <v>18.333300000000001</v>
      </c>
      <c r="Q1605" t="s">
        <v>2513</v>
      </c>
    </row>
    <row r="1606" spans="1:17" x14ac:dyDescent="0.25">
      <c r="A1606" t="s">
        <v>2060</v>
      </c>
      <c r="B1606" t="s">
        <v>2061</v>
      </c>
      <c r="C1606" t="s">
        <v>1976</v>
      </c>
      <c r="D1606" s="11">
        <v>7510068359</v>
      </c>
      <c r="E1606" s="12">
        <v>46064</v>
      </c>
      <c r="F1606" s="12">
        <v>46066</v>
      </c>
      <c r="G1606" t="s">
        <v>2543</v>
      </c>
      <c r="H1606" t="s">
        <v>870</v>
      </c>
      <c r="I1606">
        <v>14</v>
      </c>
      <c r="J1606">
        <v>1.7569999999999999</v>
      </c>
      <c r="K1606" t="s">
        <v>2541</v>
      </c>
      <c r="L1606" t="s">
        <v>2041</v>
      </c>
      <c r="M1606">
        <v>0.10294</v>
      </c>
      <c r="N1606">
        <v>1.44116</v>
      </c>
      <c r="O1606">
        <v>0.31884000000000001</v>
      </c>
      <c r="P1606">
        <v>18.1159</v>
      </c>
      <c r="Q1606" t="s">
        <v>2477</v>
      </c>
    </row>
    <row r="1607" spans="1:17" x14ac:dyDescent="0.25">
      <c r="A1607" t="s">
        <v>2060</v>
      </c>
      <c r="B1607" t="s">
        <v>2061</v>
      </c>
      <c r="C1607" t="s">
        <v>1976</v>
      </c>
      <c r="D1607" s="11">
        <v>7510068359</v>
      </c>
      <c r="E1607" s="12">
        <v>46064</v>
      </c>
      <c r="F1607" s="12">
        <v>46066</v>
      </c>
      <c r="G1607" t="s">
        <v>2543</v>
      </c>
      <c r="H1607" t="s">
        <v>868</v>
      </c>
      <c r="I1607">
        <v>14</v>
      </c>
      <c r="J1607">
        <v>0.83720000000000006</v>
      </c>
      <c r="K1607" t="s">
        <v>2541</v>
      </c>
      <c r="L1607" t="s">
        <v>2041</v>
      </c>
      <c r="M1607">
        <v>4.9020000000000001E-2</v>
      </c>
      <c r="N1607">
        <v>0.68628</v>
      </c>
      <c r="O1607">
        <v>0.15372</v>
      </c>
      <c r="P1607">
        <v>18.3</v>
      </c>
      <c r="Q1607" t="s">
        <v>2478</v>
      </c>
    </row>
    <row r="1608" spans="1:17" x14ac:dyDescent="0.25">
      <c r="A1608" t="s">
        <v>2060</v>
      </c>
      <c r="B1608" t="s">
        <v>2061</v>
      </c>
      <c r="C1608" t="s">
        <v>1976</v>
      </c>
      <c r="D1608" s="11">
        <v>7510068359</v>
      </c>
      <c r="E1608" s="12">
        <v>46064</v>
      </c>
      <c r="F1608" s="12">
        <v>46066</v>
      </c>
      <c r="G1608" t="s">
        <v>2543</v>
      </c>
      <c r="H1608" t="s">
        <v>1271</v>
      </c>
      <c r="I1608">
        <v>19</v>
      </c>
      <c r="J1608">
        <v>3.1520999999999999</v>
      </c>
      <c r="K1608" t="s">
        <v>2541</v>
      </c>
      <c r="L1608" t="s">
        <v>2041</v>
      </c>
      <c r="M1608">
        <v>0.13603000000000001</v>
      </c>
      <c r="N1608">
        <v>2.5845699999999998</v>
      </c>
      <c r="O1608">
        <v>0.56542999999999999</v>
      </c>
      <c r="P1608">
        <v>17.950099999999999</v>
      </c>
      <c r="Q1608" t="s">
        <v>2514</v>
      </c>
    </row>
    <row r="1609" spans="1:17" x14ac:dyDescent="0.25">
      <c r="A1609" t="s">
        <v>2060</v>
      </c>
      <c r="B1609" t="s">
        <v>2061</v>
      </c>
      <c r="C1609" t="s">
        <v>1976</v>
      </c>
      <c r="D1609" s="11">
        <v>7510068359</v>
      </c>
      <c r="E1609" s="12">
        <v>46064</v>
      </c>
      <c r="F1609" s="12">
        <v>46066</v>
      </c>
      <c r="G1609" t="s">
        <v>2543</v>
      </c>
      <c r="H1609" t="s">
        <v>983</v>
      </c>
      <c r="I1609">
        <v>8</v>
      </c>
      <c r="J1609">
        <v>79.747200000000007</v>
      </c>
      <c r="M1609">
        <v>6.11</v>
      </c>
      <c r="N1609">
        <v>48.88</v>
      </c>
      <c r="O1609">
        <v>30.87</v>
      </c>
      <c r="P1609">
        <v>38.708399999999997</v>
      </c>
      <c r="Q1609" t="s">
        <v>2515</v>
      </c>
    </row>
    <row r="1610" spans="1:17" x14ac:dyDescent="0.25">
      <c r="A1610" t="s">
        <v>2060</v>
      </c>
      <c r="B1610" t="s">
        <v>2061</v>
      </c>
      <c r="C1610" t="s">
        <v>1976</v>
      </c>
      <c r="D1610" s="11">
        <v>7510068359</v>
      </c>
      <c r="E1610" s="12">
        <v>46064</v>
      </c>
      <c r="F1610" s="12">
        <v>46066</v>
      </c>
      <c r="G1610" t="s">
        <v>2543</v>
      </c>
      <c r="H1610" t="s">
        <v>1100</v>
      </c>
      <c r="I1610">
        <v>8</v>
      </c>
      <c r="J1610">
        <v>54.258400000000002</v>
      </c>
      <c r="M1610">
        <v>6.2039999999999997</v>
      </c>
      <c r="N1610">
        <v>49.631999999999998</v>
      </c>
      <c r="O1610">
        <v>4.6280000000000001</v>
      </c>
      <c r="P1610">
        <v>8.5292999999999992</v>
      </c>
      <c r="Q1610" t="s">
        <v>2544</v>
      </c>
    </row>
    <row r="1611" spans="1:17" x14ac:dyDescent="0.25">
      <c r="A1611" t="s">
        <v>2060</v>
      </c>
      <c r="B1611" t="s">
        <v>2061</v>
      </c>
      <c r="C1611" t="s">
        <v>1976</v>
      </c>
      <c r="D1611" s="11">
        <v>7510068359</v>
      </c>
      <c r="E1611" s="12">
        <v>46064</v>
      </c>
      <c r="F1611" s="12">
        <v>46066</v>
      </c>
      <c r="G1611" t="s">
        <v>2543</v>
      </c>
      <c r="H1611" t="s">
        <v>229</v>
      </c>
      <c r="I1611">
        <v>6</v>
      </c>
      <c r="J1611">
        <v>21.099599999999999</v>
      </c>
      <c r="M1611">
        <v>2.2999999999999998</v>
      </c>
      <c r="N1611">
        <v>13.8</v>
      </c>
      <c r="O1611">
        <v>7.3</v>
      </c>
      <c r="P1611">
        <v>34.597099999999998</v>
      </c>
      <c r="Q1611" t="s">
        <v>2479</v>
      </c>
    </row>
    <row r="1612" spans="1:17" x14ac:dyDescent="0.25">
      <c r="A1612" t="s">
        <v>2060</v>
      </c>
      <c r="B1612" t="s">
        <v>2061</v>
      </c>
      <c r="C1612" t="s">
        <v>1976</v>
      </c>
      <c r="D1612" s="11">
        <v>7510068359</v>
      </c>
      <c r="E1612" s="12">
        <v>46064</v>
      </c>
      <c r="F1612" s="12">
        <v>46066</v>
      </c>
      <c r="G1612" t="s">
        <v>2543</v>
      </c>
      <c r="H1612" t="s">
        <v>651</v>
      </c>
      <c r="I1612">
        <v>34</v>
      </c>
      <c r="J1612">
        <v>1.4212</v>
      </c>
      <c r="K1612" t="s">
        <v>2541</v>
      </c>
      <c r="L1612" t="s">
        <v>2041</v>
      </c>
      <c r="M1612">
        <v>3.431E-2</v>
      </c>
      <c r="N1612">
        <v>1.1665399999999999</v>
      </c>
      <c r="O1612">
        <v>0.25346000000000002</v>
      </c>
      <c r="P1612">
        <v>17.8492</v>
      </c>
      <c r="Q1612" t="s">
        <v>2545</v>
      </c>
    </row>
    <row r="1613" spans="1:17" x14ac:dyDescent="0.25">
      <c r="A1613" t="s">
        <v>2060</v>
      </c>
      <c r="B1613" t="s">
        <v>2061</v>
      </c>
      <c r="C1613" t="s">
        <v>1976</v>
      </c>
      <c r="D1613" s="11">
        <v>7510068359</v>
      </c>
      <c r="E1613" s="12">
        <v>46064</v>
      </c>
      <c r="F1613" s="12">
        <v>46066</v>
      </c>
      <c r="G1613" t="s">
        <v>2543</v>
      </c>
      <c r="H1613" t="s">
        <v>80</v>
      </c>
      <c r="I1613">
        <v>11</v>
      </c>
      <c r="J1613">
        <v>132.8646</v>
      </c>
      <c r="M1613">
        <v>8.2113999999999994</v>
      </c>
      <c r="N1613">
        <v>90.325400000000002</v>
      </c>
      <c r="O1613">
        <v>42.534599999999998</v>
      </c>
      <c r="P1613">
        <v>32.014600000000002</v>
      </c>
      <c r="Q1613" t="s">
        <v>2480</v>
      </c>
    </row>
    <row r="1614" spans="1:17" x14ac:dyDescent="0.25">
      <c r="A1614" t="s">
        <v>2060</v>
      </c>
      <c r="B1614" t="s">
        <v>2061</v>
      </c>
      <c r="C1614" t="s">
        <v>1976</v>
      </c>
      <c r="D1614" s="11">
        <v>7510068359</v>
      </c>
      <c r="E1614" s="12">
        <v>46064</v>
      </c>
      <c r="F1614" s="12">
        <v>46066</v>
      </c>
      <c r="G1614" t="s">
        <v>2543</v>
      </c>
      <c r="H1614" t="s">
        <v>83</v>
      </c>
      <c r="I1614">
        <v>13</v>
      </c>
      <c r="J1614">
        <v>209.27010000000001</v>
      </c>
      <c r="M1614">
        <v>10.039999999999999</v>
      </c>
      <c r="N1614">
        <v>130.52000000000001</v>
      </c>
      <c r="O1614">
        <v>78.75</v>
      </c>
      <c r="P1614">
        <v>37.630800000000001</v>
      </c>
      <c r="Q1614" t="s">
        <v>2481</v>
      </c>
    </row>
    <row r="1615" spans="1:17" x14ac:dyDescent="0.25">
      <c r="A1615" t="s">
        <v>2060</v>
      </c>
      <c r="B1615" t="s">
        <v>2061</v>
      </c>
      <c r="C1615" t="s">
        <v>1976</v>
      </c>
      <c r="D1615" s="11">
        <v>7510068359</v>
      </c>
      <c r="E1615" s="12">
        <v>46064</v>
      </c>
      <c r="F1615" s="12">
        <v>46066</v>
      </c>
      <c r="G1615" t="s">
        <v>2543</v>
      </c>
      <c r="H1615" t="s">
        <v>85</v>
      </c>
      <c r="I1615">
        <v>3</v>
      </c>
      <c r="J1615">
        <v>63.352499999999999</v>
      </c>
      <c r="M1615">
        <v>9.2799999999999994</v>
      </c>
      <c r="N1615">
        <v>27.84</v>
      </c>
      <c r="O1615">
        <v>35.51</v>
      </c>
      <c r="P1615">
        <v>56.053600000000003</v>
      </c>
      <c r="Q1615" t="s">
        <v>2482</v>
      </c>
    </row>
    <row r="1616" spans="1:17" x14ac:dyDescent="0.25">
      <c r="A1616" t="s">
        <v>2060</v>
      </c>
      <c r="B1616" t="s">
        <v>2061</v>
      </c>
      <c r="C1616" t="s">
        <v>1976</v>
      </c>
      <c r="D1616" s="11">
        <v>7510068416</v>
      </c>
      <c r="E1616" s="12">
        <v>46064</v>
      </c>
      <c r="F1616" s="12">
        <v>46066</v>
      </c>
      <c r="G1616" t="s">
        <v>2546</v>
      </c>
      <c r="H1616" t="s">
        <v>927</v>
      </c>
      <c r="I1616">
        <v>42</v>
      </c>
      <c r="J1616">
        <v>3.2633999999999999</v>
      </c>
      <c r="K1616" t="s">
        <v>2541</v>
      </c>
      <c r="L1616" t="s">
        <v>2041</v>
      </c>
      <c r="M1616">
        <v>6.3729999999999995E-2</v>
      </c>
      <c r="N1616">
        <v>2.67666</v>
      </c>
      <c r="O1616">
        <v>0.58333999999999997</v>
      </c>
      <c r="P1616">
        <v>17.893799999999999</v>
      </c>
      <c r="Q1616" t="s">
        <v>2547</v>
      </c>
    </row>
    <row r="1617" spans="1:17" x14ac:dyDescent="0.25">
      <c r="A1617" t="s">
        <v>2060</v>
      </c>
      <c r="B1617" t="s">
        <v>2061</v>
      </c>
      <c r="C1617" t="s">
        <v>1976</v>
      </c>
      <c r="D1617" s="11">
        <v>7510068416</v>
      </c>
      <c r="E1617" s="12">
        <v>46064</v>
      </c>
      <c r="F1617" s="12">
        <v>46066</v>
      </c>
      <c r="G1617" t="s">
        <v>2546</v>
      </c>
      <c r="H1617" t="s">
        <v>735</v>
      </c>
      <c r="I1617">
        <v>5</v>
      </c>
      <c r="J1617">
        <v>46.853000000000002</v>
      </c>
      <c r="K1617" t="s">
        <v>2541</v>
      </c>
      <c r="L1617" t="s">
        <v>2041</v>
      </c>
      <c r="M1617">
        <v>7.6838899999999999</v>
      </c>
      <c r="N1617">
        <v>38.419449999999998</v>
      </c>
      <c r="O1617">
        <v>8.4305500000000002</v>
      </c>
      <c r="P1617">
        <v>17.994700000000002</v>
      </c>
      <c r="Q1617" t="s">
        <v>2301</v>
      </c>
    </row>
    <row r="1618" spans="1:17" x14ac:dyDescent="0.25">
      <c r="A1618" t="s">
        <v>2060</v>
      </c>
      <c r="B1618" t="s">
        <v>2061</v>
      </c>
      <c r="C1618" t="s">
        <v>1976</v>
      </c>
      <c r="D1618" s="11">
        <v>7510068541</v>
      </c>
      <c r="E1618" s="12">
        <v>46065</v>
      </c>
      <c r="F1618" s="12">
        <v>46069</v>
      </c>
      <c r="G1618" t="s">
        <v>2548</v>
      </c>
      <c r="H1618" t="s">
        <v>1152</v>
      </c>
      <c r="I1618">
        <v>315</v>
      </c>
      <c r="J1618">
        <v>37.799999999999997</v>
      </c>
      <c r="K1618" t="s">
        <v>2549</v>
      </c>
      <c r="L1618" t="s">
        <v>2041</v>
      </c>
      <c r="M1618">
        <v>9.4359999999999999E-2</v>
      </c>
      <c r="N1618">
        <v>29.723400000000002</v>
      </c>
      <c r="O1618">
        <v>8.0765999999999991</v>
      </c>
      <c r="P1618">
        <v>21.366599999999998</v>
      </c>
      <c r="Q1618" t="s">
        <v>2315</v>
      </c>
    </row>
    <row r="1619" spans="1:17" x14ac:dyDescent="0.25">
      <c r="A1619" t="s">
        <v>2060</v>
      </c>
      <c r="B1619" t="s">
        <v>2061</v>
      </c>
      <c r="C1619" t="s">
        <v>1976</v>
      </c>
      <c r="D1619" s="11">
        <v>7510068541</v>
      </c>
      <c r="E1619" s="12">
        <v>46065</v>
      </c>
      <c r="F1619" s="12">
        <v>46069</v>
      </c>
      <c r="G1619" t="s">
        <v>2548</v>
      </c>
      <c r="H1619" t="s">
        <v>1356</v>
      </c>
      <c r="I1619">
        <v>260</v>
      </c>
      <c r="J1619">
        <v>2.6</v>
      </c>
      <c r="K1619" t="s">
        <v>2549</v>
      </c>
      <c r="L1619" t="s">
        <v>2041</v>
      </c>
      <c r="M1619">
        <v>4.8999999999999998E-3</v>
      </c>
      <c r="N1619">
        <v>1.274</v>
      </c>
      <c r="O1619">
        <v>1.3260000000000001</v>
      </c>
      <c r="P1619">
        <v>51</v>
      </c>
      <c r="Q1619" t="s">
        <v>2550</v>
      </c>
    </row>
    <row r="1620" spans="1:17" x14ac:dyDescent="0.25">
      <c r="A1620" t="s">
        <v>2060</v>
      </c>
      <c r="B1620" t="s">
        <v>2061</v>
      </c>
      <c r="C1620" t="s">
        <v>1976</v>
      </c>
      <c r="D1620" s="11">
        <v>7510068541</v>
      </c>
      <c r="E1620" s="12">
        <v>46065</v>
      </c>
      <c r="F1620" s="12">
        <v>46069</v>
      </c>
      <c r="G1620" t="s">
        <v>2548</v>
      </c>
      <c r="H1620" t="s">
        <v>965</v>
      </c>
      <c r="I1620">
        <v>40</v>
      </c>
      <c r="J1620">
        <v>21.6</v>
      </c>
      <c r="M1620">
        <v>0.23035</v>
      </c>
      <c r="N1620">
        <v>9.2140000000000004</v>
      </c>
      <c r="O1620">
        <v>12.385999999999999</v>
      </c>
      <c r="P1620">
        <v>57.342500000000001</v>
      </c>
      <c r="Q1620" t="s">
        <v>2310</v>
      </c>
    </row>
    <row r="1621" spans="1:17" x14ac:dyDescent="0.25">
      <c r="A1621" t="s">
        <v>2060</v>
      </c>
      <c r="B1621" t="s">
        <v>2061</v>
      </c>
      <c r="C1621" t="s">
        <v>1976</v>
      </c>
      <c r="D1621" s="11">
        <v>7510068541</v>
      </c>
      <c r="E1621" s="12">
        <v>46065</v>
      </c>
      <c r="F1621" s="12">
        <v>46069</v>
      </c>
      <c r="G1621" t="s">
        <v>2548</v>
      </c>
      <c r="H1621" t="s">
        <v>1284</v>
      </c>
      <c r="I1621">
        <v>10</v>
      </c>
      <c r="J1621">
        <v>114.5</v>
      </c>
      <c r="K1621" t="s">
        <v>2549</v>
      </c>
      <c r="L1621" t="s">
        <v>2041</v>
      </c>
      <c r="M1621">
        <v>9.38917</v>
      </c>
      <c r="N1621">
        <v>93.8917</v>
      </c>
      <c r="O1621">
        <v>20.6083</v>
      </c>
      <c r="P1621">
        <v>17.9985</v>
      </c>
      <c r="Q1621" t="s">
        <v>2551</v>
      </c>
    </row>
    <row r="1622" spans="1:17" x14ac:dyDescent="0.25">
      <c r="A1622" t="s">
        <v>2060</v>
      </c>
      <c r="B1622" t="s">
        <v>2061</v>
      </c>
      <c r="C1622" t="s">
        <v>1976</v>
      </c>
      <c r="D1622" s="11">
        <v>7510068541</v>
      </c>
      <c r="E1622" s="12">
        <v>46065</v>
      </c>
      <c r="F1622" s="12">
        <v>46069</v>
      </c>
      <c r="G1622" t="s">
        <v>2548</v>
      </c>
      <c r="H1622" t="s">
        <v>260</v>
      </c>
      <c r="I1622">
        <v>6</v>
      </c>
      <c r="J1622">
        <v>15.72</v>
      </c>
      <c r="K1622" t="s">
        <v>2549</v>
      </c>
      <c r="L1622" t="s">
        <v>2041</v>
      </c>
      <c r="M1622">
        <v>2.1446299999999998</v>
      </c>
      <c r="N1622">
        <v>12.86778</v>
      </c>
      <c r="O1622">
        <v>2.85222</v>
      </c>
      <c r="P1622">
        <v>18.143799999999999</v>
      </c>
      <c r="Q1622" t="s">
        <v>2552</v>
      </c>
    </row>
    <row r="1623" spans="1:17" x14ac:dyDescent="0.25">
      <c r="A1623" t="s">
        <v>2060</v>
      </c>
      <c r="B1623" t="s">
        <v>2061</v>
      </c>
      <c r="C1623" t="s">
        <v>1976</v>
      </c>
      <c r="D1623" s="11">
        <v>7510068541</v>
      </c>
      <c r="E1623" s="12">
        <v>46065</v>
      </c>
      <c r="F1623" s="12">
        <v>46069</v>
      </c>
      <c r="G1623" t="s">
        <v>2548</v>
      </c>
      <c r="H1623" t="s">
        <v>104</v>
      </c>
      <c r="I1623">
        <v>6</v>
      </c>
      <c r="J1623">
        <v>10.199999999999999</v>
      </c>
      <c r="M1623">
        <v>1.319</v>
      </c>
      <c r="N1623">
        <v>7.9139999999999997</v>
      </c>
      <c r="O1623">
        <v>2.286</v>
      </c>
      <c r="P1623">
        <v>22.4117</v>
      </c>
      <c r="Q1623" t="s">
        <v>2553</v>
      </c>
    </row>
    <row r="1624" spans="1:17" x14ac:dyDescent="0.25">
      <c r="A1624" t="s">
        <v>2060</v>
      </c>
      <c r="B1624" t="s">
        <v>2061</v>
      </c>
      <c r="C1624" t="s">
        <v>1976</v>
      </c>
      <c r="D1624" s="11">
        <v>7510068541</v>
      </c>
      <c r="E1624" s="12">
        <v>46065</v>
      </c>
      <c r="F1624" s="12">
        <v>46069</v>
      </c>
      <c r="G1624" t="s">
        <v>2548</v>
      </c>
      <c r="H1624" t="s">
        <v>316</v>
      </c>
      <c r="I1624">
        <v>11</v>
      </c>
      <c r="J1624">
        <v>16.39</v>
      </c>
      <c r="M1624">
        <v>0.49</v>
      </c>
      <c r="N1624">
        <v>5.39</v>
      </c>
      <c r="O1624">
        <v>11</v>
      </c>
      <c r="P1624">
        <v>67.114000000000004</v>
      </c>
      <c r="Q1624" t="s">
        <v>2554</v>
      </c>
    </row>
    <row r="1625" spans="1:17" x14ac:dyDescent="0.25">
      <c r="A1625" t="s">
        <v>2060</v>
      </c>
      <c r="B1625" t="s">
        <v>2061</v>
      </c>
      <c r="C1625" t="s">
        <v>1976</v>
      </c>
      <c r="D1625" s="11">
        <v>7510068541</v>
      </c>
      <c r="E1625" s="12">
        <v>46065</v>
      </c>
      <c r="F1625" s="12">
        <v>46069</v>
      </c>
      <c r="G1625" t="s">
        <v>2548</v>
      </c>
      <c r="H1625" t="s">
        <v>603</v>
      </c>
      <c r="I1625">
        <v>6</v>
      </c>
      <c r="J1625">
        <v>166.2</v>
      </c>
      <c r="M1625">
        <v>10.808199999999999</v>
      </c>
      <c r="N1625">
        <v>64.849199999999996</v>
      </c>
      <c r="O1625">
        <v>101.35080000000001</v>
      </c>
      <c r="P1625">
        <v>60.981200000000001</v>
      </c>
      <c r="Q1625" t="s">
        <v>2149</v>
      </c>
    </row>
    <row r="1626" spans="1:17" x14ac:dyDescent="0.25">
      <c r="A1626" t="s">
        <v>1974</v>
      </c>
      <c r="B1626" t="s">
        <v>1975</v>
      </c>
      <c r="C1626" t="s">
        <v>1976</v>
      </c>
      <c r="D1626" s="11">
        <v>84218</v>
      </c>
      <c r="E1626" s="12">
        <v>46071</v>
      </c>
      <c r="F1626" s="12">
        <v>46072</v>
      </c>
      <c r="G1626" t="s">
        <v>2555</v>
      </c>
      <c r="H1626" t="s">
        <v>8</v>
      </c>
      <c r="I1626">
        <v>67</v>
      </c>
      <c r="J1626">
        <v>2.1238999999999999</v>
      </c>
      <c r="K1626" t="s">
        <v>2556</v>
      </c>
      <c r="L1626" t="s">
        <v>2041</v>
      </c>
      <c r="M1626">
        <v>2.5999999999999999E-2</v>
      </c>
      <c r="N1626">
        <v>1.742</v>
      </c>
      <c r="O1626">
        <v>0.378</v>
      </c>
      <c r="P1626">
        <v>17.830100000000002</v>
      </c>
      <c r="Q1626" t="s">
        <v>2557</v>
      </c>
    </row>
    <row r="1627" spans="1:17" x14ac:dyDescent="0.25">
      <c r="A1627" t="s">
        <v>1974</v>
      </c>
      <c r="B1627" t="s">
        <v>1975</v>
      </c>
      <c r="C1627" t="s">
        <v>1976</v>
      </c>
      <c r="D1627" s="11">
        <v>84218</v>
      </c>
      <c r="E1627" s="12">
        <v>46071</v>
      </c>
      <c r="F1627" s="12">
        <v>46072</v>
      </c>
      <c r="G1627" t="s">
        <v>2555</v>
      </c>
      <c r="H1627" t="s">
        <v>603</v>
      </c>
      <c r="I1627">
        <v>18</v>
      </c>
      <c r="J1627">
        <v>498.6576</v>
      </c>
      <c r="M1627">
        <v>10.808199999999999</v>
      </c>
      <c r="N1627">
        <v>194.54759999999999</v>
      </c>
      <c r="O1627">
        <v>304.11239999999998</v>
      </c>
      <c r="P1627">
        <v>60.985900000000001</v>
      </c>
      <c r="Q1627" t="s">
        <v>2069</v>
      </c>
    </row>
    <row r="1628" spans="1:17" x14ac:dyDescent="0.25">
      <c r="A1628" t="s">
        <v>1974</v>
      </c>
      <c r="B1628" t="s">
        <v>1975</v>
      </c>
      <c r="C1628" t="s">
        <v>1976</v>
      </c>
      <c r="D1628" s="11">
        <v>84218</v>
      </c>
      <c r="E1628" s="12">
        <v>46071</v>
      </c>
      <c r="F1628" s="12">
        <v>46072</v>
      </c>
      <c r="G1628" t="s">
        <v>2555</v>
      </c>
      <c r="H1628" t="s">
        <v>1360</v>
      </c>
      <c r="I1628">
        <v>57</v>
      </c>
      <c r="J1628">
        <v>0.21659999999999999</v>
      </c>
      <c r="K1628" t="s">
        <v>2556</v>
      </c>
      <c r="L1628" t="s">
        <v>2041</v>
      </c>
      <c r="M1628">
        <v>3.0899999999999999E-3</v>
      </c>
      <c r="N1628">
        <v>0.17613000000000001</v>
      </c>
      <c r="O1628">
        <v>4.3869999999999999E-2</v>
      </c>
      <c r="P1628">
        <v>19.940899999999999</v>
      </c>
      <c r="Q1628" t="s">
        <v>2558</v>
      </c>
    </row>
    <row r="1629" spans="1:17" x14ac:dyDescent="0.25">
      <c r="A1629" t="s">
        <v>1974</v>
      </c>
      <c r="B1629" t="s">
        <v>1975</v>
      </c>
      <c r="C1629" t="s">
        <v>1976</v>
      </c>
      <c r="D1629" s="11">
        <v>84218</v>
      </c>
      <c r="E1629" s="12">
        <v>46071</v>
      </c>
      <c r="F1629" s="12">
        <v>46072</v>
      </c>
      <c r="G1629" t="s">
        <v>2555</v>
      </c>
      <c r="H1629" t="s">
        <v>812</v>
      </c>
      <c r="I1629">
        <v>108</v>
      </c>
      <c r="J1629">
        <v>4.5144000000000002</v>
      </c>
      <c r="K1629" t="s">
        <v>2556</v>
      </c>
      <c r="L1629" t="s">
        <v>2041</v>
      </c>
      <c r="M1629">
        <v>3.431E-2</v>
      </c>
      <c r="N1629">
        <v>3.7054800000000001</v>
      </c>
      <c r="O1629">
        <v>0.80452000000000001</v>
      </c>
      <c r="P1629">
        <v>17.8385</v>
      </c>
      <c r="Q1629" t="s">
        <v>2559</v>
      </c>
    </row>
    <row r="1630" spans="1:17" x14ac:dyDescent="0.25">
      <c r="A1630" t="s">
        <v>1974</v>
      </c>
      <c r="B1630" t="s">
        <v>1975</v>
      </c>
      <c r="C1630" t="s">
        <v>1976</v>
      </c>
      <c r="D1630" s="11">
        <v>84242</v>
      </c>
      <c r="E1630" s="12">
        <v>46072</v>
      </c>
      <c r="F1630" s="12">
        <v>46073</v>
      </c>
      <c r="G1630" t="s">
        <v>2560</v>
      </c>
      <c r="H1630" t="s">
        <v>1294</v>
      </c>
      <c r="I1630">
        <v>137</v>
      </c>
      <c r="J1630">
        <v>0.41099999999999998</v>
      </c>
      <c r="K1630" t="s">
        <v>2561</v>
      </c>
      <c r="L1630" t="s">
        <v>2041</v>
      </c>
      <c r="M1630">
        <v>2.4499999999999999E-3</v>
      </c>
      <c r="N1630">
        <v>0.33565</v>
      </c>
      <c r="O1630">
        <v>7.4349999999999999E-2</v>
      </c>
      <c r="P1630">
        <v>18.1341</v>
      </c>
      <c r="Q1630" t="s">
        <v>2562</v>
      </c>
    </row>
    <row r="1631" spans="1:17" x14ac:dyDescent="0.25">
      <c r="A1631" t="s">
        <v>1974</v>
      </c>
      <c r="B1631" t="s">
        <v>1975</v>
      </c>
      <c r="C1631" t="s">
        <v>1976</v>
      </c>
      <c r="D1631" s="11">
        <v>84242</v>
      </c>
      <c r="E1631" s="12">
        <v>46072</v>
      </c>
      <c r="F1631" s="12">
        <v>46073</v>
      </c>
      <c r="G1631" t="s">
        <v>2560</v>
      </c>
      <c r="H1631" t="s">
        <v>1839</v>
      </c>
      <c r="I1631">
        <v>221</v>
      </c>
      <c r="J1631">
        <v>6.9394</v>
      </c>
      <c r="K1631" t="s">
        <v>2561</v>
      </c>
      <c r="L1631" t="s">
        <v>2041</v>
      </c>
      <c r="M1631">
        <v>2.5739999999999999E-2</v>
      </c>
      <c r="N1631">
        <v>5.6885399999999997</v>
      </c>
      <c r="O1631">
        <v>1.25146</v>
      </c>
      <c r="P1631">
        <v>18.032499999999999</v>
      </c>
      <c r="Q1631" t="s">
        <v>2563</v>
      </c>
    </row>
  </sheetData>
  <autoFilter ref="A1:Q1631" xr:uid="{DC6BC33E-278F-4A22-A0C5-AF185972F1C1}">
    <filterColumn colId="1">
      <filters>
        <filter val="Naprotek LLC"/>
        <filter val="VM Services, Inc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EF495-331A-4AC2-9F93-A835D100DE20}">
  <dimension ref="A1:B1020"/>
  <sheetViews>
    <sheetView topLeftCell="A61" workbookViewId="0">
      <selection activeCell="A82" sqref="A82"/>
    </sheetView>
  </sheetViews>
  <sheetFormatPr defaultRowHeight="15" x14ac:dyDescent="0.25"/>
  <cols>
    <col min="1" max="1" width="14.85546875" bestFit="1" customWidth="1"/>
    <col min="2" max="2" width="9.42578125" bestFit="1" customWidth="1"/>
  </cols>
  <sheetData>
    <row r="1" spans="1:2" x14ac:dyDescent="0.25">
      <c r="A1" s="4" t="s">
        <v>1871</v>
      </c>
      <c r="B1" s="5" t="s">
        <v>1872</v>
      </c>
    </row>
    <row r="2" spans="1:2" x14ac:dyDescent="0.25">
      <c r="A2" s="6" t="s">
        <v>1163</v>
      </c>
      <c r="B2" s="7">
        <v>15</v>
      </c>
    </row>
    <row r="3" spans="1:2" x14ac:dyDescent="0.25">
      <c r="A3" s="6" t="s">
        <v>637</v>
      </c>
      <c r="B3" s="7">
        <v>15</v>
      </c>
    </row>
    <row r="4" spans="1:2" x14ac:dyDescent="0.25">
      <c r="A4" s="6" t="s">
        <v>1353</v>
      </c>
      <c r="B4" s="7">
        <v>15</v>
      </c>
    </row>
    <row r="5" spans="1:2" x14ac:dyDescent="0.25">
      <c r="A5" s="6" t="s">
        <v>639</v>
      </c>
      <c r="B5" s="7">
        <v>15</v>
      </c>
    </row>
    <row r="6" spans="1:2" x14ac:dyDescent="0.25">
      <c r="A6" s="6" t="s">
        <v>578</v>
      </c>
      <c r="B6" s="7">
        <v>15</v>
      </c>
    </row>
    <row r="7" spans="1:2" x14ac:dyDescent="0.25">
      <c r="A7" s="6" t="s">
        <v>7</v>
      </c>
      <c r="B7" s="7">
        <v>15</v>
      </c>
    </row>
    <row r="8" spans="1:2" x14ac:dyDescent="0.25">
      <c r="A8" s="6" t="s">
        <v>656</v>
      </c>
      <c r="B8" s="7">
        <v>15</v>
      </c>
    </row>
    <row r="9" spans="1:2" x14ac:dyDescent="0.25">
      <c r="A9" s="6" t="s">
        <v>1198</v>
      </c>
      <c r="B9" s="7">
        <v>15</v>
      </c>
    </row>
    <row r="10" spans="1:2" x14ac:dyDescent="0.25">
      <c r="A10" s="6" t="s">
        <v>907</v>
      </c>
      <c r="B10" s="7">
        <v>15</v>
      </c>
    </row>
    <row r="11" spans="1:2" x14ac:dyDescent="0.25">
      <c r="A11" s="6" t="s">
        <v>64</v>
      </c>
      <c r="B11" s="7">
        <v>15</v>
      </c>
    </row>
    <row r="12" spans="1:2" x14ac:dyDescent="0.25">
      <c r="A12" s="6" t="s">
        <v>372</v>
      </c>
      <c r="B12" s="7">
        <v>15</v>
      </c>
    </row>
    <row r="13" spans="1:2" x14ac:dyDescent="0.25">
      <c r="A13" s="6" t="s">
        <v>727</v>
      </c>
      <c r="B13" s="7">
        <v>15</v>
      </c>
    </row>
    <row r="14" spans="1:2" x14ac:dyDescent="0.25">
      <c r="A14" s="6" t="s">
        <v>1024</v>
      </c>
      <c r="B14" s="7">
        <v>15</v>
      </c>
    </row>
    <row r="15" spans="1:2" x14ac:dyDescent="0.25">
      <c r="A15" s="6" t="s">
        <v>725</v>
      </c>
      <c r="B15" s="7">
        <v>15</v>
      </c>
    </row>
    <row r="16" spans="1:2" x14ac:dyDescent="0.25">
      <c r="A16" s="6" t="s">
        <v>56</v>
      </c>
      <c r="B16" s="7">
        <v>15</v>
      </c>
    </row>
    <row r="17" spans="1:2" x14ac:dyDescent="0.25">
      <c r="A17" s="6" t="s">
        <v>171</v>
      </c>
      <c r="B17" s="7">
        <v>15</v>
      </c>
    </row>
    <row r="18" spans="1:2" x14ac:dyDescent="0.25">
      <c r="A18" s="6" t="s">
        <v>356</v>
      </c>
      <c r="B18" s="7">
        <v>15</v>
      </c>
    </row>
    <row r="19" spans="1:2" x14ac:dyDescent="0.25">
      <c r="A19" s="6" t="s">
        <v>263</v>
      </c>
      <c r="B19" s="7">
        <v>15</v>
      </c>
    </row>
    <row r="20" spans="1:2" x14ac:dyDescent="0.25">
      <c r="A20" s="6" t="s">
        <v>269</v>
      </c>
      <c r="B20" s="7">
        <v>15</v>
      </c>
    </row>
    <row r="21" spans="1:2" x14ac:dyDescent="0.25">
      <c r="A21" s="6" t="s">
        <v>378</v>
      </c>
      <c r="B21" s="7">
        <v>15</v>
      </c>
    </row>
    <row r="22" spans="1:2" x14ac:dyDescent="0.25">
      <c r="A22" s="6" t="s">
        <v>1287</v>
      </c>
      <c r="B22" s="7">
        <v>15</v>
      </c>
    </row>
    <row r="23" spans="1:2" x14ac:dyDescent="0.25">
      <c r="A23" s="6" t="s">
        <v>1705</v>
      </c>
      <c r="B23" s="7">
        <v>15</v>
      </c>
    </row>
    <row r="24" spans="1:2" x14ac:dyDescent="0.25">
      <c r="A24" s="6" t="s">
        <v>433</v>
      </c>
      <c r="B24" s="7">
        <v>15</v>
      </c>
    </row>
    <row r="25" spans="1:2" x14ac:dyDescent="0.25">
      <c r="A25" s="6" t="s">
        <v>1822</v>
      </c>
      <c r="B25" s="7">
        <v>15</v>
      </c>
    </row>
    <row r="26" spans="1:2" x14ac:dyDescent="0.25">
      <c r="A26" s="6" t="s">
        <v>1046</v>
      </c>
      <c r="B26" s="7">
        <v>15</v>
      </c>
    </row>
    <row r="27" spans="1:2" x14ac:dyDescent="0.25">
      <c r="A27" s="6" t="s">
        <v>1654</v>
      </c>
      <c r="B27" s="7">
        <v>15</v>
      </c>
    </row>
    <row r="28" spans="1:2" x14ac:dyDescent="0.25">
      <c r="A28" s="6" t="s">
        <v>1656</v>
      </c>
      <c r="B28" s="7">
        <v>15</v>
      </c>
    </row>
    <row r="29" spans="1:2" x14ac:dyDescent="0.25">
      <c r="A29" s="6" t="s">
        <v>1873</v>
      </c>
      <c r="B29" s="7">
        <v>15</v>
      </c>
    </row>
    <row r="30" spans="1:2" x14ac:dyDescent="0.25">
      <c r="A30" s="6" t="s">
        <v>1709</v>
      </c>
      <c r="B30" s="7">
        <v>15</v>
      </c>
    </row>
    <row r="31" spans="1:2" x14ac:dyDescent="0.25">
      <c r="A31" s="6" t="s">
        <v>1711</v>
      </c>
      <c r="B31" s="7">
        <v>15</v>
      </c>
    </row>
    <row r="32" spans="1:2" x14ac:dyDescent="0.25">
      <c r="A32" s="6" t="s">
        <v>1151</v>
      </c>
      <c r="B32" s="7">
        <v>15</v>
      </c>
    </row>
    <row r="33" spans="1:2" x14ac:dyDescent="0.25">
      <c r="A33" s="6" t="s">
        <v>742</v>
      </c>
      <c r="B33" s="7">
        <v>15</v>
      </c>
    </row>
    <row r="34" spans="1:2" x14ac:dyDescent="0.25">
      <c r="A34" s="6" t="s">
        <v>1157</v>
      </c>
      <c r="B34" s="7">
        <v>15</v>
      </c>
    </row>
    <row r="35" spans="1:2" x14ac:dyDescent="0.25">
      <c r="A35" s="6" t="s">
        <v>24</v>
      </c>
      <c r="B35" s="7">
        <v>15</v>
      </c>
    </row>
    <row r="36" spans="1:2" x14ac:dyDescent="0.25">
      <c r="A36" s="6" t="s">
        <v>26</v>
      </c>
      <c r="B36" s="7">
        <v>15</v>
      </c>
    </row>
    <row r="37" spans="1:2" x14ac:dyDescent="0.25">
      <c r="A37" s="6" t="s">
        <v>1650</v>
      </c>
      <c r="B37" s="7">
        <v>15</v>
      </c>
    </row>
    <row r="38" spans="1:2" x14ac:dyDescent="0.25">
      <c r="A38" s="6" t="s">
        <v>1183</v>
      </c>
      <c r="B38" s="7">
        <v>15</v>
      </c>
    </row>
    <row r="39" spans="1:2" x14ac:dyDescent="0.25">
      <c r="A39" s="6" t="s">
        <v>1264</v>
      </c>
      <c r="B39" s="7">
        <v>15</v>
      </c>
    </row>
    <row r="40" spans="1:2" x14ac:dyDescent="0.25">
      <c r="A40" s="6" t="s">
        <v>534</v>
      </c>
      <c r="B40" s="7">
        <v>15</v>
      </c>
    </row>
    <row r="41" spans="1:2" x14ac:dyDescent="0.25">
      <c r="A41" s="6" t="s">
        <v>897</v>
      </c>
      <c r="B41" s="7">
        <v>15</v>
      </c>
    </row>
    <row r="42" spans="1:2" x14ac:dyDescent="0.25">
      <c r="A42" s="6" t="s">
        <v>1171</v>
      </c>
      <c r="B42" s="7">
        <v>15</v>
      </c>
    </row>
    <row r="43" spans="1:2" x14ac:dyDescent="0.25">
      <c r="A43" s="6" t="s">
        <v>1618</v>
      </c>
      <c r="B43" s="7">
        <v>15</v>
      </c>
    </row>
    <row r="44" spans="1:2" x14ac:dyDescent="0.25">
      <c r="A44" s="6" t="s">
        <v>1435</v>
      </c>
      <c r="B44" s="7">
        <v>15</v>
      </c>
    </row>
    <row r="45" spans="1:2" x14ac:dyDescent="0.25">
      <c r="A45" s="6" t="s">
        <v>1775</v>
      </c>
      <c r="B45" s="7">
        <v>15</v>
      </c>
    </row>
    <row r="46" spans="1:2" x14ac:dyDescent="0.25">
      <c r="A46" s="6" t="s">
        <v>807</v>
      </c>
      <c r="B46" s="7">
        <v>15</v>
      </c>
    </row>
    <row r="47" spans="1:2" x14ac:dyDescent="0.25">
      <c r="A47" s="6" t="s">
        <v>831</v>
      </c>
      <c r="B47" s="7">
        <v>15</v>
      </c>
    </row>
    <row r="48" spans="1:2" x14ac:dyDescent="0.25">
      <c r="A48" s="6" t="s">
        <v>827</v>
      </c>
      <c r="B48" s="7">
        <v>15</v>
      </c>
    </row>
    <row r="49" spans="1:2" x14ac:dyDescent="0.25">
      <c r="A49" s="6" t="s">
        <v>813</v>
      </c>
      <c r="B49" s="7">
        <v>15</v>
      </c>
    </row>
    <row r="50" spans="1:2" x14ac:dyDescent="0.25">
      <c r="A50" s="6" t="s">
        <v>821</v>
      </c>
      <c r="B50" s="7">
        <v>15</v>
      </c>
    </row>
    <row r="51" spans="1:2" x14ac:dyDescent="0.25">
      <c r="A51" s="6" t="s">
        <v>829</v>
      </c>
      <c r="B51" s="7">
        <v>15</v>
      </c>
    </row>
    <row r="52" spans="1:2" x14ac:dyDescent="0.25">
      <c r="A52" s="6" t="s">
        <v>1464</v>
      </c>
      <c r="B52" s="7">
        <v>15</v>
      </c>
    </row>
    <row r="53" spans="1:2" x14ac:dyDescent="0.25">
      <c r="A53" s="6" t="s">
        <v>1568</v>
      </c>
      <c r="B53" s="7">
        <v>15</v>
      </c>
    </row>
    <row r="54" spans="1:2" x14ac:dyDescent="0.25">
      <c r="A54" s="6" t="s">
        <v>1574</v>
      </c>
      <c r="B54" s="7">
        <v>15</v>
      </c>
    </row>
    <row r="55" spans="1:2" x14ac:dyDescent="0.25">
      <c r="A55" s="6" t="s">
        <v>825</v>
      </c>
      <c r="B55" s="7">
        <v>15</v>
      </c>
    </row>
    <row r="56" spans="1:2" x14ac:dyDescent="0.25">
      <c r="A56" s="6" t="s">
        <v>469</v>
      </c>
      <c r="B56" s="7">
        <v>15</v>
      </c>
    </row>
    <row r="57" spans="1:2" x14ac:dyDescent="0.25">
      <c r="A57" s="6" t="s">
        <v>475</v>
      </c>
      <c r="B57" s="7">
        <v>15</v>
      </c>
    </row>
    <row r="58" spans="1:2" x14ac:dyDescent="0.25">
      <c r="A58" s="6" t="s">
        <v>1355</v>
      </c>
      <c r="B58" s="7">
        <v>15</v>
      </c>
    </row>
    <row r="59" spans="1:2" x14ac:dyDescent="0.25">
      <c r="A59" s="6" t="s">
        <v>1778</v>
      </c>
      <c r="B59" s="7">
        <v>15</v>
      </c>
    </row>
    <row r="60" spans="1:2" x14ac:dyDescent="0.25">
      <c r="A60" s="6" t="s">
        <v>835</v>
      </c>
      <c r="B60" s="7">
        <v>15</v>
      </c>
    </row>
    <row r="61" spans="1:2" x14ac:dyDescent="0.25">
      <c r="A61" s="6" t="s">
        <v>1423</v>
      </c>
      <c r="B61" s="7">
        <v>15</v>
      </c>
    </row>
    <row r="62" spans="1:2" x14ac:dyDescent="0.25">
      <c r="A62" s="6" t="s">
        <v>1874</v>
      </c>
      <c r="B62" s="7">
        <v>15</v>
      </c>
    </row>
    <row r="63" spans="1:2" x14ac:dyDescent="0.25">
      <c r="A63" s="6" t="s">
        <v>1409</v>
      </c>
      <c r="B63" s="7">
        <v>15</v>
      </c>
    </row>
    <row r="64" spans="1:2" x14ac:dyDescent="0.25">
      <c r="A64" s="6" t="s">
        <v>694</v>
      </c>
      <c r="B64" s="7">
        <v>15</v>
      </c>
    </row>
    <row r="65" spans="1:2" x14ac:dyDescent="0.25">
      <c r="A65" s="6" t="s">
        <v>1401</v>
      </c>
      <c r="B65" s="7">
        <v>15</v>
      </c>
    </row>
    <row r="66" spans="1:2" x14ac:dyDescent="0.25">
      <c r="A66" s="6" t="s">
        <v>1407</v>
      </c>
      <c r="B66" s="7">
        <v>15</v>
      </c>
    </row>
    <row r="67" spans="1:2" x14ac:dyDescent="0.25">
      <c r="A67" s="6" t="s">
        <v>1417</v>
      </c>
      <c r="B67" s="7">
        <v>15</v>
      </c>
    </row>
    <row r="68" spans="1:2" x14ac:dyDescent="0.25">
      <c r="A68" s="6" t="s">
        <v>1399</v>
      </c>
      <c r="B68" s="7">
        <v>15</v>
      </c>
    </row>
    <row r="69" spans="1:2" x14ac:dyDescent="0.25">
      <c r="A69" s="6" t="s">
        <v>702</v>
      </c>
      <c r="B69" s="7">
        <v>15</v>
      </c>
    </row>
    <row r="70" spans="1:2" x14ac:dyDescent="0.25">
      <c r="A70" s="6" t="s">
        <v>696</v>
      </c>
      <c r="B70" s="7">
        <v>15</v>
      </c>
    </row>
    <row r="71" spans="1:2" x14ac:dyDescent="0.25">
      <c r="A71" s="6" t="s">
        <v>1480</v>
      </c>
      <c r="B71" s="7">
        <v>15</v>
      </c>
    </row>
    <row r="72" spans="1:2" x14ac:dyDescent="0.25">
      <c r="A72" s="6" t="s">
        <v>1470</v>
      </c>
      <c r="B72" s="7">
        <v>15</v>
      </c>
    </row>
    <row r="73" spans="1:2" x14ac:dyDescent="0.25">
      <c r="A73" s="6" t="s">
        <v>855</v>
      </c>
      <c r="B73" s="7">
        <v>15</v>
      </c>
    </row>
    <row r="74" spans="1:2" x14ac:dyDescent="0.25">
      <c r="A74" s="6" t="s">
        <v>1482</v>
      </c>
      <c r="B74" s="7">
        <v>15</v>
      </c>
    </row>
    <row r="75" spans="1:2" x14ac:dyDescent="0.25">
      <c r="A75" s="6" t="s">
        <v>1333</v>
      </c>
      <c r="B75" s="7">
        <v>15</v>
      </c>
    </row>
    <row r="76" spans="1:2" x14ac:dyDescent="0.25">
      <c r="A76" s="6" t="s">
        <v>1335</v>
      </c>
      <c r="B76" s="7">
        <v>15</v>
      </c>
    </row>
    <row r="77" spans="1:2" x14ac:dyDescent="0.25">
      <c r="A77" s="6" t="s">
        <v>1309</v>
      </c>
      <c r="B77" s="7">
        <v>15</v>
      </c>
    </row>
    <row r="78" spans="1:2" x14ac:dyDescent="0.25">
      <c r="A78" s="6" t="s">
        <v>1311</v>
      </c>
      <c r="B78" s="7">
        <v>15</v>
      </c>
    </row>
    <row r="79" spans="1:2" x14ac:dyDescent="0.25">
      <c r="A79" s="6" t="s">
        <v>1303</v>
      </c>
      <c r="B79" s="7">
        <v>15</v>
      </c>
    </row>
    <row r="80" spans="1:2" x14ac:dyDescent="0.25">
      <c r="A80" s="6" t="s">
        <v>1337</v>
      </c>
      <c r="B80" s="7">
        <v>15</v>
      </c>
    </row>
    <row r="81" spans="1:2" x14ac:dyDescent="0.25">
      <c r="A81" s="6" t="s">
        <v>1301</v>
      </c>
      <c r="B81" s="7">
        <v>15</v>
      </c>
    </row>
    <row r="82" spans="1:2" x14ac:dyDescent="0.25">
      <c r="A82" s="6" t="s">
        <v>1262</v>
      </c>
      <c r="B82" s="7">
        <v>15</v>
      </c>
    </row>
    <row r="83" spans="1:2" x14ac:dyDescent="0.25">
      <c r="A83" s="6" t="s">
        <v>1260</v>
      </c>
      <c r="B83" s="7">
        <v>15</v>
      </c>
    </row>
    <row r="84" spans="1:2" x14ac:dyDescent="0.25">
      <c r="A84" s="6" t="s">
        <v>1458</v>
      </c>
      <c r="B84" s="7">
        <v>15</v>
      </c>
    </row>
    <row r="85" spans="1:2" x14ac:dyDescent="0.25">
      <c r="A85" s="6" t="s">
        <v>819</v>
      </c>
      <c r="B85" s="7">
        <v>15</v>
      </c>
    </row>
    <row r="86" spans="1:2" x14ac:dyDescent="0.25">
      <c r="A86" s="6" t="s">
        <v>823</v>
      </c>
      <c r="B86" s="7">
        <v>15</v>
      </c>
    </row>
    <row r="87" spans="1:2" x14ac:dyDescent="0.25">
      <c r="A87" s="6" t="s">
        <v>1393</v>
      </c>
      <c r="B87" s="7">
        <v>15</v>
      </c>
    </row>
    <row r="88" spans="1:2" x14ac:dyDescent="0.25">
      <c r="A88" s="6" t="s">
        <v>1875</v>
      </c>
      <c r="B88" s="7">
        <v>15</v>
      </c>
    </row>
    <row r="89" spans="1:2" x14ac:dyDescent="0.25">
      <c r="A89" s="6" t="s">
        <v>1864</v>
      </c>
      <c r="B89" s="7">
        <v>15</v>
      </c>
    </row>
    <row r="90" spans="1:2" x14ac:dyDescent="0.25">
      <c r="A90" s="6" t="s">
        <v>1502</v>
      </c>
      <c r="B90" s="7">
        <v>15</v>
      </c>
    </row>
    <row r="91" spans="1:2" x14ac:dyDescent="0.25">
      <c r="A91" s="6" t="s">
        <v>1234</v>
      </c>
      <c r="B91" s="7">
        <v>15</v>
      </c>
    </row>
    <row r="92" spans="1:2" x14ac:dyDescent="0.25">
      <c r="A92" s="6" t="s">
        <v>1238</v>
      </c>
      <c r="B92" s="7">
        <v>15</v>
      </c>
    </row>
    <row r="93" spans="1:2" x14ac:dyDescent="0.25">
      <c r="A93" s="6" t="s">
        <v>1769</v>
      </c>
      <c r="B93" s="7">
        <v>15</v>
      </c>
    </row>
    <row r="94" spans="1:2" x14ac:dyDescent="0.25">
      <c r="A94" s="6" t="s">
        <v>1830</v>
      </c>
      <c r="B94" s="7">
        <v>15</v>
      </c>
    </row>
    <row r="95" spans="1:2" x14ac:dyDescent="0.25">
      <c r="A95" s="6" t="s">
        <v>837</v>
      </c>
      <c r="B95" s="7">
        <v>15</v>
      </c>
    </row>
    <row r="96" spans="1:2" x14ac:dyDescent="0.25">
      <c r="A96" s="6" t="s">
        <v>859</v>
      </c>
      <c r="B96" s="7">
        <v>15</v>
      </c>
    </row>
    <row r="97" spans="1:2" x14ac:dyDescent="0.25">
      <c r="A97" s="6" t="s">
        <v>1554</v>
      </c>
      <c r="B97" s="7">
        <v>15</v>
      </c>
    </row>
    <row r="98" spans="1:2" x14ac:dyDescent="0.25">
      <c r="A98" s="6" t="s">
        <v>803</v>
      </c>
      <c r="B98" s="7">
        <v>15</v>
      </c>
    </row>
    <row r="99" spans="1:2" x14ac:dyDescent="0.25">
      <c r="A99" s="6" t="s">
        <v>801</v>
      </c>
      <c r="B99" s="7">
        <v>15</v>
      </c>
    </row>
    <row r="100" spans="1:2" x14ac:dyDescent="0.25">
      <c r="A100" s="6" t="s">
        <v>869</v>
      </c>
      <c r="B100" s="7">
        <v>15</v>
      </c>
    </row>
    <row r="101" spans="1:2" x14ac:dyDescent="0.25">
      <c r="A101" s="6" t="s">
        <v>863</v>
      </c>
      <c r="B101" s="7">
        <v>15</v>
      </c>
    </row>
    <row r="102" spans="1:2" x14ac:dyDescent="0.25">
      <c r="A102" s="6" t="s">
        <v>1383</v>
      </c>
      <c r="B102" s="7">
        <v>15</v>
      </c>
    </row>
    <row r="103" spans="1:2" x14ac:dyDescent="0.25">
      <c r="A103" s="6" t="s">
        <v>682</v>
      </c>
      <c r="B103" s="7">
        <v>15</v>
      </c>
    </row>
    <row r="104" spans="1:2" x14ac:dyDescent="0.25">
      <c r="A104" s="6" t="s">
        <v>1361</v>
      </c>
      <c r="B104" s="7">
        <v>15</v>
      </c>
    </row>
    <row r="105" spans="1:2" x14ac:dyDescent="0.25">
      <c r="A105" s="6" t="s">
        <v>1363</v>
      </c>
      <c r="B105" s="7">
        <v>15</v>
      </c>
    </row>
    <row r="106" spans="1:2" x14ac:dyDescent="0.25">
      <c r="A106" s="6" t="s">
        <v>1379</v>
      </c>
      <c r="B106" s="7">
        <v>15</v>
      </c>
    </row>
    <row r="107" spans="1:2" x14ac:dyDescent="0.25">
      <c r="A107" s="6" t="s">
        <v>1365</v>
      </c>
      <c r="B107" s="7">
        <v>15</v>
      </c>
    </row>
    <row r="108" spans="1:2" x14ac:dyDescent="0.25">
      <c r="A108" s="6" t="s">
        <v>1369</v>
      </c>
      <c r="B108" s="7">
        <v>15</v>
      </c>
    </row>
    <row r="109" spans="1:2" x14ac:dyDescent="0.25">
      <c r="A109" s="6" t="s">
        <v>1375</v>
      </c>
      <c r="B109" s="7">
        <v>15</v>
      </c>
    </row>
    <row r="110" spans="1:2" x14ac:dyDescent="0.25">
      <c r="A110" s="6" t="s">
        <v>1381</v>
      </c>
      <c r="B110" s="7">
        <v>15</v>
      </c>
    </row>
    <row r="111" spans="1:2" x14ac:dyDescent="0.25">
      <c r="A111" s="6" t="s">
        <v>1367</v>
      </c>
      <c r="B111" s="7">
        <v>15</v>
      </c>
    </row>
    <row r="112" spans="1:2" x14ac:dyDescent="0.25">
      <c r="A112" s="6" t="s">
        <v>1371</v>
      </c>
      <c r="B112" s="7">
        <v>15</v>
      </c>
    </row>
    <row r="113" spans="1:2" x14ac:dyDescent="0.25">
      <c r="A113" s="6" t="s">
        <v>1373</v>
      </c>
      <c r="B113" s="7">
        <v>15</v>
      </c>
    </row>
    <row r="114" spans="1:2" x14ac:dyDescent="0.25">
      <c r="A114" s="6" t="s">
        <v>789</v>
      </c>
      <c r="B114" s="7">
        <v>15</v>
      </c>
    </row>
    <row r="115" spans="1:2" x14ac:dyDescent="0.25">
      <c r="A115" s="6" t="s">
        <v>1536</v>
      </c>
      <c r="B115" s="7">
        <v>15</v>
      </c>
    </row>
    <row r="116" spans="1:2" x14ac:dyDescent="0.25">
      <c r="A116" s="6" t="s">
        <v>1558</v>
      </c>
      <c r="B116" s="7">
        <v>15</v>
      </c>
    </row>
    <row r="117" spans="1:2" x14ac:dyDescent="0.25">
      <c r="A117" s="6" t="s">
        <v>1530</v>
      </c>
      <c r="B117" s="7">
        <v>15</v>
      </c>
    </row>
    <row r="118" spans="1:2" x14ac:dyDescent="0.25">
      <c r="A118" s="6" t="s">
        <v>787</v>
      </c>
      <c r="B118" s="7">
        <v>15</v>
      </c>
    </row>
    <row r="119" spans="1:2" x14ac:dyDescent="0.25">
      <c r="A119" s="6" t="s">
        <v>795</v>
      </c>
      <c r="B119" s="7">
        <v>15</v>
      </c>
    </row>
    <row r="120" spans="1:2" x14ac:dyDescent="0.25">
      <c r="A120" s="6" t="s">
        <v>781</v>
      </c>
      <c r="B120" s="7">
        <v>15</v>
      </c>
    </row>
    <row r="121" spans="1:2" x14ac:dyDescent="0.25">
      <c r="A121" s="6" t="s">
        <v>1520</v>
      </c>
      <c r="B121" s="7">
        <v>15</v>
      </c>
    </row>
    <row r="122" spans="1:2" x14ac:dyDescent="0.25">
      <c r="A122" s="6" t="s">
        <v>1524</v>
      </c>
      <c r="B122" s="7">
        <v>15</v>
      </c>
    </row>
    <row r="123" spans="1:2" x14ac:dyDescent="0.25">
      <c r="A123" s="6" t="s">
        <v>1534</v>
      </c>
      <c r="B123" s="7">
        <v>15</v>
      </c>
    </row>
    <row r="124" spans="1:2" x14ac:dyDescent="0.25">
      <c r="A124" s="6" t="s">
        <v>1550</v>
      </c>
      <c r="B124" s="7">
        <v>15</v>
      </c>
    </row>
    <row r="125" spans="1:2" x14ac:dyDescent="0.25">
      <c r="A125" s="6" t="s">
        <v>1556</v>
      </c>
      <c r="B125" s="7">
        <v>15</v>
      </c>
    </row>
    <row r="126" spans="1:2" x14ac:dyDescent="0.25">
      <c r="A126" s="6" t="s">
        <v>1564</v>
      </c>
      <c r="B126" s="7">
        <v>15</v>
      </c>
    </row>
    <row r="127" spans="1:2" x14ac:dyDescent="0.25">
      <c r="A127" s="6" t="s">
        <v>805</v>
      </c>
      <c r="B127" s="7">
        <v>15</v>
      </c>
    </row>
    <row r="128" spans="1:2" x14ac:dyDescent="0.25">
      <c r="A128" s="6" t="s">
        <v>881</v>
      </c>
      <c r="B128" s="7">
        <v>15</v>
      </c>
    </row>
    <row r="129" spans="1:2" x14ac:dyDescent="0.25">
      <c r="A129" s="6" t="s">
        <v>883</v>
      </c>
      <c r="B129" s="7">
        <v>15</v>
      </c>
    </row>
    <row r="130" spans="1:2" x14ac:dyDescent="0.25">
      <c r="A130" s="6" t="s">
        <v>712</v>
      </c>
      <c r="B130" s="7">
        <v>15</v>
      </c>
    </row>
    <row r="131" spans="1:2" x14ac:dyDescent="0.25">
      <c r="A131" s="6" t="s">
        <v>1510</v>
      </c>
      <c r="B131" s="7">
        <v>15</v>
      </c>
    </row>
    <row r="132" spans="1:2" x14ac:dyDescent="0.25">
      <c r="A132" s="6" t="s">
        <v>1760</v>
      </c>
      <c r="B132" s="7">
        <v>15</v>
      </c>
    </row>
    <row r="133" spans="1:2" x14ac:dyDescent="0.25">
      <c r="A133" s="6" t="s">
        <v>1512</v>
      </c>
      <c r="B133" s="7">
        <v>15</v>
      </c>
    </row>
    <row r="134" spans="1:2" x14ac:dyDescent="0.25">
      <c r="A134" s="6" t="s">
        <v>1118</v>
      </c>
      <c r="B134" s="7">
        <v>15</v>
      </c>
    </row>
    <row r="135" spans="1:2" x14ac:dyDescent="0.25">
      <c r="A135" s="6" t="s">
        <v>1291</v>
      </c>
      <c r="B135" s="7">
        <v>15</v>
      </c>
    </row>
    <row r="136" spans="1:2" x14ac:dyDescent="0.25">
      <c r="A136" s="6" t="s">
        <v>1498</v>
      </c>
      <c r="B136" s="7">
        <v>15</v>
      </c>
    </row>
    <row r="137" spans="1:2" x14ac:dyDescent="0.25">
      <c r="A137" s="6" t="s">
        <v>508</v>
      </c>
      <c r="B137" s="7">
        <v>15</v>
      </c>
    </row>
    <row r="138" spans="1:2" x14ac:dyDescent="0.25">
      <c r="A138" s="6" t="s">
        <v>1496</v>
      </c>
      <c r="B138" s="7">
        <v>15</v>
      </c>
    </row>
    <row r="139" spans="1:2" x14ac:dyDescent="0.25">
      <c r="A139" s="6" t="s">
        <v>875</v>
      </c>
      <c r="B139" s="7">
        <v>15</v>
      </c>
    </row>
    <row r="140" spans="1:2" x14ac:dyDescent="0.25">
      <c r="A140" s="6" t="s">
        <v>658</v>
      </c>
      <c r="B140" s="7">
        <v>15</v>
      </c>
    </row>
    <row r="141" spans="1:2" x14ac:dyDescent="0.25">
      <c r="A141" s="6" t="s">
        <v>1636</v>
      </c>
      <c r="B141" s="7">
        <v>15</v>
      </c>
    </row>
    <row r="142" spans="1:2" x14ac:dyDescent="0.25">
      <c r="A142" s="6" t="s">
        <v>1566</v>
      </c>
      <c r="B142" s="7">
        <v>15</v>
      </c>
    </row>
    <row r="143" spans="1:2" x14ac:dyDescent="0.25">
      <c r="A143" s="6" t="s">
        <v>684</v>
      </c>
      <c r="B143" s="7">
        <v>15</v>
      </c>
    </row>
    <row r="144" spans="1:2" x14ac:dyDescent="0.25">
      <c r="A144" s="6" t="s">
        <v>1272</v>
      </c>
      <c r="B144" s="7">
        <v>15</v>
      </c>
    </row>
    <row r="145" spans="1:2" x14ac:dyDescent="0.25">
      <c r="A145" s="6" t="s">
        <v>1460</v>
      </c>
      <c r="B145" s="7">
        <v>15</v>
      </c>
    </row>
    <row r="146" spans="1:2" x14ac:dyDescent="0.25">
      <c r="A146" s="6" t="s">
        <v>1250</v>
      </c>
      <c r="B146" s="7">
        <v>15</v>
      </c>
    </row>
    <row r="147" spans="1:2" x14ac:dyDescent="0.25">
      <c r="A147" s="6" t="s">
        <v>635</v>
      </c>
      <c r="B147" s="7">
        <v>15</v>
      </c>
    </row>
    <row r="148" spans="1:2" x14ac:dyDescent="0.25">
      <c r="A148" s="6" t="s">
        <v>1876</v>
      </c>
      <c r="B148" s="7">
        <v>15</v>
      </c>
    </row>
    <row r="149" spans="1:2" x14ac:dyDescent="0.25">
      <c r="A149" s="6" t="s">
        <v>243</v>
      </c>
      <c r="B149" s="7">
        <v>15</v>
      </c>
    </row>
    <row r="150" spans="1:2" x14ac:dyDescent="0.25">
      <c r="A150" s="6" t="s">
        <v>233</v>
      </c>
      <c r="B150" s="7">
        <v>15</v>
      </c>
    </row>
    <row r="151" spans="1:2" x14ac:dyDescent="0.25">
      <c r="A151" s="6" t="s">
        <v>235</v>
      </c>
      <c r="B151" s="7">
        <v>15</v>
      </c>
    </row>
    <row r="152" spans="1:2" x14ac:dyDescent="0.25">
      <c r="A152" s="6" t="s">
        <v>237</v>
      </c>
      <c r="B152" s="7">
        <v>15</v>
      </c>
    </row>
    <row r="153" spans="1:2" x14ac:dyDescent="0.25">
      <c r="A153" s="6" t="s">
        <v>978</v>
      </c>
      <c r="B153" s="7">
        <v>15</v>
      </c>
    </row>
    <row r="154" spans="1:2" x14ac:dyDescent="0.25">
      <c r="A154" s="6" t="s">
        <v>1175</v>
      </c>
      <c r="B154" s="7">
        <v>15</v>
      </c>
    </row>
    <row r="155" spans="1:2" x14ac:dyDescent="0.25">
      <c r="A155" s="6" t="s">
        <v>895</v>
      </c>
      <c r="B155" s="7">
        <v>15</v>
      </c>
    </row>
    <row r="156" spans="1:2" x14ac:dyDescent="0.25">
      <c r="A156" s="6" t="s">
        <v>1725</v>
      </c>
      <c r="B156" s="7">
        <v>15</v>
      </c>
    </row>
    <row r="157" spans="1:2" x14ac:dyDescent="0.25">
      <c r="A157" s="6" t="s">
        <v>976</v>
      </c>
      <c r="B157" s="7">
        <v>15</v>
      </c>
    </row>
    <row r="158" spans="1:2" x14ac:dyDescent="0.25">
      <c r="A158" s="6" t="s">
        <v>1181</v>
      </c>
      <c r="B158" s="7">
        <v>15</v>
      </c>
    </row>
    <row r="159" spans="1:2" x14ac:dyDescent="0.25">
      <c r="A159" s="6" t="s">
        <v>1216</v>
      </c>
      <c r="B159" s="7">
        <v>15</v>
      </c>
    </row>
    <row r="160" spans="1:2" x14ac:dyDescent="0.25">
      <c r="A160" s="6" t="s">
        <v>891</v>
      </c>
      <c r="B160" s="7">
        <v>15</v>
      </c>
    </row>
    <row r="161" spans="1:2" x14ac:dyDescent="0.25">
      <c r="A161" s="6" t="s">
        <v>552</v>
      </c>
      <c r="B161" s="7">
        <v>15</v>
      </c>
    </row>
    <row r="162" spans="1:2" x14ac:dyDescent="0.25">
      <c r="A162" s="6" t="s">
        <v>1173</v>
      </c>
      <c r="B162" s="7">
        <v>15</v>
      </c>
    </row>
    <row r="163" spans="1:2" x14ac:dyDescent="0.25">
      <c r="A163" s="6" t="s">
        <v>191</v>
      </c>
      <c r="B163" s="7">
        <v>15</v>
      </c>
    </row>
    <row r="164" spans="1:2" x14ac:dyDescent="0.25">
      <c r="A164" s="6" t="s">
        <v>548</v>
      </c>
      <c r="B164" s="7">
        <v>15</v>
      </c>
    </row>
    <row r="165" spans="1:2" x14ac:dyDescent="0.25">
      <c r="A165" s="6" t="s">
        <v>980</v>
      </c>
      <c r="B165" s="7">
        <v>15</v>
      </c>
    </row>
    <row r="166" spans="1:2" x14ac:dyDescent="0.25">
      <c r="A166" s="6" t="s">
        <v>1222</v>
      </c>
      <c r="B166" s="7">
        <v>15</v>
      </c>
    </row>
    <row r="167" spans="1:2" x14ac:dyDescent="0.25">
      <c r="A167" s="6" t="s">
        <v>1048</v>
      </c>
      <c r="B167" s="7">
        <v>15</v>
      </c>
    </row>
    <row r="168" spans="1:2" x14ac:dyDescent="0.25">
      <c r="A168" s="6" t="s">
        <v>1210</v>
      </c>
      <c r="B168" s="7">
        <v>15</v>
      </c>
    </row>
    <row r="169" spans="1:2" x14ac:dyDescent="0.25">
      <c r="A169" s="6" t="s">
        <v>1832</v>
      </c>
      <c r="B169" s="7">
        <v>15</v>
      </c>
    </row>
    <row r="170" spans="1:2" x14ac:dyDescent="0.25">
      <c r="A170" s="6" t="s">
        <v>1137</v>
      </c>
      <c r="B170" s="7">
        <v>15</v>
      </c>
    </row>
    <row r="171" spans="1:2" x14ac:dyDescent="0.25">
      <c r="A171" s="6" t="s">
        <v>1145</v>
      </c>
      <c r="B171" s="7">
        <v>15</v>
      </c>
    </row>
    <row r="172" spans="1:2" x14ac:dyDescent="0.25">
      <c r="A172" s="6" t="s">
        <v>942</v>
      </c>
      <c r="B172" s="7">
        <v>15</v>
      </c>
    </row>
    <row r="173" spans="1:2" x14ac:dyDescent="0.25">
      <c r="A173" s="6" t="s">
        <v>1040</v>
      </c>
      <c r="B173" s="7">
        <v>15</v>
      </c>
    </row>
    <row r="174" spans="1:2" x14ac:dyDescent="0.25">
      <c r="A174" s="6" t="s">
        <v>1877</v>
      </c>
      <c r="B174" s="7">
        <v>15</v>
      </c>
    </row>
    <row r="175" spans="1:2" x14ac:dyDescent="0.25">
      <c r="A175" s="6" t="s">
        <v>1075</v>
      </c>
      <c r="B175" s="7">
        <v>15</v>
      </c>
    </row>
    <row r="176" spans="1:2" x14ac:dyDescent="0.25">
      <c r="A176" s="6" t="s">
        <v>664</v>
      </c>
      <c r="B176" s="7">
        <v>15</v>
      </c>
    </row>
    <row r="177" spans="1:2" x14ac:dyDescent="0.25">
      <c r="A177" s="6" t="s">
        <v>966</v>
      </c>
      <c r="B177" s="7">
        <v>15</v>
      </c>
    </row>
    <row r="178" spans="1:2" x14ac:dyDescent="0.25">
      <c r="A178" s="6" t="s">
        <v>1208</v>
      </c>
      <c r="B178" s="7">
        <v>15</v>
      </c>
    </row>
    <row r="179" spans="1:2" x14ac:dyDescent="0.25">
      <c r="A179" s="6" t="s">
        <v>482</v>
      </c>
      <c r="B179" s="7">
        <v>15</v>
      </c>
    </row>
    <row r="180" spans="1:2" x14ac:dyDescent="0.25">
      <c r="A180" s="6" t="s">
        <v>964</v>
      </c>
      <c r="B180" s="7">
        <v>15</v>
      </c>
    </row>
    <row r="181" spans="1:2" x14ac:dyDescent="0.25">
      <c r="A181" s="6" t="s">
        <v>412</v>
      </c>
      <c r="B181" s="7">
        <v>15</v>
      </c>
    </row>
    <row r="182" spans="1:2" x14ac:dyDescent="0.25">
      <c r="A182" s="6" t="s">
        <v>1226</v>
      </c>
      <c r="B182" s="7">
        <v>15</v>
      </c>
    </row>
    <row r="183" spans="1:2" x14ac:dyDescent="0.25">
      <c r="A183" s="6" t="s">
        <v>1252</v>
      </c>
      <c r="B183" s="7">
        <v>15</v>
      </c>
    </row>
    <row r="184" spans="1:2" x14ac:dyDescent="0.25">
      <c r="A184" s="6" t="s">
        <v>1450</v>
      </c>
      <c r="B184" s="7">
        <v>15</v>
      </c>
    </row>
    <row r="185" spans="1:2" x14ac:dyDescent="0.25">
      <c r="A185" s="6" t="s">
        <v>493</v>
      </c>
      <c r="B185" s="7">
        <v>15</v>
      </c>
    </row>
    <row r="186" spans="1:2" x14ac:dyDescent="0.25">
      <c r="A186" s="6" t="s">
        <v>1703</v>
      </c>
      <c r="B186" s="7">
        <v>15</v>
      </c>
    </row>
    <row r="187" spans="1:2" x14ac:dyDescent="0.25">
      <c r="A187" s="6" t="s">
        <v>1202</v>
      </c>
      <c r="B187" s="7">
        <v>15</v>
      </c>
    </row>
    <row r="188" spans="1:2" x14ac:dyDescent="0.25">
      <c r="A188" s="6" t="s">
        <v>1794</v>
      </c>
      <c r="B188" s="7">
        <v>15</v>
      </c>
    </row>
    <row r="189" spans="1:2" x14ac:dyDescent="0.25">
      <c r="A189" s="6" t="s">
        <v>1796</v>
      </c>
      <c r="B189" s="7">
        <v>15</v>
      </c>
    </row>
    <row r="190" spans="1:2" x14ac:dyDescent="0.25">
      <c r="A190" s="6" t="s">
        <v>899</v>
      </c>
      <c r="B190" s="7">
        <v>15</v>
      </c>
    </row>
    <row r="191" spans="1:2" x14ac:dyDescent="0.25">
      <c r="A191" s="6" t="s">
        <v>450</v>
      </c>
      <c r="B191" s="7">
        <v>15</v>
      </c>
    </row>
    <row r="192" spans="1:2" x14ac:dyDescent="0.25">
      <c r="A192" s="6" t="s">
        <v>1060</v>
      </c>
      <c r="B192" s="7">
        <v>15</v>
      </c>
    </row>
    <row r="193" spans="1:2" x14ac:dyDescent="0.25">
      <c r="A193" s="6" t="s">
        <v>1676</v>
      </c>
      <c r="B193" s="7">
        <v>15</v>
      </c>
    </row>
    <row r="194" spans="1:2" x14ac:dyDescent="0.25">
      <c r="A194" s="6" t="s">
        <v>1693</v>
      </c>
      <c r="B194" s="7">
        <v>15</v>
      </c>
    </row>
    <row r="195" spans="1:2" x14ac:dyDescent="0.25">
      <c r="A195" s="6" t="s">
        <v>1697</v>
      </c>
      <c r="B195" s="7">
        <v>15</v>
      </c>
    </row>
    <row r="196" spans="1:2" x14ac:dyDescent="0.25">
      <c r="A196" s="6" t="s">
        <v>1141</v>
      </c>
      <c r="B196" s="7">
        <v>15</v>
      </c>
    </row>
    <row r="197" spans="1:2" x14ac:dyDescent="0.25">
      <c r="A197" s="6" t="s">
        <v>1070</v>
      </c>
      <c r="B197" s="7">
        <v>15</v>
      </c>
    </row>
    <row r="198" spans="1:2" x14ac:dyDescent="0.25">
      <c r="A198" s="6" t="s">
        <v>1165</v>
      </c>
      <c r="B198" s="7">
        <v>15</v>
      </c>
    </row>
    <row r="199" spans="1:2" x14ac:dyDescent="0.25">
      <c r="A199" s="6" t="s">
        <v>1079</v>
      </c>
      <c r="B199" s="7">
        <v>15</v>
      </c>
    </row>
    <row r="200" spans="1:2" x14ac:dyDescent="0.25">
      <c r="A200" s="6" t="s">
        <v>1050</v>
      </c>
      <c r="B200" s="7">
        <v>15</v>
      </c>
    </row>
    <row r="201" spans="1:2" x14ac:dyDescent="0.25">
      <c r="A201" s="6" t="s">
        <v>1032</v>
      </c>
      <c r="B201" s="7">
        <v>15</v>
      </c>
    </row>
    <row r="202" spans="1:2" x14ac:dyDescent="0.25">
      <c r="A202" s="6" t="s">
        <v>1689</v>
      </c>
      <c r="B202" s="7">
        <v>15</v>
      </c>
    </row>
    <row r="203" spans="1:2" x14ac:dyDescent="0.25">
      <c r="A203" s="6" t="s">
        <v>1093</v>
      </c>
      <c r="B203" s="7">
        <v>15</v>
      </c>
    </row>
    <row r="204" spans="1:2" x14ac:dyDescent="0.25">
      <c r="A204" s="6" t="s">
        <v>495</v>
      </c>
      <c r="B204" s="7">
        <v>15</v>
      </c>
    </row>
    <row r="205" spans="1:2" x14ac:dyDescent="0.25">
      <c r="A205" s="6" t="s">
        <v>1848</v>
      </c>
      <c r="B205" s="7">
        <v>15</v>
      </c>
    </row>
    <row r="206" spans="1:2" x14ac:dyDescent="0.25">
      <c r="A206" s="6" t="s">
        <v>1878</v>
      </c>
      <c r="B206" s="7">
        <v>15</v>
      </c>
    </row>
    <row r="207" spans="1:2" x14ac:dyDescent="0.25">
      <c r="A207" s="6" t="s">
        <v>946</v>
      </c>
      <c r="B207" s="7">
        <v>15</v>
      </c>
    </row>
    <row r="208" spans="1:2" x14ac:dyDescent="0.25">
      <c r="A208" s="6" t="s">
        <v>499</v>
      </c>
      <c r="B208" s="7">
        <v>15</v>
      </c>
    </row>
    <row r="209" spans="1:2" x14ac:dyDescent="0.25">
      <c r="A209" s="6" t="s">
        <v>409</v>
      </c>
      <c r="B209" s="7">
        <v>15</v>
      </c>
    </row>
    <row r="210" spans="1:2" x14ac:dyDescent="0.25">
      <c r="A210" s="6" t="s">
        <v>1734</v>
      </c>
      <c r="B210" s="7">
        <v>15</v>
      </c>
    </row>
    <row r="211" spans="1:2" x14ac:dyDescent="0.25">
      <c r="A211" s="6" t="s">
        <v>1736</v>
      </c>
      <c r="B211" s="7">
        <v>15</v>
      </c>
    </row>
    <row r="212" spans="1:2" x14ac:dyDescent="0.25">
      <c r="A212" s="6" t="s">
        <v>1086</v>
      </c>
      <c r="B212" s="7">
        <v>15</v>
      </c>
    </row>
    <row r="213" spans="1:2" x14ac:dyDescent="0.25">
      <c r="A213" s="6" t="s">
        <v>1036</v>
      </c>
      <c r="B213" s="7">
        <v>15</v>
      </c>
    </row>
    <row r="214" spans="1:2" x14ac:dyDescent="0.25">
      <c r="A214" s="6" t="s">
        <v>1782</v>
      </c>
      <c r="B214" s="7">
        <v>15</v>
      </c>
    </row>
    <row r="215" spans="1:2" x14ac:dyDescent="0.25">
      <c r="A215" s="6" t="s">
        <v>1788</v>
      </c>
      <c r="B215" s="7">
        <v>15</v>
      </c>
    </row>
    <row r="216" spans="1:2" x14ac:dyDescent="0.25">
      <c r="A216" s="6" t="s">
        <v>1786</v>
      </c>
      <c r="B216" s="7">
        <v>15</v>
      </c>
    </row>
    <row r="217" spans="1:2" x14ac:dyDescent="0.25">
      <c r="A217" s="6" t="s">
        <v>491</v>
      </c>
      <c r="B217" s="7">
        <v>15</v>
      </c>
    </row>
    <row r="218" spans="1:2" x14ac:dyDescent="0.25">
      <c r="A218" s="6" t="s">
        <v>901</v>
      </c>
      <c r="B218" s="7">
        <v>15</v>
      </c>
    </row>
    <row r="219" spans="1:2" x14ac:dyDescent="0.25">
      <c r="A219" s="6" t="s">
        <v>1232</v>
      </c>
      <c r="B219" s="7">
        <v>15</v>
      </c>
    </row>
    <row r="220" spans="1:2" x14ac:dyDescent="0.25">
      <c r="A220" s="6" t="s">
        <v>968</v>
      </c>
      <c r="B220" s="7">
        <v>15</v>
      </c>
    </row>
    <row r="221" spans="1:2" x14ac:dyDescent="0.25">
      <c r="A221" s="6" t="s">
        <v>1068</v>
      </c>
      <c r="B221" s="7">
        <v>15</v>
      </c>
    </row>
    <row r="222" spans="1:2" x14ac:dyDescent="0.25">
      <c r="A222" s="6" t="s">
        <v>1228</v>
      </c>
      <c r="B222" s="7">
        <v>15</v>
      </c>
    </row>
    <row r="223" spans="1:2" x14ac:dyDescent="0.25">
      <c r="A223" s="6" t="s">
        <v>721</v>
      </c>
      <c r="B223" s="7">
        <v>15</v>
      </c>
    </row>
    <row r="224" spans="1:2" x14ac:dyDescent="0.25">
      <c r="A224" s="6" t="s">
        <v>497</v>
      </c>
      <c r="B224" s="7">
        <v>15</v>
      </c>
    </row>
    <row r="225" spans="1:2" x14ac:dyDescent="0.25">
      <c r="A225" s="6" t="s">
        <v>1879</v>
      </c>
      <c r="B225" s="7">
        <v>15</v>
      </c>
    </row>
    <row r="226" spans="1:2" x14ac:dyDescent="0.25">
      <c r="A226" s="6" t="s">
        <v>627</v>
      </c>
      <c r="B226" s="7">
        <v>15</v>
      </c>
    </row>
    <row r="227" spans="1:2" x14ac:dyDescent="0.25">
      <c r="A227" s="6" t="s">
        <v>1143</v>
      </c>
      <c r="B227" s="7">
        <v>15</v>
      </c>
    </row>
    <row r="228" spans="1:2" x14ac:dyDescent="0.25">
      <c r="A228" s="6" t="s">
        <v>1034</v>
      </c>
      <c r="B228" s="7">
        <v>15</v>
      </c>
    </row>
    <row r="229" spans="1:2" x14ac:dyDescent="0.25">
      <c r="A229" s="6" t="s">
        <v>1149</v>
      </c>
      <c r="B229" s="7">
        <v>15</v>
      </c>
    </row>
    <row r="230" spans="1:2" x14ac:dyDescent="0.25">
      <c r="A230" s="6" t="s">
        <v>1602</v>
      </c>
      <c r="B230" s="7">
        <v>15</v>
      </c>
    </row>
    <row r="231" spans="1:2" x14ac:dyDescent="0.25">
      <c r="A231" s="6" t="s">
        <v>407</v>
      </c>
      <c r="B231" s="7">
        <v>15</v>
      </c>
    </row>
    <row r="232" spans="1:2" x14ac:dyDescent="0.25">
      <c r="A232" s="6" t="s">
        <v>1056</v>
      </c>
      <c r="B232" s="7">
        <v>15</v>
      </c>
    </row>
    <row r="233" spans="1:2" x14ac:dyDescent="0.25">
      <c r="A233" s="6" t="s">
        <v>1828</v>
      </c>
      <c r="B233" s="7">
        <v>15</v>
      </c>
    </row>
    <row r="234" spans="1:2" x14ac:dyDescent="0.25">
      <c r="A234" s="6" t="s">
        <v>1220</v>
      </c>
      <c r="B234" s="7">
        <v>15</v>
      </c>
    </row>
    <row r="235" spans="1:2" x14ac:dyDescent="0.25">
      <c r="A235" s="6" t="s">
        <v>1256</v>
      </c>
      <c r="B235" s="7">
        <v>15</v>
      </c>
    </row>
    <row r="236" spans="1:2" x14ac:dyDescent="0.25">
      <c r="A236" s="6" t="s">
        <v>1258</v>
      </c>
      <c r="B236" s="7">
        <v>15</v>
      </c>
    </row>
    <row r="237" spans="1:2" x14ac:dyDescent="0.25">
      <c r="A237" s="6" t="s">
        <v>1147</v>
      </c>
      <c r="B237" s="7">
        <v>15</v>
      </c>
    </row>
    <row r="238" spans="1:2" x14ac:dyDescent="0.25">
      <c r="A238" s="6" t="s">
        <v>1087</v>
      </c>
      <c r="B238" s="7">
        <v>15</v>
      </c>
    </row>
    <row r="239" spans="1:2" x14ac:dyDescent="0.25">
      <c r="A239" s="6" t="s">
        <v>1752</v>
      </c>
      <c r="B239" s="7">
        <v>15</v>
      </c>
    </row>
    <row r="240" spans="1:2" x14ac:dyDescent="0.25">
      <c r="A240" s="6" t="s">
        <v>1230</v>
      </c>
      <c r="B240" s="7">
        <v>15</v>
      </c>
    </row>
    <row r="241" spans="1:2" x14ac:dyDescent="0.25">
      <c r="A241" s="6" t="s">
        <v>1116</v>
      </c>
      <c r="B241" s="7">
        <v>15</v>
      </c>
    </row>
    <row r="242" spans="1:2" x14ac:dyDescent="0.25">
      <c r="A242" s="6" t="s">
        <v>1758</v>
      </c>
      <c r="B242" s="7">
        <v>15</v>
      </c>
    </row>
    <row r="243" spans="1:2" x14ac:dyDescent="0.25">
      <c r="A243" s="6" t="s">
        <v>1808</v>
      </c>
      <c r="B243" s="7">
        <v>15</v>
      </c>
    </row>
    <row r="244" spans="1:2" x14ac:dyDescent="0.25">
      <c r="A244" s="6" t="s">
        <v>758</v>
      </c>
      <c r="B244" s="7">
        <v>15</v>
      </c>
    </row>
    <row r="245" spans="1:2" x14ac:dyDescent="0.25">
      <c r="A245" s="6" t="s">
        <v>1862</v>
      </c>
      <c r="B245" s="7">
        <v>15</v>
      </c>
    </row>
    <row r="246" spans="1:2" x14ac:dyDescent="0.25">
      <c r="A246" s="6" t="s">
        <v>459</v>
      </c>
      <c r="B246" s="7">
        <v>15</v>
      </c>
    </row>
    <row r="247" spans="1:2" x14ac:dyDescent="0.25">
      <c r="A247" s="6" t="s">
        <v>1642</v>
      </c>
      <c r="B247" s="7">
        <v>15</v>
      </c>
    </row>
    <row r="248" spans="1:2" x14ac:dyDescent="0.25">
      <c r="A248" s="6" t="s">
        <v>1196</v>
      </c>
      <c r="B248" s="7">
        <v>15</v>
      </c>
    </row>
    <row r="249" spans="1:2" x14ac:dyDescent="0.25">
      <c r="A249" s="6" t="s">
        <v>1854</v>
      </c>
      <c r="B249" s="7">
        <v>15</v>
      </c>
    </row>
    <row r="250" spans="1:2" x14ac:dyDescent="0.25">
      <c r="A250" s="6" t="s">
        <v>1120</v>
      </c>
      <c r="B250" s="7">
        <v>15</v>
      </c>
    </row>
    <row r="251" spans="1:2" x14ac:dyDescent="0.25">
      <c r="A251" s="6" t="s">
        <v>396</v>
      </c>
      <c r="B251" s="7">
        <v>15</v>
      </c>
    </row>
    <row r="252" spans="1:2" x14ac:dyDescent="0.25">
      <c r="A252" s="6" t="s">
        <v>1624</v>
      </c>
      <c r="B252" s="7">
        <v>15</v>
      </c>
    </row>
    <row r="253" spans="1:2" x14ac:dyDescent="0.25">
      <c r="A253" s="6" t="s">
        <v>1122</v>
      </c>
      <c r="B253" s="7">
        <v>15</v>
      </c>
    </row>
    <row r="254" spans="1:2" x14ac:dyDescent="0.25">
      <c r="A254" s="6" t="s">
        <v>397</v>
      </c>
      <c r="B254" s="7">
        <v>15</v>
      </c>
    </row>
    <row r="255" spans="1:2" x14ac:dyDescent="0.25">
      <c r="A255" s="6" t="s">
        <v>778</v>
      </c>
      <c r="B255" s="7">
        <v>15</v>
      </c>
    </row>
    <row r="256" spans="1:2" x14ac:dyDescent="0.25">
      <c r="A256" s="6" t="s">
        <v>905</v>
      </c>
      <c r="B256" s="7">
        <v>15</v>
      </c>
    </row>
    <row r="257" spans="1:2" x14ac:dyDescent="0.25">
      <c r="A257" s="6" t="s">
        <v>1880</v>
      </c>
      <c r="B257" s="7">
        <v>15</v>
      </c>
    </row>
    <row r="258" spans="1:2" x14ac:dyDescent="0.25">
      <c r="A258" s="6" t="s">
        <v>247</v>
      </c>
      <c r="B258" s="7">
        <v>15</v>
      </c>
    </row>
    <row r="259" spans="1:2" x14ac:dyDescent="0.25">
      <c r="A259" s="6" t="s">
        <v>990</v>
      </c>
      <c r="B259" s="7">
        <v>15</v>
      </c>
    </row>
    <row r="260" spans="1:2" x14ac:dyDescent="0.25">
      <c r="A260" s="6" t="s">
        <v>374</v>
      </c>
      <c r="B260" s="7">
        <v>15</v>
      </c>
    </row>
    <row r="261" spans="1:2" x14ac:dyDescent="0.25">
      <c r="A261" s="6" t="s">
        <v>426</v>
      </c>
      <c r="B261" s="7">
        <v>15</v>
      </c>
    </row>
    <row r="262" spans="1:2" x14ac:dyDescent="0.25">
      <c r="A262" s="6" t="s">
        <v>139</v>
      </c>
      <c r="B262" s="7">
        <v>15</v>
      </c>
    </row>
    <row r="263" spans="1:2" x14ac:dyDescent="0.25">
      <c r="A263" s="6" t="s">
        <v>1856</v>
      </c>
      <c r="B263" s="7">
        <v>15</v>
      </c>
    </row>
    <row r="264" spans="1:2" x14ac:dyDescent="0.25">
      <c r="A264" s="6" t="s">
        <v>554</v>
      </c>
      <c r="B264" s="7">
        <v>15</v>
      </c>
    </row>
    <row r="265" spans="1:2" x14ac:dyDescent="0.25">
      <c r="A265" s="6" t="s">
        <v>420</v>
      </c>
      <c r="B265" s="7">
        <v>15</v>
      </c>
    </row>
    <row r="266" spans="1:2" x14ac:dyDescent="0.25">
      <c r="A266" s="6" t="s">
        <v>422</v>
      </c>
      <c r="B266" s="7">
        <v>15</v>
      </c>
    </row>
    <row r="267" spans="1:2" x14ac:dyDescent="0.25">
      <c r="A267" s="6" t="s">
        <v>424</v>
      </c>
      <c r="B267" s="7">
        <v>15</v>
      </c>
    </row>
    <row r="268" spans="1:2" x14ac:dyDescent="0.25">
      <c r="A268" s="6" t="s">
        <v>1881</v>
      </c>
      <c r="B268" s="7">
        <v>15</v>
      </c>
    </row>
    <row r="269" spans="1:2" x14ac:dyDescent="0.25">
      <c r="A269" s="6" t="s">
        <v>613</v>
      </c>
      <c r="B269" s="7">
        <v>15</v>
      </c>
    </row>
    <row r="270" spans="1:2" x14ac:dyDescent="0.25">
      <c r="A270" s="6" t="s">
        <v>762</v>
      </c>
      <c r="B270" s="7">
        <v>15</v>
      </c>
    </row>
    <row r="271" spans="1:2" x14ac:dyDescent="0.25">
      <c r="A271" s="6" t="s">
        <v>772</v>
      </c>
      <c r="B271" s="7">
        <v>15</v>
      </c>
    </row>
    <row r="272" spans="1:2" x14ac:dyDescent="0.25">
      <c r="A272" s="6" t="s">
        <v>566</v>
      </c>
      <c r="B272" s="7">
        <v>15</v>
      </c>
    </row>
    <row r="273" spans="1:2" x14ac:dyDescent="0.25">
      <c r="A273" s="6" t="s">
        <v>165</v>
      </c>
      <c r="B273" s="7">
        <v>15</v>
      </c>
    </row>
    <row r="274" spans="1:2" x14ac:dyDescent="0.25">
      <c r="A274" s="6" t="s">
        <v>167</v>
      </c>
      <c r="B274" s="7">
        <v>15</v>
      </c>
    </row>
    <row r="275" spans="1:2" x14ac:dyDescent="0.25">
      <c r="A275" s="6" t="s">
        <v>54</v>
      </c>
      <c r="B275" s="7">
        <v>15</v>
      </c>
    </row>
    <row r="276" spans="1:2" x14ac:dyDescent="0.25">
      <c r="A276" s="6" t="s">
        <v>1727</v>
      </c>
      <c r="B276" s="7">
        <v>15</v>
      </c>
    </row>
    <row r="277" spans="1:2" x14ac:dyDescent="0.25">
      <c r="A277" s="6" t="s">
        <v>46</v>
      </c>
      <c r="B277" s="7">
        <v>15</v>
      </c>
    </row>
    <row r="278" spans="1:2" x14ac:dyDescent="0.25">
      <c r="A278" s="6" t="s">
        <v>607</v>
      </c>
      <c r="B278" s="7">
        <v>15</v>
      </c>
    </row>
    <row r="279" spans="1:2" x14ac:dyDescent="0.25">
      <c r="A279" s="6" t="s">
        <v>609</v>
      </c>
      <c r="B279" s="7">
        <v>15</v>
      </c>
    </row>
    <row r="280" spans="1:2" x14ac:dyDescent="0.25">
      <c r="A280" s="6" t="s">
        <v>586</v>
      </c>
      <c r="B280" s="7">
        <v>15</v>
      </c>
    </row>
    <row r="281" spans="1:2" x14ac:dyDescent="0.25">
      <c r="A281" s="6" t="s">
        <v>1064</v>
      </c>
      <c r="B281" s="7">
        <v>15</v>
      </c>
    </row>
    <row r="282" spans="1:2" x14ac:dyDescent="0.25">
      <c r="A282" s="6" t="s">
        <v>936</v>
      </c>
      <c r="B282" s="7">
        <v>15</v>
      </c>
    </row>
    <row r="283" spans="1:2" x14ac:dyDescent="0.25">
      <c r="A283" s="6" t="s">
        <v>560</v>
      </c>
      <c r="B283" s="7">
        <v>15</v>
      </c>
    </row>
    <row r="284" spans="1:2" x14ac:dyDescent="0.25">
      <c r="A284" s="6" t="s">
        <v>570</v>
      </c>
      <c r="B284" s="7">
        <v>15</v>
      </c>
    </row>
    <row r="285" spans="1:2" x14ac:dyDescent="0.25">
      <c r="A285" s="6" t="s">
        <v>930</v>
      </c>
      <c r="B285" s="7">
        <v>15</v>
      </c>
    </row>
    <row r="286" spans="1:2" x14ac:dyDescent="0.25">
      <c r="A286" s="6" t="s">
        <v>163</v>
      </c>
      <c r="B286" s="7">
        <v>15</v>
      </c>
    </row>
    <row r="287" spans="1:2" x14ac:dyDescent="0.25">
      <c r="A287" s="6" t="s">
        <v>615</v>
      </c>
      <c r="B287" s="7">
        <v>15</v>
      </c>
    </row>
    <row r="288" spans="1:2" x14ac:dyDescent="0.25">
      <c r="A288" s="6" t="s">
        <v>926</v>
      </c>
      <c r="B288" s="7">
        <v>15</v>
      </c>
    </row>
    <row r="289" spans="1:2" x14ac:dyDescent="0.25">
      <c r="A289" s="6" t="s">
        <v>611</v>
      </c>
      <c r="B289" s="7">
        <v>15</v>
      </c>
    </row>
    <row r="290" spans="1:2" x14ac:dyDescent="0.25">
      <c r="A290" s="6" t="s">
        <v>1763</v>
      </c>
      <c r="B290" s="7">
        <v>15</v>
      </c>
    </row>
    <row r="291" spans="1:2" x14ac:dyDescent="0.25">
      <c r="A291" s="6" t="s">
        <v>155</v>
      </c>
      <c r="B291" s="7">
        <v>15</v>
      </c>
    </row>
    <row r="292" spans="1:2" x14ac:dyDescent="0.25">
      <c r="A292" s="6" t="s">
        <v>917</v>
      </c>
      <c r="B292" s="7">
        <v>15</v>
      </c>
    </row>
    <row r="293" spans="1:2" x14ac:dyDescent="0.25">
      <c r="A293" s="6" t="s">
        <v>768</v>
      </c>
      <c r="B293" s="7">
        <v>15</v>
      </c>
    </row>
    <row r="294" spans="1:2" x14ac:dyDescent="0.25">
      <c r="A294" s="6" t="s">
        <v>562</v>
      </c>
      <c r="B294" s="7">
        <v>15</v>
      </c>
    </row>
    <row r="295" spans="1:2" x14ac:dyDescent="0.25">
      <c r="A295" s="6" t="s">
        <v>564</v>
      </c>
      <c r="B295" s="7">
        <v>15</v>
      </c>
    </row>
    <row r="296" spans="1:2" x14ac:dyDescent="0.25">
      <c r="A296" s="6" t="s">
        <v>770</v>
      </c>
      <c r="B296" s="7">
        <v>15</v>
      </c>
    </row>
    <row r="297" spans="1:2" x14ac:dyDescent="0.25">
      <c r="A297" s="6" t="s">
        <v>588</v>
      </c>
      <c r="B297" s="7">
        <v>15</v>
      </c>
    </row>
    <row r="298" spans="1:2" x14ac:dyDescent="0.25">
      <c r="A298" s="6" t="s">
        <v>938</v>
      </c>
      <c r="B298" s="7">
        <v>15</v>
      </c>
    </row>
    <row r="299" spans="1:2" x14ac:dyDescent="0.25">
      <c r="A299" s="6" t="s">
        <v>919</v>
      </c>
      <c r="B299" s="7">
        <v>15</v>
      </c>
    </row>
    <row r="300" spans="1:2" x14ac:dyDescent="0.25">
      <c r="A300" s="6" t="s">
        <v>909</v>
      </c>
      <c r="B300" s="7">
        <v>15</v>
      </c>
    </row>
    <row r="301" spans="1:2" x14ac:dyDescent="0.25">
      <c r="A301" s="6" t="s">
        <v>774</v>
      </c>
      <c r="B301" s="7">
        <v>15</v>
      </c>
    </row>
    <row r="302" spans="1:2" x14ac:dyDescent="0.25">
      <c r="A302" s="6" t="s">
        <v>1283</v>
      </c>
      <c r="B302" s="7">
        <v>15</v>
      </c>
    </row>
    <row r="303" spans="1:2" x14ac:dyDescent="0.25">
      <c r="A303" s="6" t="s">
        <v>1281</v>
      </c>
      <c r="B303" s="7">
        <v>15</v>
      </c>
    </row>
    <row r="304" spans="1:2" x14ac:dyDescent="0.25">
      <c r="A304" s="6" t="s">
        <v>1285</v>
      </c>
      <c r="B304" s="7">
        <v>15</v>
      </c>
    </row>
    <row r="305" spans="1:2" x14ac:dyDescent="0.25">
      <c r="A305" s="6" t="s">
        <v>1108</v>
      </c>
      <c r="B305" s="7">
        <v>15</v>
      </c>
    </row>
    <row r="306" spans="1:2" x14ac:dyDescent="0.25">
      <c r="A306" s="6" t="s">
        <v>1279</v>
      </c>
      <c r="B306" s="7">
        <v>15</v>
      </c>
    </row>
    <row r="307" spans="1:2" x14ac:dyDescent="0.25">
      <c r="A307" s="6" t="s">
        <v>1750</v>
      </c>
      <c r="B307" s="7">
        <v>15</v>
      </c>
    </row>
    <row r="308" spans="1:2" x14ac:dyDescent="0.25">
      <c r="A308" s="6" t="s">
        <v>1277</v>
      </c>
      <c r="B308" s="7">
        <v>15</v>
      </c>
    </row>
    <row r="309" spans="1:2" x14ac:dyDescent="0.25">
      <c r="A309" s="6" t="s">
        <v>1248</v>
      </c>
      <c r="B309" s="7">
        <v>15</v>
      </c>
    </row>
    <row r="310" spans="1:2" x14ac:dyDescent="0.25">
      <c r="A310" s="6" t="s">
        <v>556</v>
      </c>
      <c r="B310" s="7">
        <v>15</v>
      </c>
    </row>
    <row r="311" spans="1:2" x14ac:dyDescent="0.25">
      <c r="A311" s="6" t="s">
        <v>73</v>
      </c>
      <c r="B311" s="7">
        <v>15</v>
      </c>
    </row>
    <row r="312" spans="1:2" x14ac:dyDescent="0.25">
      <c r="A312" s="6" t="s">
        <v>71</v>
      </c>
      <c r="B312" s="7">
        <v>15</v>
      </c>
    </row>
    <row r="313" spans="1:2" x14ac:dyDescent="0.25">
      <c r="A313" s="6" t="s">
        <v>336</v>
      </c>
      <c r="B313" s="7">
        <v>15</v>
      </c>
    </row>
    <row r="314" spans="1:2" x14ac:dyDescent="0.25">
      <c r="A314" s="6" t="s">
        <v>948</v>
      </c>
      <c r="B314" s="7">
        <v>15</v>
      </c>
    </row>
    <row r="315" spans="1:2" x14ac:dyDescent="0.25">
      <c r="A315" s="6" t="s">
        <v>1030</v>
      </c>
      <c r="B315" s="7">
        <v>15</v>
      </c>
    </row>
    <row r="316" spans="1:2" x14ac:dyDescent="0.25">
      <c r="A316" s="6" t="s">
        <v>1077</v>
      </c>
      <c r="B316" s="7">
        <v>15</v>
      </c>
    </row>
    <row r="317" spans="1:2" x14ac:dyDescent="0.25">
      <c r="A317" s="6" t="s">
        <v>230</v>
      </c>
      <c r="B317" s="7">
        <v>15</v>
      </c>
    </row>
    <row r="318" spans="1:2" x14ac:dyDescent="0.25">
      <c r="A318" s="6" t="s">
        <v>1882</v>
      </c>
      <c r="B318" s="7">
        <v>15</v>
      </c>
    </row>
    <row r="319" spans="1:2" x14ac:dyDescent="0.25">
      <c r="A319" s="8" t="s">
        <v>1883</v>
      </c>
      <c r="B319" s="7">
        <v>15</v>
      </c>
    </row>
    <row r="320" spans="1:2" x14ac:dyDescent="0.25">
      <c r="A320" s="6" t="s">
        <v>1884</v>
      </c>
      <c r="B320" s="7">
        <v>15</v>
      </c>
    </row>
    <row r="321" spans="1:2" x14ac:dyDescent="0.25">
      <c r="A321" s="6" t="s">
        <v>1885</v>
      </c>
      <c r="B321" s="7">
        <v>15</v>
      </c>
    </row>
    <row r="322" spans="1:2" x14ac:dyDescent="0.25">
      <c r="A322" s="6" t="s">
        <v>453</v>
      </c>
      <c r="B322" s="7">
        <v>15</v>
      </c>
    </row>
    <row r="323" spans="1:2" x14ac:dyDescent="0.25">
      <c r="A323" s="9" t="s">
        <v>454</v>
      </c>
      <c r="B323" s="7">
        <v>15</v>
      </c>
    </row>
    <row r="324" spans="1:2" x14ac:dyDescent="0.25">
      <c r="A324" s="6" t="s">
        <v>1886</v>
      </c>
      <c r="B324" s="7">
        <v>15</v>
      </c>
    </row>
    <row r="325" spans="1:2" x14ac:dyDescent="0.25">
      <c r="A325" s="6" t="s">
        <v>1887</v>
      </c>
      <c r="B325" s="7">
        <v>15</v>
      </c>
    </row>
    <row r="326" spans="1:2" x14ac:dyDescent="0.25">
      <c r="A326" s="6" t="s">
        <v>324</v>
      </c>
      <c r="B326" s="7">
        <v>15</v>
      </c>
    </row>
    <row r="327" spans="1:2" x14ac:dyDescent="0.25">
      <c r="A327" s="6" t="s">
        <v>992</v>
      </c>
      <c r="B327" s="7">
        <v>15</v>
      </c>
    </row>
    <row r="328" spans="1:2" x14ac:dyDescent="0.25">
      <c r="A328" s="6" t="s">
        <v>972</v>
      </c>
      <c r="B328" s="7">
        <v>15</v>
      </c>
    </row>
    <row r="329" spans="1:2" x14ac:dyDescent="0.25">
      <c r="A329" s="6" t="s">
        <v>207</v>
      </c>
      <c r="B329" s="7">
        <v>15</v>
      </c>
    </row>
    <row r="330" spans="1:2" x14ac:dyDescent="0.25">
      <c r="A330" s="6" t="s">
        <v>1812</v>
      </c>
      <c r="B330" s="7">
        <v>15</v>
      </c>
    </row>
    <row r="331" spans="1:2" x14ac:dyDescent="0.25">
      <c r="A331" s="6" t="s">
        <v>368</v>
      </c>
      <c r="B331" s="7">
        <v>15</v>
      </c>
    </row>
    <row r="332" spans="1:2" x14ac:dyDescent="0.25">
      <c r="A332" s="6" t="s">
        <v>446</v>
      </c>
      <c r="B332" s="7">
        <v>15</v>
      </c>
    </row>
    <row r="333" spans="1:2" x14ac:dyDescent="0.25">
      <c r="A333" s="6" t="s">
        <v>51</v>
      </c>
      <c r="B333" s="7">
        <v>15</v>
      </c>
    </row>
    <row r="334" spans="1:2" x14ac:dyDescent="0.25">
      <c r="A334" s="6" t="s">
        <v>387</v>
      </c>
      <c r="B334" s="7">
        <v>15</v>
      </c>
    </row>
    <row r="335" spans="1:2" x14ac:dyDescent="0.25">
      <c r="A335" s="6" t="s">
        <v>259</v>
      </c>
      <c r="B335" s="7">
        <v>15</v>
      </c>
    </row>
    <row r="336" spans="1:2" x14ac:dyDescent="0.25">
      <c r="A336" s="6" t="s">
        <v>253</v>
      </c>
      <c r="B336" s="7">
        <v>15</v>
      </c>
    </row>
    <row r="337" spans="1:2" x14ac:dyDescent="0.25">
      <c r="A337" s="6" t="s">
        <v>159</v>
      </c>
      <c r="B337" s="7">
        <v>15</v>
      </c>
    </row>
    <row r="338" spans="1:2" x14ac:dyDescent="0.25">
      <c r="A338" s="6" t="s">
        <v>265</v>
      </c>
      <c r="B338" s="7">
        <v>15</v>
      </c>
    </row>
    <row r="339" spans="1:2" x14ac:dyDescent="0.25">
      <c r="A339" s="6" t="s">
        <v>1004</v>
      </c>
      <c r="B339" s="7">
        <v>15</v>
      </c>
    </row>
    <row r="340" spans="1:2" x14ac:dyDescent="0.25">
      <c r="A340" s="6" t="s">
        <v>998</v>
      </c>
      <c r="B340" s="7">
        <v>15</v>
      </c>
    </row>
    <row r="341" spans="1:2" x14ac:dyDescent="0.25">
      <c r="A341" s="6" t="s">
        <v>119</v>
      </c>
      <c r="B341" s="7">
        <v>15</v>
      </c>
    </row>
    <row r="342" spans="1:2" x14ac:dyDescent="0.25">
      <c r="A342" s="6" t="s">
        <v>105</v>
      </c>
      <c r="B342" s="7">
        <v>15</v>
      </c>
    </row>
    <row r="343" spans="1:2" x14ac:dyDescent="0.25">
      <c r="A343" s="6" t="s">
        <v>1000</v>
      </c>
      <c r="B343" s="7">
        <v>15</v>
      </c>
    </row>
    <row r="344" spans="1:2" x14ac:dyDescent="0.25">
      <c r="A344" s="6" t="s">
        <v>1620</v>
      </c>
      <c r="B344" s="7">
        <v>15</v>
      </c>
    </row>
    <row r="345" spans="1:2" x14ac:dyDescent="0.25">
      <c r="A345" s="6" t="s">
        <v>1888</v>
      </c>
      <c r="B345" s="7">
        <v>15</v>
      </c>
    </row>
    <row r="346" spans="1:2" x14ac:dyDescent="0.25">
      <c r="A346" s="6" t="s">
        <v>383</v>
      </c>
      <c r="B346" s="7">
        <v>15</v>
      </c>
    </row>
    <row r="347" spans="1:2" x14ac:dyDescent="0.25">
      <c r="A347" s="6" t="s">
        <v>48</v>
      </c>
      <c r="B347" s="7">
        <v>15</v>
      </c>
    </row>
    <row r="348" spans="1:2" x14ac:dyDescent="0.25">
      <c r="A348" s="6" t="s">
        <v>107</v>
      </c>
      <c r="B348" s="7">
        <v>15</v>
      </c>
    </row>
    <row r="349" spans="1:2" x14ac:dyDescent="0.25">
      <c r="A349" s="6" t="s">
        <v>352</v>
      </c>
      <c r="B349" s="7">
        <v>15</v>
      </c>
    </row>
    <row r="350" spans="1:2" x14ac:dyDescent="0.25">
      <c r="A350" s="6" t="s">
        <v>403</v>
      </c>
      <c r="B350" s="7">
        <v>15</v>
      </c>
    </row>
    <row r="351" spans="1:2" x14ac:dyDescent="0.25">
      <c r="A351" s="6" t="s">
        <v>405</v>
      </c>
      <c r="B351" s="7">
        <v>15</v>
      </c>
    </row>
    <row r="352" spans="1:2" x14ac:dyDescent="0.25">
      <c r="A352" s="6" t="s">
        <v>1006</v>
      </c>
      <c r="B352" s="7">
        <v>15</v>
      </c>
    </row>
    <row r="353" spans="1:2" x14ac:dyDescent="0.25">
      <c r="A353" s="6" t="s">
        <v>344</v>
      </c>
      <c r="B353" s="7">
        <v>15</v>
      </c>
    </row>
    <row r="354" spans="1:2" x14ac:dyDescent="0.25">
      <c r="A354" s="6" t="s">
        <v>338</v>
      </c>
      <c r="B354" s="7">
        <v>15</v>
      </c>
    </row>
    <row r="355" spans="1:2" x14ac:dyDescent="0.25">
      <c r="A355" s="6" t="s">
        <v>216</v>
      </c>
      <c r="B355" s="7">
        <v>15</v>
      </c>
    </row>
    <row r="356" spans="1:2" x14ac:dyDescent="0.25">
      <c r="A356" s="6" t="s">
        <v>214</v>
      </c>
      <c r="B356" s="7">
        <v>15</v>
      </c>
    </row>
    <row r="357" spans="1:2" x14ac:dyDescent="0.25">
      <c r="A357" s="6" t="s">
        <v>940</v>
      </c>
      <c r="B357" s="7">
        <v>15</v>
      </c>
    </row>
    <row r="358" spans="1:2" x14ac:dyDescent="0.25">
      <c r="A358" s="6" t="s">
        <v>197</v>
      </c>
      <c r="B358" s="7">
        <v>15</v>
      </c>
    </row>
    <row r="359" spans="1:2" x14ac:dyDescent="0.25">
      <c r="A359" s="6" t="s">
        <v>442</v>
      </c>
      <c r="B359" s="7">
        <v>15</v>
      </c>
    </row>
    <row r="360" spans="1:2" x14ac:dyDescent="0.25">
      <c r="A360" s="6" t="s">
        <v>340</v>
      </c>
      <c r="B360" s="7">
        <v>15</v>
      </c>
    </row>
    <row r="361" spans="1:2" x14ac:dyDescent="0.25">
      <c r="A361" s="6" t="s">
        <v>350</v>
      </c>
      <c r="B361" s="7">
        <v>15</v>
      </c>
    </row>
    <row r="362" spans="1:2" x14ac:dyDescent="0.25">
      <c r="A362" s="6" t="s">
        <v>28</v>
      </c>
      <c r="B362" s="7">
        <v>15</v>
      </c>
    </row>
    <row r="363" spans="1:2" x14ac:dyDescent="0.25">
      <c r="A363" s="6" t="s">
        <v>77</v>
      </c>
      <c r="B363" s="7">
        <v>15</v>
      </c>
    </row>
    <row r="364" spans="1:2" x14ac:dyDescent="0.25">
      <c r="A364" s="6" t="s">
        <v>602</v>
      </c>
      <c r="B364" s="7">
        <v>15</v>
      </c>
    </row>
    <row r="365" spans="1:2" x14ac:dyDescent="0.25">
      <c r="A365" s="6" t="s">
        <v>255</v>
      </c>
      <c r="B365" s="7">
        <v>15</v>
      </c>
    </row>
    <row r="366" spans="1:2" x14ac:dyDescent="0.25">
      <c r="A366" s="6" t="s">
        <v>257</v>
      </c>
      <c r="B366" s="7">
        <v>15</v>
      </c>
    </row>
    <row r="367" spans="1:2" x14ac:dyDescent="0.25">
      <c r="A367" s="6" t="s">
        <v>261</v>
      </c>
      <c r="B367" s="7">
        <v>15</v>
      </c>
    </row>
    <row r="368" spans="1:2" x14ac:dyDescent="0.25">
      <c r="A368" s="6" t="s">
        <v>376</v>
      </c>
      <c r="B368" s="7">
        <v>15</v>
      </c>
    </row>
    <row r="369" spans="1:2" x14ac:dyDescent="0.25">
      <c r="A369" s="6" t="s">
        <v>142</v>
      </c>
      <c r="B369" s="7">
        <v>15</v>
      </c>
    </row>
    <row r="370" spans="1:2" x14ac:dyDescent="0.25">
      <c r="A370" s="6" t="s">
        <v>994</v>
      </c>
      <c r="B370" s="7">
        <v>15</v>
      </c>
    </row>
    <row r="371" spans="1:2" x14ac:dyDescent="0.25">
      <c r="A371" s="6" t="s">
        <v>326</v>
      </c>
      <c r="B371" s="7">
        <v>15</v>
      </c>
    </row>
    <row r="372" spans="1:2" x14ac:dyDescent="0.25">
      <c r="A372" s="6" t="s">
        <v>600</v>
      </c>
      <c r="B372" s="7">
        <v>15</v>
      </c>
    </row>
    <row r="373" spans="1:2" x14ac:dyDescent="0.25">
      <c r="A373" s="6" t="s">
        <v>271</v>
      </c>
      <c r="B373" s="7">
        <v>15</v>
      </c>
    </row>
    <row r="374" spans="1:2" x14ac:dyDescent="0.25">
      <c r="A374" s="6" t="s">
        <v>273</v>
      </c>
      <c r="B374" s="7">
        <v>15</v>
      </c>
    </row>
    <row r="375" spans="1:2" x14ac:dyDescent="0.25">
      <c r="A375" s="6" t="s">
        <v>275</v>
      </c>
      <c r="B375" s="7">
        <v>15</v>
      </c>
    </row>
    <row r="376" spans="1:2" x14ac:dyDescent="0.25">
      <c r="A376" s="6" t="s">
        <v>277</v>
      </c>
      <c r="B376" s="7">
        <v>15</v>
      </c>
    </row>
    <row r="377" spans="1:2" x14ac:dyDescent="0.25">
      <c r="A377" s="6" t="s">
        <v>203</v>
      </c>
      <c r="B377" s="7">
        <v>15</v>
      </c>
    </row>
    <row r="378" spans="1:2" x14ac:dyDescent="0.25">
      <c r="A378" s="6" t="s">
        <v>354</v>
      </c>
      <c r="B378" s="7">
        <v>15</v>
      </c>
    </row>
    <row r="379" spans="1:2" x14ac:dyDescent="0.25">
      <c r="A379" s="6" t="s">
        <v>91</v>
      </c>
      <c r="B379" s="7">
        <v>15</v>
      </c>
    </row>
    <row r="380" spans="1:2" x14ac:dyDescent="0.25">
      <c r="A380" s="6" t="s">
        <v>93</v>
      </c>
      <c r="B380" s="7">
        <v>15</v>
      </c>
    </row>
    <row r="381" spans="1:2" x14ac:dyDescent="0.25">
      <c r="A381" s="6" t="s">
        <v>90</v>
      </c>
      <c r="B381" s="7">
        <v>15</v>
      </c>
    </row>
    <row r="382" spans="1:2" x14ac:dyDescent="0.25">
      <c r="A382" s="6" t="s">
        <v>92</v>
      </c>
      <c r="B382" s="7">
        <v>15</v>
      </c>
    </row>
    <row r="383" spans="1:2" x14ac:dyDescent="0.25">
      <c r="A383" s="6" t="s">
        <v>996</v>
      </c>
      <c r="B383" s="7">
        <v>15</v>
      </c>
    </row>
    <row r="384" spans="1:2" x14ac:dyDescent="0.25">
      <c r="A384" s="6" t="s">
        <v>283</v>
      </c>
      <c r="B384" s="7">
        <v>15</v>
      </c>
    </row>
    <row r="385" spans="1:2" x14ac:dyDescent="0.25">
      <c r="A385" s="6" t="s">
        <v>717</v>
      </c>
      <c r="B385" s="7">
        <v>15</v>
      </c>
    </row>
    <row r="386" spans="1:2" x14ac:dyDescent="0.25">
      <c r="A386" s="6" t="s">
        <v>34</v>
      </c>
      <c r="B386" s="7">
        <v>15</v>
      </c>
    </row>
    <row r="387" spans="1:2" x14ac:dyDescent="0.25">
      <c r="A387" s="6" t="s">
        <v>32</v>
      </c>
      <c r="B387" s="7">
        <v>15</v>
      </c>
    </row>
    <row r="388" spans="1:2" x14ac:dyDescent="0.25">
      <c r="A388" s="6" t="s">
        <v>36</v>
      </c>
      <c r="B388" s="7">
        <v>15</v>
      </c>
    </row>
    <row r="389" spans="1:2" x14ac:dyDescent="0.25">
      <c r="A389" s="6" t="s">
        <v>209</v>
      </c>
      <c r="B389" s="7">
        <v>15</v>
      </c>
    </row>
    <row r="390" spans="1:2" x14ac:dyDescent="0.25">
      <c r="A390" s="6" t="s">
        <v>293</v>
      </c>
      <c r="B390" s="7">
        <v>15</v>
      </c>
    </row>
    <row r="391" spans="1:2" x14ac:dyDescent="0.25">
      <c r="A391" s="6" t="s">
        <v>309</v>
      </c>
      <c r="B391" s="7">
        <v>15</v>
      </c>
    </row>
    <row r="392" spans="1:2" x14ac:dyDescent="0.25">
      <c r="A392" s="6" t="s">
        <v>311</v>
      </c>
      <c r="B392" s="7">
        <v>15</v>
      </c>
    </row>
    <row r="393" spans="1:2" x14ac:dyDescent="0.25">
      <c r="A393" s="6" t="s">
        <v>452</v>
      </c>
      <c r="B393" s="7">
        <v>15</v>
      </c>
    </row>
    <row r="394" spans="1:2" x14ac:dyDescent="0.25">
      <c r="A394" s="6" t="s">
        <v>21</v>
      </c>
      <c r="B394" s="7">
        <v>15</v>
      </c>
    </row>
    <row r="395" spans="1:2" x14ac:dyDescent="0.25">
      <c r="A395" s="6" t="s">
        <v>455</v>
      </c>
      <c r="B395" s="7">
        <v>15</v>
      </c>
    </row>
    <row r="396" spans="1:2" x14ac:dyDescent="0.25">
      <c r="A396" s="6" t="s">
        <v>596</v>
      </c>
      <c r="B396" s="7">
        <v>15</v>
      </c>
    </row>
    <row r="397" spans="1:2" x14ac:dyDescent="0.25">
      <c r="A397" s="6" t="s">
        <v>598</v>
      </c>
      <c r="B397" s="7">
        <v>15</v>
      </c>
    </row>
    <row r="398" spans="1:2" x14ac:dyDescent="0.25">
      <c r="A398" s="6" t="s">
        <v>279</v>
      </c>
      <c r="B398" s="7">
        <v>15</v>
      </c>
    </row>
    <row r="399" spans="1:2" x14ac:dyDescent="0.25">
      <c r="A399" s="6" t="s">
        <v>281</v>
      </c>
      <c r="B399" s="7">
        <v>15</v>
      </c>
    </row>
    <row r="400" spans="1:2" x14ac:dyDescent="0.25">
      <c r="A400" s="6" t="s">
        <v>1026</v>
      </c>
      <c r="B400" s="7">
        <v>15</v>
      </c>
    </row>
    <row r="401" spans="1:2" x14ac:dyDescent="0.25">
      <c r="A401" s="6" t="s">
        <v>389</v>
      </c>
      <c r="B401" s="7">
        <v>15</v>
      </c>
    </row>
    <row r="402" spans="1:2" x14ac:dyDescent="0.25">
      <c r="A402" s="6" t="s">
        <v>1204</v>
      </c>
      <c r="B402" s="7">
        <v>15</v>
      </c>
    </row>
    <row r="403" spans="1:2" x14ac:dyDescent="0.25">
      <c r="A403" s="6" t="s">
        <v>305</v>
      </c>
      <c r="B403" s="7">
        <v>15</v>
      </c>
    </row>
    <row r="404" spans="1:2" x14ac:dyDescent="0.25">
      <c r="A404" s="6" t="s">
        <v>381</v>
      </c>
      <c r="B404" s="7">
        <v>15</v>
      </c>
    </row>
    <row r="405" spans="1:2" x14ac:dyDescent="0.25">
      <c r="A405" s="6" t="s">
        <v>225</v>
      </c>
      <c r="B405" s="7">
        <v>15</v>
      </c>
    </row>
    <row r="406" spans="1:2" x14ac:dyDescent="0.25">
      <c r="A406" s="6" t="s">
        <v>536</v>
      </c>
      <c r="B406" s="7">
        <v>15</v>
      </c>
    </row>
    <row r="407" spans="1:2" x14ac:dyDescent="0.25">
      <c r="A407" s="6" t="s">
        <v>457</v>
      </c>
      <c r="B407" s="7">
        <v>15</v>
      </c>
    </row>
    <row r="408" spans="1:2" x14ac:dyDescent="0.25">
      <c r="A408" s="6" t="s">
        <v>227</v>
      </c>
      <c r="B408" s="7">
        <v>15</v>
      </c>
    </row>
    <row r="409" spans="1:2" x14ac:dyDescent="0.25">
      <c r="A409" s="6" t="s">
        <v>1590</v>
      </c>
      <c r="B409" s="7">
        <v>15</v>
      </c>
    </row>
    <row r="410" spans="1:2" x14ac:dyDescent="0.25">
      <c r="A410" s="6" t="s">
        <v>1592</v>
      </c>
      <c r="B410" s="7">
        <v>15</v>
      </c>
    </row>
    <row r="411" spans="1:2" x14ac:dyDescent="0.25">
      <c r="A411" s="6" t="s">
        <v>1581</v>
      </c>
      <c r="B411" s="7">
        <v>15</v>
      </c>
    </row>
    <row r="412" spans="1:2" x14ac:dyDescent="0.25">
      <c r="A412" s="6" t="s">
        <v>60</v>
      </c>
      <c r="B412" s="7">
        <v>15</v>
      </c>
    </row>
    <row r="413" spans="1:2" x14ac:dyDescent="0.25">
      <c r="A413" s="6" t="s">
        <v>544</v>
      </c>
      <c r="B413" s="7">
        <v>15</v>
      </c>
    </row>
    <row r="414" spans="1:2" x14ac:dyDescent="0.25">
      <c r="A414" s="6" t="s">
        <v>9</v>
      </c>
      <c r="B414" s="7">
        <v>15</v>
      </c>
    </row>
    <row r="415" spans="1:2" x14ac:dyDescent="0.25">
      <c r="A415" s="6" t="s">
        <v>1494</v>
      </c>
      <c r="B415" s="7">
        <v>15</v>
      </c>
    </row>
    <row r="416" spans="1:2" x14ac:dyDescent="0.25">
      <c r="A416" s="6" t="s">
        <v>179</v>
      </c>
      <c r="B416" s="7">
        <v>15</v>
      </c>
    </row>
    <row r="417" spans="1:2" x14ac:dyDescent="0.25">
      <c r="A417" s="6" t="s">
        <v>181</v>
      </c>
      <c r="B417" s="7">
        <v>15</v>
      </c>
    </row>
    <row r="418" spans="1:2" x14ac:dyDescent="0.25">
      <c r="A418" s="6" t="s">
        <v>137</v>
      </c>
      <c r="B418" s="7">
        <v>15</v>
      </c>
    </row>
    <row r="419" spans="1:2" x14ac:dyDescent="0.25">
      <c r="A419" s="6" t="s">
        <v>183</v>
      </c>
      <c r="B419" s="7">
        <v>15</v>
      </c>
    </row>
    <row r="420" spans="1:2" x14ac:dyDescent="0.25">
      <c r="A420" s="6" t="s">
        <v>5</v>
      </c>
      <c r="B420" s="7">
        <v>15</v>
      </c>
    </row>
    <row r="421" spans="1:2" x14ac:dyDescent="0.25">
      <c r="A421" s="6" t="s">
        <v>11</v>
      </c>
      <c r="B421" s="7">
        <v>15</v>
      </c>
    </row>
    <row r="422" spans="1:2" x14ac:dyDescent="0.25">
      <c r="A422" s="6" t="s">
        <v>187</v>
      </c>
      <c r="B422" s="7">
        <v>15</v>
      </c>
    </row>
    <row r="423" spans="1:2" x14ac:dyDescent="0.25">
      <c r="A423" s="6" t="s">
        <v>1889</v>
      </c>
      <c r="B423" s="7">
        <v>15</v>
      </c>
    </row>
    <row r="424" spans="1:2" x14ac:dyDescent="0.25">
      <c r="A424" s="6" t="s">
        <v>1890</v>
      </c>
      <c r="B424" s="7">
        <v>15</v>
      </c>
    </row>
    <row r="425" spans="1:2" x14ac:dyDescent="0.25">
      <c r="A425" s="6" t="s">
        <v>1891</v>
      </c>
      <c r="B425" s="7">
        <v>15</v>
      </c>
    </row>
    <row r="426" spans="1:2" x14ac:dyDescent="0.25">
      <c r="A426" s="6" t="s">
        <v>1892</v>
      </c>
      <c r="B426" s="7">
        <v>15</v>
      </c>
    </row>
    <row r="427" spans="1:2" x14ac:dyDescent="0.25">
      <c r="A427" s="6" t="s">
        <v>1893</v>
      </c>
      <c r="B427" s="7">
        <v>15</v>
      </c>
    </row>
    <row r="428" spans="1:2" x14ac:dyDescent="0.25">
      <c r="A428" s="6" t="s">
        <v>1016</v>
      </c>
      <c r="B428" s="7">
        <v>15</v>
      </c>
    </row>
    <row r="429" spans="1:2" x14ac:dyDescent="0.25">
      <c r="A429" s="6" t="s">
        <v>776</v>
      </c>
      <c r="B429" s="7">
        <v>15</v>
      </c>
    </row>
    <row r="430" spans="1:2" x14ac:dyDescent="0.25">
      <c r="A430" s="6" t="s">
        <v>1894</v>
      </c>
      <c r="B430" s="7">
        <v>15</v>
      </c>
    </row>
    <row r="431" spans="1:2" x14ac:dyDescent="0.25">
      <c r="A431" s="6" t="s">
        <v>222</v>
      </c>
      <c r="B431" s="7">
        <v>15</v>
      </c>
    </row>
    <row r="432" spans="1:2" x14ac:dyDescent="0.25">
      <c r="A432" s="6" t="s">
        <v>287</v>
      </c>
      <c r="B432" s="7">
        <v>15</v>
      </c>
    </row>
    <row r="433" spans="1:2" x14ac:dyDescent="0.25">
      <c r="A433" s="6" t="s">
        <v>748</v>
      </c>
      <c r="B433" s="7">
        <v>15</v>
      </c>
    </row>
    <row r="434" spans="1:2" x14ac:dyDescent="0.25">
      <c r="A434" s="6" t="s">
        <v>1895</v>
      </c>
      <c r="B434" s="7">
        <v>15</v>
      </c>
    </row>
    <row r="435" spans="1:2" x14ac:dyDescent="0.25">
      <c r="A435" s="6" t="s">
        <v>1896</v>
      </c>
      <c r="B435" s="7">
        <v>15</v>
      </c>
    </row>
    <row r="436" spans="1:2" x14ac:dyDescent="0.25">
      <c r="A436" s="6" t="s">
        <v>1897</v>
      </c>
      <c r="B436" s="7">
        <v>15</v>
      </c>
    </row>
    <row r="437" spans="1:2" x14ac:dyDescent="0.25">
      <c r="A437" s="6" t="s">
        <v>1898</v>
      </c>
      <c r="B437" s="7">
        <v>15</v>
      </c>
    </row>
    <row r="438" spans="1:2" x14ac:dyDescent="0.25">
      <c r="A438" s="6" t="s">
        <v>1899</v>
      </c>
      <c r="B438" s="7">
        <v>15</v>
      </c>
    </row>
    <row r="439" spans="1:2" x14ac:dyDescent="0.25">
      <c r="A439" s="6" t="s">
        <v>1900</v>
      </c>
      <c r="B439" s="7">
        <v>15</v>
      </c>
    </row>
    <row r="440" spans="1:2" x14ac:dyDescent="0.25">
      <c r="A440" s="6" t="s">
        <v>334</v>
      </c>
      <c r="B440" s="7">
        <v>15</v>
      </c>
    </row>
    <row r="441" spans="1:2" x14ac:dyDescent="0.25">
      <c r="A441" s="6" t="s">
        <v>1073</v>
      </c>
      <c r="B441" s="7">
        <v>15</v>
      </c>
    </row>
    <row r="442" spans="1:2" x14ac:dyDescent="0.25">
      <c r="A442" s="6" t="s">
        <v>285</v>
      </c>
      <c r="B442" s="7">
        <v>25</v>
      </c>
    </row>
    <row r="443" spans="1:2" x14ac:dyDescent="0.25">
      <c r="A443" s="6" t="s">
        <v>1901</v>
      </c>
      <c r="B443" s="7">
        <v>25</v>
      </c>
    </row>
    <row r="444" spans="1:2" x14ac:dyDescent="0.25">
      <c r="A444" s="6" t="s">
        <v>1902</v>
      </c>
      <c r="B444" s="7">
        <v>25</v>
      </c>
    </row>
    <row r="445" spans="1:2" x14ac:dyDescent="0.25">
      <c r="A445" s="6" t="s">
        <v>887</v>
      </c>
      <c r="B445" s="7">
        <v>25</v>
      </c>
    </row>
    <row r="446" spans="1:2" x14ac:dyDescent="0.25">
      <c r="A446" s="6" t="s">
        <v>1103</v>
      </c>
      <c r="B446" s="7">
        <v>25</v>
      </c>
    </row>
    <row r="447" spans="1:2" x14ac:dyDescent="0.25">
      <c r="A447" s="6" t="s">
        <v>1738</v>
      </c>
      <c r="B447" s="7">
        <v>25</v>
      </c>
    </row>
    <row r="448" spans="1:2" x14ac:dyDescent="0.25">
      <c r="A448" s="6" t="s">
        <v>750</v>
      </c>
      <c r="B448" s="7">
        <v>25</v>
      </c>
    </row>
    <row r="449" spans="1:2" x14ac:dyDescent="0.25">
      <c r="A449" s="6" t="s">
        <v>224</v>
      </c>
      <c r="B449" s="7">
        <v>25</v>
      </c>
    </row>
    <row r="450" spans="1:2" x14ac:dyDescent="0.25">
      <c r="A450" s="6" t="s">
        <v>66</v>
      </c>
      <c r="B450" s="7">
        <v>25</v>
      </c>
    </row>
    <row r="451" spans="1:2" x14ac:dyDescent="0.25">
      <c r="A451" s="6" t="s">
        <v>62</v>
      </c>
      <c r="B451" s="7">
        <v>25</v>
      </c>
    </row>
    <row r="452" spans="1:2" x14ac:dyDescent="0.25">
      <c r="A452" s="6" t="s">
        <v>1028</v>
      </c>
      <c r="B452" s="7">
        <v>25</v>
      </c>
    </row>
    <row r="453" spans="1:2" x14ac:dyDescent="0.25">
      <c r="A453" s="6" t="s">
        <v>173</v>
      </c>
      <c r="B453" s="7">
        <v>25</v>
      </c>
    </row>
    <row r="454" spans="1:2" x14ac:dyDescent="0.25">
      <c r="A454" s="6" t="s">
        <v>169</v>
      </c>
      <c r="B454" s="7">
        <v>25</v>
      </c>
    </row>
    <row r="455" spans="1:2" x14ac:dyDescent="0.25">
      <c r="A455" s="6" t="s">
        <v>723</v>
      </c>
      <c r="B455" s="7">
        <v>25</v>
      </c>
    </row>
    <row r="456" spans="1:2" x14ac:dyDescent="0.25">
      <c r="A456" s="6" t="s">
        <v>732</v>
      </c>
      <c r="B456" s="7">
        <v>25</v>
      </c>
    </row>
    <row r="457" spans="1:2" x14ac:dyDescent="0.25">
      <c r="A457" s="6" t="s">
        <v>746</v>
      </c>
      <c r="B457" s="7">
        <v>25</v>
      </c>
    </row>
    <row r="458" spans="1:2" x14ac:dyDescent="0.25">
      <c r="A458" s="6" t="s">
        <v>437</v>
      </c>
      <c r="B458" s="7">
        <v>25</v>
      </c>
    </row>
    <row r="459" spans="1:2" x14ac:dyDescent="0.25">
      <c r="A459" s="6" t="s">
        <v>435</v>
      </c>
      <c r="B459" s="7">
        <v>25</v>
      </c>
    </row>
    <row r="460" spans="1:2" x14ac:dyDescent="0.25">
      <c r="A460" s="6" t="s">
        <v>1177</v>
      </c>
      <c r="B460" s="7">
        <v>25</v>
      </c>
    </row>
    <row r="461" spans="1:2" x14ac:dyDescent="0.25">
      <c r="A461" s="6" t="s">
        <v>1179</v>
      </c>
      <c r="B461" s="7">
        <v>25</v>
      </c>
    </row>
    <row r="462" spans="1:2" x14ac:dyDescent="0.25">
      <c r="A462" s="6" t="s">
        <v>1155</v>
      </c>
      <c r="B462" s="7">
        <v>25</v>
      </c>
    </row>
    <row r="463" spans="1:2" x14ac:dyDescent="0.25">
      <c r="A463" s="6" t="s">
        <v>1652</v>
      </c>
      <c r="B463" s="7">
        <v>25</v>
      </c>
    </row>
    <row r="464" spans="1:2" x14ac:dyDescent="0.25">
      <c r="A464" s="6" t="s">
        <v>143</v>
      </c>
      <c r="B464" s="7">
        <v>25</v>
      </c>
    </row>
    <row r="465" spans="1:2" x14ac:dyDescent="0.25">
      <c r="A465" s="6" t="s">
        <v>22</v>
      </c>
      <c r="B465" s="7">
        <v>25</v>
      </c>
    </row>
    <row r="466" spans="1:2" x14ac:dyDescent="0.25">
      <c r="A466" s="6" t="s">
        <v>532</v>
      </c>
      <c r="B466" s="7">
        <v>25</v>
      </c>
    </row>
    <row r="467" spans="1:2" x14ac:dyDescent="0.25">
      <c r="A467" s="6" t="s">
        <v>1713</v>
      </c>
      <c r="B467" s="7">
        <v>25</v>
      </c>
    </row>
    <row r="468" spans="1:2" x14ac:dyDescent="0.25">
      <c r="A468" s="6" t="s">
        <v>631</v>
      </c>
      <c r="B468" s="7">
        <v>25</v>
      </c>
    </row>
    <row r="469" spans="1:2" x14ac:dyDescent="0.25">
      <c r="A469" s="6" t="s">
        <v>877</v>
      </c>
      <c r="B469" s="7">
        <v>25</v>
      </c>
    </row>
    <row r="470" spans="1:2" x14ac:dyDescent="0.25">
      <c r="A470" s="6" t="s">
        <v>1442</v>
      </c>
      <c r="B470" s="7">
        <v>25</v>
      </c>
    </row>
    <row r="471" spans="1:2" x14ac:dyDescent="0.25">
      <c r="A471" s="6" t="s">
        <v>1903</v>
      </c>
      <c r="B471" s="7">
        <v>25</v>
      </c>
    </row>
    <row r="472" spans="1:2" x14ac:dyDescent="0.25">
      <c r="A472" s="6" t="s">
        <v>1658</v>
      </c>
      <c r="B472" s="7">
        <v>25</v>
      </c>
    </row>
    <row r="473" spans="1:2" x14ac:dyDescent="0.25">
      <c r="A473" s="6" t="s">
        <v>1904</v>
      </c>
      <c r="B473" s="7">
        <v>25</v>
      </c>
    </row>
    <row r="474" spans="1:2" x14ac:dyDescent="0.25">
      <c r="A474" s="6" t="s">
        <v>740</v>
      </c>
      <c r="B474" s="7">
        <v>25</v>
      </c>
    </row>
    <row r="475" spans="1:2" x14ac:dyDescent="0.25">
      <c r="A475" s="6" t="s">
        <v>1616</v>
      </c>
      <c r="B475" s="7">
        <v>25</v>
      </c>
    </row>
    <row r="476" spans="1:2" x14ac:dyDescent="0.25">
      <c r="A476" s="6" t="s">
        <v>1721</v>
      </c>
      <c r="B476" s="7">
        <v>25</v>
      </c>
    </row>
    <row r="477" spans="1:2" x14ac:dyDescent="0.25">
      <c r="A477" s="6" t="s">
        <v>1289</v>
      </c>
      <c r="B477" s="7">
        <v>25</v>
      </c>
    </row>
    <row r="478" spans="1:2" x14ac:dyDescent="0.25">
      <c r="A478" s="6" t="s">
        <v>145</v>
      </c>
      <c r="B478" s="7">
        <v>25</v>
      </c>
    </row>
    <row r="479" spans="1:2" x14ac:dyDescent="0.25">
      <c r="A479" s="6" t="s">
        <v>1429</v>
      </c>
      <c r="B479" s="7">
        <v>25</v>
      </c>
    </row>
    <row r="480" spans="1:2" x14ac:dyDescent="0.25">
      <c r="A480" s="6" t="s">
        <v>1421</v>
      </c>
      <c r="B480" s="7">
        <v>25</v>
      </c>
    </row>
    <row r="481" spans="1:2" x14ac:dyDescent="0.25">
      <c r="A481" s="6" t="s">
        <v>1425</v>
      </c>
      <c r="B481" s="7">
        <v>25</v>
      </c>
    </row>
    <row r="482" spans="1:2" x14ac:dyDescent="0.25">
      <c r="A482" s="6" t="s">
        <v>1431</v>
      </c>
      <c r="B482" s="7">
        <v>25</v>
      </c>
    </row>
    <row r="483" spans="1:2" x14ac:dyDescent="0.25">
      <c r="A483" s="6" t="s">
        <v>477</v>
      </c>
      <c r="B483" s="7">
        <v>25</v>
      </c>
    </row>
    <row r="484" spans="1:2" x14ac:dyDescent="0.25">
      <c r="A484" s="6" t="s">
        <v>1776</v>
      </c>
      <c r="B484" s="7">
        <v>25</v>
      </c>
    </row>
    <row r="485" spans="1:2" x14ac:dyDescent="0.25">
      <c r="A485" s="6" t="s">
        <v>1486</v>
      </c>
      <c r="B485" s="7">
        <v>25</v>
      </c>
    </row>
    <row r="486" spans="1:2" x14ac:dyDescent="0.25">
      <c r="A486" s="6" t="s">
        <v>1771</v>
      </c>
      <c r="B486" s="7">
        <v>25</v>
      </c>
    </row>
    <row r="487" spans="1:2" x14ac:dyDescent="0.25">
      <c r="A487" s="6" t="s">
        <v>1452</v>
      </c>
      <c r="B487" s="7">
        <v>25</v>
      </c>
    </row>
    <row r="488" spans="1:2" x14ac:dyDescent="0.25">
      <c r="A488" s="6" t="s">
        <v>1456</v>
      </c>
      <c r="B488" s="7">
        <v>25</v>
      </c>
    </row>
    <row r="489" spans="1:2" x14ac:dyDescent="0.25">
      <c r="A489" s="6" t="s">
        <v>1359</v>
      </c>
      <c r="B489" s="7">
        <v>25</v>
      </c>
    </row>
    <row r="490" spans="1:2" x14ac:dyDescent="0.25">
      <c r="A490" s="6" t="s">
        <v>815</v>
      </c>
      <c r="B490" s="7">
        <v>25</v>
      </c>
    </row>
    <row r="491" spans="1:2" x14ac:dyDescent="0.25">
      <c r="A491" s="6" t="s">
        <v>1454</v>
      </c>
      <c r="B491" s="7">
        <v>25</v>
      </c>
    </row>
    <row r="492" spans="1:2" x14ac:dyDescent="0.25">
      <c r="A492" s="6" t="s">
        <v>1577</v>
      </c>
      <c r="B492" s="7">
        <v>25</v>
      </c>
    </row>
    <row r="493" spans="1:2" x14ac:dyDescent="0.25">
      <c r="A493" s="6" t="s">
        <v>1905</v>
      </c>
      <c r="B493" s="7">
        <v>25</v>
      </c>
    </row>
    <row r="494" spans="1:2" x14ac:dyDescent="0.25">
      <c r="A494" s="6" t="s">
        <v>865</v>
      </c>
      <c r="B494" s="7">
        <v>25</v>
      </c>
    </row>
    <row r="495" spans="1:2" x14ac:dyDescent="0.25">
      <c r="A495" s="6" t="s">
        <v>1570</v>
      </c>
      <c r="B495" s="7">
        <v>25</v>
      </c>
    </row>
    <row r="496" spans="1:2" x14ac:dyDescent="0.25">
      <c r="A496" s="6" t="s">
        <v>1572</v>
      </c>
      <c r="B496" s="7">
        <v>25</v>
      </c>
    </row>
    <row r="497" spans="1:2" x14ac:dyDescent="0.25">
      <c r="A497" s="6" t="s">
        <v>708</v>
      </c>
      <c r="B497" s="7">
        <v>25</v>
      </c>
    </row>
    <row r="498" spans="1:2" x14ac:dyDescent="0.25">
      <c r="A498" s="6" t="s">
        <v>678</v>
      </c>
      <c r="B498" s="7">
        <v>25</v>
      </c>
    </row>
    <row r="499" spans="1:2" x14ac:dyDescent="0.25">
      <c r="A499" s="6" t="s">
        <v>471</v>
      </c>
      <c r="B499" s="7">
        <v>25</v>
      </c>
    </row>
    <row r="500" spans="1:2" x14ac:dyDescent="0.25">
      <c r="A500" s="6" t="s">
        <v>473</v>
      </c>
      <c r="B500" s="7">
        <v>25</v>
      </c>
    </row>
    <row r="501" spans="1:2" x14ac:dyDescent="0.25">
      <c r="A501" s="6" t="s">
        <v>1433</v>
      </c>
      <c r="B501" s="7">
        <v>25</v>
      </c>
    </row>
    <row r="502" spans="1:2" x14ac:dyDescent="0.25">
      <c r="A502" s="6" t="s">
        <v>1405</v>
      </c>
      <c r="B502" s="7">
        <v>25</v>
      </c>
    </row>
    <row r="503" spans="1:2" x14ac:dyDescent="0.25">
      <c r="A503" s="6" t="s">
        <v>1411</v>
      </c>
      <c r="B503" s="7">
        <v>25</v>
      </c>
    </row>
    <row r="504" spans="1:2" x14ac:dyDescent="0.25">
      <c r="A504" s="6" t="s">
        <v>1403</v>
      </c>
      <c r="B504" s="7">
        <v>25</v>
      </c>
    </row>
    <row r="505" spans="1:2" x14ac:dyDescent="0.25">
      <c r="A505" s="6" t="s">
        <v>1906</v>
      </c>
      <c r="B505" s="7">
        <v>25</v>
      </c>
    </row>
    <row r="506" spans="1:2" x14ac:dyDescent="0.25">
      <c r="A506" s="6" t="s">
        <v>1415</v>
      </c>
      <c r="B506" s="7">
        <v>25</v>
      </c>
    </row>
    <row r="507" spans="1:2" x14ac:dyDescent="0.25">
      <c r="A507" s="6" t="s">
        <v>1907</v>
      </c>
      <c r="B507" s="7">
        <v>25</v>
      </c>
    </row>
    <row r="508" spans="1:2" x14ac:dyDescent="0.25">
      <c r="A508" s="6" t="s">
        <v>1389</v>
      </c>
      <c r="B508" s="7">
        <v>25</v>
      </c>
    </row>
    <row r="509" spans="1:2" x14ac:dyDescent="0.25">
      <c r="A509" s="6" t="s">
        <v>1419</v>
      </c>
      <c r="B509" s="7">
        <v>25</v>
      </c>
    </row>
    <row r="510" spans="1:2" x14ac:dyDescent="0.25">
      <c r="A510" s="6" t="s">
        <v>691</v>
      </c>
      <c r="B510" s="7">
        <v>25</v>
      </c>
    </row>
    <row r="511" spans="1:2" x14ac:dyDescent="0.25">
      <c r="A511" s="6" t="s">
        <v>698</v>
      </c>
      <c r="B511" s="7">
        <v>25</v>
      </c>
    </row>
    <row r="512" spans="1:2" x14ac:dyDescent="0.25">
      <c r="A512" s="6" t="s">
        <v>700</v>
      </c>
      <c r="B512" s="7">
        <v>25</v>
      </c>
    </row>
    <row r="513" spans="1:2" x14ac:dyDescent="0.25">
      <c r="A513" s="6" t="s">
        <v>704</v>
      </c>
      <c r="B513" s="7">
        <v>25</v>
      </c>
    </row>
    <row r="514" spans="1:2" x14ac:dyDescent="0.25">
      <c r="A514" s="6" t="s">
        <v>1397</v>
      </c>
      <c r="B514" s="7">
        <v>25</v>
      </c>
    </row>
    <row r="515" spans="1:2" x14ac:dyDescent="0.25">
      <c r="A515" s="6" t="s">
        <v>1413</v>
      </c>
      <c r="B515" s="7">
        <v>25</v>
      </c>
    </row>
    <row r="516" spans="1:2" x14ac:dyDescent="0.25">
      <c r="A516" s="6" t="s">
        <v>851</v>
      </c>
      <c r="B516" s="7">
        <v>25</v>
      </c>
    </row>
    <row r="517" spans="1:2" x14ac:dyDescent="0.25">
      <c r="A517" s="6" t="s">
        <v>849</v>
      </c>
      <c r="B517" s="7">
        <v>25</v>
      </c>
    </row>
    <row r="518" spans="1:2" x14ac:dyDescent="0.25">
      <c r="A518" s="6" t="s">
        <v>1466</v>
      </c>
      <c r="B518" s="7">
        <v>25</v>
      </c>
    </row>
    <row r="519" spans="1:2" x14ac:dyDescent="0.25">
      <c r="A519" s="6" t="s">
        <v>1476</v>
      </c>
      <c r="B519" s="7">
        <v>25</v>
      </c>
    </row>
    <row r="520" spans="1:2" x14ac:dyDescent="0.25">
      <c r="A520" s="6" t="s">
        <v>1472</v>
      </c>
      <c r="B520" s="7">
        <v>25</v>
      </c>
    </row>
    <row r="521" spans="1:2" x14ac:dyDescent="0.25">
      <c r="A521" s="6" t="s">
        <v>1468</v>
      </c>
      <c r="B521" s="7">
        <v>25</v>
      </c>
    </row>
    <row r="522" spans="1:2" x14ac:dyDescent="0.25">
      <c r="A522" s="6" t="s">
        <v>1484</v>
      </c>
      <c r="B522" s="7">
        <v>25</v>
      </c>
    </row>
    <row r="523" spans="1:2" x14ac:dyDescent="0.25">
      <c r="A523" s="6" t="s">
        <v>857</v>
      </c>
      <c r="B523" s="7">
        <v>25</v>
      </c>
    </row>
    <row r="524" spans="1:2" x14ac:dyDescent="0.25">
      <c r="A524" s="6" t="s">
        <v>1474</v>
      </c>
      <c r="B524" s="7">
        <v>25</v>
      </c>
    </row>
    <row r="525" spans="1:2" x14ac:dyDescent="0.25">
      <c r="A525" s="6" t="s">
        <v>1478</v>
      </c>
      <c r="B525" s="7">
        <v>25</v>
      </c>
    </row>
    <row r="526" spans="1:2" x14ac:dyDescent="0.25">
      <c r="A526" s="6" t="s">
        <v>1317</v>
      </c>
      <c r="B526" s="7">
        <v>25</v>
      </c>
    </row>
    <row r="527" spans="1:2" x14ac:dyDescent="0.25">
      <c r="A527" s="6" t="s">
        <v>1319</v>
      </c>
      <c r="B527" s="7">
        <v>25</v>
      </c>
    </row>
    <row r="528" spans="1:2" x14ac:dyDescent="0.25">
      <c r="A528" s="6" t="s">
        <v>1331</v>
      </c>
      <c r="B528" s="7">
        <v>25</v>
      </c>
    </row>
    <row r="529" spans="1:2" x14ac:dyDescent="0.25">
      <c r="A529" s="6" t="s">
        <v>1347</v>
      </c>
      <c r="B529" s="7">
        <v>25</v>
      </c>
    </row>
    <row r="530" spans="1:2" x14ac:dyDescent="0.25">
      <c r="A530" s="6" t="s">
        <v>1341</v>
      </c>
      <c r="B530" s="7">
        <v>25</v>
      </c>
    </row>
    <row r="531" spans="1:2" x14ac:dyDescent="0.25">
      <c r="A531" s="6" t="s">
        <v>1349</v>
      </c>
      <c r="B531" s="7">
        <v>25</v>
      </c>
    </row>
    <row r="532" spans="1:2" x14ac:dyDescent="0.25">
      <c r="A532" s="6" t="s">
        <v>1343</v>
      </c>
      <c r="B532" s="7">
        <v>25</v>
      </c>
    </row>
    <row r="533" spans="1:2" x14ac:dyDescent="0.25">
      <c r="A533" s="6" t="s">
        <v>1313</v>
      </c>
      <c r="B533" s="7">
        <v>25</v>
      </c>
    </row>
    <row r="534" spans="1:2" x14ac:dyDescent="0.25">
      <c r="A534" s="6" t="s">
        <v>1315</v>
      </c>
      <c r="B534" s="7">
        <v>25</v>
      </c>
    </row>
    <row r="535" spans="1:2" x14ac:dyDescent="0.25">
      <c r="A535" s="6" t="s">
        <v>1339</v>
      </c>
      <c r="B535" s="7">
        <v>25</v>
      </c>
    </row>
    <row r="536" spans="1:2" x14ac:dyDescent="0.25">
      <c r="A536" s="6" t="s">
        <v>1345</v>
      </c>
      <c r="B536" s="7">
        <v>25</v>
      </c>
    </row>
    <row r="537" spans="1:2" x14ac:dyDescent="0.25">
      <c r="A537" s="6" t="s">
        <v>1293</v>
      </c>
      <c r="B537" s="7">
        <v>25</v>
      </c>
    </row>
    <row r="538" spans="1:2" x14ac:dyDescent="0.25">
      <c r="A538" s="6" t="s">
        <v>1295</v>
      </c>
      <c r="B538" s="7">
        <v>25</v>
      </c>
    </row>
    <row r="539" spans="1:2" x14ac:dyDescent="0.25">
      <c r="A539" s="6" t="s">
        <v>1297</v>
      </c>
      <c r="B539" s="7">
        <v>25</v>
      </c>
    </row>
    <row r="540" spans="1:2" x14ac:dyDescent="0.25">
      <c r="A540" s="6" t="s">
        <v>1321</v>
      </c>
      <c r="B540" s="7">
        <v>25</v>
      </c>
    </row>
    <row r="541" spans="1:2" x14ac:dyDescent="0.25">
      <c r="A541" s="6" t="s">
        <v>1323</v>
      </c>
      <c r="B541" s="7">
        <v>25</v>
      </c>
    </row>
    <row r="542" spans="1:2" x14ac:dyDescent="0.25">
      <c r="A542" s="6" t="s">
        <v>1327</v>
      </c>
      <c r="B542" s="7">
        <v>25</v>
      </c>
    </row>
    <row r="543" spans="1:2" x14ac:dyDescent="0.25">
      <c r="A543" s="6" t="s">
        <v>1299</v>
      </c>
      <c r="B543" s="7">
        <v>25</v>
      </c>
    </row>
    <row r="544" spans="1:2" x14ac:dyDescent="0.25">
      <c r="A544" s="6" t="s">
        <v>817</v>
      </c>
      <c r="B544" s="7">
        <v>25</v>
      </c>
    </row>
    <row r="545" spans="1:2" x14ac:dyDescent="0.25">
      <c r="A545" s="6" t="s">
        <v>809</v>
      </c>
      <c r="B545" s="7">
        <v>25</v>
      </c>
    </row>
    <row r="546" spans="1:2" x14ac:dyDescent="0.25">
      <c r="A546" s="6" t="s">
        <v>811</v>
      </c>
      <c r="B546" s="7">
        <v>25</v>
      </c>
    </row>
    <row r="547" spans="1:2" x14ac:dyDescent="0.25">
      <c r="A547" s="6" t="s">
        <v>1387</v>
      </c>
      <c r="B547" s="7">
        <v>25</v>
      </c>
    </row>
    <row r="548" spans="1:2" x14ac:dyDescent="0.25">
      <c r="A548" s="6" t="s">
        <v>672</v>
      </c>
      <c r="B548" s="7">
        <v>25</v>
      </c>
    </row>
    <row r="549" spans="1:2" x14ac:dyDescent="0.25">
      <c r="A549" s="6" t="s">
        <v>670</v>
      </c>
      <c r="B549" s="7">
        <v>25</v>
      </c>
    </row>
    <row r="550" spans="1:2" x14ac:dyDescent="0.25">
      <c r="A550" s="6" t="s">
        <v>461</v>
      </c>
      <c r="B550" s="7">
        <v>25</v>
      </c>
    </row>
    <row r="551" spans="1:2" x14ac:dyDescent="0.25">
      <c r="A551" s="6" t="s">
        <v>1500</v>
      </c>
      <c r="B551" s="7">
        <v>25</v>
      </c>
    </row>
    <row r="552" spans="1:2" x14ac:dyDescent="0.25">
      <c r="A552" s="6" t="s">
        <v>674</v>
      </c>
      <c r="B552" s="7">
        <v>25</v>
      </c>
    </row>
    <row r="553" spans="1:2" x14ac:dyDescent="0.25">
      <c r="A553" s="6" t="s">
        <v>676</v>
      </c>
      <c r="B553" s="7">
        <v>25</v>
      </c>
    </row>
    <row r="554" spans="1:2" x14ac:dyDescent="0.25">
      <c r="A554" s="6" t="s">
        <v>680</v>
      </c>
      <c r="B554" s="7">
        <v>25</v>
      </c>
    </row>
    <row r="555" spans="1:2" x14ac:dyDescent="0.25">
      <c r="A555" s="6" t="s">
        <v>1236</v>
      </c>
      <c r="B555" s="7">
        <v>25</v>
      </c>
    </row>
    <row r="556" spans="1:2" x14ac:dyDescent="0.25">
      <c r="A556" s="6" t="s">
        <v>1240</v>
      </c>
      <c r="B556" s="7">
        <v>25</v>
      </c>
    </row>
    <row r="557" spans="1:2" x14ac:dyDescent="0.25">
      <c r="A557" s="6" t="s">
        <v>1908</v>
      </c>
      <c r="B557" s="7">
        <v>25</v>
      </c>
    </row>
    <row r="558" spans="1:2" x14ac:dyDescent="0.25">
      <c r="A558" s="6" t="s">
        <v>1325</v>
      </c>
      <c r="B558" s="7">
        <v>25</v>
      </c>
    </row>
    <row r="559" spans="1:2" x14ac:dyDescent="0.25">
      <c r="A559" s="6" t="s">
        <v>833</v>
      </c>
      <c r="B559" s="7">
        <v>25</v>
      </c>
    </row>
    <row r="560" spans="1:2" x14ac:dyDescent="0.25">
      <c r="A560" s="6" t="s">
        <v>843</v>
      </c>
      <c r="B560" s="7">
        <v>25</v>
      </c>
    </row>
    <row r="561" spans="1:2" x14ac:dyDescent="0.25">
      <c r="A561" s="6" t="s">
        <v>845</v>
      </c>
      <c r="B561" s="7">
        <v>25</v>
      </c>
    </row>
    <row r="562" spans="1:2" x14ac:dyDescent="0.25">
      <c r="A562" s="6" t="s">
        <v>847</v>
      </c>
      <c r="B562" s="7">
        <v>25</v>
      </c>
    </row>
    <row r="563" spans="1:2" x14ac:dyDescent="0.25">
      <c r="A563" s="6" t="s">
        <v>706</v>
      </c>
      <c r="B563" s="7">
        <v>25</v>
      </c>
    </row>
    <row r="564" spans="1:2" x14ac:dyDescent="0.25">
      <c r="A564" s="6" t="s">
        <v>1274</v>
      </c>
      <c r="B564" s="7">
        <v>25</v>
      </c>
    </row>
    <row r="565" spans="1:2" x14ac:dyDescent="0.25">
      <c r="A565" s="6" t="s">
        <v>1437</v>
      </c>
      <c r="B565" s="7">
        <v>25</v>
      </c>
    </row>
    <row r="566" spans="1:2" x14ac:dyDescent="0.25">
      <c r="A566" s="6" t="s">
        <v>1357</v>
      </c>
      <c r="B566" s="7">
        <v>25</v>
      </c>
    </row>
    <row r="567" spans="1:2" x14ac:dyDescent="0.25">
      <c r="A567" s="6" t="s">
        <v>871</v>
      </c>
      <c r="B567" s="7">
        <v>25</v>
      </c>
    </row>
    <row r="568" spans="1:2" x14ac:dyDescent="0.25">
      <c r="A568" s="6" t="s">
        <v>791</v>
      </c>
      <c r="B568" s="7">
        <v>25</v>
      </c>
    </row>
    <row r="569" spans="1:2" x14ac:dyDescent="0.25">
      <c r="A569" s="6" t="s">
        <v>1546</v>
      </c>
      <c r="B569" s="7">
        <v>25</v>
      </c>
    </row>
    <row r="570" spans="1:2" x14ac:dyDescent="0.25">
      <c r="A570" s="6" t="s">
        <v>1528</v>
      </c>
      <c r="B570" s="7">
        <v>25</v>
      </c>
    </row>
    <row r="571" spans="1:2" x14ac:dyDescent="0.25">
      <c r="A571" s="6" t="s">
        <v>1516</v>
      </c>
      <c r="B571" s="7">
        <v>25</v>
      </c>
    </row>
    <row r="572" spans="1:2" x14ac:dyDescent="0.25">
      <c r="A572" s="6" t="s">
        <v>1391</v>
      </c>
      <c r="B572" s="7">
        <v>25</v>
      </c>
    </row>
    <row r="573" spans="1:2" x14ac:dyDescent="0.25">
      <c r="A573" s="6" t="s">
        <v>1773</v>
      </c>
      <c r="B573" s="7">
        <v>25</v>
      </c>
    </row>
    <row r="574" spans="1:2" x14ac:dyDescent="0.25">
      <c r="A574" s="6" t="s">
        <v>839</v>
      </c>
      <c r="B574" s="7">
        <v>25</v>
      </c>
    </row>
    <row r="575" spans="1:2" x14ac:dyDescent="0.25">
      <c r="A575" s="6" t="s">
        <v>867</v>
      </c>
      <c r="B575" s="7">
        <v>25</v>
      </c>
    </row>
    <row r="576" spans="1:2" x14ac:dyDescent="0.25">
      <c r="A576" s="6" t="s">
        <v>686</v>
      </c>
      <c r="B576" s="7">
        <v>25</v>
      </c>
    </row>
    <row r="577" spans="1:2" x14ac:dyDescent="0.25">
      <c r="A577" s="6" t="s">
        <v>1514</v>
      </c>
      <c r="B577" s="7">
        <v>25</v>
      </c>
    </row>
    <row r="578" spans="1:2" x14ac:dyDescent="0.25">
      <c r="A578" s="6" t="s">
        <v>1909</v>
      </c>
      <c r="B578" s="7">
        <v>25</v>
      </c>
    </row>
    <row r="579" spans="1:2" x14ac:dyDescent="0.25">
      <c r="A579" s="6" t="s">
        <v>710</v>
      </c>
      <c r="B579" s="7">
        <v>25</v>
      </c>
    </row>
    <row r="580" spans="1:2" x14ac:dyDescent="0.25">
      <c r="A580" s="6" t="s">
        <v>1385</v>
      </c>
      <c r="B580" s="7">
        <v>25</v>
      </c>
    </row>
    <row r="581" spans="1:2" x14ac:dyDescent="0.25">
      <c r="A581" s="6" t="s">
        <v>1377</v>
      </c>
      <c r="B581" s="7">
        <v>25</v>
      </c>
    </row>
    <row r="582" spans="1:2" x14ac:dyDescent="0.25">
      <c r="A582" s="6" t="s">
        <v>779</v>
      </c>
      <c r="B582" s="7">
        <v>25</v>
      </c>
    </row>
    <row r="583" spans="1:2" x14ac:dyDescent="0.25">
      <c r="A583" s="6" t="s">
        <v>783</v>
      </c>
      <c r="B583" s="7">
        <v>25</v>
      </c>
    </row>
    <row r="584" spans="1:2" x14ac:dyDescent="0.25">
      <c r="A584" s="6" t="s">
        <v>785</v>
      </c>
      <c r="B584" s="7">
        <v>25</v>
      </c>
    </row>
    <row r="585" spans="1:2" x14ac:dyDescent="0.25">
      <c r="A585" s="6" t="s">
        <v>1544</v>
      </c>
      <c r="B585" s="7">
        <v>25</v>
      </c>
    </row>
    <row r="586" spans="1:2" x14ac:dyDescent="0.25">
      <c r="A586" s="6" t="s">
        <v>797</v>
      </c>
      <c r="B586" s="7">
        <v>25</v>
      </c>
    </row>
    <row r="587" spans="1:2" x14ac:dyDescent="0.25">
      <c r="A587" s="6" t="s">
        <v>1552</v>
      </c>
      <c r="B587" s="7">
        <v>25</v>
      </c>
    </row>
    <row r="588" spans="1:2" x14ac:dyDescent="0.25">
      <c r="A588" s="6" t="s">
        <v>799</v>
      </c>
      <c r="B588" s="7">
        <v>25</v>
      </c>
    </row>
    <row r="589" spans="1:2" x14ac:dyDescent="0.25">
      <c r="A589" s="6" t="s">
        <v>1560</v>
      </c>
      <c r="B589" s="7">
        <v>25</v>
      </c>
    </row>
    <row r="590" spans="1:2" x14ac:dyDescent="0.25">
      <c r="A590" s="6" t="s">
        <v>1562</v>
      </c>
      <c r="B590" s="7">
        <v>25</v>
      </c>
    </row>
    <row r="591" spans="1:2" x14ac:dyDescent="0.25">
      <c r="A591" s="6" t="s">
        <v>1532</v>
      </c>
      <c r="B591" s="7">
        <v>25</v>
      </c>
    </row>
    <row r="592" spans="1:2" x14ac:dyDescent="0.25">
      <c r="A592" s="6" t="s">
        <v>1526</v>
      </c>
      <c r="B592" s="7">
        <v>25</v>
      </c>
    </row>
    <row r="593" spans="1:2" x14ac:dyDescent="0.25">
      <c r="A593" s="6" t="s">
        <v>1518</v>
      </c>
      <c r="B593" s="7">
        <v>25</v>
      </c>
    </row>
    <row r="594" spans="1:2" x14ac:dyDescent="0.25">
      <c r="A594" s="6" t="s">
        <v>793</v>
      </c>
      <c r="B594" s="7">
        <v>25</v>
      </c>
    </row>
    <row r="595" spans="1:2" x14ac:dyDescent="0.25">
      <c r="A595" s="6" t="s">
        <v>1540</v>
      </c>
      <c r="B595" s="7">
        <v>25</v>
      </c>
    </row>
    <row r="596" spans="1:2" x14ac:dyDescent="0.25">
      <c r="A596" s="6" t="s">
        <v>1542</v>
      </c>
      <c r="B596" s="7">
        <v>25</v>
      </c>
    </row>
    <row r="597" spans="1:2" x14ac:dyDescent="0.25">
      <c r="A597" s="6" t="s">
        <v>1548</v>
      </c>
      <c r="B597" s="7">
        <v>25</v>
      </c>
    </row>
    <row r="598" spans="1:2" x14ac:dyDescent="0.25">
      <c r="A598" s="6" t="s">
        <v>879</v>
      </c>
      <c r="B598" s="7">
        <v>25</v>
      </c>
    </row>
    <row r="599" spans="1:2" x14ac:dyDescent="0.25">
      <c r="A599" s="6" t="s">
        <v>1244</v>
      </c>
      <c r="B599" s="7">
        <v>25</v>
      </c>
    </row>
    <row r="600" spans="1:2" x14ac:dyDescent="0.25">
      <c r="A600" s="6" t="s">
        <v>467</v>
      </c>
      <c r="B600" s="7">
        <v>25</v>
      </c>
    </row>
    <row r="601" spans="1:2" x14ac:dyDescent="0.25">
      <c r="A601" s="6" t="s">
        <v>666</v>
      </c>
      <c r="B601" s="7">
        <v>25</v>
      </c>
    </row>
    <row r="602" spans="1:2" x14ac:dyDescent="0.25">
      <c r="A602" s="6" t="s">
        <v>1508</v>
      </c>
      <c r="B602" s="7">
        <v>25</v>
      </c>
    </row>
    <row r="603" spans="1:2" x14ac:dyDescent="0.25">
      <c r="A603" s="6" t="s">
        <v>873</v>
      </c>
      <c r="B603" s="7">
        <v>25</v>
      </c>
    </row>
    <row r="604" spans="1:2" x14ac:dyDescent="0.25">
      <c r="A604" s="6" t="s">
        <v>689</v>
      </c>
      <c r="B604" s="7">
        <v>25</v>
      </c>
    </row>
    <row r="605" spans="1:2" x14ac:dyDescent="0.25">
      <c r="A605" s="6" t="s">
        <v>1268</v>
      </c>
      <c r="B605" s="7">
        <v>25</v>
      </c>
    </row>
    <row r="606" spans="1:2" x14ac:dyDescent="0.25">
      <c r="A606" s="6" t="s">
        <v>1270</v>
      </c>
      <c r="B606" s="7">
        <v>25</v>
      </c>
    </row>
    <row r="607" spans="1:2" x14ac:dyDescent="0.25">
      <c r="A607" s="6" t="s">
        <v>1761</v>
      </c>
      <c r="B607" s="7">
        <v>25</v>
      </c>
    </row>
    <row r="608" spans="1:2" x14ac:dyDescent="0.25">
      <c r="A608" s="6" t="s">
        <v>1266</v>
      </c>
      <c r="B608" s="7">
        <v>25</v>
      </c>
    </row>
    <row r="609" spans="1:2" x14ac:dyDescent="0.25">
      <c r="A609" s="6" t="s">
        <v>1622</v>
      </c>
      <c r="B609" s="7">
        <v>25</v>
      </c>
    </row>
    <row r="610" spans="1:2" x14ac:dyDescent="0.25">
      <c r="A610" s="6" t="s">
        <v>1444</v>
      </c>
      <c r="B610" s="7">
        <v>25</v>
      </c>
    </row>
    <row r="611" spans="1:2" x14ac:dyDescent="0.25">
      <c r="A611" s="6" t="s">
        <v>1504</v>
      </c>
      <c r="B611" s="7">
        <v>25</v>
      </c>
    </row>
    <row r="612" spans="1:2" x14ac:dyDescent="0.25">
      <c r="A612" s="6" t="s">
        <v>1910</v>
      </c>
      <c r="B612" s="7">
        <v>25</v>
      </c>
    </row>
    <row r="613" spans="1:2" x14ac:dyDescent="0.25">
      <c r="A613" s="6" t="s">
        <v>1190</v>
      </c>
      <c r="B613" s="7">
        <v>25</v>
      </c>
    </row>
    <row r="614" spans="1:2" x14ac:dyDescent="0.25">
      <c r="A614" s="6" t="s">
        <v>1911</v>
      </c>
      <c r="B614" s="7">
        <v>25</v>
      </c>
    </row>
    <row r="615" spans="1:2" x14ac:dyDescent="0.25">
      <c r="A615" s="6" t="s">
        <v>1912</v>
      </c>
      <c r="B615" s="7">
        <v>25</v>
      </c>
    </row>
    <row r="616" spans="1:2" x14ac:dyDescent="0.25">
      <c r="A616" s="6" t="s">
        <v>1185</v>
      </c>
      <c r="B616" s="7">
        <v>25</v>
      </c>
    </row>
    <row r="617" spans="1:2" x14ac:dyDescent="0.25">
      <c r="A617" s="6" t="s">
        <v>1846</v>
      </c>
      <c r="B617" s="7">
        <v>25</v>
      </c>
    </row>
    <row r="618" spans="1:2" x14ac:dyDescent="0.25">
      <c r="A618" s="6" t="s">
        <v>1748</v>
      </c>
      <c r="B618" s="7">
        <v>25</v>
      </c>
    </row>
    <row r="619" spans="1:2" x14ac:dyDescent="0.25">
      <c r="A619" s="6" t="s">
        <v>633</v>
      </c>
      <c r="B619" s="7">
        <v>25</v>
      </c>
    </row>
    <row r="620" spans="1:2" x14ac:dyDescent="0.25">
      <c r="A620" s="6" t="s">
        <v>239</v>
      </c>
      <c r="B620" s="7">
        <v>25</v>
      </c>
    </row>
    <row r="621" spans="1:2" x14ac:dyDescent="0.25">
      <c r="A621" s="6" t="s">
        <v>241</v>
      </c>
      <c r="B621" s="7">
        <v>25</v>
      </c>
    </row>
    <row r="622" spans="1:2" x14ac:dyDescent="0.25">
      <c r="A622" s="6" t="s">
        <v>231</v>
      </c>
      <c r="B622" s="7">
        <v>25</v>
      </c>
    </row>
    <row r="623" spans="1:2" x14ac:dyDescent="0.25">
      <c r="A623" s="6" t="s">
        <v>1913</v>
      </c>
      <c r="B623" s="7">
        <v>25</v>
      </c>
    </row>
    <row r="624" spans="1:2" x14ac:dyDescent="0.25">
      <c r="A624" s="6" t="s">
        <v>1914</v>
      </c>
      <c r="B624" s="7">
        <v>25</v>
      </c>
    </row>
    <row r="625" spans="1:2" x14ac:dyDescent="0.25">
      <c r="A625" s="6" t="s">
        <v>550</v>
      </c>
      <c r="B625" s="7">
        <v>25</v>
      </c>
    </row>
    <row r="626" spans="1:2" x14ac:dyDescent="0.25">
      <c r="A626" s="6" t="s">
        <v>1836</v>
      </c>
      <c r="B626" s="7">
        <v>25</v>
      </c>
    </row>
    <row r="627" spans="1:2" x14ac:dyDescent="0.25">
      <c r="A627" s="6" t="s">
        <v>893</v>
      </c>
      <c r="B627" s="7">
        <v>25</v>
      </c>
    </row>
    <row r="628" spans="1:2" x14ac:dyDescent="0.25">
      <c r="A628" s="6" t="s">
        <v>956</v>
      </c>
      <c r="B628" s="7">
        <v>25</v>
      </c>
    </row>
    <row r="629" spans="1:2" x14ac:dyDescent="0.25">
      <c r="A629" s="6" t="s">
        <v>954</v>
      </c>
      <c r="B629" s="7">
        <v>25</v>
      </c>
    </row>
    <row r="630" spans="1:2" x14ac:dyDescent="0.25">
      <c r="A630" s="6" t="s">
        <v>982</v>
      </c>
      <c r="B630" s="7">
        <v>25</v>
      </c>
    </row>
    <row r="631" spans="1:2" x14ac:dyDescent="0.25">
      <c r="A631" s="6" t="s">
        <v>984</v>
      </c>
      <c r="B631" s="7">
        <v>25</v>
      </c>
    </row>
    <row r="632" spans="1:2" x14ac:dyDescent="0.25">
      <c r="A632" s="6" t="s">
        <v>1214</v>
      </c>
      <c r="B632" s="7">
        <v>25</v>
      </c>
    </row>
    <row r="633" spans="1:2" x14ac:dyDescent="0.25">
      <c r="A633" s="6" t="s">
        <v>974</v>
      </c>
      <c r="B633" s="7">
        <v>25</v>
      </c>
    </row>
    <row r="634" spans="1:2" x14ac:dyDescent="0.25">
      <c r="A634" s="6" t="s">
        <v>1640</v>
      </c>
      <c r="B634" s="7">
        <v>25</v>
      </c>
    </row>
    <row r="635" spans="1:2" x14ac:dyDescent="0.25">
      <c r="A635" s="6" t="s">
        <v>1058</v>
      </c>
      <c r="B635" s="7">
        <v>25</v>
      </c>
    </row>
    <row r="636" spans="1:2" x14ac:dyDescent="0.25">
      <c r="A636" s="6" t="s">
        <v>1666</v>
      </c>
      <c r="B636" s="7">
        <v>25</v>
      </c>
    </row>
    <row r="637" spans="1:2" x14ac:dyDescent="0.25">
      <c r="A637" s="6" t="s">
        <v>1139</v>
      </c>
      <c r="B637" s="7">
        <v>25</v>
      </c>
    </row>
    <row r="638" spans="1:2" x14ac:dyDescent="0.25">
      <c r="A638" s="6" t="s">
        <v>1224</v>
      </c>
      <c r="B638" s="7">
        <v>25</v>
      </c>
    </row>
    <row r="639" spans="1:2" x14ac:dyDescent="0.25">
      <c r="A639" s="6" t="s">
        <v>1135</v>
      </c>
      <c r="B639" s="7">
        <v>25</v>
      </c>
    </row>
    <row r="640" spans="1:2" x14ac:dyDescent="0.25">
      <c r="A640" s="6" t="s">
        <v>1678</v>
      </c>
      <c r="B640" s="7">
        <v>25</v>
      </c>
    </row>
    <row r="641" spans="1:2" x14ac:dyDescent="0.25">
      <c r="A641" s="6" t="s">
        <v>1915</v>
      </c>
      <c r="B641" s="7">
        <v>25</v>
      </c>
    </row>
    <row r="642" spans="1:2" x14ac:dyDescent="0.25">
      <c r="A642" s="6" t="s">
        <v>1695</v>
      </c>
      <c r="B642" s="7">
        <v>25</v>
      </c>
    </row>
    <row r="643" spans="1:2" x14ac:dyDescent="0.25">
      <c r="A643" s="6" t="s">
        <v>970</v>
      </c>
      <c r="B643" s="7">
        <v>25</v>
      </c>
    </row>
    <row r="644" spans="1:2" x14ac:dyDescent="0.25">
      <c r="A644" s="6" t="s">
        <v>1784</v>
      </c>
      <c r="B644" s="7">
        <v>25</v>
      </c>
    </row>
    <row r="645" spans="1:2" x14ac:dyDescent="0.25">
      <c r="A645" s="6" t="s">
        <v>1800</v>
      </c>
      <c r="B645" s="7">
        <v>25</v>
      </c>
    </row>
    <row r="646" spans="1:2" x14ac:dyDescent="0.25">
      <c r="A646" s="6" t="s">
        <v>1052</v>
      </c>
      <c r="B646" s="7">
        <v>25</v>
      </c>
    </row>
    <row r="647" spans="1:2" x14ac:dyDescent="0.25">
      <c r="A647" s="6" t="s">
        <v>1798</v>
      </c>
      <c r="B647" s="7">
        <v>25</v>
      </c>
    </row>
    <row r="648" spans="1:2" x14ac:dyDescent="0.25">
      <c r="A648" s="6" t="s">
        <v>484</v>
      </c>
      <c r="B648" s="7">
        <v>25</v>
      </c>
    </row>
    <row r="649" spans="1:2" x14ac:dyDescent="0.25">
      <c r="A649" s="6" t="s">
        <v>1685</v>
      </c>
      <c r="B649" s="7">
        <v>25</v>
      </c>
    </row>
    <row r="650" spans="1:2" x14ac:dyDescent="0.25">
      <c r="A650" s="6" t="s">
        <v>1683</v>
      </c>
      <c r="B650" s="7">
        <v>25</v>
      </c>
    </row>
    <row r="651" spans="1:2" x14ac:dyDescent="0.25">
      <c r="A651" s="6" t="s">
        <v>1687</v>
      </c>
      <c r="B651" s="7">
        <v>25</v>
      </c>
    </row>
    <row r="652" spans="1:2" x14ac:dyDescent="0.25">
      <c r="A652" s="6" t="s">
        <v>1699</v>
      </c>
      <c r="B652" s="7">
        <v>25</v>
      </c>
    </row>
    <row r="653" spans="1:2" x14ac:dyDescent="0.25">
      <c r="A653" s="6" t="s">
        <v>1038</v>
      </c>
      <c r="B653" s="7">
        <v>25</v>
      </c>
    </row>
    <row r="654" spans="1:2" x14ac:dyDescent="0.25">
      <c r="A654" s="6" t="s">
        <v>1097</v>
      </c>
      <c r="B654" s="7">
        <v>25</v>
      </c>
    </row>
    <row r="655" spans="1:2" x14ac:dyDescent="0.25">
      <c r="A655" s="6" t="s">
        <v>489</v>
      </c>
      <c r="B655" s="7">
        <v>25</v>
      </c>
    </row>
    <row r="656" spans="1:2" x14ac:dyDescent="0.25">
      <c r="A656" s="6" t="s">
        <v>161</v>
      </c>
      <c r="B656" s="7">
        <v>25</v>
      </c>
    </row>
    <row r="657" spans="1:2" x14ac:dyDescent="0.25">
      <c r="A657" s="6" t="s">
        <v>1732</v>
      </c>
      <c r="B657" s="7">
        <v>25</v>
      </c>
    </row>
    <row r="658" spans="1:2" x14ac:dyDescent="0.25">
      <c r="A658" s="6" t="s">
        <v>1066</v>
      </c>
      <c r="B658" s="7">
        <v>25</v>
      </c>
    </row>
    <row r="659" spans="1:2" x14ac:dyDescent="0.25">
      <c r="A659" s="6" t="s">
        <v>1664</v>
      </c>
      <c r="B659" s="7">
        <v>25</v>
      </c>
    </row>
    <row r="660" spans="1:2" x14ac:dyDescent="0.25">
      <c r="A660" s="6" t="s">
        <v>1124</v>
      </c>
      <c r="B660" s="7">
        <v>25</v>
      </c>
    </row>
    <row r="661" spans="1:2" x14ac:dyDescent="0.25">
      <c r="A661" s="6" t="s">
        <v>1254</v>
      </c>
      <c r="B661" s="7">
        <v>25</v>
      </c>
    </row>
    <row r="662" spans="1:2" x14ac:dyDescent="0.25">
      <c r="A662" s="6" t="s">
        <v>1132</v>
      </c>
      <c r="B662" s="7">
        <v>25</v>
      </c>
    </row>
    <row r="663" spans="1:2" x14ac:dyDescent="0.25">
      <c r="A663" s="6" t="s">
        <v>1082</v>
      </c>
      <c r="B663" s="7">
        <v>25</v>
      </c>
    </row>
    <row r="664" spans="1:2" x14ac:dyDescent="0.25">
      <c r="A664" s="6" t="s">
        <v>1084</v>
      </c>
      <c r="B664" s="7">
        <v>25</v>
      </c>
    </row>
    <row r="665" spans="1:2" x14ac:dyDescent="0.25">
      <c r="A665" s="6" t="s">
        <v>1091</v>
      </c>
      <c r="B665" s="7">
        <v>25</v>
      </c>
    </row>
    <row r="666" spans="1:2" x14ac:dyDescent="0.25">
      <c r="A666" s="6" t="s">
        <v>1842</v>
      </c>
      <c r="B666" s="7">
        <v>25</v>
      </c>
    </row>
    <row r="667" spans="1:2" x14ac:dyDescent="0.25">
      <c r="A667" s="6" t="s">
        <v>1858</v>
      </c>
      <c r="B667" s="7">
        <v>25</v>
      </c>
    </row>
    <row r="668" spans="1:2" x14ac:dyDescent="0.25">
      <c r="A668" s="6" t="s">
        <v>1089</v>
      </c>
      <c r="B668" s="7">
        <v>25</v>
      </c>
    </row>
    <row r="669" spans="1:2" x14ac:dyDescent="0.25">
      <c r="A669" s="6" t="s">
        <v>1691</v>
      </c>
      <c r="B669" s="7">
        <v>25</v>
      </c>
    </row>
    <row r="670" spans="1:2" x14ac:dyDescent="0.25">
      <c r="A670" s="6" t="s">
        <v>479</v>
      </c>
      <c r="B670" s="7">
        <v>25</v>
      </c>
    </row>
    <row r="671" spans="1:2" x14ac:dyDescent="0.25">
      <c r="A671" s="6" t="s">
        <v>1054</v>
      </c>
      <c r="B671" s="7">
        <v>25</v>
      </c>
    </row>
    <row r="672" spans="1:2" x14ac:dyDescent="0.25">
      <c r="A672" s="6" t="s">
        <v>1130</v>
      </c>
      <c r="B672" s="7">
        <v>25</v>
      </c>
    </row>
    <row r="673" spans="1:2" x14ac:dyDescent="0.25">
      <c r="A673" s="6" t="s">
        <v>1134</v>
      </c>
      <c r="B673" s="7">
        <v>25</v>
      </c>
    </row>
    <row r="674" spans="1:2" x14ac:dyDescent="0.25">
      <c r="A674" s="6" t="s">
        <v>1765</v>
      </c>
      <c r="B674" s="7">
        <v>25</v>
      </c>
    </row>
    <row r="675" spans="1:2" x14ac:dyDescent="0.25">
      <c r="A675" s="6" t="s">
        <v>1916</v>
      </c>
      <c r="B675" s="7">
        <v>25</v>
      </c>
    </row>
    <row r="676" spans="1:2" x14ac:dyDescent="0.25">
      <c r="A676" s="6" t="s">
        <v>1860</v>
      </c>
      <c r="B676" s="7">
        <v>25</v>
      </c>
    </row>
    <row r="677" spans="1:2" x14ac:dyDescent="0.25">
      <c r="A677" s="6" t="s">
        <v>486</v>
      </c>
      <c r="B677" s="7">
        <v>25</v>
      </c>
    </row>
    <row r="678" spans="1:2" x14ac:dyDescent="0.25">
      <c r="A678" s="6" t="s">
        <v>1756</v>
      </c>
      <c r="B678" s="7">
        <v>25</v>
      </c>
    </row>
    <row r="679" spans="1:2" x14ac:dyDescent="0.25">
      <c r="A679" s="6" t="s">
        <v>1206</v>
      </c>
      <c r="B679" s="7">
        <v>25</v>
      </c>
    </row>
    <row r="680" spans="1:2" x14ac:dyDescent="0.25">
      <c r="A680" s="6" t="s">
        <v>1218</v>
      </c>
      <c r="B680" s="7">
        <v>25</v>
      </c>
    </row>
    <row r="681" spans="1:2" x14ac:dyDescent="0.25">
      <c r="A681" s="6" t="s">
        <v>1127</v>
      </c>
      <c r="B681" s="7">
        <v>25</v>
      </c>
    </row>
    <row r="682" spans="1:2" x14ac:dyDescent="0.25">
      <c r="A682" s="6" t="s">
        <v>1792</v>
      </c>
      <c r="B682" s="7">
        <v>25</v>
      </c>
    </row>
    <row r="683" spans="1:2" x14ac:dyDescent="0.25">
      <c r="A683" s="6" t="s">
        <v>1042</v>
      </c>
      <c r="B683" s="7">
        <v>25</v>
      </c>
    </row>
    <row r="684" spans="1:2" x14ac:dyDescent="0.25">
      <c r="A684" s="6" t="s">
        <v>1044</v>
      </c>
      <c r="B684" s="7">
        <v>25</v>
      </c>
    </row>
    <row r="685" spans="1:2" x14ac:dyDescent="0.25">
      <c r="A685" s="6" t="s">
        <v>1604</v>
      </c>
      <c r="B685" s="7">
        <v>25</v>
      </c>
    </row>
    <row r="686" spans="1:2" x14ac:dyDescent="0.25">
      <c r="A686" s="6" t="s">
        <v>1767</v>
      </c>
      <c r="B686" s="7">
        <v>25</v>
      </c>
    </row>
    <row r="687" spans="1:2" x14ac:dyDescent="0.25">
      <c r="A687" s="6" t="s">
        <v>744</v>
      </c>
      <c r="B687" s="7">
        <v>25</v>
      </c>
    </row>
    <row r="688" spans="1:2" x14ac:dyDescent="0.25">
      <c r="A688" s="6" t="s">
        <v>1680</v>
      </c>
      <c r="B688" s="7">
        <v>25</v>
      </c>
    </row>
    <row r="689" spans="1:2" x14ac:dyDescent="0.25">
      <c r="A689" s="6" t="s">
        <v>1242</v>
      </c>
      <c r="B689" s="7">
        <v>25</v>
      </c>
    </row>
    <row r="690" spans="1:2" x14ac:dyDescent="0.25">
      <c r="A690" s="6" t="s">
        <v>1096</v>
      </c>
      <c r="B690" s="7">
        <v>25</v>
      </c>
    </row>
    <row r="691" spans="1:2" x14ac:dyDescent="0.25">
      <c r="A691" s="6" t="s">
        <v>414</v>
      </c>
      <c r="B691" s="7">
        <v>25</v>
      </c>
    </row>
    <row r="692" spans="1:2" x14ac:dyDescent="0.25">
      <c r="A692" s="6" t="s">
        <v>714</v>
      </c>
      <c r="B692" s="7">
        <v>25</v>
      </c>
    </row>
    <row r="693" spans="1:2" x14ac:dyDescent="0.25">
      <c r="A693" s="6" t="s">
        <v>1701</v>
      </c>
      <c r="B693" s="7">
        <v>25</v>
      </c>
    </row>
    <row r="694" spans="1:2" x14ac:dyDescent="0.25">
      <c r="A694" s="6" t="s">
        <v>1672</v>
      </c>
      <c r="B694" s="7">
        <v>25</v>
      </c>
    </row>
    <row r="695" spans="1:2" x14ac:dyDescent="0.25">
      <c r="A695" s="6" t="s">
        <v>1917</v>
      </c>
      <c r="B695" s="7">
        <v>25</v>
      </c>
    </row>
    <row r="696" spans="1:2" x14ac:dyDescent="0.25">
      <c r="A696" s="6" t="s">
        <v>1099</v>
      </c>
      <c r="B696" s="7">
        <v>25</v>
      </c>
    </row>
    <row r="697" spans="1:2" x14ac:dyDescent="0.25">
      <c r="A697" s="6" t="s">
        <v>1161</v>
      </c>
      <c r="B697" s="7">
        <v>25</v>
      </c>
    </row>
    <row r="698" spans="1:2" x14ac:dyDescent="0.25">
      <c r="A698" s="6" t="s">
        <v>1668</v>
      </c>
      <c r="B698" s="7">
        <v>25</v>
      </c>
    </row>
    <row r="699" spans="1:2" x14ac:dyDescent="0.25">
      <c r="A699" s="6" t="s">
        <v>1826</v>
      </c>
      <c r="B699" s="7">
        <v>25</v>
      </c>
    </row>
    <row r="700" spans="1:2" x14ac:dyDescent="0.25">
      <c r="A700" s="6" t="s">
        <v>1723</v>
      </c>
      <c r="B700" s="7">
        <v>25</v>
      </c>
    </row>
    <row r="701" spans="1:2" x14ac:dyDescent="0.25">
      <c r="A701" s="6" t="s">
        <v>1670</v>
      </c>
      <c r="B701" s="7">
        <v>25</v>
      </c>
    </row>
    <row r="702" spans="1:2" x14ac:dyDescent="0.25">
      <c r="A702" s="6" t="s">
        <v>1790</v>
      </c>
      <c r="B702" s="7">
        <v>25</v>
      </c>
    </row>
    <row r="703" spans="1:2" x14ac:dyDescent="0.25">
      <c r="A703" s="6" t="s">
        <v>719</v>
      </c>
      <c r="B703" s="7">
        <v>25</v>
      </c>
    </row>
    <row r="704" spans="1:2" x14ac:dyDescent="0.25">
      <c r="A704" s="6" t="s">
        <v>1810</v>
      </c>
      <c r="B704" s="7">
        <v>25</v>
      </c>
    </row>
    <row r="705" spans="1:2" x14ac:dyDescent="0.25">
      <c r="A705" s="6" t="s">
        <v>1754</v>
      </c>
      <c r="B705" s="7">
        <v>25</v>
      </c>
    </row>
    <row r="706" spans="1:2" x14ac:dyDescent="0.25">
      <c r="A706" s="6" t="s">
        <v>629</v>
      </c>
      <c r="B706" s="7">
        <v>25</v>
      </c>
    </row>
    <row r="707" spans="1:2" x14ac:dyDescent="0.25">
      <c r="A707" s="6" t="s">
        <v>1674</v>
      </c>
      <c r="B707" s="7">
        <v>25</v>
      </c>
    </row>
    <row r="708" spans="1:2" x14ac:dyDescent="0.25">
      <c r="A708" s="6" t="s">
        <v>1918</v>
      </c>
      <c r="B708" s="7">
        <v>25</v>
      </c>
    </row>
    <row r="709" spans="1:2" x14ac:dyDescent="0.25">
      <c r="A709" s="6" t="s">
        <v>1780</v>
      </c>
      <c r="B709" s="7">
        <v>25</v>
      </c>
    </row>
    <row r="710" spans="1:2" x14ac:dyDescent="0.25">
      <c r="A710" s="6" t="s">
        <v>1834</v>
      </c>
      <c r="B710" s="7">
        <v>25</v>
      </c>
    </row>
    <row r="711" spans="1:2" x14ac:dyDescent="0.25">
      <c r="A711" s="6" t="s">
        <v>1446</v>
      </c>
      <c r="B711" s="7">
        <v>25</v>
      </c>
    </row>
    <row r="712" spans="1:2" x14ac:dyDescent="0.25">
      <c r="A712" s="6" t="s">
        <v>1919</v>
      </c>
      <c r="B712" s="7">
        <v>25</v>
      </c>
    </row>
    <row r="713" spans="1:2" x14ac:dyDescent="0.25">
      <c r="A713" s="6" t="s">
        <v>1844</v>
      </c>
      <c r="B713" s="7">
        <v>25</v>
      </c>
    </row>
    <row r="714" spans="1:2" x14ac:dyDescent="0.25">
      <c r="A714" s="6" t="s">
        <v>662</v>
      </c>
      <c r="B714" s="7">
        <v>25</v>
      </c>
    </row>
    <row r="715" spans="1:2" x14ac:dyDescent="0.25">
      <c r="A715" s="6" t="s">
        <v>660</v>
      </c>
      <c r="B715" s="7">
        <v>25</v>
      </c>
    </row>
    <row r="716" spans="1:2" x14ac:dyDescent="0.25">
      <c r="A716" s="6" t="s">
        <v>228</v>
      </c>
      <c r="B716" s="7">
        <v>25</v>
      </c>
    </row>
    <row r="717" spans="1:2" x14ac:dyDescent="0.25">
      <c r="A717" s="6" t="s">
        <v>1159</v>
      </c>
      <c r="B717" s="7">
        <v>25</v>
      </c>
    </row>
    <row r="718" spans="1:2" x14ac:dyDescent="0.25">
      <c r="A718" s="6" t="s">
        <v>1920</v>
      </c>
      <c r="B718" s="7">
        <v>25</v>
      </c>
    </row>
    <row r="719" spans="1:2" x14ac:dyDescent="0.25">
      <c r="A719" s="6" t="s">
        <v>623</v>
      </c>
      <c r="B719" s="7">
        <v>25</v>
      </c>
    </row>
    <row r="720" spans="1:2" x14ac:dyDescent="0.25">
      <c r="A720" s="6" t="s">
        <v>1921</v>
      </c>
      <c r="B720" s="7">
        <v>25</v>
      </c>
    </row>
    <row r="721" spans="1:2" x14ac:dyDescent="0.25">
      <c r="A721" s="6" t="s">
        <v>1634</v>
      </c>
      <c r="B721" s="7">
        <v>25</v>
      </c>
    </row>
    <row r="722" spans="1:2" x14ac:dyDescent="0.25">
      <c r="A722" s="6" t="s">
        <v>1192</v>
      </c>
      <c r="B722" s="7">
        <v>25</v>
      </c>
    </row>
    <row r="723" spans="1:2" x14ac:dyDescent="0.25">
      <c r="A723" s="6" t="s">
        <v>1194</v>
      </c>
      <c r="B723" s="7">
        <v>25</v>
      </c>
    </row>
    <row r="724" spans="1:2" x14ac:dyDescent="0.25">
      <c r="A724" s="6" t="s">
        <v>267</v>
      </c>
      <c r="B724" s="7">
        <v>25</v>
      </c>
    </row>
    <row r="725" spans="1:2" x14ac:dyDescent="0.25">
      <c r="A725" s="6" t="s">
        <v>1850</v>
      </c>
      <c r="B725" s="7">
        <v>25</v>
      </c>
    </row>
    <row r="726" spans="1:2" x14ac:dyDescent="0.25">
      <c r="A726" s="6" t="s">
        <v>1840</v>
      </c>
      <c r="B726" s="7">
        <v>25</v>
      </c>
    </row>
    <row r="727" spans="1:2" x14ac:dyDescent="0.25">
      <c r="A727" s="6" t="s">
        <v>1922</v>
      </c>
      <c r="B727" s="7">
        <v>25</v>
      </c>
    </row>
    <row r="728" spans="1:2" x14ac:dyDescent="0.25">
      <c r="A728" s="6" t="s">
        <v>1869</v>
      </c>
      <c r="B728" s="7">
        <v>25</v>
      </c>
    </row>
    <row r="729" spans="1:2" x14ac:dyDescent="0.25">
      <c r="A729" s="6" t="s">
        <v>1923</v>
      </c>
      <c r="B729" s="7">
        <v>25</v>
      </c>
    </row>
    <row r="730" spans="1:2" x14ac:dyDescent="0.25">
      <c r="A730" s="6" t="s">
        <v>398</v>
      </c>
      <c r="B730" s="7">
        <v>25</v>
      </c>
    </row>
    <row r="731" spans="1:2" x14ac:dyDescent="0.25">
      <c r="A731" s="6" t="s">
        <v>1579</v>
      </c>
      <c r="B731" s="7">
        <v>25</v>
      </c>
    </row>
    <row r="732" spans="1:2" x14ac:dyDescent="0.25">
      <c r="A732" s="6" t="s">
        <v>514</v>
      </c>
      <c r="B732" s="7">
        <v>25</v>
      </c>
    </row>
    <row r="733" spans="1:2" x14ac:dyDescent="0.25">
      <c r="A733" s="6" t="s">
        <v>1002</v>
      </c>
      <c r="B733" s="7">
        <v>25</v>
      </c>
    </row>
    <row r="734" spans="1:2" x14ac:dyDescent="0.25">
      <c r="A734" s="6" t="s">
        <v>1462</v>
      </c>
      <c r="B734" s="7">
        <v>25</v>
      </c>
    </row>
    <row r="735" spans="1:2" x14ac:dyDescent="0.25">
      <c r="A735" s="6" t="s">
        <v>903</v>
      </c>
      <c r="B735" s="7">
        <v>25</v>
      </c>
    </row>
    <row r="736" spans="1:2" x14ac:dyDescent="0.25">
      <c r="A736" s="6" t="s">
        <v>738</v>
      </c>
      <c r="B736" s="7">
        <v>25</v>
      </c>
    </row>
    <row r="737" spans="1:2" x14ac:dyDescent="0.25">
      <c r="A737" s="6" t="s">
        <v>428</v>
      </c>
      <c r="B737" s="7">
        <v>25</v>
      </c>
    </row>
    <row r="738" spans="1:2" x14ac:dyDescent="0.25">
      <c r="A738" s="6" t="s">
        <v>19</v>
      </c>
      <c r="B738" s="7">
        <v>25</v>
      </c>
    </row>
    <row r="739" spans="1:2" x14ac:dyDescent="0.25">
      <c r="A739" s="6" t="s">
        <v>416</v>
      </c>
      <c r="B739" s="7">
        <v>25</v>
      </c>
    </row>
    <row r="740" spans="1:2" x14ac:dyDescent="0.25">
      <c r="A740" s="6" t="s">
        <v>418</v>
      </c>
      <c r="B740" s="7">
        <v>25</v>
      </c>
    </row>
    <row r="741" spans="1:2" x14ac:dyDescent="0.25">
      <c r="A741" s="6" t="s">
        <v>1008</v>
      </c>
      <c r="B741" s="7">
        <v>25</v>
      </c>
    </row>
    <row r="742" spans="1:2" x14ac:dyDescent="0.25">
      <c r="A742" s="6" t="s">
        <v>1806</v>
      </c>
      <c r="B742" s="7">
        <v>25</v>
      </c>
    </row>
    <row r="743" spans="1:2" x14ac:dyDescent="0.25">
      <c r="A743" s="6" t="s">
        <v>764</v>
      </c>
      <c r="B743" s="7">
        <v>25</v>
      </c>
    </row>
    <row r="744" spans="1:2" x14ac:dyDescent="0.25">
      <c r="A744" s="6" t="s">
        <v>592</v>
      </c>
      <c r="B744" s="7">
        <v>25</v>
      </c>
    </row>
    <row r="745" spans="1:2" x14ac:dyDescent="0.25">
      <c r="A745" s="6" t="s">
        <v>1212</v>
      </c>
      <c r="B745" s="7">
        <v>25</v>
      </c>
    </row>
    <row r="746" spans="1:2" x14ac:dyDescent="0.25">
      <c r="A746" s="6" t="s">
        <v>15</v>
      </c>
      <c r="B746" s="7">
        <v>25</v>
      </c>
    </row>
    <row r="747" spans="1:2" x14ac:dyDescent="0.25">
      <c r="A747" s="6" t="s">
        <v>1731</v>
      </c>
      <c r="B747" s="7">
        <v>25</v>
      </c>
    </row>
    <row r="748" spans="1:2" x14ac:dyDescent="0.25">
      <c r="A748" s="6" t="s">
        <v>1804</v>
      </c>
      <c r="B748" s="7">
        <v>25</v>
      </c>
    </row>
    <row r="749" spans="1:2" x14ac:dyDescent="0.25">
      <c r="A749" s="6" t="s">
        <v>358</v>
      </c>
      <c r="B749" s="7">
        <v>25</v>
      </c>
    </row>
    <row r="750" spans="1:2" x14ac:dyDescent="0.25">
      <c r="A750" s="6" t="s">
        <v>760</v>
      </c>
      <c r="B750" s="7">
        <v>25</v>
      </c>
    </row>
    <row r="751" spans="1:2" x14ac:dyDescent="0.25">
      <c r="A751" s="6" t="s">
        <v>580</v>
      </c>
      <c r="B751" s="7">
        <v>25</v>
      </c>
    </row>
    <row r="752" spans="1:2" x14ac:dyDescent="0.25">
      <c r="A752" s="6" t="s">
        <v>594</v>
      </c>
      <c r="B752" s="7">
        <v>25</v>
      </c>
    </row>
    <row r="753" spans="1:2" x14ac:dyDescent="0.25">
      <c r="A753" s="6" t="s">
        <v>1924</v>
      </c>
      <c r="B753" s="7">
        <v>25</v>
      </c>
    </row>
    <row r="754" spans="1:2" x14ac:dyDescent="0.25">
      <c r="A754" s="6" t="s">
        <v>756</v>
      </c>
      <c r="B754" s="7">
        <v>25</v>
      </c>
    </row>
    <row r="755" spans="1:2" x14ac:dyDescent="0.25">
      <c r="A755" s="6" t="s">
        <v>17</v>
      </c>
      <c r="B755" s="7">
        <v>25</v>
      </c>
    </row>
    <row r="756" spans="1:2" x14ac:dyDescent="0.25">
      <c r="A756" s="6" t="s">
        <v>1925</v>
      </c>
      <c r="B756" s="7">
        <v>25</v>
      </c>
    </row>
    <row r="757" spans="1:2" x14ac:dyDescent="0.25">
      <c r="A757" s="6" t="s">
        <v>362</v>
      </c>
      <c r="B757" s="7">
        <v>25</v>
      </c>
    </row>
    <row r="758" spans="1:2" x14ac:dyDescent="0.25">
      <c r="A758" s="6" t="s">
        <v>650</v>
      </c>
      <c r="B758" s="7">
        <v>25</v>
      </c>
    </row>
    <row r="759" spans="1:2" x14ac:dyDescent="0.25">
      <c r="A759" s="6" t="s">
        <v>605</v>
      </c>
      <c r="B759" s="7">
        <v>25</v>
      </c>
    </row>
    <row r="760" spans="1:2" x14ac:dyDescent="0.25">
      <c r="A760" s="6" t="s">
        <v>157</v>
      </c>
      <c r="B760" s="7">
        <v>25</v>
      </c>
    </row>
    <row r="761" spans="1:2" x14ac:dyDescent="0.25">
      <c r="A761" s="6" t="s">
        <v>1926</v>
      </c>
      <c r="B761" s="7">
        <v>25</v>
      </c>
    </row>
    <row r="762" spans="1:2" x14ac:dyDescent="0.25">
      <c r="A762" s="6" t="s">
        <v>1927</v>
      </c>
      <c r="B762" s="7">
        <v>25</v>
      </c>
    </row>
    <row r="763" spans="1:2" x14ac:dyDescent="0.25">
      <c r="A763" s="6" t="s">
        <v>1928</v>
      </c>
      <c r="B763" s="7">
        <v>25</v>
      </c>
    </row>
    <row r="764" spans="1:2" x14ac:dyDescent="0.25">
      <c r="A764" s="6" t="s">
        <v>568</v>
      </c>
      <c r="B764" s="7">
        <v>25</v>
      </c>
    </row>
    <row r="765" spans="1:2" x14ac:dyDescent="0.25">
      <c r="A765" s="6" t="s">
        <v>558</v>
      </c>
      <c r="B765" s="7">
        <v>25</v>
      </c>
    </row>
    <row r="766" spans="1:2" x14ac:dyDescent="0.25">
      <c r="A766" s="6" t="s">
        <v>648</v>
      </c>
      <c r="B766" s="7">
        <v>25</v>
      </c>
    </row>
    <row r="767" spans="1:2" x14ac:dyDescent="0.25">
      <c r="A767" s="6" t="s">
        <v>1838</v>
      </c>
      <c r="B767" s="7">
        <v>25</v>
      </c>
    </row>
    <row r="768" spans="1:2" x14ac:dyDescent="0.25">
      <c r="A768" s="6" t="s">
        <v>1062</v>
      </c>
      <c r="B768" s="7">
        <v>25</v>
      </c>
    </row>
    <row r="769" spans="1:2" x14ac:dyDescent="0.25">
      <c r="A769" s="6" t="s">
        <v>646</v>
      </c>
      <c r="B769" s="7">
        <v>25</v>
      </c>
    </row>
    <row r="770" spans="1:2" x14ac:dyDescent="0.25">
      <c r="A770" s="6" t="s">
        <v>934</v>
      </c>
      <c r="B770" s="7">
        <v>25</v>
      </c>
    </row>
    <row r="771" spans="1:2" x14ac:dyDescent="0.25">
      <c r="A771" s="6" t="s">
        <v>932</v>
      </c>
      <c r="B771" s="7">
        <v>25</v>
      </c>
    </row>
    <row r="772" spans="1:2" x14ac:dyDescent="0.25">
      <c r="A772" s="6" t="s">
        <v>911</v>
      </c>
      <c r="B772" s="7">
        <v>25</v>
      </c>
    </row>
    <row r="773" spans="1:2" x14ac:dyDescent="0.25">
      <c r="A773" s="6" t="s">
        <v>913</v>
      </c>
      <c r="B773" s="7">
        <v>25</v>
      </c>
    </row>
    <row r="774" spans="1:2" x14ac:dyDescent="0.25">
      <c r="A774" s="6" t="s">
        <v>915</v>
      </c>
      <c r="B774" s="7">
        <v>25</v>
      </c>
    </row>
    <row r="775" spans="1:2" x14ac:dyDescent="0.25">
      <c r="A775" s="6" t="s">
        <v>590</v>
      </c>
      <c r="B775" s="7">
        <v>25</v>
      </c>
    </row>
    <row r="776" spans="1:2" x14ac:dyDescent="0.25">
      <c r="A776" s="6" t="s">
        <v>617</v>
      </c>
      <c r="B776" s="7">
        <v>25</v>
      </c>
    </row>
    <row r="777" spans="1:2" x14ac:dyDescent="0.25">
      <c r="A777" s="6" t="s">
        <v>619</v>
      </c>
      <c r="B777" s="7">
        <v>25</v>
      </c>
    </row>
    <row r="778" spans="1:2" x14ac:dyDescent="0.25">
      <c r="A778" s="6" t="s">
        <v>304</v>
      </c>
      <c r="B778" s="7">
        <v>25</v>
      </c>
    </row>
    <row r="779" spans="1:2" x14ac:dyDescent="0.25">
      <c r="A779" s="6" t="s">
        <v>766</v>
      </c>
      <c r="B779" s="7">
        <v>25</v>
      </c>
    </row>
    <row r="780" spans="1:2" x14ac:dyDescent="0.25">
      <c r="A780" s="6" t="s">
        <v>439</v>
      </c>
      <c r="B780" s="7">
        <v>25</v>
      </c>
    </row>
    <row r="781" spans="1:2" x14ac:dyDescent="0.25">
      <c r="A781" s="6" t="s">
        <v>1729</v>
      </c>
      <c r="B781" s="7">
        <v>25</v>
      </c>
    </row>
    <row r="782" spans="1:2" x14ac:dyDescent="0.25">
      <c r="A782" s="6" t="s">
        <v>654</v>
      </c>
      <c r="B782" s="7">
        <v>25</v>
      </c>
    </row>
    <row r="783" spans="1:2" x14ac:dyDescent="0.25">
      <c r="A783" s="6" t="s">
        <v>1010</v>
      </c>
      <c r="B783" s="7">
        <v>25</v>
      </c>
    </row>
    <row r="784" spans="1:2" x14ac:dyDescent="0.25">
      <c r="A784" s="6" t="s">
        <v>574</v>
      </c>
      <c r="B784" s="7">
        <v>25</v>
      </c>
    </row>
    <row r="785" spans="1:2" x14ac:dyDescent="0.25">
      <c r="A785" s="6" t="s">
        <v>641</v>
      </c>
      <c r="B785" s="7">
        <v>25</v>
      </c>
    </row>
    <row r="786" spans="1:2" x14ac:dyDescent="0.25">
      <c r="A786" s="6" t="s">
        <v>1929</v>
      </c>
      <c r="B786" s="7">
        <v>25</v>
      </c>
    </row>
    <row r="787" spans="1:2" x14ac:dyDescent="0.25">
      <c r="A787" s="6" t="s">
        <v>1930</v>
      </c>
      <c r="B787" s="7">
        <v>25</v>
      </c>
    </row>
    <row r="788" spans="1:2" x14ac:dyDescent="0.25">
      <c r="A788" s="6" t="s">
        <v>1448</v>
      </c>
      <c r="B788" s="7">
        <v>25</v>
      </c>
    </row>
    <row r="789" spans="1:2" x14ac:dyDescent="0.25">
      <c r="A789" s="6" t="s">
        <v>348</v>
      </c>
      <c r="B789" s="7">
        <v>25</v>
      </c>
    </row>
    <row r="790" spans="1:2" x14ac:dyDescent="0.25">
      <c r="A790" s="6" t="s">
        <v>1644</v>
      </c>
      <c r="B790" s="7">
        <v>25</v>
      </c>
    </row>
    <row r="791" spans="1:2" x14ac:dyDescent="0.25">
      <c r="A791" s="6" t="s">
        <v>950</v>
      </c>
      <c r="B791" s="7">
        <v>25</v>
      </c>
    </row>
    <row r="792" spans="1:2" x14ac:dyDescent="0.25">
      <c r="A792" s="6" t="s">
        <v>1931</v>
      </c>
      <c r="B792" s="7">
        <v>25</v>
      </c>
    </row>
    <row r="793" spans="1:2" x14ac:dyDescent="0.25">
      <c r="A793" s="6" t="s">
        <v>1105</v>
      </c>
      <c r="B793" s="7">
        <v>25</v>
      </c>
    </row>
    <row r="794" spans="1:2" x14ac:dyDescent="0.25">
      <c r="A794" s="6" t="s">
        <v>1110</v>
      </c>
      <c r="B794" s="7">
        <v>25</v>
      </c>
    </row>
    <row r="795" spans="1:2" x14ac:dyDescent="0.25">
      <c r="A795" s="6" t="s">
        <v>288</v>
      </c>
      <c r="B795" s="7">
        <v>25</v>
      </c>
    </row>
    <row r="796" spans="1:2" x14ac:dyDescent="0.25">
      <c r="A796" s="6" t="s">
        <v>754</v>
      </c>
      <c r="B796" s="7">
        <v>25</v>
      </c>
    </row>
    <row r="797" spans="1:2" x14ac:dyDescent="0.25">
      <c r="A797" s="6" t="s">
        <v>342</v>
      </c>
      <c r="B797" s="7">
        <v>25</v>
      </c>
    </row>
    <row r="798" spans="1:2" x14ac:dyDescent="0.25">
      <c r="A798" s="6" t="s">
        <v>1715</v>
      </c>
      <c r="B798" s="7">
        <v>25</v>
      </c>
    </row>
    <row r="799" spans="1:2" x14ac:dyDescent="0.25">
      <c r="A799" s="6" t="s">
        <v>360</v>
      </c>
      <c r="B799" s="7">
        <v>25</v>
      </c>
    </row>
    <row r="800" spans="1:2" x14ac:dyDescent="0.25">
      <c r="A800" s="6" t="s">
        <v>1112</v>
      </c>
      <c r="B800" s="7">
        <v>25</v>
      </c>
    </row>
    <row r="801" spans="1:2" x14ac:dyDescent="0.25">
      <c r="A801" s="6" t="s">
        <v>512</v>
      </c>
      <c r="B801" s="7">
        <v>25</v>
      </c>
    </row>
    <row r="802" spans="1:2" x14ac:dyDescent="0.25">
      <c r="A802" s="6" t="s">
        <v>370</v>
      </c>
      <c r="B802" s="7">
        <v>25</v>
      </c>
    </row>
    <row r="803" spans="1:2" x14ac:dyDescent="0.25">
      <c r="A803" s="6" t="s">
        <v>516</v>
      </c>
      <c r="B803" s="7">
        <v>25</v>
      </c>
    </row>
    <row r="804" spans="1:2" x14ac:dyDescent="0.25">
      <c r="A804" s="6" t="s">
        <v>393</v>
      </c>
      <c r="B804" s="7">
        <v>25</v>
      </c>
    </row>
    <row r="805" spans="1:2" x14ac:dyDescent="0.25">
      <c r="A805" s="6" t="s">
        <v>298</v>
      </c>
      <c r="B805" s="7">
        <v>25</v>
      </c>
    </row>
    <row r="806" spans="1:2" x14ac:dyDescent="0.25">
      <c r="A806" s="6" t="s">
        <v>519</v>
      </c>
      <c r="B806" s="7">
        <v>25</v>
      </c>
    </row>
    <row r="807" spans="1:2" x14ac:dyDescent="0.25">
      <c r="A807" s="6" t="s">
        <v>40</v>
      </c>
      <c r="B807" s="7">
        <v>25</v>
      </c>
    </row>
    <row r="808" spans="1:2" x14ac:dyDescent="0.25">
      <c r="A808" s="6" t="s">
        <v>149</v>
      </c>
      <c r="B808" s="7">
        <v>25</v>
      </c>
    </row>
    <row r="809" spans="1:2" x14ac:dyDescent="0.25">
      <c r="A809" s="6" t="s">
        <v>1814</v>
      </c>
      <c r="B809" s="7">
        <v>25</v>
      </c>
    </row>
    <row r="810" spans="1:2" x14ac:dyDescent="0.25">
      <c r="A810" s="6" t="s">
        <v>1648</v>
      </c>
      <c r="B810" s="7">
        <v>25</v>
      </c>
    </row>
    <row r="811" spans="1:2" x14ac:dyDescent="0.25">
      <c r="A811" s="6" t="s">
        <v>151</v>
      </c>
      <c r="B811" s="7">
        <v>25</v>
      </c>
    </row>
    <row r="812" spans="1:2" x14ac:dyDescent="0.25">
      <c r="A812" s="6" t="s">
        <v>1646</v>
      </c>
      <c r="B812" s="7">
        <v>25</v>
      </c>
    </row>
    <row r="813" spans="1:2" x14ac:dyDescent="0.25">
      <c r="A813" s="6" t="s">
        <v>295</v>
      </c>
      <c r="B813" s="7">
        <v>25</v>
      </c>
    </row>
    <row r="814" spans="1:2" x14ac:dyDescent="0.25">
      <c r="A814" s="6" t="s">
        <v>1820</v>
      </c>
      <c r="B814" s="7">
        <v>25</v>
      </c>
    </row>
    <row r="815" spans="1:2" x14ac:dyDescent="0.25">
      <c r="A815" s="6" t="s">
        <v>1818</v>
      </c>
      <c r="B815" s="7">
        <v>25</v>
      </c>
    </row>
    <row r="816" spans="1:2" x14ac:dyDescent="0.25">
      <c r="A816" s="6" t="s">
        <v>1816</v>
      </c>
      <c r="B816" s="7">
        <v>25</v>
      </c>
    </row>
    <row r="817" spans="1:2" x14ac:dyDescent="0.25">
      <c r="A817" s="6" t="s">
        <v>952</v>
      </c>
      <c r="B817" s="7">
        <v>25</v>
      </c>
    </row>
    <row r="818" spans="1:2" x14ac:dyDescent="0.25">
      <c r="A818" s="6" t="s">
        <v>944</v>
      </c>
      <c r="B818" s="7">
        <v>25</v>
      </c>
    </row>
    <row r="819" spans="1:2" x14ac:dyDescent="0.25">
      <c r="A819" s="6" t="s">
        <v>385</v>
      </c>
      <c r="B819" s="7">
        <v>25</v>
      </c>
    </row>
    <row r="820" spans="1:2" x14ac:dyDescent="0.25">
      <c r="A820" s="6" t="s">
        <v>113</v>
      </c>
      <c r="B820" s="7">
        <v>25</v>
      </c>
    </row>
    <row r="821" spans="1:2" x14ac:dyDescent="0.25">
      <c r="A821" s="6" t="s">
        <v>117</v>
      </c>
      <c r="B821" s="7">
        <v>25</v>
      </c>
    </row>
    <row r="822" spans="1:2" x14ac:dyDescent="0.25">
      <c r="A822" s="6" t="s">
        <v>115</v>
      </c>
      <c r="B822" s="7">
        <v>25</v>
      </c>
    </row>
    <row r="823" spans="1:2" x14ac:dyDescent="0.25">
      <c r="A823" s="6" t="s">
        <v>100</v>
      </c>
      <c r="B823" s="7">
        <v>25</v>
      </c>
    </row>
    <row r="824" spans="1:2" x14ac:dyDescent="0.25">
      <c r="A824" s="6" t="s">
        <v>103</v>
      </c>
      <c r="B824" s="7">
        <v>25</v>
      </c>
    </row>
    <row r="825" spans="1:2" x14ac:dyDescent="0.25">
      <c r="A825" s="6" t="s">
        <v>121</v>
      </c>
      <c r="B825" s="7">
        <v>25</v>
      </c>
    </row>
    <row r="826" spans="1:2" x14ac:dyDescent="0.25">
      <c r="A826" s="6" t="s">
        <v>1932</v>
      </c>
      <c r="B826" s="7">
        <v>25</v>
      </c>
    </row>
    <row r="827" spans="1:2" x14ac:dyDescent="0.25">
      <c r="A827" s="6" t="s">
        <v>444</v>
      </c>
      <c r="B827" s="7">
        <v>25</v>
      </c>
    </row>
    <row r="828" spans="1:2" x14ac:dyDescent="0.25">
      <c r="A828" s="6" t="s">
        <v>1933</v>
      </c>
      <c r="B828" s="7">
        <v>25</v>
      </c>
    </row>
    <row r="829" spans="1:2" x14ac:dyDescent="0.25">
      <c r="A829" s="6" t="s">
        <v>988</v>
      </c>
      <c r="B829" s="7">
        <v>25</v>
      </c>
    </row>
    <row r="830" spans="1:2" x14ac:dyDescent="0.25">
      <c r="A830" s="6" t="s">
        <v>109</v>
      </c>
      <c r="B830" s="7">
        <v>25</v>
      </c>
    </row>
    <row r="831" spans="1:2" x14ac:dyDescent="0.25">
      <c r="A831" s="6" t="s">
        <v>111</v>
      </c>
      <c r="B831" s="7">
        <v>25</v>
      </c>
    </row>
    <row r="832" spans="1:2" x14ac:dyDescent="0.25">
      <c r="A832" s="6" t="s">
        <v>401</v>
      </c>
      <c r="B832" s="7">
        <v>25</v>
      </c>
    </row>
    <row r="833" spans="1:2" x14ac:dyDescent="0.25">
      <c r="A833" s="6" t="s">
        <v>315</v>
      </c>
      <c r="B833" s="7">
        <v>25</v>
      </c>
    </row>
    <row r="834" spans="1:2" x14ac:dyDescent="0.25">
      <c r="A834" s="6" t="s">
        <v>313</v>
      </c>
      <c r="B834" s="7">
        <v>25</v>
      </c>
    </row>
    <row r="835" spans="1:2" x14ac:dyDescent="0.25">
      <c r="A835" s="6" t="s">
        <v>1934</v>
      </c>
      <c r="B835" s="7">
        <v>25</v>
      </c>
    </row>
    <row r="836" spans="1:2" x14ac:dyDescent="0.25">
      <c r="A836" s="6" t="s">
        <v>220</v>
      </c>
      <c r="B836" s="7">
        <v>25</v>
      </c>
    </row>
    <row r="837" spans="1:2" x14ac:dyDescent="0.25">
      <c r="A837" s="6" t="s">
        <v>195</v>
      </c>
      <c r="B837" s="7">
        <v>25</v>
      </c>
    </row>
    <row r="838" spans="1:2" x14ac:dyDescent="0.25">
      <c r="A838" s="6" t="s">
        <v>205</v>
      </c>
      <c r="B838" s="7">
        <v>25</v>
      </c>
    </row>
    <row r="839" spans="1:2" x14ac:dyDescent="0.25">
      <c r="A839" s="6" t="s">
        <v>456</v>
      </c>
      <c r="B839" s="7">
        <v>25</v>
      </c>
    </row>
    <row r="840" spans="1:2" x14ac:dyDescent="0.25">
      <c r="A840" s="6" t="s">
        <v>643</v>
      </c>
      <c r="B840" s="7">
        <v>25</v>
      </c>
    </row>
    <row r="841" spans="1:2" x14ac:dyDescent="0.25">
      <c r="A841" s="6" t="s">
        <v>86</v>
      </c>
      <c r="B841" s="7">
        <v>25</v>
      </c>
    </row>
    <row r="842" spans="1:2" x14ac:dyDescent="0.25">
      <c r="A842" s="6" t="s">
        <v>88</v>
      </c>
      <c r="B842" s="7">
        <v>25</v>
      </c>
    </row>
    <row r="843" spans="1:2" x14ac:dyDescent="0.25">
      <c r="A843" s="6" t="s">
        <v>322</v>
      </c>
      <c r="B843" s="7">
        <v>25</v>
      </c>
    </row>
    <row r="844" spans="1:2" x14ac:dyDescent="0.25">
      <c r="A844" s="6" t="s">
        <v>141</v>
      </c>
      <c r="B844" s="7">
        <v>25</v>
      </c>
    </row>
    <row r="845" spans="1:2" x14ac:dyDescent="0.25">
      <c r="A845" s="6" t="s">
        <v>440</v>
      </c>
      <c r="B845" s="7">
        <v>25</v>
      </c>
    </row>
    <row r="846" spans="1:2" x14ac:dyDescent="0.25">
      <c r="A846" s="6" t="s">
        <v>501</v>
      </c>
      <c r="B846" s="7">
        <v>25</v>
      </c>
    </row>
    <row r="847" spans="1:2" x14ac:dyDescent="0.25">
      <c r="A847" s="6" t="s">
        <v>921</v>
      </c>
      <c r="B847" s="7">
        <v>25</v>
      </c>
    </row>
    <row r="848" spans="1:2" x14ac:dyDescent="0.25">
      <c r="A848" s="6" t="s">
        <v>391</v>
      </c>
      <c r="B848" s="7">
        <v>25</v>
      </c>
    </row>
    <row r="849" spans="1:2" x14ac:dyDescent="0.25">
      <c r="A849" s="6" t="s">
        <v>392</v>
      </c>
      <c r="B849" s="7">
        <v>25</v>
      </c>
    </row>
    <row r="850" spans="1:2" x14ac:dyDescent="0.25">
      <c r="A850" s="6" t="s">
        <v>1935</v>
      </c>
      <c r="B850" s="7">
        <v>25</v>
      </c>
    </row>
    <row r="851" spans="1:2" x14ac:dyDescent="0.25">
      <c r="A851" s="6" t="s">
        <v>201</v>
      </c>
      <c r="B851" s="7">
        <v>25</v>
      </c>
    </row>
    <row r="852" spans="1:2" x14ac:dyDescent="0.25">
      <c r="A852" s="6" t="s">
        <v>75</v>
      </c>
      <c r="B852" s="7">
        <v>25</v>
      </c>
    </row>
    <row r="853" spans="1:2" x14ac:dyDescent="0.25">
      <c r="A853" s="6" t="s">
        <v>59</v>
      </c>
      <c r="B853" s="7">
        <v>25</v>
      </c>
    </row>
    <row r="854" spans="1:2" x14ac:dyDescent="0.25">
      <c r="A854" s="6" t="s">
        <v>96</v>
      </c>
      <c r="B854" s="7">
        <v>25</v>
      </c>
    </row>
    <row r="855" spans="1:2" x14ac:dyDescent="0.25">
      <c r="A855" s="6" t="s">
        <v>98</v>
      </c>
      <c r="B855" s="7">
        <v>25</v>
      </c>
    </row>
    <row r="856" spans="1:2" x14ac:dyDescent="0.25">
      <c r="A856" s="6" t="s">
        <v>218</v>
      </c>
      <c r="B856" s="7">
        <v>25</v>
      </c>
    </row>
    <row r="857" spans="1:2" x14ac:dyDescent="0.25">
      <c r="A857" s="6" t="s">
        <v>70</v>
      </c>
      <c r="B857" s="7">
        <v>25</v>
      </c>
    </row>
    <row r="858" spans="1:2" x14ac:dyDescent="0.25">
      <c r="A858" s="6" t="s">
        <v>211</v>
      </c>
      <c r="B858" s="7">
        <v>25</v>
      </c>
    </row>
    <row r="859" spans="1:2" x14ac:dyDescent="0.25">
      <c r="A859" s="6" t="s">
        <v>958</v>
      </c>
      <c r="B859" s="7">
        <v>25</v>
      </c>
    </row>
    <row r="860" spans="1:2" x14ac:dyDescent="0.25">
      <c r="A860" s="6" t="s">
        <v>94</v>
      </c>
      <c r="B860" s="7">
        <v>25</v>
      </c>
    </row>
    <row r="861" spans="1:2" x14ac:dyDescent="0.25">
      <c r="A861" s="6" t="s">
        <v>332</v>
      </c>
      <c r="B861" s="7">
        <v>25</v>
      </c>
    </row>
    <row r="862" spans="1:2" x14ac:dyDescent="0.25">
      <c r="A862" s="6" t="s">
        <v>68</v>
      </c>
      <c r="B862" s="7">
        <v>25</v>
      </c>
    </row>
    <row r="863" spans="1:2" x14ac:dyDescent="0.25">
      <c r="A863" s="6" t="s">
        <v>729</v>
      </c>
      <c r="B863" s="7">
        <v>25</v>
      </c>
    </row>
    <row r="864" spans="1:2" x14ac:dyDescent="0.25">
      <c r="A864" s="6" t="s">
        <v>307</v>
      </c>
      <c r="B864" s="7">
        <v>25</v>
      </c>
    </row>
    <row r="865" spans="1:2" x14ac:dyDescent="0.25">
      <c r="A865" s="6" t="s">
        <v>1936</v>
      </c>
      <c r="B865" s="7">
        <v>25</v>
      </c>
    </row>
    <row r="866" spans="1:2" x14ac:dyDescent="0.25">
      <c r="A866" s="6" t="s">
        <v>1717</v>
      </c>
      <c r="B866" s="7">
        <v>25</v>
      </c>
    </row>
    <row r="867" spans="1:2" x14ac:dyDescent="0.25">
      <c r="A867" s="6" t="s">
        <v>1719</v>
      </c>
      <c r="B867" s="7">
        <v>25</v>
      </c>
    </row>
    <row r="868" spans="1:2" x14ac:dyDescent="0.25">
      <c r="A868" s="6" t="s">
        <v>960</v>
      </c>
      <c r="B868" s="7">
        <v>25</v>
      </c>
    </row>
    <row r="869" spans="1:2" x14ac:dyDescent="0.25">
      <c r="A869" s="6" t="s">
        <v>30</v>
      </c>
      <c r="B869" s="7">
        <v>25</v>
      </c>
    </row>
    <row r="870" spans="1:2" x14ac:dyDescent="0.25">
      <c r="A870" s="6" t="s">
        <v>127</v>
      </c>
      <c r="B870" s="7">
        <v>25</v>
      </c>
    </row>
    <row r="871" spans="1:2" x14ac:dyDescent="0.25">
      <c r="A871" s="6" t="s">
        <v>123</v>
      </c>
      <c r="B871" s="7">
        <v>25</v>
      </c>
    </row>
    <row r="872" spans="1:2" x14ac:dyDescent="0.25">
      <c r="A872" s="6" t="s">
        <v>125</v>
      </c>
      <c r="B872" s="7">
        <v>25</v>
      </c>
    </row>
    <row r="873" spans="1:2" x14ac:dyDescent="0.25">
      <c r="A873" s="6" t="s">
        <v>129</v>
      </c>
      <c r="B873" s="7">
        <v>25</v>
      </c>
    </row>
    <row r="874" spans="1:2" x14ac:dyDescent="0.25">
      <c r="A874" s="6" t="s">
        <v>527</v>
      </c>
      <c r="B874" s="7">
        <v>25</v>
      </c>
    </row>
    <row r="875" spans="1:2" x14ac:dyDescent="0.25">
      <c r="A875" s="6" t="s">
        <v>530</v>
      </c>
      <c r="B875" s="7">
        <v>25</v>
      </c>
    </row>
    <row r="876" spans="1:2" x14ac:dyDescent="0.25">
      <c r="A876" s="6" t="s">
        <v>301</v>
      </c>
      <c r="B876" s="7">
        <v>25</v>
      </c>
    </row>
    <row r="877" spans="1:2" x14ac:dyDescent="0.25">
      <c r="A877" s="6" t="s">
        <v>1824</v>
      </c>
      <c r="B877" s="7">
        <v>25</v>
      </c>
    </row>
    <row r="878" spans="1:2" x14ac:dyDescent="0.25">
      <c r="A878" s="6" t="s">
        <v>79</v>
      </c>
      <c r="B878" s="7">
        <v>25</v>
      </c>
    </row>
    <row r="879" spans="1:2" x14ac:dyDescent="0.25">
      <c r="A879" s="6" t="s">
        <v>82</v>
      </c>
      <c r="B879" s="7">
        <v>25</v>
      </c>
    </row>
    <row r="880" spans="1:2" x14ac:dyDescent="0.25">
      <c r="A880" s="6" t="s">
        <v>84</v>
      </c>
      <c r="B880" s="7">
        <v>25</v>
      </c>
    </row>
    <row r="881" spans="1:2" x14ac:dyDescent="0.25">
      <c r="A881" s="6" t="s">
        <v>1937</v>
      </c>
      <c r="B881" s="7">
        <v>25</v>
      </c>
    </row>
    <row r="882" spans="1:2" x14ac:dyDescent="0.25">
      <c r="A882" s="6" t="s">
        <v>734</v>
      </c>
      <c r="B882" s="7">
        <v>25</v>
      </c>
    </row>
    <row r="883" spans="1:2" x14ac:dyDescent="0.25">
      <c r="A883" s="6" t="s">
        <v>297</v>
      </c>
      <c r="B883" s="7">
        <v>25</v>
      </c>
    </row>
    <row r="884" spans="1:2" x14ac:dyDescent="0.25">
      <c r="A884" s="6" t="s">
        <v>736</v>
      </c>
      <c r="B884" s="7">
        <v>25</v>
      </c>
    </row>
    <row r="885" spans="1:2" x14ac:dyDescent="0.25">
      <c r="A885" s="6" t="s">
        <v>752</v>
      </c>
      <c r="B885" s="7">
        <v>25</v>
      </c>
    </row>
    <row r="886" spans="1:2" x14ac:dyDescent="0.25">
      <c r="A886" s="6" t="s">
        <v>1609</v>
      </c>
      <c r="B886" s="7">
        <v>25</v>
      </c>
    </row>
    <row r="887" spans="1:2" x14ac:dyDescent="0.25">
      <c r="A887" s="6" t="s">
        <v>249</v>
      </c>
      <c r="B887" s="7">
        <v>25</v>
      </c>
    </row>
    <row r="888" spans="1:2" x14ac:dyDescent="0.25">
      <c r="A888" s="6" t="s">
        <v>251</v>
      </c>
      <c r="B888" s="7">
        <v>25</v>
      </c>
    </row>
    <row r="889" spans="1:2" x14ac:dyDescent="0.25">
      <c r="A889" s="6" t="s">
        <v>245</v>
      </c>
      <c r="B889" s="7">
        <v>25</v>
      </c>
    </row>
    <row r="890" spans="1:2" x14ac:dyDescent="0.25">
      <c r="A890" s="6" t="s">
        <v>193</v>
      </c>
      <c r="B890" s="7">
        <v>25</v>
      </c>
    </row>
    <row r="891" spans="1:2" x14ac:dyDescent="0.25">
      <c r="A891" s="6" t="s">
        <v>505</v>
      </c>
      <c r="B891" s="7">
        <v>25</v>
      </c>
    </row>
    <row r="892" spans="1:2" x14ac:dyDescent="0.25">
      <c r="A892" s="6" t="s">
        <v>885</v>
      </c>
      <c r="B892" s="7">
        <v>25</v>
      </c>
    </row>
    <row r="893" spans="1:2" x14ac:dyDescent="0.25">
      <c r="A893" s="6" t="s">
        <v>328</v>
      </c>
      <c r="B893" s="7">
        <v>25</v>
      </c>
    </row>
    <row r="894" spans="1:2" x14ac:dyDescent="0.25">
      <c r="A894" s="6" t="s">
        <v>1938</v>
      </c>
      <c r="B894" s="7">
        <v>25</v>
      </c>
    </row>
    <row r="895" spans="1:2" x14ac:dyDescent="0.25">
      <c r="A895" s="6" t="s">
        <v>318</v>
      </c>
      <c r="B895" s="7">
        <v>25</v>
      </c>
    </row>
    <row r="896" spans="1:2" x14ac:dyDescent="0.25">
      <c r="A896" s="6" t="s">
        <v>364</v>
      </c>
      <c r="B896" s="7">
        <v>25</v>
      </c>
    </row>
    <row r="897" spans="1:2" x14ac:dyDescent="0.25">
      <c r="A897" s="6" t="s">
        <v>302</v>
      </c>
      <c r="B897" s="7">
        <v>25</v>
      </c>
    </row>
    <row r="898" spans="1:2" x14ac:dyDescent="0.25">
      <c r="A898" s="6" t="s">
        <v>42</v>
      </c>
      <c r="B898" s="7">
        <v>25</v>
      </c>
    </row>
    <row r="899" spans="1:2" x14ac:dyDescent="0.25">
      <c r="A899" s="6" t="s">
        <v>366</v>
      </c>
      <c r="B899" s="7">
        <v>25</v>
      </c>
    </row>
    <row r="900" spans="1:2" x14ac:dyDescent="0.25">
      <c r="A900" s="6" t="s">
        <v>38</v>
      </c>
      <c r="B900" s="7">
        <v>25</v>
      </c>
    </row>
    <row r="901" spans="1:2" x14ac:dyDescent="0.25">
      <c r="A901" s="6" t="s">
        <v>296</v>
      </c>
      <c r="B901" s="7">
        <v>25</v>
      </c>
    </row>
    <row r="902" spans="1:2" x14ac:dyDescent="0.25">
      <c r="A902" s="6" t="s">
        <v>503</v>
      </c>
      <c r="B902" s="7">
        <v>25</v>
      </c>
    </row>
    <row r="903" spans="1:2" x14ac:dyDescent="0.25">
      <c r="A903" s="6" t="s">
        <v>521</v>
      </c>
      <c r="B903" s="7">
        <v>25</v>
      </c>
    </row>
    <row r="904" spans="1:2" x14ac:dyDescent="0.25">
      <c r="A904" s="6" t="s">
        <v>523</v>
      </c>
      <c r="B904" s="7">
        <v>25</v>
      </c>
    </row>
    <row r="905" spans="1:2" x14ac:dyDescent="0.25">
      <c r="A905" s="6" t="s">
        <v>1596</v>
      </c>
      <c r="B905" s="7">
        <v>25</v>
      </c>
    </row>
    <row r="906" spans="1:2" x14ac:dyDescent="0.25">
      <c r="A906" s="6" t="s">
        <v>1583</v>
      </c>
      <c r="B906" s="7">
        <v>25</v>
      </c>
    </row>
    <row r="907" spans="1:2" x14ac:dyDescent="0.25">
      <c r="A907" s="6" t="s">
        <v>1586</v>
      </c>
      <c r="B907" s="7">
        <v>25</v>
      </c>
    </row>
    <row r="908" spans="1:2" x14ac:dyDescent="0.25">
      <c r="A908" s="6" t="s">
        <v>1588</v>
      </c>
      <c r="B908" s="7">
        <v>25</v>
      </c>
    </row>
    <row r="909" spans="1:2" x14ac:dyDescent="0.25">
      <c r="A909" s="6" t="s">
        <v>1594</v>
      </c>
      <c r="B909" s="7">
        <v>25</v>
      </c>
    </row>
    <row r="910" spans="1:2" x14ac:dyDescent="0.25">
      <c r="A910" s="6" t="s">
        <v>506</v>
      </c>
      <c r="B910" s="7">
        <v>25</v>
      </c>
    </row>
    <row r="911" spans="1:2" x14ac:dyDescent="0.25">
      <c r="A911" s="6" t="s">
        <v>1018</v>
      </c>
      <c r="B911" s="7">
        <v>25</v>
      </c>
    </row>
    <row r="912" spans="1:2" x14ac:dyDescent="0.25">
      <c r="A912" s="6" t="s">
        <v>1020</v>
      </c>
      <c r="B912" s="7">
        <v>25</v>
      </c>
    </row>
    <row r="913" spans="1:2" x14ac:dyDescent="0.25">
      <c r="A913" s="6" t="s">
        <v>1022</v>
      </c>
      <c r="B913" s="7">
        <v>25</v>
      </c>
    </row>
    <row r="914" spans="1:2" x14ac:dyDescent="0.25">
      <c r="A914" s="6" t="s">
        <v>1611</v>
      </c>
      <c r="B914" s="7">
        <v>25</v>
      </c>
    </row>
    <row r="915" spans="1:2" x14ac:dyDescent="0.25">
      <c r="A915" s="6" t="s">
        <v>538</v>
      </c>
      <c r="B915" s="7">
        <v>25</v>
      </c>
    </row>
    <row r="916" spans="1:2" x14ac:dyDescent="0.25">
      <c r="A916" s="6" t="s">
        <v>540</v>
      </c>
      <c r="B916" s="7">
        <v>25</v>
      </c>
    </row>
    <row r="917" spans="1:2" x14ac:dyDescent="0.25">
      <c r="A917" s="6" t="s">
        <v>542</v>
      </c>
      <c r="B917" s="7">
        <v>25</v>
      </c>
    </row>
    <row r="918" spans="1:2" x14ac:dyDescent="0.25">
      <c r="A918" s="6" t="s">
        <v>546</v>
      </c>
      <c r="B918" s="7">
        <v>25</v>
      </c>
    </row>
    <row r="919" spans="1:2" x14ac:dyDescent="0.25">
      <c r="A919" s="6" t="s">
        <v>1488</v>
      </c>
      <c r="B919" s="7">
        <v>25</v>
      </c>
    </row>
    <row r="920" spans="1:2" x14ac:dyDescent="0.25">
      <c r="A920" s="6" t="s">
        <v>1490</v>
      </c>
      <c r="B920" s="7">
        <v>25</v>
      </c>
    </row>
    <row r="921" spans="1:2" x14ac:dyDescent="0.25">
      <c r="A921" s="6" t="s">
        <v>1492</v>
      </c>
      <c r="B921" s="7">
        <v>25</v>
      </c>
    </row>
    <row r="922" spans="1:2" x14ac:dyDescent="0.25">
      <c r="A922" s="6" t="s">
        <v>431</v>
      </c>
      <c r="B922" s="7">
        <v>25</v>
      </c>
    </row>
    <row r="923" spans="1:2" x14ac:dyDescent="0.25">
      <c r="A923" s="6" t="s">
        <v>291</v>
      </c>
      <c r="B923" s="7">
        <v>25</v>
      </c>
    </row>
    <row r="924" spans="1:2" x14ac:dyDescent="0.25">
      <c r="A924" s="6" t="s">
        <v>292</v>
      </c>
      <c r="B924" s="7">
        <v>25</v>
      </c>
    </row>
    <row r="925" spans="1:2" x14ac:dyDescent="0.25">
      <c r="A925" s="6" t="s">
        <v>430</v>
      </c>
      <c r="B925" s="7">
        <v>25</v>
      </c>
    </row>
    <row r="926" spans="1:2" x14ac:dyDescent="0.25">
      <c r="A926" s="6" t="s">
        <v>1939</v>
      </c>
      <c r="B926" s="7">
        <v>25</v>
      </c>
    </row>
    <row r="927" spans="1:2" x14ac:dyDescent="0.25">
      <c r="A927" s="6" t="s">
        <v>177</v>
      </c>
      <c r="B927" s="7">
        <v>25</v>
      </c>
    </row>
    <row r="928" spans="1:2" x14ac:dyDescent="0.25">
      <c r="A928" s="6" t="s">
        <v>394</v>
      </c>
      <c r="B928" s="7">
        <v>25</v>
      </c>
    </row>
    <row r="929" spans="1:2" x14ac:dyDescent="0.25">
      <c r="A929" s="6" t="s">
        <v>1598</v>
      </c>
      <c r="B929" s="7">
        <v>25</v>
      </c>
    </row>
    <row r="930" spans="1:2" x14ac:dyDescent="0.25">
      <c r="A930" s="6" t="s">
        <v>1167</v>
      </c>
      <c r="B930" s="7">
        <v>25</v>
      </c>
    </row>
    <row r="931" spans="1:2" x14ac:dyDescent="0.25">
      <c r="A931" s="6" t="s">
        <v>1638</v>
      </c>
      <c r="B931" s="7">
        <v>25</v>
      </c>
    </row>
    <row r="932" spans="1:2" x14ac:dyDescent="0.25">
      <c r="A932" s="6" t="s">
        <v>133</v>
      </c>
      <c r="B932" s="7">
        <v>25</v>
      </c>
    </row>
    <row r="933" spans="1:2" x14ac:dyDescent="0.25">
      <c r="A933" s="6" t="s">
        <v>135</v>
      </c>
      <c r="B933" s="7">
        <v>25</v>
      </c>
    </row>
    <row r="934" spans="1:2" x14ac:dyDescent="0.25">
      <c r="A934" s="6" t="s">
        <v>185</v>
      </c>
      <c r="B934" s="7">
        <v>25</v>
      </c>
    </row>
    <row r="935" spans="1:2" x14ac:dyDescent="0.25">
      <c r="A935" s="6" t="s">
        <v>1626</v>
      </c>
      <c r="B935" s="7">
        <v>25</v>
      </c>
    </row>
    <row r="936" spans="1:2" x14ac:dyDescent="0.25">
      <c r="A936" s="6" t="s">
        <v>1169</v>
      </c>
      <c r="B936" s="7">
        <v>25</v>
      </c>
    </row>
    <row r="937" spans="1:2" x14ac:dyDescent="0.25">
      <c r="A937" s="6" t="s">
        <v>13</v>
      </c>
      <c r="B937" s="7">
        <v>25</v>
      </c>
    </row>
    <row r="938" spans="1:2" x14ac:dyDescent="0.25">
      <c r="A938" s="6" t="s">
        <v>621</v>
      </c>
      <c r="B938" s="7">
        <v>25</v>
      </c>
    </row>
    <row r="939" spans="1:2" x14ac:dyDescent="0.25">
      <c r="A939" s="6" t="s">
        <v>1628</v>
      </c>
      <c r="B939" s="7">
        <v>25</v>
      </c>
    </row>
    <row r="940" spans="1:2" x14ac:dyDescent="0.25">
      <c r="A940" s="6" t="s">
        <v>1632</v>
      </c>
      <c r="B940" s="7">
        <v>25</v>
      </c>
    </row>
    <row r="941" spans="1:2" x14ac:dyDescent="0.25">
      <c r="A941" s="6" t="s">
        <v>189</v>
      </c>
      <c r="B941" s="7">
        <v>25</v>
      </c>
    </row>
    <row r="942" spans="1:2" x14ac:dyDescent="0.25">
      <c r="A942" s="6" t="s">
        <v>1506</v>
      </c>
      <c r="B942" s="7">
        <v>25</v>
      </c>
    </row>
    <row r="943" spans="1:2" x14ac:dyDescent="0.25">
      <c r="A943" s="6" t="s">
        <v>1614</v>
      </c>
      <c r="B943" s="7">
        <v>25</v>
      </c>
    </row>
    <row r="944" spans="1:2" x14ac:dyDescent="0.25">
      <c r="A944" s="6" t="s">
        <v>1630</v>
      </c>
      <c r="B944" s="7">
        <v>25</v>
      </c>
    </row>
    <row r="945" spans="1:2" x14ac:dyDescent="0.25">
      <c r="A945" s="6" t="s">
        <v>1940</v>
      </c>
      <c r="B945" s="7">
        <v>25</v>
      </c>
    </row>
    <row r="946" spans="1:2" x14ac:dyDescent="0.25">
      <c r="A946" s="6" t="s">
        <v>1941</v>
      </c>
      <c r="B946" s="7">
        <v>25</v>
      </c>
    </row>
    <row r="947" spans="1:2" x14ac:dyDescent="0.25">
      <c r="A947" s="6" t="s">
        <v>432</v>
      </c>
      <c r="B947" s="7">
        <v>25</v>
      </c>
    </row>
    <row r="948" spans="1:2" x14ac:dyDescent="0.25">
      <c r="A948" s="6" t="s">
        <v>1942</v>
      </c>
      <c r="B948" s="7">
        <v>25</v>
      </c>
    </row>
    <row r="949" spans="1:2" x14ac:dyDescent="0.25">
      <c r="A949" s="6" t="s">
        <v>1943</v>
      </c>
      <c r="B949" s="7">
        <v>25</v>
      </c>
    </row>
    <row r="950" spans="1:2" x14ac:dyDescent="0.25">
      <c r="A950" s="6" t="s">
        <v>1014</v>
      </c>
      <c r="B950" s="7">
        <v>25</v>
      </c>
    </row>
    <row r="951" spans="1:2" x14ac:dyDescent="0.25">
      <c r="A951" s="6" t="s">
        <v>1662</v>
      </c>
      <c r="B951" s="7">
        <v>25</v>
      </c>
    </row>
    <row r="952" spans="1:2" x14ac:dyDescent="0.25">
      <c r="A952" s="6" t="s">
        <v>1944</v>
      </c>
      <c r="B952" s="7">
        <v>25</v>
      </c>
    </row>
    <row r="953" spans="1:2" x14ac:dyDescent="0.25">
      <c r="A953" s="6" t="s">
        <v>1945</v>
      </c>
      <c r="B953" s="7">
        <v>25</v>
      </c>
    </row>
    <row r="954" spans="1:2" x14ac:dyDescent="0.25">
      <c r="A954" s="6" t="s">
        <v>1946</v>
      </c>
      <c r="B954" s="7">
        <v>25</v>
      </c>
    </row>
    <row r="955" spans="1:2" x14ac:dyDescent="0.25">
      <c r="A955" s="6" t="s">
        <v>525</v>
      </c>
      <c r="B955" s="7">
        <v>25</v>
      </c>
    </row>
    <row r="956" spans="1:2" x14ac:dyDescent="0.25">
      <c r="A956" s="6" t="s">
        <v>962</v>
      </c>
      <c r="B956" s="7">
        <v>25</v>
      </c>
    </row>
    <row r="957" spans="1:2" x14ac:dyDescent="0.25">
      <c r="A957" s="6" t="s">
        <v>147</v>
      </c>
      <c r="B957" s="7">
        <v>30</v>
      </c>
    </row>
    <row r="958" spans="1:2" x14ac:dyDescent="0.25">
      <c r="A958" s="6" t="s">
        <v>1439</v>
      </c>
      <c r="B958" s="7">
        <v>30</v>
      </c>
    </row>
    <row r="959" spans="1:2" x14ac:dyDescent="0.25">
      <c r="A959" s="6" t="s">
        <v>1395</v>
      </c>
      <c r="B959" s="7">
        <v>30</v>
      </c>
    </row>
    <row r="960" spans="1:2" x14ac:dyDescent="0.25">
      <c r="A960" s="6" t="s">
        <v>1305</v>
      </c>
      <c r="B960" s="7">
        <v>30</v>
      </c>
    </row>
    <row r="961" spans="1:2" x14ac:dyDescent="0.25">
      <c r="A961" s="6" t="s">
        <v>1307</v>
      </c>
      <c r="B961" s="7">
        <v>30</v>
      </c>
    </row>
    <row r="962" spans="1:2" x14ac:dyDescent="0.25">
      <c r="A962" s="6" t="s">
        <v>1947</v>
      </c>
      <c r="B962" s="7">
        <v>30</v>
      </c>
    </row>
    <row r="963" spans="1:2" x14ac:dyDescent="0.25">
      <c r="A963" s="6" t="s">
        <v>463</v>
      </c>
      <c r="B963" s="7">
        <v>30</v>
      </c>
    </row>
    <row r="964" spans="1:2" x14ac:dyDescent="0.25">
      <c r="A964" s="6" t="s">
        <v>1948</v>
      </c>
      <c r="B964" s="7">
        <v>30</v>
      </c>
    </row>
    <row r="965" spans="1:2" x14ac:dyDescent="0.25">
      <c r="A965" s="6" t="s">
        <v>1276</v>
      </c>
      <c r="B965" s="7">
        <v>30</v>
      </c>
    </row>
    <row r="966" spans="1:2" x14ac:dyDescent="0.25">
      <c r="A966" s="6" t="s">
        <v>1746</v>
      </c>
      <c r="B966" s="7">
        <v>30</v>
      </c>
    </row>
    <row r="967" spans="1:2" x14ac:dyDescent="0.25">
      <c r="A967" s="6" t="s">
        <v>1741</v>
      </c>
      <c r="B967" s="7">
        <v>30</v>
      </c>
    </row>
    <row r="968" spans="1:2" x14ac:dyDescent="0.25">
      <c r="A968" s="6" t="s">
        <v>1200</v>
      </c>
      <c r="B968" s="7">
        <v>30</v>
      </c>
    </row>
    <row r="969" spans="1:2" x14ac:dyDescent="0.25">
      <c r="A969" s="6" t="s">
        <v>1101</v>
      </c>
      <c r="B969" s="7">
        <v>30</v>
      </c>
    </row>
    <row r="970" spans="1:2" x14ac:dyDescent="0.25">
      <c r="A970" s="6" t="s">
        <v>1852</v>
      </c>
      <c r="B970" s="7">
        <v>30</v>
      </c>
    </row>
    <row r="971" spans="1:2" x14ac:dyDescent="0.25">
      <c r="A971" s="6" t="s">
        <v>582</v>
      </c>
      <c r="B971" s="7">
        <v>30</v>
      </c>
    </row>
    <row r="972" spans="1:2" x14ac:dyDescent="0.25">
      <c r="A972" s="6" t="s">
        <v>576</v>
      </c>
      <c r="B972" s="7">
        <v>30</v>
      </c>
    </row>
    <row r="973" spans="1:2" x14ac:dyDescent="0.25">
      <c r="A973" s="6" t="s">
        <v>986</v>
      </c>
      <c r="B973" s="7">
        <v>30</v>
      </c>
    </row>
    <row r="974" spans="1:2" x14ac:dyDescent="0.25">
      <c r="A974" s="6" t="s">
        <v>1607</v>
      </c>
      <c r="B974" s="7">
        <v>30</v>
      </c>
    </row>
    <row r="975" spans="1:2" x14ac:dyDescent="0.25">
      <c r="A975" s="6" t="s">
        <v>1867</v>
      </c>
      <c r="B975" s="7">
        <v>30</v>
      </c>
    </row>
    <row r="976" spans="1:2" x14ac:dyDescent="0.25">
      <c r="A976" s="6" t="s">
        <v>861</v>
      </c>
      <c r="B976" s="7">
        <v>35</v>
      </c>
    </row>
    <row r="977" spans="1:2" x14ac:dyDescent="0.25">
      <c r="A977" s="6" t="s">
        <v>1188</v>
      </c>
      <c r="B977" s="7">
        <v>35</v>
      </c>
    </row>
    <row r="978" spans="1:2" x14ac:dyDescent="0.25">
      <c r="A978" s="6" t="s">
        <v>584</v>
      </c>
      <c r="B978" s="7">
        <v>35</v>
      </c>
    </row>
    <row r="979" spans="1:2" x14ac:dyDescent="0.25">
      <c r="A979" s="6" t="s">
        <v>199</v>
      </c>
      <c r="B979" s="7">
        <v>35</v>
      </c>
    </row>
    <row r="980" spans="1:2" x14ac:dyDescent="0.25">
      <c r="A980" s="6" t="s">
        <v>1153</v>
      </c>
      <c r="B980" s="7">
        <v>40</v>
      </c>
    </row>
    <row r="981" spans="1:2" x14ac:dyDescent="0.25">
      <c r="A981" s="6" t="s">
        <v>853</v>
      </c>
      <c r="B981" s="7">
        <v>40</v>
      </c>
    </row>
    <row r="982" spans="1:2" x14ac:dyDescent="0.25">
      <c r="A982" s="6" t="s">
        <v>1802</v>
      </c>
      <c r="B982" s="7">
        <v>40</v>
      </c>
    </row>
    <row r="983" spans="1:2" x14ac:dyDescent="0.25">
      <c r="A983" s="6" t="s">
        <v>924</v>
      </c>
      <c r="B983" s="7">
        <v>40</v>
      </c>
    </row>
    <row r="984" spans="1:2" x14ac:dyDescent="0.25">
      <c r="A984" s="6" t="s">
        <v>1427</v>
      </c>
      <c r="B984" s="7">
        <v>45</v>
      </c>
    </row>
    <row r="985" spans="1:2" x14ac:dyDescent="0.25">
      <c r="A985" s="6" t="s">
        <v>1740</v>
      </c>
      <c r="B985" s="7">
        <v>45</v>
      </c>
    </row>
    <row r="986" spans="1:2" x14ac:dyDescent="0.25">
      <c r="A986" s="6" t="s">
        <v>1707</v>
      </c>
      <c r="B986" s="7">
        <v>45</v>
      </c>
    </row>
    <row r="987" spans="1:2" x14ac:dyDescent="0.25">
      <c r="A987" s="6" t="s">
        <v>510</v>
      </c>
      <c r="B987" s="7">
        <v>45</v>
      </c>
    </row>
    <row r="988" spans="1:2" x14ac:dyDescent="0.25">
      <c r="A988" s="6" t="s">
        <v>152</v>
      </c>
      <c r="B988" s="7">
        <v>50</v>
      </c>
    </row>
    <row r="989" spans="1:2" x14ac:dyDescent="0.25">
      <c r="A989" s="6" t="s">
        <v>1538</v>
      </c>
      <c r="B989" s="7">
        <v>50</v>
      </c>
    </row>
    <row r="990" spans="1:2" x14ac:dyDescent="0.25">
      <c r="A990" s="6" t="s">
        <v>448</v>
      </c>
      <c r="B990" s="7">
        <v>50</v>
      </c>
    </row>
    <row r="991" spans="1:2" x14ac:dyDescent="0.25">
      <c r="A991" s="6" t="s">
        <v>928</v>
      </c>
      <c r="B991" s="7">
        <v>50</v>
      </c>
    </row>
    <row r="992" spans="1:2" x14ac:dyDescent="0.25">
      <c r="A992" s="6" t="s">
        <v>652</v>
      </c>
      <c r="B992" s="7">
        <v>50</v>
      </c>
    </row>
    <row r="993" spans="1:2" x14ac:dyDescent="0.25">
      <c r="A993" s="6" t="s">
        <v>131</v>
      </c>
      <c r="B993" s="7">
        <v>50</v>
      </c>
    </row>
    <row r="994" spans="1:2" x14ac:dyDescent="0.25">
      <c r="A994" s="6" t="s">
        <v>1949</v>
      </c>
      <c r="B994" s="7">
        <v>50</v>
      </c>
    </row>
    <row r="995" spans="1:2" x14ac:dyDescent="0.25">
      <c r="A995" s="6" t="s">
        <v>1012</v>
      </c>
      <c r="B995" s="7">
        <v>50</v>
      </c>
    </row>
    <row r="996" spans="1:2" x14ac:dyDescent="0.25">
      <c r="A996" s="6" t="s">
        <v>1351</v>
      </c>
      <c r="B996" s="7">
        <v>60</v>
      </c>
    </row>
    <row r="997" spans="1:2" x14ac:dyDescent="0.25">
      <c r="A997" s="6" t="s">
        <v>1329</v>
      </c>
      <c r="B997" s="7">
        <v>60</v>
      </c>
    </row>
    <row r="998" spans="1:2" x14ac:dyDescent="0.25">
      <c r="A998" s="6" t="s">
        <v>465</v>
      </c>
      <c r="B998" s="7">
        <v>60</v>
      </c>
    </row>
    <row r="999" spans="1:2" x14ac:dyDescent="0.25">
      <c r="A999" s="6" t="s">
        <v>841</v>
      </c>
      <c r="B999" s="7">
        <v>60</v>
      </c>
    </row>
    <row r="1000" spans="1:2" x14ac:dyDescent="0.25">
      <c r="A1000" s="6" t="s">
        <v>572</v>
      </c>
      <c r="B1000" s="7">
        <v>60</v>
      </c>
    </row>
    <row r="1001" spans="1:2" x14ac:dyDescent="0.25">
      <c r="A1001" s="6" t="s">
        <v>1114</v>
      </c>
      <c r="B1001" s="7">
        <v>60</v>
      </c>
    </row>
    <row r="1002" spans="1:2" x14ac:dyDescent="0.25">
      <c r="A1002" s="6" t="s">
        <v>668</v>
      </c>
      <c r="B1002" s="7">
        <v>75</v>
      </c>
    </row>
    <row r="1003" spans="1:2" x14ac:dyDescent="0.25">
      <c r="A1003" s="6" t="s">
        <v>1522</v>
      </c>
      <c r="B1003" s="7">
        <v>75</v>
      </c>
    </row>
    <row r="1004" spans="1:2" x14ac:dyDescent="0.25">
      <c r="A1004" s="6" t="s">
        <v>1743</v>
      </c>
      <c r="B1004" s="7">
        <v>75</v>
      </c>
    </row>
    <row r="1005" spans="1:2" x14ac:dyDescent="0.25">
      <c r="A1005" s="6" t="s">
        <v>1745</v>
      </c>
      <c r="B1005" s="7">
        <v>75</v>
      </c>
    </row>
    <row r="1006" spans="1:2" x14ac:dyDescent="0.25">
      <c r="A1006" s="6" t="s">
        <v>330</v>
      </c>
      <c r="B1006" s="7">
        <v>75</v>
      </c>
    </row>
    <row r="1007" spans="1:2" x14ac:dyDescent="0.25">
      <c r="A1007" s="6" t="s">
        <v>1950</v>
      </c>
      <c r="B1007" s="7">
        <v>75</v>
      </c>
    </row>
    <row r="1008" spans="1:2" x14ac:dyDescent="0.25">
      <c r="A1008" s="6" t="s">
        <v>346</v>
      </c>
      <c r="B1008" s="7">
        <v>75</v>
      </c>
    </row>
    <row r="1009" spans="1:2" x14ac:dyDescent="0.25">
      <c r="A1009" s="6" t="s">
        <v>1246</v>
      </c>
      <c r="B1009" s="7">
        <v>75</v>
      </c>
    </row>
    <row r="1010" spans="1:2" x14ac:dyDescent="0.25">
      <c r="A1010" s="6" t="s">
        <v>320</v>
      </c>
      <c r="B1010" s="7">
        <v>75</v>
      </c>
    </row>
    <row r="1011" spans="1:2" x14ac:dyDescent="0.25">
      <c r="A1011" s="6" t="s">
        <v>1660</v>
      </c>
      <c r="B1011" s="7">
        <v>100</v>
      </c>
    </row>
    <row r="1012" spans="1:2" x14ac:dyDescent="0.25">
      <c r="A1012" s="6" t="s">
        <v>1600</v>
      </c>
      <c r="B1012" s="7">
        <v>100</v>
      </c>
    </row>
    <row r="1013" spans="1:2" x14ac:dyDescent="0.25">
      <c r="A1013" s="6" t="s">
        <v>1951</v>
      </c>
      <c r="B1013" s="7">
        <v>150</v>
      </c>
    </row>
    <row r="1014" spans="1:2" x14ac:dyDescent="0.25">
      <c r="A1014" s="6" t="s">
        <v>399</v>
      </c>
      <c r="B1014" s="7">
        <v>200</v>
      </c>
    </row>
    <row r="1015" spans="1:2" x14ac:dyDescent="0.25">
      <c r="A1015" s="6" t="s">
        <v>1952</v>
      </c>
      <c r="B1015" s="7">
        <v>500</v>
      </c>
    </row>
    <row r="1016" spans="1:2" x14ac:dyDescent="0.25">
      <c r="A1016" s="6" t="s">
        <v>289</v>
      </c>
      <c r="B1016" s="7">
        <v>500</v>
      </c>
    </row>
    <row r="1017" spans="1:2" x14ac:dyDescent="0.25">
      <c r="A1017" s="6" t="s">
        <v>1953</v>
      </c>
      <c r="B1017" s="7">
        <v>500</v>
      </c>
    </row>
    <row r="1018" spans="1:2" x14ac:dyDescent="0.25">
      <c r="A1018" s="6" t="s">
        <v>688</v>
      </c>
      <c r="B1018" s="7">
        <v>250</v>
      </c>
    </row>
    <row r="1019" spans="1:2" x14ac:dyDescent="0.25">
      <c r="A1019" s="6" t="s">
        <v>693</v>
      </c>
      <c r="B1019" s="7">
        <v>250</v>
      </c>
    </row>
    <row r="1020" spans="1:2" x14ac:dyDescent="0.25">
      <c r="A1020" s="6" t="s">
        <v>889</v>
      </c>
      <c r="B1020" s="7">
        <v>25</v>
      </c>
    </row>
  </sheetData>
  <conditionalFormatting sqref="A2:A781 A783:A1017">
    <cfRule type="duplicateValues" dxfId="7" priority="7"/>
    <cfRule type="duplicateValues" dxfId="6" priority="8"/>
  </conditionalFormatting>
  <conditionalFormatting sqref="A1018">
    <cfRule type="duplicateValues" dxfId="5" priority="5"/>
    <cfRule type="duplicateValues" dxfId="4" priority="6"/>
  </conditionalFormatting>
  <conditionalFormatting sqref="A1019">
    <cfRule type="duplicateValues" dxfId="3" priority="3"/>
    <cfRule type="duplicateValues" dxfId="2" priority="4"/>
  </conditionalFormatting>
  <conditionalFormatting sqref="A1020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9BD9F-1D5B-4DF2-B3FA-D44CDA43C70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INVENTORY</vt:lpstr>
      <vt:lpstr>RE_ORDER REQUESTS</vt:lpstr>
      <vt:lpstr>CM Orders</vt:lpstr>
      <vt:lpstr>MIN</vt:lpstr>
      <vt:lpstr>Lam_DB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Syre</dc:creator>
  <cp:lastModifiedBy>Jake Harris</cp:lastModifiedBy>
  <dcterms:created xsi:type="dcterms:W3CDTF">2025-11-17T21:44:14Z</dcterms:created>
  <dcterms:modified xsi:type="dcterms:W3CDTF">2026-03-16T20:30:15Z</dcterms:modified>
</cp:coreProperties>
</file>