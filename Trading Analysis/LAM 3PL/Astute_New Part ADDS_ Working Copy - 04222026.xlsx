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osh.syre\Downloads\"/>
    </mc:Choice>
  </mc:AlternateContent>
  <xr:revisionPtr revIDLastSave="0" documentId="8_{7CE1661F-2546-4E61-8710-76B40D66766D}" xr6:coauthVersionLast="47" xr6:coauthVersionMax="47" xr10:uidLastSave="{00000000-0000-0000-0000-000000000000}"/>
  <bookViews>
    <workbookView xWindow="-120" yWindow="-120" windowWidth="29040" windowHeight="15720" tabRatio="562" xr2:uid="{95C0A236-EE03-40A7-A3A0-E2FE22A44850}"/>
  </bookViews>
  <sheets>
    <sheet name="Astute action list 4.14.26" sheetId="7" r:id="rId1"/>
    <sheet name="Astute action list 3.11.26" sheetId="8" r:id="rId2"/>
    <sheet name="Lam Transfer" sheetId="6" r:id="rId3"/>
    <sheet name="Review Pricing" sheetId="3" r:id="rId4"/>
    <sheet name="LOA Quotes" sheetId="4" r:id="rId5"/>
    <sheet name="Heat Map" sheetId="5" r:id="rId6"/>
    <sheet name="pivot" sheetId="2" r:id="rId7"/>
  </sheets>
  <definedNames>
    <definedName name="_xlnm._FilterDatabase" localSheetId="1" hidden="1">'Astute action list 3.11.26'!$A$2:$Q$291</definedName>
    <definedName name="_xlnm._FilterDatabase" localSheetId="0" hidden="1">'Astute action list 4.14.26'!$A$2:$V$292</definedName>
    <definedName name="_xlnm._FilterDatabase" localSheetId="2" hidden="1">'Lam Transfer'!$A$1:$E$25</definedName>
    <definedName name="_xlnm._FilterDatabase" localSheetId="4" hidden="1">'LOA Quotes'!$A$1:$Q$49</definedName>
  </definedName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7" l="1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N82" i="7"/>
  <c r="N83" i="7"/>
  <c r="N84" i="7"/>
  <c r="N85" i="7"/>
  <c r="N86" i="7"/>
  <c r="N87" i="7"/>
  <c r="N88" i="7"/>
  <c r="N89" i="7"/>
  <c r="N90" i="7"/>
  <c r="N91" i="7"/>
  <c r="N92" i="7"/>
  <c r="N93" i="7"/>
  <c r="N94" i="7"/>
  <c r="N95" i="7"/>
  <c r="N96" i="7"/>
  <c r="N97" i="7"/>
  <c r="N98" i="7"/>
  <c r="N99" i="7"/>
  <c r="N100" i="7"/>
  <c r="N101" i="7"/>
  <c r="N102" i="7"/>
  <c r="N103" i="7"/>
  <c r="N104" i="7"/>
  <c r="N105" i="7"/>
  <c r="N106" i="7"/>
  <c r="N107" i="7"/>
  <c r="N108" i="7"/>
  <c r="N109" i="7"/>
  <c r="N110" i="7"/>
  <c r="N111" i="7"/>
  <c r="N112" i="7"/>
  <c r="N113" i="7"/>
  <c r="N114" i="7"/>
  <c r="N115" i="7"/>
  <c r="N116" i="7"/>
  <c r="N117" i="7"/>
  <c r="N118" i="7"/>
  <c r="N119" i="7"/>
  <c r="N120" i="7"/>
  <c r="N121" i="7"/>
  <c r="N122" i="7"/>
  <c r="N123" i="7"/>
  <c r="N124" i="7"/>
  <c r="N125" i="7"/>
  <c r="N126" i="7"/>
  <c r="N127" i="7"/>
  <c r="N128" i="7"/>
  <c r="N129" i="7"/>
  <c r="N130" i="7"/>
  <c r="N131" i="7"/>
  <c r="N132" i="7"/>
  <c r="N133" i="7"/>
  <c r="N134" i="7"/>
  <c r="N135" i="7"/>
  <c r="N136" i="7"/>
  <c r="N137" i="7"/>
  <c r="N138" i="7"/>
  <c r="N139" i="7"/>
  <c r="N140" i="7"/>
  <c r="N141" i="7"/>
  <c r="N142" i="7"/>
  <c r="N143" i="7"/>
  <c r="N144" i="7"/>
  <c r="N145" i="7"/>
  <c r="N146" i="7"/>
  <c r="N147" i="7"/>
  <c r="N148" i="7"/>
  <c r="N149" i="7"/>
  <c r="N150" i="7"/>
  <c r="N151" i="7"/>
  <c r="N152" i="7"/>
  <c r="N153" i="7"/>
  <c r="N154" i="7"/>
  <c r="N155" i="7"/>
  <c r="N156" i="7"/>
  <c r="N157" i="7"/>
  <c r="N158" i="7"/>
  <c r="N159" i="7"/>
  <c r="N160" i="7"/>
  <c r="N161" i="7"/>
  <c r="N162" i="7"/>
  <c r="N163" i="7"/>
  <c r="N164" i="7"/>
  <c r="N165" i="7"/>
  <c r="N166" i="7"/>
  <c r="N167" i="7"/>
  <c r="N168" i="7"/>
  <c r="N169" i="7"/>
  <c r="N170" i="7"/>
  <c r="N171" i="7"/>
  <c r="N172" i="7"/>
  <c r="N173" i="7"/>
  <c r="N174" i="7"/>
  <c r="N175" i="7"/>
  <c r="N176" i="7"/>
  <c r="N177" i="7"/>
  <c r="N178" i="7"/>
  <c r="N179" i="7"/>
  <c r="N180" i="7"/>
  <c r="N181" i="7"/>
  <c r="N182" i="7"/>
  <c r="N183" i="7"/>
  <c r="N184" i="7"/>
  <c r="N185" i="7"/>
  <c r="N186" i="7"/>
  <c r="N187" i="7"/>
  <c r="N188" i="7"/>
  <c r="N189" i="7"/>
  <c r="N190" i="7"/>
  <c r="N191" i="7"/>
  <c r="N192" i="7"/>
  <c r="N193" i="7"/>
  <c r="N194" i="7"/>
  <c r="N195" i="7"/>
  <c r="N196" i="7"/>
  <c r="N197" i="7"/>
  <c r="N198" i="7"/>
  <c r="N199" i="7"/>
  <c r="N200" i="7"/>
  <c r="N201" i="7"/>
  <c r="N202" i="7"/>
  <c r="N203" i="7"/>
  <c r="N204" i="7"/>
  <c r="N205" i="7"/>
  <c r="N206" i="7"/>
  <c r="N207" i="7"/>
  <c r="N208" i="7"/>
  <c r="N209" i="7"/>
  <c r="N210" i="7"/>
  <c r="N211" i="7"/>
  <c r="N212" i="7"/>
  <c r="N213" i="7"/>
  <c r="N214" i="7"/>
  <c r="N215" i="7"/>
  <c r="N216" i="7"/>
  <c r="N217" i="7"/>
  <c r="N218" i="7"/>
  <c r="N219" i="7"/>
  <c r="N220" i="7"/>
  <c r="N221" i="7"/>
  <c r="N222" i="7"/>
  <c r="N223" i="7"/>
  <c r="N224" i="7"/>
  <c r="N225" i="7"/>
  <c r="N226" i="7"/>
  <c r="N227" i="7"/>
  <c r="N228" i="7"/>
  <c r="N229" i="7"/>
  <c r="N230" i="7"/>
  <c r="N231" i="7"/>
  <c r="N232" i="7"/>
  <c r="N233" i="7"/>
  <c r="N234" i="7"/>
  <c r="N235" i="7"/>
  <c r="N236" i="7"/>
  <c r="N237" i="7"/>
  <c r="N238" i="7"/>
  <c r="N239" i="7"/>
  <c r="N240" i="7"/>
  <c r="N241" i="7"/>
  <c r="N242" i="7"/>
  <c r="N243" i="7"/>
  <c r="N244" i="7"/>
  <c r="N245" i="7"/>
  <c r="N246" i="7"/>
  <c r="N247" i="7"/>
  <c r="N248" i="7"/>
  <c r="N249" i="7"/>
  <c r="N250" i="7"/>
  <c r="N251" i="7"/>
  <c r="N252" i="7"/>
  <c r="N253" i="7"/>
  <c r="N254" i="7"/>
  <c r="N255" i="7"/>
  <c r="N256" i="7"/>
  <c r="N257" i="7"/>
  <c r="N258" i="7"/>
  <c r="N259" i="7"/>
  <c r="N260" i="7"/>
  <c r="N261" i="7"/>
  <c r="N262" i="7"/>
  <c r="N263" i="7"/>
  <c r="N264" i="7"/>
  <c r="N265" i="7"/>
  <c r="N266" i="7"/>
  <c r="N267" i="7"/>
  <c r="N268" i="7"/>
  <c r="N269" i="7"/>
  <c r="N270" i="7"/>
  <c r="N271" i="7"/>
  <c r="N272" i="7"/>
  <c r="N273" i="7"/>
  <c r="N274" i="7"/>
  <c r="N275" i="7"/>
  <c r="N276" i="7"/>
  <c r="N277" i="7"/>
  <c r="N278" i="7"/>
  <c r="N279" i="7"/>
  <c r="N280" i="7"/>
  <c r="N281" i="7"/>
  <c r="N282" i="7"/>
  <c r="N283" i="7"/>
  <c r="N284" i="7"/>
  <c r="N285" i="7"/>
  <c r="N286" i="7"/>
  <c r="N287" i="7"/>
  <c r="N288" i="7"/>
  <c r="N289" i="7"/>
  <c r="N290" i="7"/>
  <c r="N291" i="7"/>
  <c r="N292" i="7"/>
  <c r="N291" i="8"/>
  <c r="N290" i="8"/>
  <c r="N289" i="8"/>
  <c r="N288" i="8"/>
  <c r="N287" i="8"/>
  <c r="N286" i="8"/>
  <c r="N285" i="8"/>
  <c r="N284" i="8"/>
  <c r="N283" i="8"/>
  <c r="N282" i="8"/>
  <c r="N281" i="8"/>
  <c r="N280" i="8"/>
  <c r="N279" i="8"/>
  <c r="N278" i="8"/>
  <c r="N277" i="8"/>
  <c r="N276" i="8"/>
  <c r="N275" i="8"/>
  <c r="N274" i="8"/>
  <c r="N273" i="8"/>
  <c r="N272" i="8"/>
  <c r="N271" i="8"/>
  <c r="N270" i="8"/>
  <c r="N269" i="8"/>
  <c r="N268" i="8"/>
  <c r="N267" i="8"/>
  <c r="N266" i="8"/>
  <c r="N265" i="8"/>
  <c r="N264" i="8"/>
  <c r="N263" i="8"/>
  <c r="N262" i="8"/>
  <c r="N261" i="8"/>
  <c r="N260" i="8"/>
  <c r="N259" i="8"/>
  <c r="N258" i="8"/>
  <c r="N257" i="8"/>
  <c r="N256" i="8"/>
  <c r="N255" i="8"/>
  <c r="N254" i="8"/>
  <c r="N253" i="8"/>
  <c r="N252" i="8"/>
  <c r="N251" i="8"/>
  <c r="N250" i="8"/>
  <c r="N249" i="8"/>
  <c r="N248" i="8"/>
  <c r="N247" i="8"/>
  <c r="N246" i="8"/>
  <c r="N245" i="8"/>
  <c r="N244" i="8"/>
  <c r="N243" i="8"/>
  <c r="N242" i="8"/>
  <c r="N241" i="8"/>
  <c r="N240" i="8"/>
  <c r="N239" i="8"/>
  <c r="N238" i="8"/>
  <c r="N237" i="8"/>
  <c r="N236" i="8"/>
  <c r="N235" i="8"/>
  <c r="N234" i="8"/>
  <c r="N233" i="8"/>
  <c r="N232" i="8"/>
  <c r="N231" i="8"/>
  <c r="N230" i="8"/>
  <c r="N229" i="8"/>
  <c r="N228" i="8"/>
  <c r="N227" i="8"/>
  <c r="N226" i="8"/>
  <c r="N225" i="8"/>
  <c r="N224" i="8"/>
  <c r="N219" i="8"/>
  <c r="N218" i="8"/>
  <c r="N217" i="8"/>
  <c r="N216" i="8"/>
  <c r="N215" i="8"/>
  <c r="N214" i="8"/>
  <c r="N213" i="8"/>
  <c r="N212" i="8"/>
  <c r="N211" i="8"/>
  <c r="N210" i="8"/>
  <c r="N207" i="8"/>
  <c r="N206" i="8"/>
  <c r="N205" i="8"/>
  <c r="N204" i="8"/>
  <c r="N203" i="8"/>
  <c r="N202" i="8"/>
  <c r="N201" i="8"/>
  <c r="N200" i="8"/>
  <c r="N199" i="8"/>
  <c r="N198" i="8"/>
  <c r="N197" i="8"/>
  <c r="N196" i="8"/>
  <c r="N195" i="8"/>
  <c r="N194" i="8"/>
  <c r="N193" i="8"/>
  <c r="N192" i="8"/>
  <c r="N191" i="8"/>
  <c r="N190" i="8"/>
  <c r="N189" i="8"/>
  <c r="N188" i="8"/>
  <c r="N187" i="8"/>
  <c r="N186" i="8"/>
  <c r="N185" i="8"/>
  <c r="N184" i="8"/>
  <c r="N183" i="8"/>
  <c r="N182" i="8"/>
  <c r="N181" i="8"/>
  <c r="N180" i="8"/>
  <c r="N179" i="8"/>
  <c r="N178" i="8"/>
  <c r="N177" i="8"/>
  <c r="N176" i="8"/>
  <c r="N175" i="8"/>
  <c r="N174" i="8"/>
  <c r="N173" i="8"/>
  <c r="N172" i="8"/>
  <c r="N171" i="8"/>
  <c r="N170" i="8"/>
  <c r="N169" i="8"/>
  <c r="N168" i="8"/>
  <c r="N167" i="8"/>
  <c r="N166" i="8"/>
  <c r="N165" i="8"/>
  <c r="N164" i="8"/>
  <c r="N163" i="8"/>
  <c r="N162" i="8"/>
  <c r="N161" i="8"/>
  <c r="N160" i="8"/>
  <c r="N159" i="8"/>
  <c r="N158" i="8"/>
  <c r="N157" i="8"/>
  <c r="N156" i="8"/>
  <c r="N155" i="8"/>
  <c r="N154" i="8"/>
  <c r="N153" i="8"/>
  <c r="N152" i="8"/>
  <c r="N151" i="8"/>
  <c r="N150" i="8"/>
  <c r="N149" i="8"/>
  <c r="N148" i="8"/>
  <c r="N147" i="8"/>
  <c r="N146" i="8"/>
  <c r="N145" i="8"/>
  <c r="N144" i="8"/>
  <c r="N143" i="8"/>
  <c r="N142" i="8"/>
  <c r="N141" i="8"/>
  <c r="N140" i="8"/>
  <c r="N139" i="8"/>
  <c r="N138" i="8"/>
  <c r="N137" i="8"/>
  <c r="N136" i="8"/>
  <c r="N135" i="8"/>
  <c r="N134" i="8"/>
  <c r="N133" i="8"/>
  <c r="N132" i="8"/>
  <c r="N131" i="8"/>
  <c r="N130" i="8"/>
  <c r="N129" i="8"/>
  <c r="N128" i="8"/>
  <c r="N127" i="8"/>
  <c r="N126" i="8"/>
  <c r="N125" i="8"/>
  <c r="N124" i="8"/>
  <c r="N123" i="8"/>
  <c r="N122" i="8"/>
  <c r="N121" i="8"/>
  <c r="N120" i="8"/>
  <c r="N119" i="8"/>
  <c r="N118" i="8"/>
  <c r="N117" i="8"/>
  <c r="N116" i="8"/>
  <c r="N115" i="8"/>
  <c r="N114" i="8"/>
  <c r="N113" i="8"/>
  <c r="N112" i="8"/>
  <c r="N111" i="8"/>
  <c r="N110" i="8"/>
  <c r="N109" i="8"/>
  <c r="N108" i="8"/>
  <c r="N107" i="8"/>
  <c r="N106" i="8"/>
  <c r="N105" i="8"/>
  <c r="N104" i="8"/>
  <c r="N103" i="8"/>
  <c r="N102" i="8"/>
  <c r="N101" i="8"/>
  <c r="N100" i="8"/>
  <c r="N99" i="8"/>
  <c r="N98" i="8"/>
  <c r="N97" i="8"/>
  <c r="N96" i="8"/>
  <c r="N95" i="8"/>
  <c r="N94" i="8"/>
  <c r="N93" i="8"/>
  <c r="N92" i="8"/>
  <c r="N91" i="8"/>
  <c r="N90" i="8"/>
  <c r="N89" i="8"/>
  <c r="N88" i="8"/>
  <c r="N87" i="8"/>
  <c r="N86" i="8"/>
  <c r="N85" i="8"/>
  <c r="N84" i="8"/>
  <c r="N83" i="8"/>
  <c r="N82" i="8"/>
  <c r="N81" i="8"/>
  <c r="N80" i="8"/>
  <c r="N79" i="8"/>
  <c r="N78" i="8"/>
  <c r="N77" i="8"/>
  <c r="N76" i="8"/>
  <c r="N75" i="8"/>
  <c r="N74" i="8"/>
  <c r="N73" i="8"/>
  <c r="N72" i="8"/>
  <c r="N71" i="8"/>
  <c r="N70" i="8"/>
  <c r="N69" i="8"/>
  <c r="N68" i="8"/>
  <c r="N67" i="8"/>
  <c r="N66" i="8"/>
  <c r="N65" i="8"/>
  <c r="N64" i="8"/>
  <c r="N63" i="8"/>
  <c r="N62" i="8"/>
  <c r="N61" i="8"/>
  <c r="N60" i="8"/>
  <c r="N59" i="8"/>
  <c r="N58" i="8"/>
  <c r="N57" i="8"/>
  <c r="N56" i="8"/>
  <c r="N55" i="8"/>
  <c r="N54" i="8"/>
  <c r="N53" i="8"/>
  <c r="N52" i="8"/>
  <c r="N51" i="8"/>
  <c r="N50" i="8"/>
  <c r="N49" i="8"/>
  <c r="N48" i="8"/>
  <c r="N47" i="8"/>
  <c r="N46" i="8"/>
  <c r="N45" i="8"/>
  <c r="N44" i="8"/>
  <c r="N43" i="8"/>
  <c r="N42" i="8"/>
  <c r="N41" i="8"/>
  <c r="N40" i="8"/>
  <c r="N39" i="8"/>
  <c r="N38" i="8"/>
  <c r="N37" i="8"/>
  <c r="N36" i="8"/>
  <c r="N35" i="8"/>
  <c r="N34" i="8"/>
  <c r="N33" i="8"/>
  <c r="N32" i="8"/>
  <c r="N31" i="8"/>
  <c r="N30" i="8"/>
  <c r="N29" i="8"/>
  <c r="N28" i="8"/>
  <c r="N27" i="8"/>
  <c r="N26" i="8"/>
  <c r="N25" i="8"/>
  <c r="N24" i="8"/>
  <c r="N23" i="8"/>
  <c r="N22" i="8"/>
  <c r="N21" i="8"/>
  <c r="N20" i="8"/>
  <c r="N19" i="8"/>
  <c r="N18" i="8"/>
  <c r="N17" i="8"/>
  <c r="N16" i="8"/>
  <c r="N15" i="8"/>
  <c r="N14" i="8"/>
  <c r="N13" i="8"/>
  <c r="N12" i="8"/>
  <c r="N11" i="8"/>
  <c r="N10" i="8"/>
  <c r="N9" i="8"/>
  <c r="N8" i="8"/>
  <c r="N7" i="8"/>
  <c r="N6" i="8"/>
  <c r="N5" i="8"/>
  <c r="N1" i="8" s="1"/>
  <c r="N4" i="8"/>
  <c r="N3" i="8"/>
  <c r="M1" i="8"/>
  <c r="N3" i="7" l="1"/>
  <c r="Y1" i="7"/>
  <c r="X1" i="7"/>
  <c r="M1" i="7"/>
  <c r="N1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tc={D5FCF917-BE6B-4927-AA91-D1C98D593190}</author>
    <author>tc={D0F19B1A-C153-48BE-B55A-6716901775B0}</author>
    <author>tc={9D628CEC-2415-47B8-AA34-E298800B6F8D}</author>
  </authors>
  <commentList>
    <comment ref="G2" authorId="0" shapeId="0" xr:uid="{D5FCF917-BE6B-4927-AA91-D1C98D59319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RED = LT &gt; 26 wks
YELLOW = LT 13-26 wks
GREEN LT &lt; 12 wks
</t>
      </text>
    </comment>
    <comment ref="J2" authorId="1" shapeId="0" xr:uid="{D0F19B1A-C153-48BE-B55A-6716901775B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Red &lt; 10k
Orange: 10k-100k
Yellow: 100K to500k
Green: Above 500k
Brown: OTS/BTP/BTO
</t>
      </text>
    </comment>
    <comment ref="M2" authorId="2" shapeId="0" xr:uid="{9D628CEC-2415-47B8-AA34-E298800B6F8D}">
      <text>
        <t>[Threaded comment]
Your version of Excel allows you to read this threaded comment; however, any edits to it will get removed if the file is opened in a newer version of Excel. Learn more: https://go.microsoft.com/fwlink/?linkid=870924
Comment:
    BLUE highlight indicates qty has been reduced from the original quoted qty.  If price/ea is the same or &lt; 10% increase, please place PO.  If price increases &gt; 10% please hold for RJ feedback.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tc={7667BEC6-0DAE-4BE0-8C1E-1EC6D52AB405}</author>
    <author>tc={86E0C8B5-3E11-4BC5-A753-DB2552B47D9F}</author>
  </authors>
  <commentList>
    <comment ref="G2" authorId="0" shapeId="0" xr:uid="{7667BEC6-0DAE-4BE0-8C1E-1EC6D52AB40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RED = LT &gt; 26 wks
YELLOW = LT 13-26 wks
GREEN LT &lt; 12 wks
</t>
      </text>
    </comment>
    <comment ref="J2" authorId="1" shapeId="0" xr:uid="{86E0C8B5-3E11-4BC5-A753-DB2552B47D9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Red &lt; 10k
Orange: 10k-100k
Yellow: 100K to500k
Green: Above 500k
Brown: OTS/BTP/BTO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tc={B2AFCFAC-71CB-44C4-88FB-8DFDC99DDE67}</author>
    <author>tc={239EE6A8-A1EF-469A-B0FB-3E6E570E2810}</author>
  </authors>
  <commentList>
    <comment ref="G1" authorId="0" shapeId="0" xr:uid="{B2AFCFAC-71CB-44C4-88FB-8DFDC99DDE6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RED = LT &gt; 26 wks
YELLOW = LT 13-26 wks
GREEN LT &lt; 12 wks
</t>
      </text>
    </comment>
    <comment ref="J1" authorId="1" shapeId="0" xr:uid="{239EE6A8-A1EF-469A-B0FB-3E6E570E281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Red &lt; 10k
Orange: 10k-100k
Yellow: 100K to500k
Green: Above 500k
Brown: OTS/BTP/BTO
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tc={FE9C9E82-6A16-442B-8327-7940BCDE63A8}</author>
    <author>tc={6C97287D-B782-480E-85CE-04AAA8456A2E}</author>
  </authors>
  <commentList>
    <comment ref="G1" authorId="0" shapeId="0" xr:uid="{FE9C9E82-6A16-442B-8327-7940BCDE63A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RED = LT &gt; 26 wks
YELLOW = LT 13-26 wks
GREEN LT &lt; 12 wks
</t>
      </text>
    </comment>
    <comment ref="J1" authorId="1" shapeId="0" xr:uid="{6C97287D-B782-480E-85CE-04AAA8456A2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Red &lt; 10k
Orange: 10k-100k
Yellow: 100K to500k
Green: Above 500k
Brown: OTS/BTP/BTO
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tc={33EAE7E8-38BB-4991-A1E0-19184226B30A}</author>
    <author>tc={4AB4CFF5-A7FE-4FE3-9F94-098ED9D5E406}</author>
  </authors>
  <commentList>
    <comment ref="G1" authorId="0" shapeId="0" xr:uid="{33EAE7E8-38BB-4991-A1E0-19184226B30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RED = LT &gt; 26 wks
YELLOW = LT 13-26 wks
GREEN LT &lt; 12 wks
</t>
      </text>
    </comment>
    <comment ref="J1" authorId="1" shapeId="0" xr:uid="{4AB4CFF5-A7FE-4FE3-9F94-098ED9D5E40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Red &lt; 10k
Orange: 10k-100k
Yellow: 100K to500k
Green: Above 500k
Brown: OTS/BTP/BTO
</t>
      </text>
    </comment>
  </commentList>
</comments>
</file>

<file path=xl/sharedStrings.xml><?xml version="1.0" encoding="utf-8"?>
<sst xmlns="http://schemas.openxmlformats.org/spreadsheetml/2006/main" count="5464" uniqueCount="1058">
  <si>
    <t>Revised Quote 2/19/2026</t>
  </si>
  <si>
    <t>Heat Map Data 2/23/2026</t>
  </si>
  <si>
    <t>Total components &gt;</t>
  </si>
  <si>
    <t xml:space="preserve">Part Number </t>
  </si>
  <si>
    <t xml:space="preserve">Description </t>
  </si>
  <si>
    <t>MPN</t>
  </si>
  <si>
    <t>MFR</t>
  </si>
  <si>
    <t>Lam Target Initial PO QTY</t>
  </si>
  <si>
    <t>MFR SPQ</t>
  </si>
  <si>
    <t>Lead Time
(wks)</t>
  </si>
  <si>
    <t>Base Unit Price</t>
  </si>
  <si>
    <t>SPQ/MOQ</t>
  </si>
  <si>
    <t>Franchise QTY</t>
  </si>
  <si>
    <t>Lifecycle Status</t>
  </si>
  <si>
    <t>Astute PO Strategy</t>
  </si>
  <si>
    <t>Extended Cost</t>
  </si>
  <si>
    <t>Lam Transfer Qty</t>
  </si>
  <si>
    <t xml:space="preserve">Rob Comment </t>
  </si>
  <si>
    <t xml:space="preserve">Josh Comment </t>
  </si>
  <si>
    <t>644-B57073-024</t>
  </si>
  <si>
    <t>RLY,REED,LD SW,1 FORM A,24VDC,3A,200W</t>
  </si>
  <si>
    <t>5503-24-1</t>
  </si>
  <si>
    <t>COTO TECHNOLOGY, INC.</t>
  </si>
  <si>
    <t>Active</t>
  </si>
  <si>
    <t>Place PO</t>
  </si>
  <si>
    <t>630-337692-004</t>
  </si>
  <si>
    <t>IC,SMD,DUAL-ARM,CORTEX-A53,3.5MB,SFVC784</t>
  </si>
  <si>
    <t>XCZU5CG-1SFVC784E</t>
  </si>
  <si>
    <t>XILINX</t>
  </si>
  <si>
    <t>668-133934-120</t>
  </si>
  <si>
    <t>CONN,RCPT,HIGH DENSITY,.050",120POS,ROHS</t>
  </si>
  <si>
    <t>FOLC-130-L4-L-Q-LC</t>
  </si>
  <si>
    <t>SAMTEC</t>
  </si>
  <si>
    <t>644-B50792-024</t>
  </si>
  <si>
    <t>RLY,REED,SPST-NO,24VDC,1A,100W,W/DIO</t>
  </si>
  <si>
    <t>SHV24-1A85-78D3K</t>
  </si>
  <si>
    <t>STANDEX ELECTRONIC</t>
  </si>
  <si>
    <t>3/11/26:  Have 576 in 0294 but not for sellback to Astute.  Can sellback to CMs if needed in the future.</t>
  </si>
  <si>
    <t>668-096776-009</t>
  </si>
  <si>
    <t>CONN,DSUB,9P,F,STR,BRD LCK,ROHS</t>
  </si>
  <si>
    <t>K85X-ED-9S-CBR</t>
  </si>
  <si>
    <t>KYCON, INC</t>
  </si>
  <si>
    <t>630-337692-003</t>
  </si>
  <si>
    <t>IC,SMD,DUAL-ARM,CORTEX-A53,2.6MB,SFVC784</t>
  </si>
  <si>
    <t>XCZU4CG-1SFVC784E</t>
  </si>
  <si>
    <t>630-262333-001</t>
  </si>
  <si>
    <t>IC,SMD,TEMP SNSR,DGTL,LTC2986</t>
  </si>
  <si>
    <t>LTC2986CLX#PBF</t>
  </si>
  <si>
    <t>LINEAR TECHNOLOGY</t>
  </si>
  <si>
    <t>681-198782-004</t>
  </si>
  <si>
    <t>WIRE,HOOK-UP,30AWG,GRN, TFE,ROHS</t>
  </si>
  <si>
    <t>2841/1 GR005</t>
  </si>
  <si>
    <t>ALPHA WIRE</t>
  </si>
  <si>
    <t>644-A42857-480</t>
  </si>
  <si>
    <t>RLY,SSR,15-32VDC CTRL,5A,48-660VAC,SIP-4</t>
  </si>
  <si>
    <t>CXE480D5</t>
  </si>
  <si>
    <t>SENSATA TECHNOLOGIES INC.</t>
  </si>
  <si>
    <t>668-092915-050</t>
  </si>
  <si>
    <t>CONN,HDR,PCB MT,.100 CTR 50P,ROHS</t>
  </si>
  <si>
    <t>N3433-6303RB</t>
  </si>
  <si>
    <t>3M</t>
  </si>
  <si>
    <t>670-346211-025</t>
  </si>
  <si>
    <t>FUSE,TIME DLY,600VAC/300VDC,30A</t>
  </si>
  <si>
    <t>LP-CC-30</t>
  </si>
  <si>
    <t>EATON</t>
  </si>
  <si>
    <t>644-311222-001</t>
  </si>
  <si>
    <t>RLY,SSR,SPST-NO,40A,48-530VAC,PCB MT,THT</t>
  </si>
  <si>
    <t>LR1200480D40</t>
  </si>
  <si>
    <t>CRYDOM</t>
  </si>
  <si>
    <t>Active (Unconfirmed)</t>
  </si>
  <si>
    <t>668-096776-015</t>
  </si>
  <si>
    <t>CONN,DSUB,15P,F,STR,BRD LCK,ROHS</t>
  </si>
  <si>
    <t>K85X-AD-15S-CBR</t>
  </si>
  <si>
    <t>630-B51696-001</t>
  </si>
  <si>
    <t>IC,SMD,STEP-DN,6-42V IN,2A OUT,TO-PMOD-7</t>
  </si>
  <si>
    <t>LMZ14202HTZE/NOPB</t>
  </si>
  <si>
    <t>TEXAS INSTRUMENTS</t>
  </si>
  <si>
    <t>631-123367-001</t>
  </si>
  <si>
    <t>IC,FPGA SPARTAN 6 101K 484FGGBGA</t>
  </si>
  <si>
    <t>XC6SLX100-3FGG484C</t>
  </si>
  <si>
    <t>628-265744-001</t>
  </si>
  <si>
    <t>XSTR,MOSFET,N-CH,650V,93A,TO247N</t>
  </si>
  <si>
    <t>SCT3022ALGC11</t>
  </si>
  <si>
    <t>ROHM</t>
  </si>
  <si>
    <t>668-014495-062</t>
  </si>
  <si>
    <t>CONN,RCPT,HIGH DENSITY DSUB,62 ROHS</t>
  </si>
  <si>
    <t>K86X-CD-62S-BR</t>
  </si>
  <si>
    <t>630-A59915-001</t>
  </si>
  <si>
    <t>IC,SMD,8 HIGH-SIDE SW,SPI,2.5-5.5V,QFN48</t>
  </si>
  <si>
    <t>MAX14915AFM+</t>
  </si>
  <si>
    <t>MAXIM INTEGRATED</t>
  </si>
  <si>
    <t>669-B62169-001</t>
  </si>
  <si>
    <t>CONT,SKT,SMD,600V,140A,6 DIA,5.17MM HGT</t>
  </si>
  <si>
    <t>2043650006</t>
  </si>
  <si>
    <t>MOLEX, LLC</t>
  </si>
  <si>
    <t>648-046808-112</t>
  </si>
  <si>
    <t>CAP,SMD,NPO,1.1NF,5%,10KV</t>
  </si>
  <si>
    <t>6560N112J103P</t>
  </si>
  <si>
    <t>NOVACAP</t>
  </si>
  <si>
    <t>670-332664-018</t>
  </si>
  <si>
    <t>FUSE,FAST-ACT,7A,600VAC/300VDC,5AG</t>
  </si>
  <si>
    <t>KLKR007.T</t>
  </si>
  <si>
    <t>LITTELFUSE</t>
  </si>
  <si>
    <t>630-A92150-002</t>
  </si>
  <si>
    <t>IC,MEM,EMMC,NAND FLASH,64GB,LFBGA-153</t>
  </si>
  <si>
    <t>MTFC64GBCAQTC-WT</t>
  </si>
  <si>
    <t>MICRON TECHNOLOGY, INC.</t>
  </si>
  <si>
    <t>Last Time Buy</t>
  </si>
  <si>
    <t>630-257348-001</t>
  </si>
  <si>
    <t>IC,SMD,ADC,14BIT,500KSPS,TSOT23-8</t>
  </si>
  <si>
    <t>LTC2312HTS8-14#TRMPBF</t>
  </si>
  <si>
    <t>ANALOG DEVICES</t>
  </si>
  <si>
    <t>723-097621-068</t>
  </si>
  <si>
    <t>STDF,SWG,9/32 RND,F,6-32,.687</t>
  </si>
  <si>
    <t>18130B-S-0632-28</t>
  </si>
  <si>
    <t>AMATOM ELECTRONIC HARDWARE</t>
  </si>
  <si>
    <t>Build to Order</t>
  </si>
  <si>
    <t>N/A</t>
  </si>
  <si>
    <t xml:space="preserve">3/10/26:  Check pricing.  Basic stand-off. </t>
  </si>
  <si>
    <t>723-008848-003</t>
  </si>
  <si>
    <t>STDF,3/16 HEX,M/F,2-56, .250LG,ROHS</t>
  </si>
  <si>
    <t>9724-SS-7</t>
  </si>
  <si>
    <t>668-096777-009</t>
  </si>
  <si>
    <t>CONN,DSUB,9P,M,STR,BRD LCK,ROHS</t>
  </si>
  <si>
    <t>K85X-ED-9P-CBR</t>
  </si>
  <si>
    <t>723-097621-043</t>
  </si>
  <si>
    <t>STDF,SWG,9/32 RND,F,6-32</t>
  </si>
  <si>
    <t>18126B-S-0632-28</t>
  </si>
  <si>
    <t>668-014495-026</t>
  </si>
  <si>
    <t>CONN,RCPT,HIGH DENSITY DSUB,26 ROHS</t>
  </si>
  <si>
    <t>K86X-AD-26S-CBR</t>
  </si>
  <si>
    <t>644-311222-004</t>
  </si>
  <si>
    <t>RLY,SSR,SPST-NO,25A,48-530VAC,PCB MT,THT</t>
  </si>
  <si>
    <t>LR1200480D25</t>
  </si>
  <si>
    <t>630-114967-001</t>
  </si>
  <si>
    <t>IC,SMD,CPLD,MACHXO2280,256FTBGA,ROHS</t>
  </si>
  <si>
    <t>LCMXO2280C-3FTN256C</t>
  </si>
  <si>
    <t>LATTICE SEMI</t>
  </si>
  <si>
    <t>668-191568-160</t>
  </si>
  <si>
    <t>CONN, DIN E TYPE, FML, 160 PIN</t>
  </si>
  <si>
    <t>254124-E</t>
  </si>
  <si>
    <t>TE CONNECTIVITY</t>
  </si>
  <si>
    <t>644-B64495-001</t>
  </si>
  <si>
    <t>RLY,REED,2 FORM A,5V COIL,0.5A,10W,SH</t>
  </si>
  <si>
    <t>8L02-05-11</t>
  </si>
  <si>
    <t>660-B70650-004</t>
  </si>
  <si>
    <t>PS,DC/DC,ISLN,24V INPUT,1W,6V OUT,0.167A</t>
  </si>
  <si>
    <t>RP-2406S</t>
  </si>
  <si>
    <t>RECOM</t>
  </si>
  <si>
    <t>668-096776-025</t>
  </si>
  <si>
    <t>CONN,DSUB,25P,F,STR,BRD LCK,ROHS</t>
  </si>
  <si>
    <t>DLS3XS4AA35X</t>
  </si>
  <si>
    <t>AMPHENOL CONEC</t>
  </si>
  <si>
    <t>662-901562-001</t>
  </si>
  <si>
    <t>LED,5mm(T1-3/4),STRAIGHT,GREEN, ROHS</t>
  </si>
  <si>
    <t>550-1304F</t>
  </si>
  <si>
    <t>DIALIGHT</t>
  </si>
  <si>
    <t>670-332664-017</t>
  </si>
  <si>
    <t>FUSE,FAST-ACT,6A,600VAC/300VDC,5AG</t>
  </si>
  <si>
    <t>KLKR006.T</t>
  </si>
  <si>
    <t>668-A06169-001</t>
  </si>
  <si>
    <t>CONN,MAGJACK,RJ45,2PORT,90DEG,SLDR,THT</t>
  </si>
  <si>
    <t>0826-1X2T-23-F</t>
  </si>
  <si>
    <t>BEL FUSE INC.</t>
  </si>
  <si>
    <t>668-134411-200</t>
  </si>
  <si>
    <t>CONN,PLUG,HIGH DENSITY,.050",200POS,ROHS</t>
  </si>
  <si>
    <t>MOLC-150-31-L-Q-LC</t>
  </si>
  <si>
    <t>645-347340-001</t>
  </si>
  <si>
    <t>SW,ROCKER SPDT 0.4A,RA PC MT</t>
  </si>
  <si>
    <t>E101J3AV2QE3</t>
  </si>
  <si>
    <t>C&amp;K COMPONENT</t>
  </si>
  <si>
    <t>630-323468-001</t>
  </si>
  <si>
    <t>IC,SMD,HOT-SWAP CONTROLLER,6TDFN</t>
  </si>
  <si>
    <t>MAX5903NNETT+T</t>
  </si>
  <si>
    <t>660-082847-015</t>
  </si>
  <si>
    <t>PS,DC-DC,19V-28V,15V AT 3A,SIP12,ROHS</t>
  </si>
  <si>
    <t>R-7315P</t>
  </si>
  <si>
    <t>668-B17515-004</t>
  </si>
  <si>
    <t>CONN,RCPT,M8,SHLD,4POSN,3A,PCB/PNL MT</t>
  </si>
  <si>
    <t>T4041037041-001</t>
  </si>
  <si>
    <t>630-047972-001</t>
  </si>
  <si>
    <t>IC,SMD,CPLD,EEPM1270T144C4</t>
  </si>
  <si>
    <t>EPM1270T144C4N</t>
  </si>
  <si>
    <t>ALTERA</t>
  </si>
  <si>
    <t>Active (NRND)</t>
  </si>
  <si>
    <t>618-279508-001</t>
  </si>
  <si>
    <t>RES,METAL FILM,25M,3.8W,100PPM,1%,ROHS</t>
  </si>
  <si>
    <t>MOX91022505FTE</t>
  </si>
  <si>
    <t>OHMITE MANUFACTURING COMPANY</t>
  </si>
  <si>
    <t>667-A20843-002</t>
  </si>
  <si>
    <t>CONN,SMD,RCPT,MEZZ,0.8MM,120P,7.7MM HGT</t>
  </si>
  <si>
    <t>10139781-122402LF</t>
  </si>
  <si>
    <t>AMPHENOL ICC</t>
  </si>
  <si>
    <t>668-B67633-004</t>
  </si>
  <si>
    <t>CONN,RF PLUG,H ISLN,4P,1ROW,190V,RTANG</t>
  </si>
  <si>
    <t>IP5-04-01-L-S-RA1-L-TR</t>
  </si>
  <si>
    <t>668-091568-096</t>
  </si>
  <si>
    <t>CONN,DIN C TYPE,FML,96 PIN</t>
  </si>
  <si>
    <t>535032-4</t>
  </si>
  <si>
    <t>630-052043-001</t>
  </si>
  <si>
    <t>IC,SMD,OP AMP,QUAD,RL TO RL IN/OUT,ROHS</t>
  </si>
  <si>
    <t>LT1499CS#PBF</t>
  </si>
  <si>
    <t>668-B70303-004</t>
  </si>
  <si>
    <t>CONN,RF PLUG,H ISLN,4P,1ROW,600VAC,4MM</t>
  </si>
  <si>
    <t>IP5-04-05.0-L-S-1-L-TR</t>
  </si>
  <si>
    <t>668-242448-001</t>
  </si>
  <si>
    <t>CONN,BLKHD,RTANG,JACK,18GHZ,PCB MT,SMA</t>
  </si>
  <si>
    <t>142-4701-501</t>
  </si>
  <si>
    <t>CINCH CONNECTIVITY SOLUTIONS.</t>
  </si>
  <si>
    <t>668-096776-037</t>
  </si>
  <si>
    <t>CONN,DSUB,37P,F,STR,BRD LCK,ROHS</t>
  </si>
  <si>
    <t>DLS4XS4AA35X</t>
  </si>
  <si>
    <t>669-801523-002</t>
  </si>
  <si>
    <t>PIN,2MM DIA X 23MMLG, M2, 25A</t>
  </si>
  <si>
    <t>22.1100</t>
  </si>
  <si>
    <t>STÄUBLI ELECTRICAL CONNECTORS</t>
  </si>
  <si>
    <t>669-121789-001</t>
  </si>
  <si>
    <t>CONT,SKT,40A</t>
  </si>
  <si>
    <t>172-978-100-201</t>
  </si>
  <si>
    <t>ODU</t>
  </si>
  <si>
    <t>667-311329-002</t>
  </si>
  <si>
    <t>CONN,SMD,FEM,4POSN,PWR,ULTRA MICRO,18A</t>
  </si>
  <si>
    <t>UMPS-04-03.5-G-V-S-W-TR</t>
  </si>
  <si>
    <t>618-B48352-503</t>
  </si>
  <si>
    <t>RES,THK FILM,500KOHM,5%TOL,2W,RDL</t>
  </si>
  <si>
    <t>SM204035003JE</t>
  </si>
  <si>
    <t>670-335085-004</t>
  </si>
  <si>
    <t>FUSE,CRTG,6.3X32MM,12A,450V,FAST-ACT</t>
  </si>
  <si>
    <t>0505012.MXP</t>
  </si>
  <si>
    <t>660-B00899-001</t>
  </si>
  <si>
    <t>FR,RF SHIELD,1.75LG X 1.30IN W,NI SIL</t>
  </si>
  <si>
    <t>L-1300SA1750-0340XF</t>
  </si>
  <si>
    <t>ORBEL CORPORATION</t>
  </si>
  <si>
    <t>632-275101-001</t>
  </si>
  <si>
    <t>RLY,SMD,2 FORM C,24VDC,8.3MA,2.8K OHM</t>
  </si>
  <si>
    <t>TQ2SS-24V</t>
  </si>
  <si>
    <t>PANASONIC</t>
  </si>
  <si>
    <t>660-B00902-001</t>
  </si>
  <si>
    <t>COV,RF SHIELD,1.778LG X 1.328IN W,NI SIL</t>
  </si>
  <si>
    <t>L-1300CC1750-0340XC</t>
  </si>
  <si>
    <t>615-217661-006</t>
  </si>
  <si>
    <t>RES,SMD,CUR SNS, 0.01 OHM,0.1%,1W,2512</t>
  </si>
  <si>
    <t>Y14870R01000B9W</t>
  </si>
  <si>
    <t>VISHAY PRECISION GROUP INC.</t>
  </si>
  <si>
    <t>649-228171-001</t>
  </si>
  <si>
    <t>CAP,ALUM,470UF,20%,450V,SNAP</t>
  </si>
  <si>
    <t>B43601B5477M</t>
  </si>
  <si>
    <t>EPCOS</t>
  </si>
  <si>
    <t>630-122646-001</t>
  </si>
  <si>
    <t>IC,SMD,BUCK SYNC ADJ 10A TO-PMOD-11</t>
  </si>
  <si>
    <t>LMZ13610TZ/NOPB</t>
  </si>
  <si>
    <t>648-004248-471</t>
  </si>
  <si>
    <t>CAP,SMD,CERAMIC,RF,PWR,470PF,2%</t>
  </si>
  <si>
    <t>100E471GW2500X</t>
  </si>
  <si>
    <t>AMERICAN TECHNICAL CERAMIC</t>
  </si>
  <si>
    <t>630-232484-001</t>
  </si>
  <si>
    <t>IC,SMD,CTRLR,HOT,SWAP,48V</t>
  </si>
  <si>
    <t>LM5069MM-2/NOPB</t>
  </si>
  <si>
    <t>660-B59124-003</t>
  </si>
  <si>
    <t>PS,CONV,DC-DC,24V,5V OUT,1W,SIP-4</t>
  </si>
  <si>
    <t>1779205311</t>
  </si>
  <si>
    <t>WURTH ELEKTRONIK</t>
  </si>
  <si>
    <t>630-048308-001</t>
  </si>
  <si>
    <t>IC,SMD,EPM240T100C4N,100 PIN CPLD,ROHS</t>
  </si>
  <si>
    <t>EPM240T100C4N</t>
  </si>
  <si>
    <t>671-096377-010</t>
  </si>
  <si>
    <t>TP LOOPED .035 HOLE,1 POS,BLK</t>
  </si>
  <si>
    <t>TP-105-01-00</t>
  </si>
  <si>
    <t>COMPONENTS CORPORATION</t>
  </si>
  <si>
    <t>670-285389-001</t>
  </si>
  <si>
    <t>CB,THRM,3.15A,250VAC,50VDC</t>
  </si>
  <si>
    <t>1410-L110-L1F1-S01-3.15A</t>
  </si>
  <si>
    <t>E-T-A ENGINEERING TECHNOLOGY</t>
  </si>
  <si>
    <t>615-122309-200</t>
  </si>
  <si>
    <t>RES,0805,TF,0.1W,0.01%,20.0K ROHS</t>
  </si>
  <si>
    <t>RNCF0805TTT20K0</t>
  </si>
  <si>
    <t>STACKPOLE ELECTRONICS</t>
  </si>
  <si>
    <t>668-B17515-003</t>
  </si>
  <si>
    <t>CONN,RCPT,M8,SHLD,3POSN,3A,PCB/PNL MT</t>
  </si>
  <si>
    <t>T4041037031-001</t>
  </si>
  <si>
    <t>668-007087-009</t>
  </si>
  <si>
    <t>CONN,HDR,PCB,M-ST,UNV M-N-LOK,9P,ROHS</t>
  </si>
  <si>
    <t>350712-4</t>
  </si>
  <si>
    <t>668-099029-026</t>
  </si>
  <si>
    <t>CONN,PIN,26P,DSUB,HD,VERT,ROHS</t>
  </si>
  <si>
    <t>K86X-AD-26P-BR</t>
  </si>
  <si>
    <t>630-223433-001</t>
  </si>
  <si>
    <t>IC,SMD,I2C IO EXPANDER,8B</t>
  </si>
  <si>
    <t>MAX7325ATG+</t>
  </si>
  <si>
    <t>3/11/26:  Qty adjusted up to meet $250 MOV.</t>
  </si>
  <si>
    <t>668-B64376-032</t>
  </si>
  <si>
    <t>CONN,HDR,RTANG,2ROW,32POSN,2MM PITCH,TH</t>
  </si>
  <si>
    <t>2086593240</t>
  </si>
  <si>
    <t>668-007087-015</t>
  </si>
  <si>
    <t>CONN,HDR,PCB,M-ST,UNV M-N-LOK,15P,ROHS</t>
  </si>
  <si>
    <t>350714-4</t>
  </si>
  <si>
    <t>641-B77115-360</t>
  </si>
  <si>
    <t>IDCTR,AIR CORE,360NH,5%,4.5A,0.0135OHM</t>
  </si>
  <si>
    <t>2929SQ-361JEC</t>
  </si>
  <si>
    <t>COILCRAFT</t>
  </si>
  <si>
    <t>630-337161-001</t>
  </si>
  <si>
    <t>IC,SMD,CPLD,980MACROCELL,6.2NS,TQFP-144</t>
  </si>
  <si>
    <t>5M1270ZT144C5N</t>
  </si>
  <si>
    <t>INTEL</t>
  </si>
  <si>
    <t>615-049171-124</t>
  </si>
  <si>
    <t>RES,SMD,0805,12.4K OHMS,ROHS</t>
  </si>
  <si>
    <t>RG2012P-1242-B-T5</t>
  </si>
  <si>
    <t>SUSUMU</t>
  </si>
  <si>
    <t>630-260287-001</t>
  </si>
  <si>
    <t>IC,SMD,ADC,12-BIT,2.5MSPS,TSOT-23</t>
  </si>
  <si>
    <t>LTC2313CTS8-12#TRMPBF</t>
  </si>
  <si>
    <t>ANALOG DEVICES INC.</t>
  </si>
  <si>
    <t>630-017595-001</t>
  </si>
  <si>
    <t>C,SMD, REG 102UA-3.3, SOIC8, ROHS</t>
  </si>
  <si>
    <t>REG102UA-3.3</t>
  </si>
  <si>
    <t>639-C00547-150</t>
  </si>
  <si>
    <t>IDCTR,SMD,15UH,20%,0.0143OHM,16A</t>
  </si>
  <si>
    <t>CSEG1010-150M</t>
  </si>
  <si>
    <t>CODACA</t>
  </si>
  <si>
    <t>668-311384-004</t>
  </si>
  <si>
    <t>CONN,HDR,VERTICAL,8POS</t>
  </si>
  <si>
    <t>1720420802</t>
  </si>
  <si>
    <t>668-096777-025</t>
  </si>
  <si>
    <t>CONN,DSUB,25P,M,STR,BRD LCK,ROHS</t>
  </si>
  <si>
    <t>K85X-BD-25P-CBR</t>
  </si>
  <si>
    <t>615-B65677-001</t>
  </si>
  <si>
    <t>RES,SMD,20K,0.01%TOL,0.1W,0603,ROHS</t>
  </si>
  <si>
    <t>RNCF0603TKY20K0</t>
  </si>
  <si>
    <t>635-102422-002</t>
  </si>
  <si>
    <t>OSC,SMD,XTAL,3.072MHZ,3.3VDC,25PPM,JS6</t>
  </si>
  <si>
    <t>XLH536003.072000I</t>
  </si>
  <si>
    <t>RENESAS</t>
  </si>
  <si>
    <t>668-033594-008</t>
  </si>
  <si>
    <t>CONN,HEADER,RT ANGLE, 8 POS</t>
  </si>
  <si>
    <t>103361-6</t>
  </si>
  <si>
    <t>668-B17520-003</t>
  </si>
  <si>
    <t>CONN,PLUG,M8,SHLD,3POSN,3A,PCB/PNL MT</t>
  </si>
  <si>
    <t>T4040034031-001</t>
  </si>
  <si>
    <t>668-A01540-026</t>
  </si>
  <si>
    <t>CONN,PLUG,D-SUB,26POSN,3ROW,3A,SLDR,STR</t>
  </si>
  <si>
    <t>163A16959X</t>
  </si>
  <si>
    <t>CONEC ELEKTRONISCHE BAUELEMENTE GMBH</t>
  </si>
  <si>
    <t>668-270723-001</t>
  </si>
  <si>
    <t>CONN,PLUG,MALE,D-SUB,7POSN,2ROW,7W2</t>
  </si>
  <si>
    <t>3007W2PCT56N40X</t>
  </si>
  <si>
    <t>723-084496-010</t>
  </si>
  <si>
    <t>STDF,HEX,6MM,M/F,SST,M4X.7X10MM</t>
  </si>
  <si>
    <t>M2145-4007-SS-20</t>
  </si>
  <si>
    <t>RAF</t>
  </si>
  <si>
    <t>668-007087-012</t>
  </si>
  <si>
    <t>CONN,HDR,PCB,M-ST,UNV M-N-LOK,12P,ROHS</t>
  </si>
  <si>
    <t>350713-4</t>
  </si>
  <si>
    <t>630-B70151-001</t>
  </si>
  <si>
    <t>IC,SMD,OP AMP,CMOS,DUAL,2.7-5.5V,SOIC-8</t>
  </si>
  <si>
    <t>ADA4891-2ARZ</t>
  </si>
  <si>
    <t>616-052546-007</t>
  </si>
  <si>
    <t>RES,LOAD,40 OHM,100W,1%TOL,TO-247</t>
  </si>
  <si>
    <t>MP9100-40.0-1%</t>
  </si>
  <si>
    <t>CADDOCK ELECTRONICS INC.</t>
  </si>
  <si>
    <t>668-A51618-026</t>
  </si>
  <si>
    <t>CONN,PLUG,D-SUB,H DENSITY,26POSN,3A,60V</t>
  </si>
  <si>
    <t>163A17059X</t>
  </si>
  <si>
    <t>630-120971-001</t>
  </si>
  <si>
    <t>IC,SMD,DDR2 SDRAM,2GB,128MX16,1.8V</t>
  </si>
  <si>
    <t>MT47H128M16RT-25E:C TR</t>
  </si>
  <si>
    <t>630-311294-001</t>
  </si>
  <si>
    <t>IC,SMD,REG,BUCK,ADJ,7A,65V,32LQFN</t>
  </si>
  <si>
    <t>LT8645SEV#PBF</t>
  </si>
  <si>
    <t>668-A12469-004</t>
  </si>
  <si>
    <t>CONN,RCPT,4POSN,2.54MM PITCH,SGL ROW</t>
  </si>
  <si>
    <t>SSW-104-06-G-S</t>
  </si>
  <si>
    <t>615-267477-001</t>
  </si>
  <si>
    <t>RES,SMD,2512,THKF,5%,1W,160K OHM,ROHS</t>
  </si>
  <si>
    <t>CRCW2512160KJNEG</t>
  </si>
  <si>
    <t>VISHAY</t>
  </si>
  <si>
    <t>668-A21735-001</t>
  </si>
  <si>
    <t>CONN,HDR,PLUG,STR,1ROW,4POSN,.1IN PITCH</t>
  </si>
  <si>
    <t>MTSW-104-23-G-S-255</t>
  </si>
  <si>
    <t>630-198438-001</t>
  </si>
  <si>
    <t>IC,SMD,QUAD 16BIT DAC,I2C INTFC</t>
  </si>
  <si>
    <t>AD5696RBRUZ</t>
  </si>
  <si>
    <t>616-052546-005</t>
  </si>
  <si>
    <t>RES,LOAD,5 OHM,100W,1%TOL,TO-247</t>
  </si>
  <si>
    <t>MP9100-5.00-1%</t>
  </si>
  <si>
    <t>621-266358-001</t>
  </si>
  <si>
    <t>POT,2K OHM,0.5W,25T,SIDE ADJUST</t>
  </si>
  <si>
    <t>3299Z-1-202LF</t>
  </si>
  <si>
    <t>BOURNS</t>
  </si>
  <si>
    <t>667-281523-006</t>
  </si>
  <si>
    <t>CONN,SMD,PWR,SHROUDED,16POS,ROHS</t>
  </si>
  <si>
    <t>IPL1-108-02-L-D-K</t>
  </si>
  <si>
    <t>670-263372-008</t>
  </si>
  <si>
    <t>FUSE,CRTG,CER,FAST-ACT,0.2A,250V,5X20MM</t>
  </si>
  <si>
    <t>0216.200MXP</t>
  </si>
  <si>
    <t>645-313806-001</t>
  </si>
  <si>
    <t>SW,DIP,MINIATURE,ROTARY,WASHABLE</t>
  </si>
  <si>
    <t>DRR7016C</t>
  </si>
  <si>
    <t>NIDEC</t>
  </si>
  <si>
    <t>669-C00309-007</t>
  </si>
  <si>
    <t>CONT,PIN,600V,140A,6MM DIA,48MM LG</t>
  </si>
  <si>
    <t>203263-0066</t>
  </si>
  <si>
    <t>668-267052-006</t>
  </si>
  <si>
    <t>CONN,HDR,PCB,6CKT,1ROW,600V,50A,10MM,BLK</t>
  </si>
  <si>
    <t>428196223</t>
  </si>
  <si>
    <t>615-122309-612</t>
  </si>
  <si>
    <t>RES,0805,TF,0.1W,0.01%,61.2K ROHS</t>
  </si>
  <si>
    <t>RNCF0805TTT61K2</t>
  </si>
  <si>
    <t>630-339886-001</t>
  </si>
  <si>
    <t>IC,SMD,DC/DC,STEP DN MDL,4-36V,0.5A</t>
  </si>
  <si>
    <t>LMZM23600SILT</t>
  </si>
  <si>
    <t>630-017794-002</t>
  </si>
  <si>
    <t>IC,SMD,SWITCHING REG,LT1376HVIS, ROHS</t>
  </si>
  <si>
    <t>LT1376HVIS#PBF</t>
  </si>
  <si>
    <t>630-900073-001</t>
  </si>
  <si>
    <t>IC,AD586 VREF 5V SO8</t>
  </si>
  <si>
    <t>AD586KRZ</t>
  </si>
  <si>
    <t>615-224835-017</t>
  </si>
  <si>
    <t>RES,0603,TF,0.1%,25 PPM,0.15W,49.9K</t>
  </si>
  <si>
    <t>PATT0603E4992BGT1</t>
  </si>
  <si>
    <t>630-268428-001</t>
  </si>
  <si>
    <t>IC,SMD,USB BRIDGE TO UART,DFN12</t>
  </si>
  <si>
    <t>FT234XD-R</t>
  </si>
  <si>
    <t>FUTURE TECHNOLOGY DEVICES INTERNATIONAL (FTDI) LTD.</t>
  </si>
  <si>
    <t>668-096777-037</t>
  </si>
  <si>
    <t>CONN,DSUB,37P,M,STR,BRD LCK,ROHS</t>
  </si>
  <si>
    <t>K85X-CD-37P-CBR</t>
  </si>
  <si>
    <t>630-248896-001</t>
  </si>
  <si>
    <t>IC,SMD,FLASH,128M,QPI/QSPI</t>
  </si>
  <si>
    <t>IS25LP128-JBLE</t>
  </si>
  <si>
    <t>INTEGRATED SILICON SOLUTION</t>
  </si>
  <si>
    <t>630-087790-001</t>
  </si>
  <si>
    <t>IC,SMD,ECAT CONT,ET1100,128BGA,ROHS</t>
  </si>
  <si>
    <t>ET1100</t>
  </si>
  <si>
    <t>BECKHOFF AUTOMATION LLC</t>
  </si>
  <si>
    <t>630-068465-004</t>
  </si>
  <si>
    <t>IC,SMD,VOLTAGE REF,0.1%,4.096V ROHS</t>
  </si>
  <si>
    <t>REF5040AID</t>
  </si>
  <si>
    <t>615-049171-274</t>
  </si>
  <si>
    <t>RES,SMD,0805,27.4K OHMS,ROHS</t>
  </si>
  <si>
    <t>RG2012P-2742-B-T5</t>
  </si>
  <si>
    <t>723-299192-001</t>
  </si>
  <si>
    <t>STDF,RND,SMT,0.125 LONG</t>
  </si>
  <si>
    <t>SMTSO-143-4ET</t>
  </si>
  <si>
    <t>PENN ENGINEERING</t>
  </si>
  <si>
    <t>626-A21861-001</t>
  </si>
  <si>
    <t>XSTR,SMD,MOSFET,N-CH,300V,26A,TO-252</t>
  </si>
  <si>
    <t>IXFY26N30X3</t>
  </si>
  <si>
    <t>630-228108-001</t>
  </si>
  <si>
    <t>IC,SMD,BI,DIR,LEVEL TRANSL,6CH</t>
  </si>
  <si>
    <t>MAX13035EETE+</t>
  </si>
  <si>
    <t>616-052546-003</t>
  </si>
  <si>
    <t>RES,LOAD,20 OHM,100W,1%TOL,TO-247</t>
  </si>
  <si>
    <t>MP9100-20.0-1%</t>
  </si>
  <si>
    <t>639-121560-001</t>
  </si>
  <si>
    <t>IDCTR,SMD,PWR,2.2UH,30% TOL,1.45A</t>
  </si>
  <si>
    <t>SRU2013-2R2Y</t>
  </si>
  <si>
    <t>779-002694-001</t>
  </si>
  <si>
    <t>HTSK,THERMAL CONDUCTOR,TO-220</t>
  </si>
  <si>
    <t>QII-0.006-00-61</t>
  </si>
  <si>
    <t>HENKEL</t>
  </si>
  <si>
    <t>631-099702-003</t>
  </si>
  <si>
    <t>IC,FO RECVR, HORZ, ROHS</t>
  </si>
  <si>
    <t>HFBR-2531ETZ</t>
  </si>
  <si>
    <t>BROADCOM INC.</t>
  </si>
  <si>
    <t>639-A21737-001</t>
  </si>
  <si>
    <t>IDCTR,SMD,22UH,18MHZ,2.5A,AEC-Q200</t>
  </si>
  <si>
    <t>DO3316T-223MLD</t>
  </si>
  <si>
    <t>630-026177-001</t>
  </si>
  <si>
    <t>IC,SMD,HOT SWAP SWITCH,POS 65V,ROHS</t>
  </si>
  <si>
    <t>MAX5917AESE+</t>
  </si>
  <si>
    <t>648-051878-333</t>
  </si>
  <si>
    <t>CAP,SMD,0603,.033UF,50V,10%,X7R,ROHS</t>
  </si>
  <si>
    <t>C0603T333K5RACTU</t>
  </si>
  <si>
    <t>KEMET</t>
  </si>
  <si>
    <t>630-232598-001</t>
  </si>
  <si>
    <t>IC,SMD,2.93V,SUPPLY,MONITOR</t>
  </si>
  <si>
    <t>TLC7733IPWR</t>
  </si>
  <si>
    <t>615-A40653-909</t>
  </si>
  <si>
    <t>RES,SMD,1206,0.1%,0.4W,90.9K,ROHS</t>
  </si>
  <si>
    <t>TNPW120690K9BEEA</t>
  </si>
  <si>
    <t>668-121742-012</t>
  </si>
  <si>
    <t>CONN,MAG45 MOD JACK GRN/YEL PCB,ROHS</t>
  </si>
  <si>
    <t>2250067-1</t>
  </si>
  <si>
    <t>TRP CONNECTOR B.V.</t>
  </si>
  <si>
    <t>668-A44871-006</t>
  </si>
  <si>
    <t>CONN,HDR,6CKT,7.5MM PITCH,18A,600V,TH</t>
  </si>
  <si>
    <t>43160-0306</t>
  </si>
  <si>
    <t>668-267052-004</t>
  </si>
  <si>
    <t>CONN,HDR,PCB,5CKT,1ROW,600V,50A,10MM,BLK</t>
  </si>
  <si>
    <t>428195223</t>
  </si>
  <si>
    <t>668-269583-002</t>
  </si>
  <si>
    <t>CONN,PLUG HSG,DIN,SIG,32P,TYPE 2Q,ROHS</t>
  </si>
  <si>
    <t>09271326903</t>
  </si>
  <si>
    <t>HARTING TECHNOLOGY GROUP</t>
  </si>
  <si>
    <t>667-281523-008</t>
  </si>
  <si>
    <t>CONN,SMD,PWR,SHROUDED,24POS,ROHS</t>
  </si>
  <si>
    <t>IPL1-112-02-L-D-K</t>
  </si>
  <si>
    <t>648-243376-039</t>
  </si>
  <si>
    <t>CAP,SMD,CER,1000PF,±5%,X7R,630V,0805</t>
  </si>
  <si>
    <t>C0805C102JBRACTU</t>
  </si>
  <si>
    <t>631-099701-003</t>
  </si>
  <si>
    <t>IC,XMTR,FIBER OPTIC,ROHS</t>
  </si>
  <si>
    <t>HFBR-1531ETZ</t>
  </si>
  <si>
    <t>668-089643-020</t>
  </si>
  <si>
    <t>CONN,RCPT,LOW PROFILE STRIP 20P,ROHS</t>
  </si>
  <si>
    <t>SL-120-G-10</t>
  </si>
  <si>
    <t>639-A21747-001</t>
  </si>
  <si>
    <t>XFMR,SMD,GATE DRIVE,1:1:1,1500VDC</t>
  </si>
  <si>
    <t>X-1569</t>
  </si>
  <si>
    <t>PULSER LLC.</t>
  </si>
  <si>
    <t>31-10099-00</t>
  </si>
  <si>
    <t>KEYING PLUG,D CONN</t>
  </si>
  <si>
    <t>206509-1</t>
  </si>
  <si>
    <t>TE CONNECTIVITY (P)</t>
  </si>
  <si>
    <t>630-067077-002</t>
  </si>
  <si>
    <t>IC,SMD,OPT, 1MHZ,6P, ,H11N1SR2M ROHS</t>
  </si>
  <si>
    <t>H11N1SR2M</t>
  </si>
  <si>
    <t>ON SEMICONDUCTOR</t>
  </si>
  <si>
    <t>615-B36708-002</t>
  </si>
  <si>
    <t>RES,SMD,2.43K OHM,0.1%,0.063W,0402</t>
  </si>
  <si>
    <t>ERA2ARB2431X</t>
  </si>
  <si>
    <t>630-204173-001</t>
  </si>
  <si>
    <t>IC,SMD,CLK BUFFER</t>
  </si>
  <si>
    <t>524MILF</t>
  </si>
  <si>
    <t>IDT</t>
  </si>
  <si>
    <t>668-B94693-003</t>
  </si>
  <si>
    <t>CONN,HDR,3POSN,RTANG,30A,PCB,W/ BD LOCK</t>
  </si>
  <si>
    <t>172043-0302</t>
  </si>
  <si>
    <t>616-052546-006</t>
  </si>
  <si>
    <t>RES,LOAD,10 OHM,100W,1%TOL,TO-247</t>
  </si>
  <si>
    <t>MP9100-10.0-1%</t>
  </si>
  <si>
    <t>615-B39027-001</t>
  </si>
  <si>
    <t>RES,SMD,THIN FILM,249OHM,.1%,1/16W,0402</t>
  </si>
  <si>
    <t>TNPW0402249RBYEP</t>
  </si>
  <si>
    <t>635-B65663-160</t>
  </si>
  <si>
    <t>OSC,SMD,XTAL,16MHZ,2.5PPM,1.7-3.6V</t>
  </si>
  <si>
    <t>ECS-TXO-3225MV-160-TR</t>
  </si>
  <si>
    <t>ECS INC. INTERNATIONAL</t>
  </si>
  <si>
    <t>615-041833-203</t>
  </si>
  <si>
    <t>RES,SMD,2010,PTF,1%,1/2W,20K</t>
  </si>
  <si>
    <t>ERJ-12SF2002U</t>
  </si>
  <si>
    <t>648-C06198-303</t>
  </si>
  <si>
    <t>CAP,SMD,MLCC,0.03UF,10%,X7R,3KVDC</t>
  </si>
  <si>
    <t>C2220C303KHRLCAUTO</t>
  </si>
  <si>
    <t>615-B72620-005</t>
  </si>
  <si>
    <t>RES,SMD,CUR SNS,0.005OHM,1% TOL,4W,3518</t>
  </si>
  <si>
    <t>FC4L90R005FER</t>
  </si>
  <si>
    <t>644-059699-005</t>
  </si>
  <si>
    <t>RLY,HV,REED,DPDT</t>
  </si>
  <si>
    <t>500-231</t>
  </si>
  <si>
    <t>COMPUTER COMPONENTS,INC</t>
  </si>
  <si>
    <t>667-B77583-001</t>
  </si>
  <si>
    <t>CONN,SMD,DSUB,RCPT,9P,SHL SIZE E,RTANG</t>
  </si>
  <si>
    <t>K202XHT-E9S-N</t>
  </si>
  <si>
    <t>KYCON INC.</t>
  </si>
  <si>
    <t>630-099973-001</t>
  </si>
  <si>
    <t>IC,ADG431 QUAD ANLG SW,SO16, ROHS</t>
  </si>
  <si>
    <t>ADG431BRZ</t>
  </si>
  <si>
    <t>670-006780-038</t>
  </si>
  <si>
    <t>FUSE .25x1.25 12A 250VAC,ROHS</t>
  </si>
  <si>
    <t>#ABC-12</t>
  </si>
  <si>
    <t>615-099609-806</t>
  </si>
  <si>
    <t>RES,SMD,2010,80.6,1%,1/2W,ROHS</t>
  </si>
  <si>
    <t>RK73H2HTTE80R6F</t>
  </si>
  <si>
    <t>KOA SPEER</t>
  </si>
  <si>
    <t>668-005463-026</t>
  </si>
  <si>
    <t>HEADER,STRAIGHT,DOUBLE ROW,26C,ROHS</t>
  </si>
  <si>
    <t>67997-126HLF</t>
  </si>
  <si>
    <t>FCI</t>
  </si>
  <si>
    <t>639-A21749-001</t>
  </si>
  <si>
    <t>XFMR,SMD,CUR,0.0017 H,4A,1:50 TURNS R</t>
  </si>
  <si>
    <t>PA0368.050NL</t>
  </si>
  <si>
    <t>PULSE ELECTRONICS</t>
  </si>
  <si>
    <t>648-051878-224</t>
  </si>
  <si>
    <t>CAP,SMD,0603,0.22UF,50V,10%,ROHS</t>
  </si>
  <si>
    <t>NMC0603X7R224K50TRPF</t>
  </si>
  <si>
    <t>NIC COMPONENTS</t>
  </si>
  <si>
    <t>668-A44871-002</t>
  </si>
  <si>
    <t>CONN,HDR,2CKT,7.5MM PITCH,18A,600V,TH</t>
  </si>
  <si>
    <t>43160-0302</t>
  </si>
  <si>
    <t>618-007480-237</t>
  </si>
  <si>
    <t>RESSTR,FXD,1/4W,1%,MTL FLM,237,ROHS</t>
  </si>
  <si>
    <t>CMF55237R00 FHEB</t>
  </si>
  <si>
    <t>VISHAY/DALE</t>
  </si>
  <si>
    <t>630-173321-001</t>
  </si>
  <si>
    <t>IC,SMD,SRAM,256Kx16,TSOP,ROHS</t>
  </si>
  <si>
    <t>AS7C34098A-10TCN</t>
  </si>
  <si>
    <t>ALLIANCE MEMORY</t>
  </si>
  <si>
    <t>609-B81538-001</t>
  </si>
  <si>
    <t>DIO,SMD,ARR,SCHOTTKY,200V,15A,TO263AC</t>
  </si>
  <si>
    <t>MBRBF30200CT-TP</t>
  </si>
  <si>
    <t>MCC</t>
  </si>
  <si>
    <t>670-A40551-025</t>
  </si>
  <si>
    <t>FUSE,CRTG,FAST ACT,500VDC/AC,25A,6X32MM</t>
  </si>
  <si>
    <t>0ADEC9250-BE</t>
  </si>
  <si>
    <t>615-080145-047</t>
  </si>
  <si>
    <t>RES,1206,TF,0.1%,25 PPM,174K ROHS</t>
  </si>
  <si>
    <t>TNPW1206174KBETA</t>
  </si>
  <si>
    <t>630-B06281-001</t>
  </si>
  <si>
    <t>IC,SMD,BFR,3 STATE,8-BIT,6V,TSSOP20</t>
  </si>
  <si>
    <t>74HCT7541PW118</t>
  </si>
  <si>
    <t>NEXPERIA</t>
  </si>
  <si>
    <t>648-067080-001</t>
  </si>
  <si>
    <t>CAP,SMD,CER,X7R,50V,20%,10UF ROHS</t>
  </si>
  <si>
    <t>CKG57NX7R1H106M500JH</t>
  </si>
  <si>
    <t>TDK</t>
  </si>
  <si>
    <t>670-A39955-001</t>
  </si>
  <si>
    <t>CLIP,1/4 IN DIA FU,ANGLED LEAD,CRTG BRS</t>
  </si>
  <si>
    <t>1A1119-10-R</t>
  </si>
  <si>
    <t>615-064170-107</t>
  </si>
  <si>
    <t>RES,SMD,0805,RG,MF,0.1%,1/10W,1.07K ROHS</t>
  </si>
  <si>
    <t>RG2012P-1071-B-T5</t>
  </si>
  <si>
    <t>639-065795-001</t>
  </si>
  <si>
    <t>IDCTR,SMD,COM MODE FLTR,ROHS</t>
  </si>
  <si>
    <t>M2022-ALC</t>
  </si>
  <si>
    <t>630-341691-001</t>
  </si>
  <si>
    <t>IC,SMD,HOT SWAP CONT,2.7-36V,4UA,12-MSOP</t>
  </si>
  <si>
    <t>LTC4231HMS-1#PBF</t>
  </si>
  <si>
    <t>648-326249-001</t>
  </si>
  <si>
    <t>CAP,SMD,AL ELCTLT,2200UF,±20% TOL,35V</t>
  </si>
  <si>
    <t>EEEFK1V222SM</t>
  </si>
  <si>
    <t>615-064170-237</t>
  </si>
  <si>
    <t>RES,SMD,0805,RG,MF,0.1%,1/10W,2.37K ROHS</t>
  </si>
  <si>
    <t>RG2012P-2371-B-T5</t>
  </si>
  <si>
    <t>630-343681-001</t>
  </si>
  <si>
    <t>IC,POT,DGTL,20K,1%TOL,1024POS,TSSOP-14</t>
  </si>
  <si>
    <t>AD5292BRUZ-20</t>
  </si>
  <si>
    <t>630-259131-001</t>
  </si>
  <si>
    <t>IC,SMD,CMOS,VREF SERIES,1.25V,SOT23-3</t>
  </si>
  <si>
    <t>REF3012AIDBZR</t>
  </si>
  <si>
    <t>615-080142-198</t>
  </si>
  <si>
    <t>RES,1206,TF,0.1%,+/- 25 PPM,198 ROHS</t>
  </si>
  <si>
    <t>TNPW1206198RBEEA</t>
  </si>
  <si>
    <t>668-035473-020</t>
  </si>
  <si>
    <t>CONN,INTCON STRIP, MALE 20 PIN</t>
  </si>
  <si>
    <t>BBS-120-G-A</t>
  </si>
  <si>
    <t>615-122309-100</t>
  </si>
  <si>
    <t>RES,0805,TF,0.1W,0.01%,10.0K ROHS</t>
  </si>
  <si>
    <t>RNCF0805TTT10K0</t>
  </si>
  <si>
    <t>615-064170-210</t>
  </si>
  <si>
    <t>RES,SMD,0805,RG,MF,0.1%,1/10W,2.10K</t>
  </si>
  <si>
    <t>RG2012P-2101-B-T5</t>
  </si>
  <si>
    <t>639-004556-390</t>
  </si>
  <si>
    <t>IDCTR,SMD,0.5" X 0.25", 390 UH,ROHS</t>
  </si>
  <si>
    <t>4922R-32L</t>
  </si>
  <si>
    <t>API DELEVAN</t>
  </si>
  <si>
    <t>639-B45787-001</t>
  </si>
  <si>
    <t>IDCTR,SMD,H CUR,2.8UH,20%TOL,3.3MOHM,20A</t>
  </si>
  <si>
    <t>7443551280</t>
  </si>
  <si>
    <t>630-A21745-001</t>
  </si>
  <si>
    <t>IC,SMD,PWM CONT,2-OUT,5.05-5.15V,SOIC-16</t>
  </si>
  <si>
    <t>UC2825AQDWREP</t>
  </si>
  <si>
    <t>668-160560-040</t>
  </si>
  <si>
    <t>CONN,RCPT,SMD,VERT,40P,DUAL ROW,2MM</t>
  </si>
  <si>
    <t>0791091019</t>
  </si>
  <si>
    <t>670-260022-006</t>
  </si>
  <si>
    <t>FUSE,CRTG,0.8AMP,500VAC/400VDC,5X20MM</t>
  </si>
  <si>
    <t>0477.800MXP</t>
  </si>
  <si>
    <t>630-221563-003</t>
  </si>
  <si>
    <t>IC,TC74,A2,TMP SNSR,I2C,TO220-5</t>
  </si>
  <si>
    <t>TC74A2-3.3VAT</t>
  </si>
  <si>
    <t>MICROCHIP TECHNOLOGY INC.</t>
  </si>
  <si>
    <t>648-A42164-224</t>
  </si>
  <si>
    <t>CAP,SMD,CER,X7R,0.22UF,±5%,100V,1812</t>
  </si>
  <si>
    <t>C1812C224J1RACTU</t>
  </si>
  <si>
    <t>648-243934-001</t>
  </si>
  <si>
    <t>CAP,SMD,CER,750PF,±2% TOL,50V,NPO,0402</t>
  </si>
  <si>
    <t>C0402C751G5GACTU</t>
  </si>
  <si>
    <t>648-082038-390</t>
  </si>
  <si>
    <t>CAP,CER,0805,NPO,±5%,250V,39PF</t>
  </si>
  <si>
    <t>251R15S390JV4E</t>
  </si>
  <si>
    <t>JOHANSON TECHNOLOGY</t>
  </si>
  <si>
    <t>615-109462-191</t>
  </si>
  <si>
    <t>RES,SMD,0805,1.91K,0.1%,1/10W,ROHS</t>
  </si>
  <si>
    <t>TNPW08051K91BEEN</t>
  </si>
  <si>
    <t>668-097649-064</t>
  </si>
  <si>
    <t>CONN,DIN,STR,64 POS,MALE, ROHS</t>
  </si>
  <si>
    <t>100-064-133</t>
  </si>
  <si>
    <t>PANCON</t>
  </si>
  <si>
    <t>687-C11587-001</t>
  </si>
  <si>
    <t>SPCR,SLF-RTNG,1.6MM PNL THK,PA66,NATURAL</t>
  </si>
  <si>
    <t>702910000</t>
  </si>
  <si>
    <t>WURTH ELEKTRONIK (P)</t>
  </si>
  <si>
    <t>630-340553-001</t>
  </si>
  <si>
    <t>IC,SMD,CLOCK BFR,1-4,8PIN,1.8-3.3V,DFN</t>
  </si>
  <si>
    <t>551SCMGI</t>
  </si>
  <si>
    <t>615-064170-196</t>
  </si>
  <si>
    <t>RES,SMD,0805,RG,MF,0.1%,1/10W,1.96K ROHS</t>
  </si>
  <si>
    <t>RG2012P-1961-B-T5</t>
  </si>
  <si>
    <t>630-121394-001</t>
  </si>
  <si>
    <t>IC,SMD,ETHERNET PHY,10/100 MB/S,ROHS</t>
  </si>
  <si>
    <t>TLK110PTR</t>
  </si>
  <si>
    <t>630-039459-004</t>
  </si>
  <si>
    <t>IC,SMD,SUPERVISORY CKT,TPS3837K33</t>
  </si>
  <si>
    <t>TPS3837K33DBVT</t>
  </si>
  <si>
    <t>668-277308-002</t>
  </si>
  <si>
    <t>CONN,PLUG,DSUB,09POS,VERT,7.5A,125V</t>
  </si>
  <si>
    <t>163A16159X</t>
  </si>
  <si>
    <t>668-064219-015</t>
  </si>
  <si>
    <t>CONN,RCPT HD D-SUB,RA,15 PIN FEMALE,ROHS</t>
  </si>
  <si>
    <t>K66X-E15S-N</t>
  </si>
  <si>
    <t>615-A40066-001</t>
  </si>
  <si>
    <t>RES,SMD,PWR,.004OHM,±.5%,3W,±150PPM,2512</t>
  </si>
  <si>
    <t>WSLP25124L000DEA</t>
  </si>
  <si>
    <t>648-B66447-472</t>
  </si>
  <si>
    <t>CAP,SMD,4700PF,+/-10%TOL,100VDC,0805</t>
  </si>
  <si>
    <t>CDR31BX472BKUS</t>
  </si>
  <si>
    <t>615-B53766-002</t>
  </si>
  <si>
    <t>RES,SMD,THIN FILM,200 OHM,.1%,.5W,0603</t>
  </si>
  <si>
    <t>RA73F1J200RBTDF</t>
  </si>
  <si>
    <t>668-230911-009</t>
  </si>
  <si>
    <t>CONN,HDR,8POS,.100",ROHS</t>
  </si>
  <si>
    <t>TSW-108-17-G-S</t>
  </si>
  <si>
    <t>639-311328-002</t>
  </si>
  <si>
    <t>IDCTR,SMD,POWER,SHIELDED,0.82UH</t>
  </si>
  <si>
    <t>XEL6060-821MEC</t>
  </si>
  <si>
    <t>670-338640-050</t>
  </si>
  <si>
    <t>FUSE,CRTG,0.5A,600VAC/400DC,5X20MM</t>
  </si>
  <si>
    <t>S505H-500-R</t>
  </si>
  <si>
    <t>609-185158-001</t>
  </si>
  <si>
    <t>DIO,SMD,TVS,25.6V,1.5KW,SMCJ1.5KE,ROHS</t>
  </si>
  <si>
    <t>SMCJ1.5KE30A-TP</t>
  </si>
  <si>
    <t>MICRO COMMERCIAL CO</t>
  </si>
  <si>
    <t>608-096583-504</t>
  </si>
  <si>
    <t>RES,SMD,POT,12T,T-ADJ,0.25SQ,500K,ROHS</t>
  </si>
  <si>
    <t>TS63Y504KR10</t>
  </si>
  <si>
    <t>648-083577-106</t>
  </si>
  <si>
    <t>CAP,SMD,1206,CER,X7R,10%,25V,10UF ROHS</t>
  </si>
  <si>
    <t>C1206C106K3RAC</t>
  </si>
  <si>
    <t>615-A31517-001</t>
  </si>
  <si>
    <t>RES,SMD,49.9OHM,±0.1%,1W,±25PPM,0805</t>
  </si>
  <si>
    <t>PCAN0805E49R9BST5</t>
  </si>
  <si>
    <t>630-B94226-030</t>
  </si>
  <si>
    <t>IC,SMD,CUR SNSR,4.75-5.5V,30A,SOIC-8</t>
  </si>
  <si>
    <t>CT418-HSN830DR</t>
  </si>
  <si>
    <t>ALLEGRO MICROSYSTEMS LLC</t>
  </si>
  <si>
    <t>686-008011-001</t>
  </si>
  <si>
    <t>MARKER,CABLE,PLATE, 1.75 X .75</t>
  </si>
  <si>
    <t>MP175-C</t>
  </si>
  <si>
    <t>PANDUIT</t>
  </si>
  <si>
    <t>Review Pricing</t>
  </si>
  <si>
    <t>3/11/26:  DigiKey pricing ~ $1.15/ea.  Please check pricing.</t>
  </si>
  <si>
    <t>632-258830-001</t>
  </si>
  <si>
    <t>RLY,SMD,SIG,24VDC,2A,230MW,2.5KOHM,DPDT</t>
  </si>
  <si>
    <t>AGQ200A24Z</t>
  </si>
  <si>
    <t>3/11/26:  DigiKey has for ~$1.25/ea.  Prior CM shortage.</t>
  </si>
  <si>
    <t>670-037698-044</t>
  </si>
  <si>
    <t>FUSE,CLASS CC,600V,TIME DLY,30 AMP</t>
  </si>
  <si>
    <t>FNQ-R-30</t>
  </si>
  <si>
    <t>3/11/26:  Mouser pricing ~ $60/ea.  Please check pricing.</t>
  </si>
  <si>
    <t>615-B61754-005</t>
  </si>
  <si>
    <t>RES,SMD,5 OHM,+/-0.5%TOL,1.2W,THK FILM</t>
  </si>
  <si>
    <t>68552-5</t>
  </si>
  <si>
    <t>3/10/26:  Josh, check pricing for qty 200/ea</t>
  </si>
  <si>
    <t>615-B61754-010</t>
  </si>
  <si>
    <t>RES,SMD,10 OHM,+/-0.5%TOL,1.2W,THK FILM</t>
  </si>
  <si>
    <t>68552-10</t>
  </si>
  <si>
    <t>615-B61754-020</t>
  </si>
  <si>
    <t>RES,SMD,20 OHM,+/-0.5%TOL,1.2W,THK FILM</t>
  </si>
  <si>
    <t>68552-20</t>
  </si>
  <si>
    <t>615-B61754-040</t>
  </si>
  <si>
    <t>RES,SMD,40 OHM,+/-0.5%TOL,1.2W,THK FILM</t>
  </si>
  <si>
    <t>68552-40</t>
  </si>
  <si>
    <t>615-B61754-080</t>
  </si>
  <si>
    <t>RES,SMD,80 OHM,+/-0.5%TOL,1.2W,THK FILM</t>
  </si>
  <si>
    <t>68552-80</t>
  </si>
  <si>
    <t>615-B61754-160</t>
  </si>
  <si>
    <t>RES,SMD,160 OHM,+/-0.5%TOL,1.2W,THK FILM</t>
  </si>
  <si>
    <t>68552-160</t>
  </si>
  <si>
    <t>615-B61754-320</t>
  </si>
  <si>
    <t>RES,SMD,320 OHM,+/-0.5%TOL,1.2W,THK FILM</t>
  </si>
  <si>
    <t>68552-320</t>
  </si>
  <si>
    <t>615-217933-536</t>
  </si>
  <si>
    <t>RES,SMD,5.36KOHM,+/-0.1% TOL,1/10W,0603</t>
  </si>
  <si>
    <t>ERA-3AEB5361V</t>
  </si>
  <si>
    <t>Provide Heat Map</t>
  </si>
  <si>
    <t>2/18/26:  New Part ADD.  Please provide Heat Map data.</t>
  </si>
  <si>
    <t>615-217933-562</t>
  </si>
  <si>
    <t>RES,SMD,5.62KOHM,+/-0.1% TOL,1/10W,0603</t>
  </si>
  <si>
    <t>ERA-3AEB5621V</t>
  </si>
  <si>
    <t>615-217933-806</t>
  </si>
  <si>
    <t>RES,SMD,8.06KOHM,+/-0.1% TOL,1/10W,0603</t>
  </si>
  <si>
    <t>ERA-3AEB8061V</t>
  </si>
  <si>
    <t>615-310567-255</t>
  </si>
  <si>
    <t>RES,SMD,7.68K,0.1%,1/10W,0603,ROHS</t>
  </si>
  <si>
    <t>ERA-3AEB7681V</t>
  </si>
  <si>
    <t>615-131264-001</t>
  </si>
  <si>
    <t>RES,SMD,THK FILM,10K,1%,100PPM,5020</t>
  </si>
  <si>
    <t>HVC5020K1002FT</t>
  </si>
  <si>
    <t>Pending Quote</t>
  </si>
  <si>
    <t>615-131307-001</t>
  </si>
  <si>
    <t>RES,SMD,THK FILM,20M,1%,25PPM,5020</t>
  </si>
  <si>
    <t>HVC5020E2005FT</t>
  </si>
  <si>
    <t>615-131307-002</t>
  </si>
  <si>
    <t>RES,SMD,THK FILM,50M,1%,25PPM,5020</t>
  </si>
  <si>
    <t>HVC5020E5005FT</t>
  </si>
  <si>
    <t>615-218819-001</t>
  </si>
  <si>
    <t>RES,SMD,2.5MEG,1%,25PPM,2W</t>
  </si>
  <si>
    <t>HVC2512E2504FT</t>
  </si>
  <si>
    <t>615-A18150-001</t>
  </si>
  <si>
    <t>RES,SMD,HV,THK,100MOHM,±1%,25PPM,3512</t>
  </si>
  <si>
    <t>HVCD3512Y1006FT-R294</t>
  </si>
  <si>
    <t>MICROPEN TECHNOLOGIES CORPORATION</t>
  </si>
  <si>
    <t>615-B31543-001</t>
  </si>
  <si>
    <t>RES,HV,100MEG,1%,2W,25PPM,VCR&lt;1PPM,4020</t>
  </si>
  <si>
    <t>HVC4020E1006FT-1790</t>
  </si>
  <si>
    <t>616-052546-008</t>
  </si>
  <si>
    <t>RES,LOAD,80 OHM,100W,1%TOL,TO-247</t>
  </si>
  <si>
    <t>MP9100-80.0-1%</t>
  </si>
  <si>
    <t>618-B67173-524</t>
  </si>
  <si>
    <t>RES,METAL FILM,524.288K,6W,0.1%,2KV,THT</t>
  </si>
  <si>
    <t>MS260-524.288K-0.1%</t>
  </si>
  <si>
    <t>618-B67755-001</t>
  </si>
  <si>
    <t>RES,METAL FILM,550 OHM,15W,1% TOL,THT</t>
  </si>
  <si>
    <t>MS315-550-1%</t>
  </si>
  <si>
    <t>618-B98892-001</t>
  </si>
  <si>
    <t>RES,PWR,160OHM,1%TOL,50W,THT</t>
  </si>
  <si>
    <t>MDN1512-01</t>
  </si>
  <si>
    <t>618-B98892-002</t>
  </si>
  <si>
    <t>RES,PWR,320OHM,1%TOL,50W,THT</t>
  </si>
  <si>
    <t>MDN1512-02</t>
  </si>
  <si>
    <t>619-095611-104</t>
  </si>
  <si>
    <t>RES,6KV,15W,1%,100K,NON-1ND</t>
  </si>
  <si>
    <t>MS315-100K-1.0%</t>
  </si>
  <si>
    <t>621-092237-102</t>
  </si>
  <si>
    <t>POT,MULT TURN 1/4W,10%,1K</t>
  </si>
  <si>
    <t>67F5846</t>
  </si>
  <si>
    <t>622-A00763-001</t>
  </si>
  <si>
    <t>RES,NTWK,HV 1000:1 DIVDR,100 MOHM,±1.0%</t>
  </si>
  <si>
    <t>HVD-W10-AE-1006-F-4</t>
  </si>
  <si>
    <t>622-A78896-001</t>
  </si>
  <si>
    <t>RES,NTWK,THRU,5M,294:1,0.05%</t>
  </si>
  <si>
    <t>T1794-675</t>
  </si>
  <si>
    <t>639-A21769-001</t>
  </si>
  <si>
    <t>XFMR,SMD,FORWARD,1.70:1</t>
  </si>
  <si>
    <t>WCM6788</t>
  </si>
  <si>
    <t>WEST COAST MAGNETICS</t>
  </si>
  <si>
    <t>648-218816-003</t>
  </si>
  <si>
    <t>CAP,SMD,220PF,1%,500V,NPO</t>
  </si>
  <si>
    <t>1111C221FP501X</t>
  </si>
  <si>
    <t>PASSIVE PLUS INC.</t>
  </si>
  <si>
    <t>648-218817-001</t>
  </si>
  <si>
    <t>CAP,SMD,+/-0.05PF,7200V,NPO,2PF</t>
  </si>
  <si>
    <t>3838C2R0AP722X</t>
  </si>
  <si>
    <t>648-221599-001</t>
  </si>
  <si>
    <t>CAP,SMD,1.1NF,5%,10KV,NPO,ROHS</t>
  </si>
  <si>
    <t>ST4040N112J103TJXW-1R</t>
  </si>
  <si>
    <t>648-249226-001</t>
  </si>
  <si>
    <t>CAP,SMD,PWR TRANSMITTER,5KV,5%,NP0,1NF</t>
  </si>
  <si>
    <t>7676C102JW502X</t>
  </si>
  <si>
    <t>648-339430-001</t>
  </si>
  <si>
    <t>CAP,SMD,100PF,±0.5% TOL,500V,NP0,1111</t>
  </si>
  <si>
    <t>1111C101EP501X</t>
  </si>
  <si>
    <t>PPI</t>
  </si>
  <si>
    <t>648-345343-016</t>
  </si>
  <si>
    <t>CAP,SMD,+/-0.25PF,7200V,NPO,2.0PF</t>
  </si>
  <si>
    <t>3838C2R0CP722X</t>
  </si>
  <si>
    <t>648-B62204-001</t>
  </si>
  <si>
    <t>CAP,SMD,PWR TRANSMITTER,1NF,5KV,2%,NP0</t>
  </si>
  <si>
    <t>7676C102GP502X</t>
  </si>
  <si>
    <t>648-B64083-047</t>
  </si>
  <si>
    <t>CAP,SMD,CER,4.7PF,+/-0.1%TOL,3.6KV,3838</t>
  </si>
  <si>
    <t>3838C4R7BW362X</t>
  </si>
  <si>
    <t>648-B67704-121</t>
  </si>
  <si>
    <t>CAP,SMD,MLCC,120PF,1% TOL,2500V,NP0</t>
  </si>
  <si>
    <t>2225C121FW252X</t>
  </si>
  <si>
    <t>648-B67704-241</t>
  </si>
  <si>
    <t>CAP,SMD,MLCC,240PF,1% TOL,2500V,NP0</t>
  </si>
  <si>
    <t>2225C241FW252X</t>
  </si>
  <si>
    <t>648-B67704-300</t>
  </si>
  <si>
    <t>CAP,SMD,MLCC,30PF,1% TOL,2500V,NP0</t>
  </si>
  <si>
    <t>2225C300FW252X</t>
  </si>
  <si>
    <t>648-B67704-620</t>
  </si>
  <si>
    <t>CAP,SMD,MLCC,62PF,1% TOL,2500V,NP0</t>
  </si>
  <si>
    <t>2225C620FW252X</t>
  </si>
  <si>
    <t>648-B67732-820</t>
  </si>
  <si>
    <t>CAP,SMD,MLCC,82PF,5% TOL,3600V,NP0,3838</t>
  </si>
  <si>
    <t>3838C820JW362X</t>
  </si>
  <si>
    <t>660-121917-001</t>
  </si>
  <si>
    <t>PS,DC-DC CONV,HV,12V INPUT,-2KV OUT,4W</t>
  </si>
  <si>
    <t>2AA12-N4-I10-Y83-M</t>
  </si>
  <si>
    <t>ULTRAVOLT</t>
  </si>
  <si>
    <t>660-165469-001</t>
  </si>
  <si>
    <t>PS,HV,DC-DC,8KV CT,15W</t>
  </si>
  <si>
    <t>4FLHV24-BP15-I10-25PPM</t>
  </si>
  <si>
    <t>660-169194-001</t>
  </si>
  <si>
    <t>PS,HV,DC-DC,8KV CT,10W</t>
  </si>
  <si>
    <t>E10590</t>
  </si>
  <si>
    <t>XP POWER</t>
  </si>
  <si>
    <t>668-032731-001</t>
  </si>
  <si>
    <t>CONN,HI VOLT,RT ANGLE,RED,37 INCH</t>
  </si>
  <si>
    <t>10483-56</t>
  </si>
  <si>
    <t>CONNECTRONICS</t>
  </si>
  <si>
    <t>668-107631-001</t>
  </si>
  <si>
    <t>CONN,PLUG,DSUB,RA,5W5P,5P,15A,ROHS</t>
  </si>
  <si>
    <t>3005W5PXX55N40X</t>
  </si>
  <si>
    <t>668-314221-001</t>
  </si>
  <si>
    <t>CONN,RCPT,PWR ENTRY,5.7MM PIN</t>
  </si>
  <si>
    <t>C10-738244-100</t>
  </si>
  <si>
    <t>AMPHENOL</t>
  </si>
  <si>
    <t>668-318161-001</t>
  </si>
  <si>
    <t>CONN,PLUG,COMBO D-SUB,M/F,2P,30A</t>
  </si>
  <si>
    <t>302W2CPXX57N40X</t>
  </si>
  <si>
    <t>668-340337-001</t>
  </si>
  <si>
    <t>CONN,RCPT,DSUB,COMBO FEM,2POS,30A,CU ALY</t>
  </si>
  <si>
    <t>302W2CSXX51E40X</t>
  </si>
  <si>
    <t>668-900417-001</t>
  </si>
  <si>
    <t>CONN,RECPT,12KVDC/3AMP PCB MT</t>
  </si>
  <si>
    <t>10654-01</t>
  </si>
  <si>
    <t>668-B66386-001</t>
  </si>
  <si>
    <t>CONN,RCPT,COMBO DSUB,STR,7W2S,7.5/30A</t>
  </si>
  <si>
    <t>3007W2SCR51E40X</t>
  </si>
  <si>
    <t>668-C13091-001</t>
  </si>
  <si>
    <t>CONN,RCPT,D-SUB,13W3,7.5A/30A,SLDR PIN</t>
  </si>
  <si>
    <t>3013W3SCR51F40X</t>
  </si>
  <si>
    <t>CONEC ELEKTRONISCHE BAUELEMENTE GMBH (P)</t>
  </si>
  <si>
    <t>673-060116-001</t>
  </si>
  <si>
    <t>TERM,PCB,PWR,W-INSULATOR,6-32,10P ROHS</t>
  </si>
  <si>
    <t>121-14204-01-260</t>
  </si>
  <si>
    <t>WINCHESTER INTERCONNECT</t>
  </si>
  <si>
    <t>681-006802-210</t>
  </si>
  <si>
    <t>WIRE,22AWG,300V,105C,UL1569,RED/BLK</t>
  </si>
  <si>
    <t>ORDER BY DESCRIPTION</t>
  </si>
  <si>
    <t>2/19: No prior order history from Lam.  Please quote through your channels or advise if help is needed</t>
  </si>
  <si>
    <t>720-900692-006</t>
  </si>
  <si>
    <t>SCR,PNH,SLTD,6-32X.375LG,NYL</t>
  </si>
  <si>
    <t>BUILD TO PRINT</t>
  </si>
  <si>
    <t>2/19:  Quote Rexel (Gexpro)</t>
  </si>
  <si>
    <t>723-062412-007</t>
  </si>
  <si>
    <t>STDF,NYLON,M/F,1/4 HEX 1.000</t>
  </si>
  <si>
    <t>ORDER TO SPECIFICATION</t>
  </si>
  <si>
    <t>723-308078-009</t>
  </si>
  <si>
    <t>STDF,RND,SWAGE1/4 3/32" 6-32,0.105",ROHS</t>
  </si>
  <si>
    <t>3045A-B-632-B-16</t>
  </si>
  <si>
    <t>723-308078-046</t>
  </si>
  <si>
    <t>STDF,RND,SWAGE,1/4,15/32",6-32,.105,ROHS</t>
  </si>
  <si>
    <t>3050T-B-632-B-16</t>
  </si>
  <si>
    <t>723-A64642-001</t>
  </si>
  <si>
    <t>SPCR,BRS,POGO</t>
  </si>
  <si>
    <t>YSMTSOB-81515-GN</t>
  </si>
  <si>
    <t>730-061071-004</t>
  </si>
  <si>
    <t>NUT,HEX,M4 X .7 X 3.2</t>
  </si>
  <si>
    <t>714-084061-001</t>
  </si>
  <si>
    <t>STRAP,PWR,DC</t>
  </si>
  <si>
    <t>Hold pending FAIR review</t>
  </si>
  <si>
    <t>3/11:  Per Cortec quote.  Price doesn't include  $125/FA charge.</t>
  </si>
  <si>
    <t>714-084061-002</t>
  </si>
  <si>
    <t>714-084061-011</t>
  </si>
  <si>
    <t>714-084061-012</t>
  </si>
  <si>
    <t>714-084061-013</t>
  </si>
  <si>
    <t>714-084061-010</t>
  </si>
  <si>
    <t>668-B24466-001</t>
  </si>
  <si>
    <t>CONN,RCPT ASSY,15KVDC,7.5A,PC BD MT</t>
  </si>
  <si>
    <t>10582-01</t>
  </si>
  <si>
    <t>CONNECTRONICS CORP.</t>
  </si>
  <si>
    <t>Lam transfer</t>
  </si>
  <si>
    <t>3/10:  Lam will transfer.  Astute will hold as LOI.</t>
  </si>
  <si>
    <t>681-236697-004</t>
  </si>
  <si>
    <t>WIRE,22 AWG,300V,105C,AWM,1569,BLU</t>
  </si>
  <si>
    <t>686-001219-001</t>
  </si>
  <si>
    <t>TIE WRAP,.87IN BUNDLE DIA,3.9IN LG,WHT</t>
  </si>
  <si>
    <t>720-000912-004</t>
  </si>
  <si>
    <t>SCREW  PAN HD SST  2-56 X   1/</t>
  </si>
  <si>
    <t>720-000930-004</t>
  </si>
  <si>
    <t>SCR,SCH CAP,6-32x1/4"LG,SST</t>
  </si>
  <si>
    <t>720-000930-006</t>
  </si>
  <si>
    <t>SCR,SCH CAP,6-32x3/8"LG,SST</t>
  </si>
  <si>
    <t>720-001001-005</t>
  </si>
  <si>
    <t>SCREW,PN HD,6-32X5/16</t>
  </si>
  <si>
    <t>721-000916-001</t>
  </si>
  <si>
    <t>WSHR, FLT, #2</t>
  </si>
  <si>
    <t>721-000936-001</t>
  </si>
  <si>
    <t>WSHR, FLT,#6</t>
  </si>
  <si>
    <t>721-000936-002</t>
  </si>
  <si>
    <t>WSHR, LK, #6</t>
  </si>
  <si>
    <t>728-061063-008</t>
  </si>
  <si>
    <t>SCR,SOC HD,M4 X .7 X 8MM,DIN 912,SST</t>
  </si>
  <si>
    <t>728-340899-006</t>
  </si>
  <si>
    <t>SCR,SCH CAP,M3X0.5 THD,6MM LG,PEEK</t>
  </si>
  <si>
    <t>729-061056-004</t>
  </si>
  <si>
    <t>WASHER,FLAT,M4</t>
  </si>
  <si>
    <t>729-061057-004</t>
  </si>
  <si>
    <t>WASHER,SPLIT-LOCK,M4</t>
  </si>
  <si>
    <t>Row Labels</t>
  </si>
  <si>
    <t>Grand Total</t>
  </si>
  <si>
    <t>Count of Astute PO Strategy</t>
  </si>
  <si>
    <r>
      <t xml:space="preserve">Approved PO Qty
</t>
    </r>
    <r>
      <rPr>
        <sz val="9"/>
        <color theme="1"/>
        <rFont val="Calibri"/>
        <family val="2"/>
      </rPr>
      <t>BLUE highlight indicates qty has been reduced from the original quoted qty.  If price/ea is the same or &lt; 10% increase, please place PO.  If price increases &gt; 10% please hold for RJ feedback.</t>
    </r>
  </si>
  <si>
    <t>Status</t>
  </si>
  <si>
    <t>3/19/26: Updated</t>
  </si>
  <si>
    <t>3/19/26: pending response on updated quote</t>
  </si>
  <si>
    <t>3/19/26: chasing for update on RFQ</t>
  </si>
  <si>
    <t>Build to order</t>
  </si>
  <si>
    <t>3/23/26: Updated</t>
  </si>
  <si>
    <t>PO Placed
(Yes/No)</t>
  </si>
  <si>
    <t>PO Delivery Date</t>
  </si>
  <si>
    <t>Name of Supplier</t>
  </si>
  <si>
    <t>Is Supplier a "Manufacturer Authorized Distributor"
(Yes/No)</t>
  </si>
  <si>
    <t>Has supplier confirmed Delivery Date
(Yes/No)</t>
  </si>
  <si>
    <t>No PO- distribution stock</t>
  </si>
  <si>
    <t xml:space="preserve">Approved PO Qty
</t>
  </si>
  <si>
    <t>Place PO- Phase 1</t>
  </si>
  <si>
    <t>Place PO- Phase 2</t>
  </si>
  <si>
    <t>Josh Comment</t>
  </si>
  <si>
    <t>ORDER STATUS</t>
  </si>
  <si>
    <t>Lam Stocking Group</t>
  </si>
  <si>
    <t>Location</t>
  </si>
  <si>
    <t>Res Owner</t>
  </si>
  <si>
    <t>0290</t>
  </si>
  <si>
    <t>n/a</t>
  </si>
  <si>
    <t>J.Ernst -RJ checking with requestor</t>
  </si>
  <si>
    <t>Akshay-RJ checking with requestor</t>
  </si>
  <si>
    <t>Sean O / Alex B - RJ checking with requestors</t>
  </si>
  <si>
    <t>12-month RPM usage
(3/30/26) - ALL suppliers</t>
  </si>
  <si>
    <t>12-month RPM usage
(3/30/26) - RPM suppliers</t>
  </si>
  <si>
    <t>4/14/26: Reduce qty from 205 to 20.  Need price updated.  QPA= 2 per.</t>
  </si>
  <si>
    <t>4/14/26: Reduce qty from 230 to 100.  Need price updated.</t>
  </si>
  <si>
    <t>Review Pricing (new)</t>
  </si>
  <si>
    <t>0294</t>
  </si>
  <si>
    <t>Akshay/Nathan-RJ checking with requestor</t>
  </si>
  <si>
    <t>C.Huber-RJ checking with requestor</t>
  </si>
  <si>
    <t>Approved to take</t>
  </si>
  <si>
    <t>4/14/26: Reduce qty from 235 to 100.  Need price updated.</t>
  </si>
  <si>
    <t>4/14/26: Reduce qty from 180 to 30.  Need price updated.</t>
  </si>
  <si>
    <t>2/19/26:  LOA Provided, Working on RFQ</t>
  </si>
  <si>
    <t>713-047856-002</t>
  </si>
  <si>
    <t>COV,PROT, PCB</t>
  </si>
  <si>
    <t>4/15:  Tooling fee = $350</t>
  </si>
  <si>
    <t>Y</t>
  </si>
  <si>
    <t/>
  </si>
  <si>
    <t>Texas Instruments</t>
  </si>
  <si>
    <t>Mouser</t>
  </si>
  <si>
    <t>Master</t>
  </si>
  <si>
    <t>DigiKey</t>
  </si>
  <si>
    <t>DigiKey, Mouser</t>
  </si>
  <si>
    <t>Arrow</t>
  </si>
  <si>
    <t>Astute Business Partner</t>
  </si>
  <si>
    <t>Newark</t>
  </si>
  <si>
    <t>Sager</t>
  </si>
  <si>
    <t>Waldom</t>
  </si>
  <si>
    <t>TTI</t>
  </si>
  <si>
    <t>Waldom Electronics</t>
  </si>
  <si>
    <t>Amatom</t>
  </si>
  <si>
    <t>Bisco</t>
  </si>
  <si>
    <t>TTI Inc</t>
  </si>
  <si>
    <t>Fuses Unlimited</t>
  </si>
  <si>
    <t>Arrow, Mouser</t>
  </si>
  <si>
    <t>Arrow, Master</t>
  </si>
  <si>
    <t>4/22/26: Unit price is $0.30/ea, however MOQ per Henkel is 9,217. LT is 29 Weeks. Please review</t>
  </si>
  <si>
    <t>N</t>
  </si>
  <si>
    <t>4/22/26: Unit price is $3.96/ea</t>
  </si>
  <si>
    <t>4/22/26: Unit Price is $559.42/ea, MOQ 50pcs. LT is 22 Weeks ARO</t>
  </si>
  <si>
    <t>4/22/26: Unit Price is $137.15/ea</t>
  </si>
  <si>
    <t>150 @ 5/8/2026, Balance 7/3/2026</t>
  </si>
  <si>
    <t>4/22/26: Expected ship date 7/18/2026</t>
  </si>
  <si>
    <t>50 @ 6/18/2026, Balance 8/30/2026</t>
  </si>
  <si>
    <t>256 @ 5/1/2026, Balance 6/18/2026</t>
  </si>
  <si>
    <t>4/22/26: Updated</t>
  </si>
  <si>
    <t>4/22/26: DC Offered to us is 16+. Please confirm if this is acceptable.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</si>
</sst>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0.000"/>
    <numFmt numFmtId="166" formatCode="_(&quot;$&quot;* #,##0.000_);_(&quot;$&quot;* \(#,##0.000\);_(&quot;$&quot;* &quot;-&quot;??_);_(@_)"/>
    <numFmt numFmtId="167" formatCode="0.0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8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rgb="FF00B0F0"/>
      <name val="Calibri"/>
      <family val="2"/>
    </font>
    <font>
      <sz val="10"/>
      <name val="Calibri"/>
      <family val="2"/>
    </font>
    <font>
      <sz val="10"/>
      <color rgb="FF00B0F0"/>
      <name val="Calibri"/>
      <family val="2"/>
    </font>
    <font>
      <i/>
      <sz val="10"/>
      <name val="Calibri"/>
      <family val="2"/>
    </font>
    <font>
      <sz val="9"/>
      <color theme="1"/>
      <name val="Calibri"/>
      <family val="2"/>
    </font>
    <font>
      <b/>
      <sz val="11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2" fillId="0" borderId="4" xfId="0" applyFont="1" applyBorder="1" applyAlignment="1">
      <alignment horizontal="center" vertical="center"/>
    </xf>
    <xf numFmtId="1" fontId="2" fillId="0" borderId="5" xfId="1" applyNumberFormat="1" applyFont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top"/>
    </xf>
    <xf numFmtId="0" fontId="5" fillId="2" borderId="9" xfId="0" applyFont="1" applyFill="1" applyBorder="1" applyAlignment="1">
      <alignment horizontal="center" vertical="top"/>
    </xf>
    <xf numFmtId="165" fontId="5" fillId="3" borderId="10" xfId="0" applyNumberFormat="1" applyFont="1" applyFill="1" applyBorder="1" applyAlignment="1">
      <alignment horizontal="center" vertical="top" wrapText="1"/>
    </xf>
    <xf numFmtId="165" fontId="5" fillId="3" borderId="11" xfId="0" applyNumberFormat="1" applyFont="1" applyFill="1" applyBorder="1" applyAlignment="1">
      <alignment horizontal="center" vertical="top" wrapText="1"/>
    </xf>
    <xf numFmtId="1" fontId="5" fillId="3" borderId="11" xfId="0" applyNumberFormat="1" applyFont="1" applyFill="1" applyBorder="1" applyAlignment="1">
      <alignment horizontal="center" vertical="top" wrapText="1"/>
    </xf>
    <xf numFmtId="166" fontId="5" fillId="3" borderId="12" xfId="0" applyNumberFormat="1" applyFont="1" applyFill="1" applyBorder="1" applyAlignment="1">
      <alignment horizontal="center" vertical="top" wrapText="1"/>
    </xf>
    <xf numFmtId="0" fontId="5" fillId="3" borderId="13" xfId="0" applyFont="1" applyFill="1" applyBorder="1" applyAlignment="1">
      <alignment horizontal="center" vertical="top"/>
    </xf>
    <xf numFmtId="1" fontId="5" fillId="3" borderId="14" xfId="0" applyNumberFormat="1" applyFont="1" applyFill="1" applyBorder="1" applyAlignment="1">
      <alignment horizontal="center" vertical="top" wrapText="1"/>
    </xf>
    <xf numFmtId="0" fontId="5" fillId="3" borderId="15" xfId="0" applyFont="1" applyFill="1" applyBorder="1" applyAlignment="1">
      <alignment horizontal="center" vertical="top" wrapText="1"/>
    </xf>
    <xf numFmtId="0" fontId="5" fillId="4" borderId="10" xfId="0" applyFont="1" applyFill="1" applyBorder="1" applyAlignment="1">
      <alignment horizontal="center" vertical="top" wrapText="1"/>
    </xf>
    <xf numFmtId="1" fontId="5" fillId="4" borderId="11" xfId="0" applyNumberFormat="1" applyFont="1" applyFill="1" applyBorder="1" applyAlignment="1">
      <alignment horizontal="center" vertical="top" wrapText="1"/>
    </xf>
    <xf numFmtId="165" fontId="5" fillId="4" borderId="11" xfId="0" applyNumberFormat="1" applyFont="1" applyFill="1" applyBorder="1" applyAlignment="1">
      <alignment horizontal="center" vertical="top" wrapText="1"/>
    </xf>
    <xf numFmtId="1" fontId="5" fillId="4" borderId="12" xfId="0" applyNumberFormat="1" applyFont="1" applyFill="1" applyBorder="1" applyAlignment="1">
      <alignment horizontal="center" vertical="top" wrapText="1"/>
    </xf>
    <xf numFmtId="0" fontId="5" fillId="5" borderId="16" xfId="0" applyFont="1" applyFill="1" applyBorder="1" applyAlignment="1">
      <alignment horizontal="center" vertical="top" wrapText="1"/>
    </xf>
    <xf numFmtId="0" fontId="5" fillId="6" borderId="8" xfId="0" applyFont="1" applyFill="1" applyBorder="1" applyAlignment="1">
      <alignment horizontal="center" vertical="top" wrapText="1"/>
    </xf>
    <xf numFmtId="0" fontId="5" fillId="0" borderId="0" xfId="0" applyFont="1" applyAlignment="1">
      <alignment vertical="top"/>
    </xf>
    <xf numFmtId="1" fontId="2" fillId="0" borderId="0" xfId="0" applyNumberFormat="1" applyFont="1" applyAlignment="1">
      <alignment horizontal="center"/>
    </xf>
    <xf numFmtId="167" fontId="2" fillId="0" borderId="0" xfId="0" applyNumberFormat="1" applyFont="1" applyAlignment="1">
      <alignment horizontal="center"/>
    </xf>
    <xf numFmtId="166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44" fontId="2" fillId="0" borderId="0" xfId="0" applyNumberFormat="1" applyFont="1" applyAlignment="1">
      <alignment horizontal="center"/>
    </xf>
    <xf numFmtId="0" fontId="7" fillId="0" borderId="0" xfId="0" applyFont="1" applyAlignment="1">
      <alignment vertical="top"/>
    </xf>
    <xf numFmtId="0" fontId="7" fillId="0" borderId="0" xfId="0" applyFont="1" applyAlignment="1">
      <alignment horizontal="left" vertical="top"/>
    </xf>
    <xf numFmtId="2" fontId="2" fillId="0" borderId="0" xfId="0" applyNumberFormat="1" applyFont="1"/>
    <xf numFmtId="1" fontId="8" fillId="0" borderId="0" xfId="0" applyNumberFormat="1" applyFont="1" applyAlignment="1">
      <alignment horizontal="center"/>
    </xf>
    <xf numFmtId="0" fontId="9" fillId="0" borderId="0" xfId="0" applyFont="1" applyAlignment="1">
      <alignment horizontal="left" vertical="top"/>
    </xf>
    <xf numFmtId="1" fontId="2" fillId="0" borderId="0" xfId="0" applyNumberFormat="1" applyFont="1"/>
    <xf numFmtId="166" fontId="2" fillId="0" borderId="0" xfId="0" applyNumberFormat="1" applyFont="1"/>
    <xf numFmtId="44" fontId="4" fillId="7" borderId="0" xfId="0" applyNumberFormat="1" applyFont="1" applyFill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16" fontId="7" fillId="0" borderId="0" xfId="0" applyNumberFormat="1" applyFont="1" applyAlignment="1">
      <alignment vertical="top"/>
    </xf>
    <xf numFmtId="0" fontId="7" fillId="0" borderId="0" xfId="0" applyFont="1" applyAlignment="1">
      <alignment vertical="top" wrapText="1"/>
    </xf>
    <xf numFmtId="167" fontId="2" fillId="0" borderId="0" xfId="0" applyNumberFormat="1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44" fontId="2" fillId="0" borderId="0" xfId="0" applyNumberFormat="1" applyFont="1" applyAlignment="1">
      <alignment horizontal="center" wrapText="1"/>
    </xf>
    <xf numFmtId="0" fontId="5" fillId="2" borderId="17" xfId="0" applyFont="1" applyFill="1" applyBorder="1" applyAlignment="1">
      <alignment horizontal="center" vertical="top"/>
    </xf>
    <xf numFmtId="0" fontId="5" fillId="2" borderId="18" xfId="0" applyFont="1" applyFill="1" applyBorder="1" applyAlignment="1">
      <alignment horizontal="center" vertical="top"/>
    </xf>
    <xf numFmtId="0" fontId="5" fillId="2" borderId="19" xfId="0" applyFont="1" applyFill="1" applyBorder="1" applyAlignment="1">
      <alignment horizontal="center" vertical="top"/>
    </xf>
    <xf numFmtId="0" fontId="5" fillId="2" borderId="17" xfId="0" applyFont="1" applyFill="1" applyBorder="1" applyAlignment="1">
      <alignment horizontal="center" vertical="top" wrapText="1"/>
    </xf>
    <xf numFmtId="0" fontId="5" fillId="2" borderId="18" xfId="0" applyFont="1" applyFill="1" applyBorder="1" applyAlignment="1">
      <alignment horizontal="center" vertical="top" wrapText="1"/>
    </xf>
    <xf numFmtId="0" fontId="5" fillId="2" borderId="19" xfId="0" applyFont="1" applyFill="1" applyBorder="1" applyAlignment="1">
      <alignment horizontal="center" vertical="top" wrapText="1"/>
    </xf>
    <xf numFmtId="0" fontId="5" fillId="3" borderId="13" xfId="0" applyFont="1" applyFill="1" applyBorder="1" applyAlignment="1">
      <alignment horizontal="center" vertical="top" wrapText="1"/>
    </xf>
    <xf numFmtId="0" fontId="5" fillId="4" borderId="17" xfId="0" applyFont="1" applyFill="1" applyBorder="1" applyAlignment="1">
      <alignment horizontal="center" vertical="top" wrapText="1"/>
    </xf>
    <xf numFmtId="1" fontId="5" fillId="4" borderId="20" xfId="0" applyNumberFormat="1" applyFont="1" applyFill="1" applyBorder="1" applyAlignment="1">
      <alignment horizontal="center" vertical="top" wrapText="1"/>
    </xf>
    <xf numFmtId="0" fontId="5" fillId="4" borderId="19" xfId="0" applyFont="1" applyFill="1" applyBorder="1" applyAlignment="1">
      <alignment horizontal="center" vertical="top" wrapText="1"/>
    </xf>
    <xf numFmtId="166" fontId="2" fillId="0" borderId="0" xfId="0" applyNumberFormat="1" applyFont="1" applyAlignment="1">
      <alignment horizontal="center" wrapText="1"/>
    </xf>
    <xf numFmtId="1" fontId="2" fillId="0" borderId="0" xfId="0" applyNumberFormat="1" applyFont="1" applyAlignment="1">
      <alignment horizontal="left"/>
    </xf>
    <xf numFmtId="0" fontId="5" fillId="8" borderId="16" xfId="0" applyFont="1" applyFill="1" applyBorder="1" applyAlignment="1">
      <alignment horizontal="center" vertical="top" wrapText="1"/>
    </xf>
    <xf numFmtId="1" fontId="11" fillId="9" borderId="21" xfId="0" applyNumberFormat="1" applyFont="1" applyFill="1" applyBorder="1" applyAlignment="1">
      <alignment horizontal="center" vertical="top" wrapText="1"/>
    </xf>
    <xf numFmtId="14" fontId="11" fillId="9" borderId="21" xfId="0" applyNumberFormat="1" applyFont="1" applyFill="1" applyBorder="1" applyAlignment="1">
      <alignment horizontal="center" vertical="top" wrapText="1"/>
    </xf>
    <xf numFmtId="0" fontId="5" fillId="2" borderId="8" xfId="0" applyFont="1" applyFill="1" applyBorder="1" applyAlignment="1">
      <alignment horizontal="center" vertical="top" wrapText="1"/>
    </xf>
    <xf numFmtId="0" fontId="0" fillId="0" borderId="0" xfId="0" applyAlignment="1">
      <alignment wrapText="1"/>
    </xf>
    <xf numFmtId="0" fontId="2" fillId="0" borderId="8" xfId="0" applyFont="1" applyBorder="1"/>
    <xf numFmtId="1" fontId="2" fillId="0" borderId="8" xfId="0" applyNumberFormat="1" applyFont="1" applyBorder="1" applyAlignment="1">
      <alignment horizontal="center"/>
    </xf>
    <xf numFmtId="49" fontId="2" fillId="0" borderId="8" xfId="0" applyNumberFormat="1" applyFont="1" applyBorder="1" applyAlignment="1">
      <alignment horizontal="center"/>
    </xf>
    <xf numFmtId="0" fontId="7" fillId="0" borderId="8" xfId="0" applyFont="1" applyBorder="1" applyAlignment="1">
      <alignment vertical="top"/>
    </xf>
    <xf numFmtId="0" fontId="2" fillId="0" borderId="8" xfId="0" applyFont="1" applyBorder="1" applyAlignment="1">
      <alignment horizontal="center"/>
    </xf>
    <xf numFmtId="0" fontId="5" fillId="0" borderId="0" xfId="0" applyFont="1" applyAlignment="1">
      <alignment horizontal="center" vertical="top" wrapText="1"/>
    </xf>
    <xf numFmtId="0" fontId="2" fillId="3" borderId="8" xfId="0" applyFont="1" applyFill="1" applyBorder="1"/>
    <xf numFmtId="0" fontId="2" fillId="7" borderId="8" xfId="0" applyFont="1" applyFill="1" applyBorder="1"/>
    <xf numFmtId="44" fontId="2" fillId="7" borderId="0" xfId="0" applyNumberFormat="1" applyFont="1" applyFill="1" applyAlignment="1">
      <alignment horizontal="center"/>
    </xf>
    <xf numFmtId="166" fontId="2" fillId="10" borderId="0" xfId="0" applyNumberFormat="1" applyFont="1" applyFill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64" fontId="3" fillId="0" borderId="4" xfId="0" applyNumberFormat="1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164" fontId="3" fillId="0" borderId="6" xfId="0" applyNumberFormat="1" applyFont="1" applyBorder="1" applyAlignment="1">
      <alignment horizontal="center" vertical="center"/>
    </xf>
    <xf numFmtId="14" fontId="2" fillId="7" borderId="0" xfId="0" applyNumberFormat="1" applyFont="1" applyFill="1" applyAlignment="1">
      <alignment horizontal="left"/>
    </xf>
    <xf numFmtId="14" fontId="2" fillId="0" borderId="0" xfId="0" applyNumberFormat="1" applyFont="1" applyAlignment="1">
      <alignment horizontal="left"/>
    </xf>
    <xf numFmtId="1" fontId="4" fillId="0" borderId="23" xfId="0" applyNumberFormat="1" applyFont="1" applyBorder="1" applyAlignment="1">
      <alignment horizontal="left" vertical="center" wrapText="1"/>
    </xf>
    <xf numFmtId="1" fontId="4" fillId="0" borderId="22" xfId="0" applyNumberFormat="1" applyFont="1" applyBorder="1" applyAlignment="1">
      <alignment horizontal="left" vertical="center" wrapText="1"/>
    </xf>
  </cellXfs>
  <cellStyles count="2">
    <cellStyle name="Comma" xfId="1" builtinId="3"/>
    <cellStyle name="Normal" xfId="0" builtinId="0"/>
  </cellStyles>
  <dxfs count="99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ohnson, Rob" id="{FA5EFD3E-8287-4D8F-BFD8-04DBBBAC0C06}" userId="S::Rob.Johnson@lamresearch.com::e3f72793-d7ae-4055-ba12-6b7190ec2b3c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nson, Rob" refreshedDate="46092.685796527781" createdVersion="8" refreshedVersion="8" minRefreshableVersion="3" recordCount="289" xr:uid="{657445D4-7F0C-407A-B7AC-B4DD9962AD4B}">
  <cacheSource type="worksheet">
    <worksheetSource ref="A2:V291" sheet="Astute action list 3.11.26"/>
  </cacheSource>
  <cacheFields count="17">
    <cacheField name="Part Number " numFmtId="0">
      <sharedItems/>
    </cacheField>
    <cacheField name="Description " numFmtId="0">
      <sharedItems/>
    </cacheField>
    <cacheField name="MPN" numFmtId="0">
      <sharedItems/>
    </cacheField>
    <cacheField name="MFR" numFmtId="0">
      <sharedItems/>
    </cacheField>
    <cacheField name="Lam Target Initial PO QTY" numFmtId="167">
      <sharedItems containsMixedTypes="1" containsNumber="1" containsInteger="1" minValue="4" maxValue="10985"/>
    </cacheField>
    <cacheField name="MFR SPQ" numFmtId="167">
      <sharedItems containsMixedTypes="1" containsNumber="1" containsInteger="1" minValue="0" maxValue="10000"/>
    </cacheField>
    <cacheField name="Lead Time_x000a_(wks)" numFmtId="1">
      <sharedItems containsMixedTypes="1" containsNumber="1" containsInteger="1" minValue="0" maxValue="100"/>
    </cacheField>
    <cacheField name="Base Unit Price" numFmtId="0">
      <sharedItems containsMixedTypes="1" containsNumber="1" minValue="0" maxValue="1532.595"/>
    </cacheField>
    <cacheField name="SPQ/MOQ" numFmtId="0">
      <sharedItems containsMixedTypes="1" containsNumber="1" containsInteger="1" minValue="0" maxValue="10985"/>
    </cacheField>
    <cacheField name="Franchise QTY" numFmtId="1">
      <sharedItems containsBlank="1" containsMixedTypes="1" containsNumber="1" containsInteger="1" minValue="0" maxValue="192627"/>
    </cacheField>
    <cacheField name="Lifecycle Status" numFmtId="0">
      <sharedItems/>
    </cacheField>
    <cacheField name="Astute PO Strategy" numFmtId="0">
      <sharedItems count="6">
        <s v="Place PO"/>
        <s v="Review Pricing"/>
        <s v="Provide Heat Map"/>
        <s v="Pending Quote"/>
        <s v="Hold pending FAIR review"/>
        <s v="Lam transfer"/>
      </sharedItems>
    </cacheField>
    <cacheField name="Approved PO Qty" numFmtId="1">
      <sharedItems containsString="0" containsBlank="1" containsNumber="1" containsInteger="1" minValue="3" maxValue="13000"/>
    </cacheField>
    <cacheField name="Extended Cost" numFmtId="44">
      <sharedItems containsString="0" containsBlank="1" containsNumber="1" minValue="0" maxValue="37057.800000000003"/>
    </cacheField>
    <cacheField name="Lam Transfer Qty" numFmtId="0">
      <sharedItems containsString="0" containsBlank="1" containsNumber="1" containsInteger="1" minValue="40" maxValue="5000"/>
    </cacheField>
    <cacheField name="Rob Comment " numFmtId="0">
      <sharedItems containsBlank="1"/>
    </cacheField>
    <cacheField name="Josh Comment 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9">
  <r>
    <s v="644-B57073-024"/>
    <s v="RLY,REED,LD SW,1 FORM A,24VDC,3A,200W"/>
    <s v="5503-24-1"/>
    <s v="COTO TECHNOLOGY, INC."/>
    <n v="1775"/>
    <n v="1"/>
    <n v="36"/>
    <n v="45.155999999999999"/>
    <n v="1775"/>
    <n v="382"/>
    <s v="Active"/>
    <x v="0"/>
    <n v="800"/>
    <n v="36124.799999999996"/>
    <m/>
    <m/>
    <m/>
  </r>
  <r>
    <s v="630-337692-004"/>
    <s v="IC,SMD,DUAL-ARM,CORTEX-A53,3.5MB,SFVC784"/>
    <s v="XCZU5CG-1SFVC784E"/>
    <s v="XILINX"/>
    <n v="25"/>
    <n v="1"/>
    <n v="26"/>
    <n v="1532.595"/>
    <n v="25"/>
    <n v="5"/>
    <s v="Active"/>
    <x v="0"/>
    <n v="15"/>
    <n v="22988.924999999999"/>
    <m/>
    <m/>
    <m/>
  </r>
  <r>
    <s v="668-133934-120"/>
    <s v="CONN,RCPT,HIGH DENSITY,.050&quot;,120POS,ROHS"/>
    <s v="FOLC-130-L4-L-Q-LC"/>
    <s v="SAMTEC"/>
    <n v="850"/>
    <n v="1"/>
    <n v="9"/>
    <n v="21.697500000000002"/>
    <n v="850"/>
    <n v="932"/>
    <s v="Active"/>
    <x v="0"/>
    <n v="500"/>
    <n v="10848.75"/>
    <m/>
    <m/>
    <m/>
  </r>
  <r>
    <s v="644-B50792-024"/>
    <s v="RLY,REED,SPST-NO,24VDC,1A,100W,W/DIO"/>
    <s v="SHV24-1A85-78D3K"/>
    <s v="STANDEX ELECTRONIC"/>
    <n v="2190"/>
    <n v="1"/>
    <n v="21"/>
    <n v="9.6300000000000008"/>
    <n v="2190"/>
    <n v="1908"/>
    <s v="Active"/>
    <x v="0"/>
    <n v="1000"/>
    <n v="9630"/>
    <m/>
    <s v="3/11/26:  Have 576 in 0294 but not for sellback to Astute.  Can sellback to CMs if needed in the future."/>
    <m/>
  </r>
  <r>
    <s v="668-096776-009"/>
    <s v="CONN,DSUB,9P,F,STR,BRD LCK,ROHS"/>
    <s v="K85X-ED-9S-CBR"/>
    <s v="KYCON, INC"/>
    <n v="2310"/>
    <n v="50"/>
    <n v="26"/>
    <n v="3.5449999999999999"/>
    <n v="2310"/>
    <n v="4422"/>
    <s v="Active"/>
    <x v="0"/>
    <n v="2000"/>
    <n v="7090"/>
    <m/>
    <m/>
    <m/>
  </r>
  <r>
    <s v="630-337692-003"/>
    <s v="IC,SMD,DUAL-ARM,CORTEX-A53,2.6MB,SFVC784"/>
    <s v="XCZU4CG-1SFVC784E"/>
    <s v="XILINX"/>
    <n v="5"/>
    <n v="1"/>
    <n v="26"/>
    <n v="1354"/>
    <n v="5"/>
    <n v="1356"/>
    <s v="Active"/>
    <x v="0"/>
    <n v="5"/>
    <n v="6770"/>
    <m/>
    <m/>
    <m/>
  </r>
  <r>
    <s v="630-262333-001"/>
    <s v="IC,SMD,TEMP SNSR,DGTL,LTC2986"/>
    <s v="LTC2986CLX#PBF"/>
    <s v="LINEAR TECHNOLOGY"/>
    <n v="235"/>
    <n v="250"/>
    <n v="20"/>
    <n v="29.696200000000001"/>
    <n v="235"/>
    <n v="4554"/>
    <s v="Active"/>
    <x v="0"/>
    <n v="200"/>
    <n v="5939.24"/>
    <m/>
    <m/>
    <m/>
  </r>
  <r>
    <s v="681-198782-004"/>
    <s v="WIRE,HOOK-UP,30AWG,GRN, TFE,ROHS"/>
    <s v="2841/1 GR005"/>
    <s v="ALPHA WIRE"/>
    <n v="25"/>
    <n v="30"/>
    <n v="21"/>
    <n v="162.91"/>
    <n v="25"/>
    <n v="174"/>
    <s v="Active"/>
    <x v="0"/>
    <n v="25"/>
    <n v="4072.75"/>
    <m/>
    <m/>
    <m/>
  </r>
  <r>
    <s v="644-A42857-480"/>
    <s v="RLY,SSR,15-32VDC CTRL,5A,48-660VAC,SIP-4"/>
    <s v="CXE480D5"/>
    <s v="SENSATA TECHNOLOGIES INC."/>
    <n v="310"/>
    <n v="1"/>
    <n v="16"/>
    <n v="25.290099999999999"/>
    <n v="310"/>
    <n v="220"/>
    <s v="Active"/>
    <x v="0"/>
    <n v="150"/>
    <n v="3793.5149999999999"/>
    <m/>
    <m/>
    <m/>
  </r>
  <r>
    <s v="668-092915-050"/>
    <s v="CONN,HDR,PCB MT,.100 CTR 50P,ROHS"/>
    <s v="N3433-6303RB"/>
    <s v="3M"/>
    <n v="630"/>
    <n v="1"/>
    <n v="19"/>
    <n v="6.173"/>
    <n v="630"/>
    <n v="5881"/>
    <s v="Active"/>
    <x v="0"/>
    <n v="500"/>
    <n v="3086.5"/>
    <m/>
    <m/>
    <m/>
  </r>
  <r>
    <s v="670-346211-025"/>
    <s v="FUSE,TIME DLY,600VAC/300VDC,30A"/>
    <s v="LP-CC-30"/>
    <s v="EATON"/>
    <n v="90"/>
    <n v="1"/>
    <n v="31"/>
    <n v="60.614600000000003"/>
    <n v="90"/>
    <n v="1032"/>
    <s v="Active"/>
    <x v="0"/>
    <n v="50"/>
    <n v="3030.73"/>
    <m/>
    <m/>
    <m/>
  </r>
  <r>
    <s v="644-311222-001"/>
    <s v="RLY,SSR,SPST-NO,40A,48-530VAC,PCB MT,THT"/>
    <s v="LR1200480D40"/>
    <s v="CRYDOM"/>
    <n v="50"/>
    <n v="1"/>
    <n v="14"/>
    <n v="59.534199999999998"/>
    <n v="50"/>
    <n v="6949"/>
    <s v="Active (Unconfirmed)"/>
    <x v="0"/>
    <n v="50"/>
    <n v="2976.71"/>
    <m/>
    <m/>
    <m/>
  </r>
  <r>
    <s v="668-096776-015"/>
    <s v="CONN,DSUB,15P,F,STR,BRD LCK,ROHS"/>
    <s v="K85X-AD-15S-CBR"/>
    <s v="KYCON, INC"/>
    <n v="1660"/>
    <n v="50"/>
    <n v="26"/>
    <n v="2.8250000000000002"/>
    <n v="1660"/>
    <n v="3718"/>
    <s v="Active"/>
    <x v="0"/>
    <n v="1000"/>
    <n v="2825"/>
    <m/>
    <m/>
    <m/>
  </r>
  <r>
    <s v="630-B51696-001"/>
    <s v="IC,SMD,STEP-DN,6-42V IN,2A OUT,TO-PMOD-7"/>
    <s v="LMZ14202HTZE/NOPB"/>
    <s v="TEXAS INSTRUMENTS"/>
    <n v="255"/>
    <n v="1"/>
    <n v="10"/>
    <n v="13.566890000000001"/>
    <n v="255"/>
    <n v="1431"/>
    <s v="Active"/>
    <x v="0"/>
    <n v="200"/>
    <n v="2713.3780000000002"/>
    <m/>
    <m/>
    <m/>
  </r>
  <r>
    <s v="631-123367-001"/>
    <s v="IC,FPGA SPARTAN 6 101K 484FGGBGA"/>
    <s v="XC6SLX100-3FGG484C"/>
    <s v="XILINX"/>
    <n v="10"/>
    <n v="1"/>
    <n v="20"/>
    <n v="256.09500000000003"/>
    <n v="10"/>
    <n v="181"/>
    <s v="Active"/>
    <x v="0"/>
    <n v="10"/>
    <n v="2560.9500000000003"/>
    <m/>
    <m/>
    <m/>
  </r>
  <r>
    <s v="628-265744-001"/>
    <s v="XSTR,MOSFET,N-CH,650V,93A,TO247N"/>
    <s v="SCT3022ALGC11"/>
    <s v="ROHM"/>
    <n v="100"/>
    <n v="1"/>
    <n v="42"/>
    <n v="49.875700000000002"/>
    <n v="100"/>
    <n v="455"/>
    <s v="Active"/>
    <x v="0"/>
    <n v="50"/>
    <n v="2493.7850000000003"/>
    <m/>
    <m/>
    <m/>
  </r>
  <r>
    <s v="668-014495-062"/>
    <s v="CONN,RCPT,HIGH DENSITY DSUB,62 ROHS"/>
    <s v="K86X-CD-62S-BR"/>
    <s v="KYCON, INC"/>
    <n v="470"/>
    <n v="50"/>
    <n v="25"/>
    <n v="9.59"/>
    <n v="470"/>
    <n v="2366"/>
    <s v="Active"/>
    <x v="0"/>
    <n v="250"/>
    <n v="2397.5"/>
    <m/>
    <m/>
    <m/>
  </r>
  <r>
    <s v="630-A59915-001"/>
    <s v="IC,SMD,8 HIGH-SIDE SW,SPI,2.5-5.5V,QFN48"/>
    <s v="MAX14915AFM+"/>
    <s v="MAXIM INTEGRATED"/>
    <n v="235"/>
    <n v="2500"/>
    <n v="20"/>
    <n v="8.8840000000000003"/>
    <n v="235"/>
    <n v="8707"/>
    <s v="Active"/>
    <x v="0"/>
    <n v="250"/>
    <n v="2221"/>
    <m/>
    <m/>
    <m/>
  </r>
  <r>
    <s v="669-B62169-001"/>
    <s v="CONT,SKT,SMD,600V,140A,6 DIA,5.17MM HGT"/>
    <s v="2043650006"/>
    <s v="MOLEX, LLC"/>
    <n v="310"/>
    <n v="84"/>
    <n v="26"/>
    <n v="10.8241"/>
    <n v="310"/>
    <n v="4813"/>
    <s v="Active"/>
    <x v="0"/>
    <n v="200"/>
    <n v="2164.8199999999997"/>
    <m/>
    <m/>
    <m/>
  </r>
  <r>
    <s v="648-046808-112"/>
    <s v="CAP,SMD,NPO,1.1NF,5%,10KV"/>
    <s v="6560N112J103P"/>
    <s v="NOVACAP"/>
    <n v="60"/>
    <n v="500"/>
    <n v="20"/>
    <n v="36.069000000000003"/>
    <n v="60"/>
    <n v="0"/>
    <s v="Active (Unconfirmed)"/>
    <x v="0"/>
    <n v="60"/>
    <n v="2164.1400000000003"/>
    <m/>
    <m/>
    <m/>
  </r>
  <r>
    <s v="670-332664-018"/>
    <s v="FUSE,FAST-ACT,7A,600VAC/300VDC,5AG"/>
    <s v="KLKR007.T"/>
    <s v="LITTELFUSE"/>
    <n v="80"/>
    <n v="1"/>
    <n v="13"/>
    <n v="25.715"/>
    <n v="80"/>
    <n v="38"/>
    <s v="Active"/>
    <x v="0"/>
    <n v="80"/>
    <n v="2057.1999999999998"/>
    <m/>
    <m/>
    <m/>
  </r>
  <r>
    <s v="630-A92150-002"/>
    <s v="IC,MEM,EMMC,NAND FLASH,64GB,LFBGA-153"/>
    <s v="MTFC64GBCAQTC-WT"/>
    <s v="MICRON TECHNOLOGY, INC."/>
    <n v="30"/>
    <n v="1"/>
    <n v="33"/>
    <n v="65.38"/>
    <n v="30"/>
    <n v="1790"/>
    <s v="Last Time Buy"/>
    <x v="0"/>
    <n v="30"/>
    <n v="1961.3999999999999"/>
    <m/>
    <m/>
    <m/>
  </r>
  <r>
    <s v="630-257348-001"/>
    <s v="IC,SMD,ADC,14BIT,500KSPS,TSOT23-8"/>
    <s v="LTC2312HTS8-14#TRMPBF"/>
    <s v="ANALOG DEVICES"/>
    <n v="160"/>
    <n v="500"/>
    <n v="18"/>
    <n v="18.4892"/>
    <n v="160"/>
    <n v="2494"/>
    <s v="Active"/>
    <x v="0"/>
    <n v="100"/>
    <n v="1848.92"/>
    <m/>
    <m/>
    <m/>
  </r>
  <r>
    <s v="723-097621-068"/>
    <s v="STDF,SWG,9/32 RND,F,6-32,.687"/>
    <s v="18130B-S-0632-28"/>
    <s v="AMATOM ELECTRONIC HARDWARE"/>
    <n v="105"/>
    <n v="1"/>
    <n v="0"/>
    <n v="17.5"/>
    <n v="35"/>
    <s v="Build to Order"/>
    <s v="N/A"/>
    <x v="0"/>
    <n v="105"/>
    <n v="1837.5"/>
    <m/>
    <s v="3/10/26:  Check pricing.  Basic stand-off. "/>
    <m/>
  </r>
  <r>
    <s v="723-008848-003"/>
    <s v="STDF,3/16 HEX,M/F,2-56, .250LG,ROHS"/>
    <s v="9724-SS-7"/>
    <s v="AMATOM ELECTRONIC HARDWARE"/>
    <n v="50"/>
    <n v="1"/>
    <n v="10"/>
    <n v="34.799999999999997"/>
    <n v="15"/>
    <s v="Build to Order"/>
    <s v="N/A"/>
    <x v="0"/>
    <n v="50"/>
    <n v="1739.9999999999998"/>
    <m/>
    <s v="3/10/26:  Check pricing.  Basic stand-off. "/>
    <m/>
  </r>
  <r>
    <s v="668-096777-009"/>
    <s v="CONN,DSUB,9P,M,STR,BRD LCK,ROHS"/>
    <s v="K85X-ED-9P-CBR"/>
    <s v="KYCON, INC"/>
    <n v="945"/>
    <n v="50"/>
    <n v="5"/>
    <n v="5.62"/>
    <n v="0"/>
    <n v="5465"/>
    <s v="Active"/>
    <x v="0"/>
    <n v="300"/>
    <n v="1686"/>
    <m/>
    <m/>
    <m/>
  </r>
  <r>
    <s v="723-097621-043"/>
    <s v="STDF,SWG,9/32 RND,F,6-32"/>
    <s v="18126B-S-0632-28"/>
    <s v="AMATOM ELECTRONIC HARDWARE"/>
    <n v="85"/>
    <n v="1"/>
    <n v="0"/>
    <n v="19.75"/>
    <n v="30"/>
    <s v="Build to Order"/>
    <s v="N/A"/>
    <x v="0"/>
    <n v="85"/>
    <n v="1678.75"/>
    <m/>
    <s v="3/10/26:  Check pricing.  Basic stand-off. "/>
    <m/>
  </r>
  <r>
    <s v="668-014495-026"/>
    <s v="CONN,RCPT,HIGH DENSITY DSUB,26 ROHS"/>
    <s v="K86X-AD-26S-CBR"/>
    <s v="KYCON, INC"/>
    <n v="235"/>
    <n v="50"/>
    <n v="22"/>
    <n v="8"/>
    <n v="235"/>
    <n v="4827"/>
    <s v="Active"/>
    <x v="0"/>
    <n v="200"/>
    <n v="1600"/>
    <m/>
    <m/>
    <m/>
  </r>
  <r>
    <s v="644-311222-004"/>
    <s v="RLY,SSR,SPST-NO,25A,48-530VAC,PCB MT,THT"/>
    <s v="LR1200480D25"/>
    <s v="CRYDOM"/>
    <n v="50"/>
    <n v="1"/>
    <n v="17"/>
    <n v="63.3"/>
    <n v="50"/>
    <n v="648"/>
    <s v="Active (Unconfirmed)"/>
    <x v="0"/>
    <n v="25"/>
    <n v="1582.5"/>
    <m/>
    <m/>
    <m/>
  </r>
  <r>
    <s v="630-114967-001"/>
    <s v="IC,SMD,CPLD,MACHXO2280,256FTBGA,ROHS"/>
    <s v="LCMXO2280C-3FTN256C"/>
    <s v="LATTICE SEMI"/>
    <n v="40"/>
    <n v="1"/>
    <n v="16"/>
    <n v="37.92"/>
    <n v="40"/>
    <n v="0"/>
    <s v="Active"/>
    <x v="0"/>
    <n v="40"/>
    <n v="1516.8000000000002"/>
    <m/>
    <m/>
    <m/>
  </r>
  <r>
    <s v="668-191568-160"/>
    <s v="CONN, DIN E TYPE, FML, 160 PIN"/>
    <s v="254124-E"/>
    <s v="TE CONNECTIVITY"/>
    <n v="120"/>
    <n v="42"/>
    <n v="47"/>
    <n v="12.43"/>
    <n v="120"/>
    <n v="104"/>
    <s v="Active"/>
    <x v="0"/>
    <n v="120"/>
    <n v="1491.6"/>
    <m/>
    <m/>
    <m/>
  </r>
  <r>
    <s v="644-B64495-001"/>
    <s v="RLY,REED,2 FORM A,5V COIL,0.5A,10W,SH"/>
    <s v="8L02-05-11"/>
    <s v="COTO TECHNOLOGY, INC."/>
    <n v="585"/>
    <n v="1"/>
    <n v="19"/>
    <n v="4.95"/>
    <n v="585"/>
    <n v="3224"/>
    <s v="Active"/>
    <x v="0"/>
    <n v="300"/>
    <n v="1485"/>
    <m/>
    <m/>
    <m/>
  </r>
  <r>
    <s v="660-B70650-004"/>
    <s v="PS,DC/DC,ISLN,24V INPUT,1W,6V OUT,0.167A"/>
    <s v="RP-2406S"/>
    <s v="RECOM"/>
    <n v="100"/>
    <n v="1"/>
    <n v="21"/>
    <n v="13.908200000000001"/>
    <n v="100"/>
    <n v="190"/>
    <s v="Active"/>
    <x v="0"/>
    <n v="100"/>
    <n v="1390.8200000000002"/>
    <m/>
    <m/>
    <m/>
  </r>
  <r>
    <s v="668-096776-025"/>
    <s v="CONN,DSUB,25P,F,STR,BRD LCK,ROHS"/>
    <s v="DLS3XS4AA35X"/>
    <s v="AMPHENOL CONEC"/>
    <n v="585"/>
    <n v="1"/>
    <n v="16"/>
    <n v="1.7897000000000001"/>
    <n v="585"/>
    <n v="208"/>
    <s v="Active"/>
    <x v="0"/>
    <n v="750"/>
    <n v="1342.2750000000001"/>
    <m/>
    <m/>
    <m/>
  </r>
  <r>
    <s v="662-901562-001"/>
    <s v="LED,5mm(T1-3/4),STRAIGHT,GREEN, ROHS"/>
    <s v="550-1304F"/>
    <s v="DIALIGHT"/>
    <n v="985"/>
    <n v="1"/>
    <n v="17"/>
    <n v="1.0391999999999999"/>
    <n v="985"/>
    <n v="3093"/>
    <s v="Active"/>
    <x v="0"/>
    <n v="1000"/>
    <n v="1039.1999999999998"/>
    <m/>
    <m/>
    <m/>
  </r>
  <r>
    <s v="670-332664-017"/>
    <s v="FUSE,FAST-ACT,6A,600VAC/300VDC,5AG"/>
    <s v="KLKR006.T"/>
    <s v="LITTELFUSE"/>
    <n v="40"/>
    <n v="1"/>
    <n v="18"/>
    <n v="25.66"/>
    <n v="40"/>
    <n v="373"/>
    <s v="Active"/>
    <x v="0"/>
    <n v="40"/>
    <n v="1026.4000000000001"/>
    <m/>
    <m/>
    <m/>
  </r>
  <r>
    <s v="668-A06169-001"/>
    <s v="CONN,MAGJACK,RJ45,2PORT,90DEG,SLDR,THT"/>
    <s v="0826-1X2T-23-F"/>
    <s v="BEL FUSE INC."/>
    <n v="80"/>
    <n v="1"/>
    <n v="27"/>
    <n v="12.565200000000001"/>
    <n v="80"/>
    <n v="1683"/>
    <s v="Active (Unconfirmed)"/>
    <x v="0"/>
    <n v="80"/>
    <n v="1005.2160000000001"/>
    <m/>
    <m/>
    <m/>
  </r>
  <r>
    <s v="668-134411-200"/>
    <s v="CONN,PLUG,HIGH DENSITY,.050&quot;,200POS,ROHS"/>
    <s v="MOLC-150-31-L-Q-LC"/>
    <s v="SAMTEC"/>
    <n v="20"/>
    <n v="1"/>
    <n v="4"/>
    <n v="49.707999999999998"/>
    <n v="20"/>
    <n v="805"/>
    <s v="Active"/>
    <x v="0"/>
    <n v="20"/>
    <n v="994.16"/>
    <m/>
    <m/>
    <m/>
  </r>
  <r>
    <s v="645-347340-001"/>
    <s v="SW,ROCKER SPDT 0.4A,RA PC MT"/>
    <s v="E101J3AV2QE3"/>
    <s v="C&amp;K COMPONENT"/>
    <n v="105"/>
    <n v="1"/>
    <n v="13"/>
    <n v="9.17"/>
    <n v="105"/>
    <n v="0"/>
    <s v="Active"/>
    <x v="0"/>
    <n v="105"/>
    <n v="962.85"/>
    <m/>
    <m/>
    <m/>
  </r>
  <r>
    <s v="630-323468-001"/>
    <s v="IC,SMD,HOT-SWAP CONTROLLER,6TDFN"/>
    <s v="MAX5903NNETT+T"/>
    <s v="MAXIM INTEGRATED"/>
    <n v="425"/>
    <n v="2500"/>
    <n v="14"/>
    <n v="4.7610000000000001"/>
    <n v="425"/>
    <n v="9800"/>
    <s v="Active"/>
    <x v="0"/>
    <n v="200"/>
    <n v="952.2"/>
    <m/>
    <m/>
    <m/>
  </r>
  <r>
    <s v="660-082847-015"/>
    <s v="PS,DC-DC,19V-28V,15V AT 3A,SIP12,ROHS"/>
    <s v="R-7315P"/>
    <s v="RECOM"/>
    <n v="20"/>
    <n v="1"/>
    <n v="24"/>
    <n v="43.33"/>
    <n v="20"/>
    <n v="1481"/>
    <s v="Active"/>
    <x v="0"/>
    <n v="20"/>
    <n v="866.59999999999991"/>
    <m/>
    <m/>
    <m/>
  </r>
  <r>
    <s v="668-B17515-004"/>
    <s v="CONN,RCPT,M8,SHLD,4POSN,3A,PCB/PNL MT"/>
    <s v="T4041037041-001"/>
    <s v="TE CONNECTIVITY"/>
    <n v="120"/>
    <n v="1"/>
    <n v="0"/>
    <n v="7.2"/>
    <n v="120"/>
    <n v="0"/>
    <s v="Active"/>
    <x v="0"/>
    <n v="120"/>
    <n v="864"/>
    <m/>
    <m/>
    <m/>
  </r>
  <r>
    <s v="630-047972-001"/>
    <s v="IC,SMD,CPLD,EEPM1270T144C4"/>
    <s v="EPM1270T144C4N"/>
    <s v="ALTERA"/>
    <n v="20"/>
    <n v="1"/>
    <n v="17"/>
    <n v="85.83"/>
    <n v="20"/>
    <n v="1701"/>
    <s v="Active (NRND)"/>
    <x v="0"/>
    <n v="10"/>
    <n v="858.3"/>
    <m/>
    <m/>
    <m/>
  </r>
  <r>
    <s v="618-279508-001"/>
    <s v="RES,METAL FILM,25M,3.8W,100PPM,1%,ROHS"/>
    <s v="MOX91022505FTE"/>
    <s v="OHMITE MANUFACTURING COMPANY"/>
    <n v="40"/>
    <n v="1"/>
    <n v="35"/>
    <n v="21.1782"/>
    <n v="40"/>
    <n v="24"/>
    <s v="Active"/>
    <x v="0"/>
    <n v="40"/>
    <n v="847.12800000000004"/>
    <m/>
    <m/>
    <m/>
  </r>
  <r>
    <s v="667-A20843-002"/>
    <s v="CONN,SMD,RCPT,MEZZ,0.8MM,120P,7.7MM HGT"/>
    <s v="10139781-122402LF"/>
    <s v="AMPHENOL ICC"/>
    <n v="105"/>
    <n v="400"/>
    <n v="16"/>
    <n v="7.8357999999999999"/>
    <n v="105"/>
    <n v="7364"/>
    <s v="Active"/>
    <x v="0"/>
    <n v="105"/>
    <n v="822.75900000000001"/>
    <m/>
    <m/>
    <m/>
  </r>
  <r>
    <s v="668-B67633-004"/>
    <s v="CONN,RF PLUG,H ISLN,4P,1ROW,190V,RTANG"/>
    <s v="IP5-04-01-L-S-RA1-L-TR"/>
    <s v="SAMTEC"/>
    <n v="100"/>
    <n v="1"/>
    <n v="8"/>
    <n v="16.4438"/>
    <n v="100"/>
    <n v="969"/>
    <s v="Active"/>
    <x v="0"/>
    <n v="50"/>
    <n v="822.18999999999994"/>
    <m/>
    <m/>
    <m/>
  </r>
  <r>
    <s v="668-091568-096"/>
    <s v="CONN,DIN C TYPE,FML,96 PIN"/>
    <s v="535032-4"/>
    <s v="TE CONNECTIVITY"/>
    <n v="90"/>
    <n v="1"/>
    <n v="14"/>
    <n v="9.0679999999999996"/>
    <n v="90"/>
    <n v="5267"/>
    <s v="Active"/>
    <x v="0"/>
    <n v="90"/>
    <n v="816.12"/>
    <m/>
    <m/>
    <m/>
  </r>
  <r>
    <s v="630-052043-001"/>
    <s v="IC,SMD,OP AMP,QUAD,RL TO RL IN/OUT,ROHS"/>
    <s v="LT1499CS#PBF"/>
    <s v="ANALOG DEVICES"/>
    <n v="80"/>
    <n v="55"/>
    <n v="25"/>
    <n v="15.576599999999999"/>
    <n v="80"/>
    <n v="2544"/>
    <s v="Active"/>
    <x v="0"/>
    <n v="50"/>
    <n v="778.82999999999993"/>
    <m/>
    <m/>
    <m/>
  </r>
  <r>
    <s v="668-B70303-004"/>
    <s v="CONN,RF PLUG,H ISLN,4P,1ROW,600VAC,4MM"/>
    <s v="IP5-04-05.0-L-S-1-L-TR"/>
    <s v="SAMTEC"/>
    <n v="40"/>
    <n v="150"/>
    <n v="13"/>
    <n v="19.206499999999998"/>
    <n v="40"/>
    <n v="410"/>
    <s v="Active"/>
    <x v="0"/>
    <n v="40"/>
    <n v="768.26"/>
    <m/>
    <m/>
    <m/>
  </r>
  <r>
    <s v="668-242448-001"/>
    <s v="CONN,BLKHD,RTANG,JACK,18GHZ,PCB MT,SMA"/>
    <s v="142-4701-501"/>
    <s v="CINCH CONNECTIVITY SOLUTIONS."/>
    <n v="45"/>
    <n v="1"/>
    <n v="18"/>
    <n v="17.024999999999999"/>
    <n v="45"/>
    <n v="4086"/>
    <s v="Active"/>
    <x v="0"/>
    <n v="45"/>
    <n v="766.12499999999989"/>
    <m/>
    <m/>
    <m/>
  </r>
  <r>
    <s v="668-096776-037"/>
    <s v="CONN,DSUB,37P,F,STR,BRD LCK,ROHS"/>
    <s v="DLS4XS4AA35X"/>
    <s v="AMPHENOL CONEC"/>
    <n v="355"/>
    <n v="1"/>
    <n v="16"/>
    <n v="2.1"/>
    <n v="355"/>
    <n v="179"/>
    <s v="Active"/>
    <x v="0"/>
    <n v="355"/>
    <n v="745.5"/>
    <m/>
    <m/>
    <m/>
  </r>
  <r>
    <s v="669-801523-002"/>
    <s v="PIN,2MM DIA X 23MMLG, M2, 25A"/>
    <s v="22.1100"/>
    <s v="STÄUBLI ELECTRICAL CONNECTORS"/>
    <n v="360"/>
    <n v="1"/>
    <n v="20"/>
    <n v="4.9476000000000004"/>
    <n v="360"/>
    <n v="834"/>
    <s v="Active (Unconfirmed)"/>
    <x v="0"/>
    <n v="150"/>
    <n v="742.1400000000001"/>
    <m/>
    <m/>
    <m/>
  </r>
  <r>
    <s v="669-121789-001"/>
    <s v="CONT,SKT,40A"/>
    <s v="172-978-100-201"/>
    <s v="ODU"/>
    <n v="50"/>
    <n v="1"/>
    <n v="6"/>
    <n v="13.87"/>
    <n v="50"/>
    <s v="Build to Order"/>
    <s v="N/A"/>
    <x v="0"/>
    <n v="50"/>
    <n v="693.5"/>
    <m/>
    <m/>
    <m/>
  </r>
  <r>
    <s v="667-311329-002"/>
    <s v="CONN,SMD,FEM,4POSN,PWR,ULTRA MICRO,18A"/>
    <s v="UMPS-04-03.5-G-V-S-W-TR"/>
    <s v="SAMTEC"/>
    <n v="155"/>
    <n v="575"/>
    <n v="13"/>
    <n v="4.4623999999999997"/>
    <n v="155"/>
    <n v="3322"/>
    <s v="Active"/>
    <x v="0"/>
    <n v="155"/>
    <n v="691.67199999999991"/>
    <m/>
    <m/>
    <m/>
  </r>
  <r>
    <s v="618-B48352-503"/>
    <s v="RES,THK FILM,500KOHM,5%TOL,2W,RDL"/>
    <s v="SM204035003JE"/>
    <s v="OHMITE MANUFACTURING COMPANY"/>
    <n v="150"/>
    <n v="1"/>
    <n v="19"/>
    <n v="4.5617999999999999"/>
    <n v="150"/>
    <n v="9775"/>
    <s v="Active"/>
    <x v="0"/>
    <n v="150"/>
    <n v="684.27"/>
    <m/>
    <m/>
    <m/>
  </r>
  <r>
    <s v="670-335085-004"/>
    <s v="FUSE,CRTG,6.3X32MM,12A,450V,FAST-ACT"/>
    <s v="0505012.MXP"/>
    <s v="LITTELFUSE"/>
    <n v="160"/>
    <n v="1"/>
    <n v="20"/>
    <n v="4.1962000000000002"/>
    <n v="160"/>
    <n v="3280"/>
    <s v="Active"/>
    <x v="0"/>
    <n v="160"/>
    <n v="671.39200000000005"/>
    <m/>
    <m/>
    <m/>
  </r>
  <r>
    <s v="660-B00899-001"/>
    <s v="FR,RF SHIELD,1.75LG X 1.30IN W,NI SIL"/>
    <s v="L-1300SA1750-0340XF"/>
    <s v="ORBEL CORPORATION"/>
    <n v="60"/>
    <n v="1"/>
    <n v="5"/>
    <n v="10.8491"/>
    <n v="60"/>
    <n v="393"/>
    <s v="Active"/>
    <x v="0"/>
    <n v="60"/>
    <n v="650.94600000000003"/>
    <m/>
    <m/>
    <m/>
  </r>
  <r>
    <s v="632-275101-001"/>
    <s v="RLY,SMD,2 FORM C,24VDC,8.3MA,2.8K OHM"/>
    <s v="TQ2SS-24V"/>
    <s v="PANASONIC"/>
    <n v="220"/>
    <n v="1"/>
    <n v="25"/>
    <n v="2.8149999999999999"/>
    <n v="220"/>
    <n v="3151"/>
    <s v="Active"/>
    <x v="0"/>
    <n v="220"/>
    <n v="619.29999999999995"/>
    <m/>
    <m/>
    <m/>
  </r>
  <r>
    <s v="660-B00902-001"/>
    <s v="COV,RF SHIELD,1.778LG X 1.328IN W,NI SIL"/>
    <s v="L-1300CC1750-0340XC"/>
    <s v="ORBEL CORPORATION"/>
    <n v="60"/>
    <n v="1"/>
    <n v="5"/>
    <n v="9.5105000000000004"/>
    <n v="60"/>
    <n v="123"/>
    <s v="Active"/>
    <x v="0"/>
    <n v="60"/>
    <n v="570.63"/>
    <m/>
    <m/>
    <m/>
  </r>
  <r>
    <s v="615-217661-006"/>
    <s v="RES,SMD,CUR SNS, 0.01 OHM,0.1%,1W,2512"/>
    <s v="Y14870R01000B9W"/>
    <s v="VISHAY PRECISION GROUP INC."/>
    <n v="40"/>
    <n v="1"/>
    <n v="29"/>
    <n v="13.223000000000001"/>
    <n v="40"/>
    <n v="3036"/>
    <s v="Active"/>
    <x v="0"/>
    <n v="40"/>
    <n v="528.92000000000007"/>
    <m/>
    <m/>
    <m/>
  </r>
  <r>
    <s v="649-228171-001"/>
    <s v="CAP,ALUM,470UF,20%,450V,SNAP"/>
    <s v="B43601B5477M"/>
    <s v="EPCOS"/>
    <n v="40"/>
    <n v="1"/>
    <n v="24"/>
    <n v="13.2"/>
    <n v="40"/>
    <n v="0"/>
    <s v="Active (Unconfirmed)"/>
    <x v="0"/>
    <n v="40"/>
    <n v="528"/>
    <m/>
    <m/>
    <m/>
  </r>
  <r>
    <s v="630-122646-001"/>
    <s v="IC,SMD,BUCK SYNC ADJ 10A TO-PMOD-11"/>
    <s v="LMZ13610TZ/NOPB"/>
    <s v="TEXAS INSTRUMENTS"/>
    <n v="20"/>
    <n v="1"/>
    <n v="6"/>
    <n v="25.78"/>
    <n v="20"/>
    <n v="3552"/>
    <s v="Active"/>
    <x v="0"/>
    <n v="20"/>
    <n v="515.6"/>
    <m/>
    <m/>
    <m/>
  </r>
  <r>
    <s v="648-004248-471"/>
    <s v="CAP,SMD,CERAMIC,RF,PWR,470PF,2%"/>
    <s v="100E471GW2500X"/>
    <s v="AMERICAN TECHNICAL CERAMIC"/>
    <n v="10"/>
    <n v="1"/>
    <n v="28"/>
    <n v="47.51"/>
    <n v="0"/>
    <n v="0"/>
    <s v="Active"/>
    <x v="0"/>
    <n v="10"/>
    <n v="475.09999999999997"/>
    <m/>
    <m/>
    <m/>
  </r>
  <r>
    <s v="630-232484-001"/>
    <s v="IC,SMD,CTRLR,HOT,SWAP,48V"/>
    <s v="LM5069MM-2/NOPB"/>
    <s v="TEXAS INSTRUMENTS"/>
    <n v="155"/>
    <n v="1"/>
    <n v="17"/>
    <n v="3.0150000000000001"/>
    <n v="155"/>
    <n v="0"/>
    <s v="Active"/>
    <x v="0"/>
    <n v="155"/>
    <n v="467.32500000000005"/>
    <m/>
    <m/>
    <m/>
  </r>
  <r>
    <s v="660-B59124-003"/>
    <s v="PS,CONV,DC-DC,24V,5V OUT,1W,SIP-4"/>
    <s v="1779205311"/>
    <s v="WURTH ELEKTRONIK"/>
    <n v="120"/>
    <n v="43"/>
    <n v="24"/>
    <n v="3.76"/>
    <n v="120"/>
    <n v="846"/>
    <s v="Active"/>
    <x v="0"/>
    <n v="120"/>
    <n v="451.2"/>
    <m/>
    <m/>
    <m/>
  </r>
  <r>
    <s v="630-048308-001"/>
    <s v="IC,SMD,EPM240T100C4N,100 PIN CPLD,ROHS"/>
    <s v="EPM240T100C4N"/>
    <s v="ALTERA"/>
    <n v="20"/>
    <n v="1"/>
    <n v="14"/>
    <n v="22.39"/>
    <n v="20"/>
    <n v="390"/>
    <s v="Active (NRND)"/>
    <x v="0"/>
    <n v="20"/>
    <n v="447.8"/>
    <m/>
    <m/>
    <m/>
  </r>
  <r>
    <s v="671-096377-010"/>
    <s v="TP LOOPED .035 HOLE,1 POS,BLK"/>
    <s v="TP-105-01-00"/>
    <s v="COMPONENTS CORPORATION"/>
    <n v="2950"/>
    <n v="1"/>
    <n v="0"/>
    <n v="0.15"/>
    <n v="2950"/>
    <n v="0"/>
    <s v="Active"/>
    <x v="0"/>
    <n v="2950"/>
    <n v="442.5"/>
    <m/>
    <m/>
    <m/>
  </r>
  <r>
    <s v="670-285389-001"/>
    <s v="CB,THRM,3.15A,250VAC,50VDC"/>
    <s v="1410-L110-L1F1-S01-3.15A"/>
    <s v="E-T-A ENGINEERING TECHNOLOGY"/>
    <n v="40"/>
    <n v="1"/>
    <n v="12"/>
    <n v="10.935"/>
    <n v="40"/>
    <n v="704"/>
    <s v="Active"/>
    <x v="0"/>
    <n v="40"/>
    <n v="437.40000000000003"/>
    <m/>
    <m/>
    <m/>
  </r>
  <r>
    <s v="615-122309-200"/>
    <s v="RES,0805,TF,0.1W,0.01%,20.0K ROHS"/>
    <s v="RNCF0805TTT20K0"/>
    <s v="STACKPOLE ELECTRONICS"/>
    <n v="530"/>
    <n v="5000"/>
    <n v="17"/>
    <n v="0.81399999999999995"/>
    <n v="530"/>
    <n v="0"/>
    <s v="Active"/>
    <x v="0"/>
    <n v="530"/>
    <n v="431.41999999999996"/>
    <m/>
    <m/>
    <m/>
  </r>
  <r>
    <s v="668-B17515-003"/>
    <s v="CONN,RCPT,M8,SHLD,3POSN,3A,PCB/PNL MT"/>
    <s v="T4041037031-001"/>
    <s v="TE CONNECTIVITY"/>
    <n v="55"/>
    <n v="1"/>
    <n v="0"/>
    <n v="7.2"/>
    <n v="55"/>
    <n v="0"/>
    <s v="Active (NRND)"/>
    <x v="0"/>
    <n v="55"/>
    <n v="396"/>
    <m/>
    <m/>
    <m/>
  </r>
  <r>
    <s v="668-007087-009"/>
    <s v="CONN,HDR,PCB,M-ST,UNV M-N-LOK,9P,ROHS"/>
    <s v="350712-4"/>
    <s v="TE CONNECTIVITY"/>
    <n v="80"/>
    <n v="1"/>
    <n v="22"/>
    <n v="4.8137999999999996"/>
    <n v="80"/>
    <n v="2015"/>
    <s v="Active"/>
    <x v="0"/>
    <n v="80"/>
    <n v="385.10399999999998"/>
    <m/>
    <m/>
    <m/>
  </r>
  <r>
    <s v="668-099029-026"/>
    <s v="CONN,PIN,26P,DSUB,HD,VERT,ROHS"/>
    <s v="K86X-AD-26P-BR"/>
    <s v="KYCON, INC"/>
    <n v="85"/>
    <n v="1"/>
    <n v="26"/>
    <n v="4.3359500000000004"/>
    <n v="85"/>
    <n v="1723"/>
    <s v="Active"/>
    <x v="0"/>
    <n v="85"/>
    <n v="368.55575000000005"/>
    <m/>
    <m/>
    <m/>
  </r>
  <r>
    <s v="630-223433-001"/>
    <s v="IC,SMD,I2C IO EXPANDER,8B"/>
    <s v="MAX7325ATG+"/>
    <s v="MAXIM INTEGRATED"/>
    <n v="10"/>
    <n v="75"/>
    <n v="14"/>
    <n v="2.38"/>
    <n v="10"/>
    <n v="3024"/>
    <s v="Active"/>
    <x v="0"/>
    <n v="150"/>
    <n v="357"/>
    <m/>
    <s v="3/11/26:  Qty adjusted up to meet $250 MOV."/>
    <m/>
  </r>
  <r>
    <s v="668-B64376-032"/>
    <s v="CONN,HDR,RTANG,2ROW,32POSN,2MM PITCH,TH"/>
    <s v="2086593240"/>
    <s v="MOLEX, LLC"/>
    <n v="120"/>
    <n v="45"/>
    <n v="32"/>
    <n v="2.964"/>
    <n v="120"/>
    <n v="2769"/>
    <s v="Active"/>
    <x v="0"/>
    <n v="120"/>
    <n v="355.68"/>
    <m/>
    <m/>
    <m/>
  </r>
  <r>
    <s v="668-007087-015"/>
    <s v="CONN,HDR,PCB,M-ST,UNV M-N-LOK,15P,ROHS"/>
    <s v="350714-4"/>
    <s v="TE CONNECTIVITY"/>
    <n v="40"/>
    <n v="1"/>
    <n v="24"/>
    <n v="8.7850000000000001"/>
    <n v="40"/>
    <n v="1410"/>
    <s v="Active"/>
    <x v="0"/>
    <n v="40"/>
    <n v="351.4"/>
    <m/>
    <m/>
    <m/>
  </r>
  <r>
    <s v="641-B77115-360"/>
    <s v="IDCTR,AIR CORE,360NH,5%,4.5A,0.0135OHM"/>
    <s v="2929SQ-361JEC"/>
    <s v="COILCRAFT"/>
    <n v="230"/>
    <n v="1"/>
    <n v="8"/>
    <n v="1.51"/>
    <n v="230"/>
    <n v="1114"/>
    <s v="Active"/>
    <x v="0"/>
    <n v="230"/>
    <n v="347.3"/>
    <m/>
    <m/>
    <m/>
  </r>
  <r>
    <s v="630-337161-001"/>
    <s v="IC,SMD,CPLD,980MACROCELL,6.2NS,TQFP-144"/>
    <s v="5M1270ZT144C5N"/>
    <s v="INTEL"/>
    <n v="10"/>
    <n v="1"/>
    <n v="22"/>
    <n v="33.337200000000003"/>
    <n v="10"/>
    <n v="7043"/>
    <s v="Active"/>
    <x v="0"/>
    <n v="10"/>
    <n v="333.37200000000001"/>
    <m/>
    <m/>
    <m/>
  </r>
  <r>
    <s v="615-049171-124"/>
    <s v="RES,SMD,0805,12.4K OHMS,ROHS"/>
    <s v="RG2012P-1242-B-T5"/>
    <s v="SUSUMU"/>
    <n v="60"/>
    <n v="1"/>
    <n v="23"/>
    <n v="0.16070000000000001"/>
    <n v="60"/>
    <n v="0"/>
    <s v="Active"/>
    <x v="0"/>
    <n v="2000"/>
    <n v="321.40000000000003"/>
    <m/>
    <s v="3/11/26:  Qty adjusted up to meet $250 MOV."/>
    <m/>
  </r>
  <r>
    <s v="630-260287-001"/>
    <s v="IC,SMD,ADC,12-BIT,2.5MSPS,TSOT-23"/>
    <s v="LTC2313CTS8-12#TRMPBF"/>
    <s v="ANALOG DEVICES INC."/>
    <n v="30"/>
    <n v="1"/>
    <n v="22"/>
    <n v="10.67"/>
    <n v="30"/>
    <n v="155"/>
    <s v="Active"/>
    <x v="0"/>
    <n v="30"/>
    <n v="320.10000000000002"/>
    <m/>
    <m/>
    <m/>
  </r>
  <r>
    <s v="630-017595-001"/>
    <s v="C,SMD, REG 102UA-3.3, SOIC8, ROHS"/>
    <s v="REG102UA-3.3"/>
    <s v="TEXAS INSTRUMENTS"/>
    <n v="100"/>
    <n v="2500"/>
    <n v="6"/>
    <n v="3.1385000000000001"/>
    <n v="100"/>
    <n v="8598"/>
    <s v="Active"/>
    <x v="0"/>
    <n v="100"/>
    <n v="313.85000000000002"/>
    <m/>
    <m/>
    <m/>
  </r>
  <r>
    <s v="639-C00547-150"/>
    <s v="IDCTR,SMD,15UH,20%,0.0143OHM,16A"/>
    <s v="CSEG1010-150M"/>
    <s v="CODACA"/>
    <n v="50"/>
    <n v="300"/>
    <n v="12"/>
    <n v="6.2312000000000003"/>
    <n v="50"/>
    <n v="3574"/>
    <s v="Active (Unconfirmed)"/>
    <x v="0"/>
    <n v="50"/>
    <n v="311.56"/>
    <m/>
    <m/>
    <m/>
  </r>
  <r>
    <s v="668-311384-004"/>
    <s v="CONN,HDR,VERTICAL,8POS"/>
    <s v="1720420802"/>
    <s v="MOLEX, LLC"/>
    <n v="60"/>
    <n v="140"/>
    <n v="22"/>
    <n v="5.1532"/>
    <n v="60"/>
    <n v="7047"/>
    <s v="Active"/>
    <x v="0"/>
    <n v="60"/>
    <n v="309.19200000000001"/>
    <m/>
    <m/>
    <m/>
  </r>
  <r>
    <s v="668-096777-025"/>
    <s v="CONN,DSUB,25P,M,STR,BRD LCK,ROHS"/>
    <s v="K85X-BD-25P-CBR"/>
    <s v="KYCON, INC"/>
    <n v="55"/>
    <n v="50"/>
    <n v="5"/>
    <n v="5.62"/>
    <n v="0"/>
    <n v="2203"/>
    <s v="Active"/>
    <x v="0"/>
    <n v="55"/>
    <n v="309.10000000000002"/>
    <m/>
    <m/>
    <m/>
  </r>
  <r>
    <s v="615-B65677-001"/>
    <s v="RES,SMD,20K,0.01%TOL,0.1W,0603,ROHS"/>
    <s v="RNCF0603TKY20K0"/>
    <s v="STACKPOLE ELECTRONICS"/>
    <n v="265"/>
    <n v="1000"/>
    <n v="13"/>
    <n v="1.2284999999999999"/>
    <n v="265"/>
    <n v="21838"/>
    <s v="Active"/>
    <x v="0"/>
    <n v="250"/>
    <n v="307.125"/>
    <m/>
    <m/>
    <m/>
  </r>
  <r>
    <s v="635-102422-002"/>
    <s v="OSC,SMD,XTAL,3.072MHZ,3.3VDC,25PPM,JS6"/>
    <s v="XLH536003.072000I"/>
    <s v="RENESAS"/>
    <n v="25"/>
    <n v="1"/>
    <n v="22"/>
    <n v="2.04"/>
    <n v="25"/>
    <n v="3938"/>
    <s v="Active"/>
    <x v="0"/>
    <n v="150"/>
    <n v="306"/>
    <m/>
    <s v="3/11/26:  Qty adjusted up to meet $250 MOV."/>
    <m/>
  </r>
  <r>
    <s v="668-033594-008"/>
    <s v="CONN,HEADER,RT ANGLE, 8 POS"/>
    <s v="103361-6"/>
    <s v="TE CONNECTIVITY"/>
    <n v="10"/>
    <n v="23"/>
    <n v="21"/>
    <n v="4.07"/>
    <n v="10"/>
    <n v="5618"/>
    <s v="Active (NRND)"/>
    <x v="0"/>
    <n v="75"/>
    <n v="305.25"/>
    <m/>
    <m/>
    <m/>
  </r>
  <r>
    <s v="668-B17520-003"/>
    <s v="CONN,PLUG,M8,SHLD,3POSN,3A,PCB/PNL MT"/>
    <s v="T4040034031-001"/>
    <s v="TE CONNECTIVITY"/>
    <n v="55"/>
    <n v="1"/>
    <n v="0"/>
    <n v="5.5"/>
    <n v="55"/>
    <n v="0"/>
    <s v="Active (NRND)"/>
    <x v="0"/>
    <n v="55"/>
    <n v="302.5"/>
    <m/>
    <m/>
    <m/>
  </r>
  <r>
    <s v="668-A01540-026"/>
    <s v="CONN,PLUG,D-SUB,26POSN,3ROW,3A,SLDR,STR"/>
    <s v="163A16959X"/>
    <s v="CONEC ELEKTRONISCHE BAUELEMENTE GMBH"/>
    <n v="10"/>
    <n v="1"/>
    <n v="19"/>
    <n v="12.098599999999999"/>
    <n v="10"/>
    <n v="414"/>
    <s v="Active"/>
    <x v="0"/>
    <n v="25"/>
    <n v="302.46499999999997"/>
    <m/>
    <s v="3/11/26:  Qty adjusted up to meet $250 MOV."/>
    <m/>
  </r>
  <r>
    <s v="668-270723-001"/>
    <s v="CONN,PLUG,MALE,D-SUB,7POSN,2ROW,7W2"/>
    <s v="3007W2PCT56N40X"/>
    <s v="CONEC ELEKTRONISCHE BAUELEMENTE GMBH"/>
    <n v="10"/>
    <n v="1"/>
    <n v="12"/>
    <n v="15.06"/>
    <n v="10"/>
    <n v="605"/>
    <s v="Active (Unconfirmed)"/>
    <x v="0"/>
    <n v="20"/>
    <n v="301.2"/>
    <m/>
    <m/>
    <m/>
  </r>
  <r>
    <s v="723-084496-010"/>
    <s v="STDF,HEX,6MM,M/F,SST,M4X.7X10MM"/>
    <s v="M2145-4007-SS-20"/>
    <s v="RAF"/>
    <n v="20"/>
    <n v="1"/>
    <n v="4"/>
    <n v="15.028"/>
    <n v="20"/>
    <n v="526"/>
    <s v="Active"/>
    <x v="0"/>
    <n v="20"/>
    <n v="300.56"/>
    <m/>
    <m/>
    <m/>
  </r>
  <r>
    <s v="668-007087-012"/>
    <s v="CONN,HDR,PCB,M-ST,UNV M-N-LOK,12P,ROHS"/>
    <s v="350713-4"/>
    <s v="TE CONNECTIVITY"/>
    <n v="40"/>
    <n v="94"/>
    <n v="25"/>
    <n v="5.9989999999999997"/>
    <n v="40"/>
    <n v="4749"/>
    <s v="Active"/>
    <x v="0"/>
    <n v="50"/>
    <n v="299.95"/>
    <m/>
    <s v="3/11/26:  Qty adjusted up to meet $250 MOV."/>
    <m/>
  </r>
  <r>
    <s v="630-B70151-001"/>
    <s v="IC,SMD,OP AMP,CMOS,DUAL,2.7-5.5V,SOIC-8"/>
    <s v="ADA4891-2ARZ"/>
    <s v="ANALOG DEVICES INC."/>
    <n v="120"/>
    <n v="2500"/>
    <n v="19"/>
    <n v="2.4971999999999999"/>
    <n v="120"/>
    <n v="4068"/>
    <s v="Active"/>
    <x v="0"/>
    <n v="120"/>
    <n v="299.66399999999999"/>
    <m/>
    <m/>
    <m/>
  </r>
  <r>
    <s v="616-052546-007"/>
    <s v="RES,LOAD,40 OHM,100W,1%TOL,TO-247"/>
    <s v="MP9100-40.0-1%"/>
    <s v="CADDOCK ELECTRONICS INC."/>
    <n v="20"/>
    <n v="1"/>
    <n v="16"/>
    <n v="9.92"/>
    <n v="20"/>
    <n v="468"/>
    <s v="Active"/>
    <x v="0"/>
    <n v="30"/>
    <n v="297.60000000000002"/>
    <m/>
    <s v="3/11/26:  Qty adjusted up to meet $250 MOV."/>
    <m/>
  </r>
  <r>
    <s v="668-A51618-026"/>
    <s v="CONN,PLUG,D-SUB,H DENSITY,26POSN,3A,60V"/>
    <s v="163A17059X"/>
    <s v="CONEC ELEKTRONISCHE BAUELEMENTE GMBH"/>
    <n v="10"/>
    <n v="1"/>
    <n v="17"/>
    <n v="11.83"/>
    <n v="10"/>
    <n v="68"/>
    <s v="Active"/>
    <x v="0"/>
    <n v="25"/>
    <n v="295.75"/>
    <m/>
    <s v="3/11/26:  Qty adjusted up to meet $250 MOV."/>
    <m/>
  </r>
  <r>
    <s v="630-120971-001"/>
    <s v="IC,SMD,DDR2 SDRAM,2GB,128MX16,1.8V"/>
    <s v="MT47H128M16RT-25E:C TR"/>
    <s v="MICRON TECHNOLOGY, INC."/>
    <n v="10"/>
    <n v="2000"/>
    <n v="7"/>
    <n v="14.779199999999999"/>
    <n v="2000"/>
    <n v="2472"/>
    <s v="Last Time Buy"/>
    <x v="0"/>
    <n v="20"/>
    <n v="295.584"/>
    <m/>
    <s v="3/11/26:  Qty adjusted up to meet $250 MOV."/>
    <m/>
  </r>
  <r>
    <s v="630-311294-001"/>
    <s v="IC,SMD,REG,BUCK,ADJ,7A,65V,32LQFN"/>
    <s v="LT8645SEV#PBF"/>
    <s v="ANALOG DEVICES"/>
    <n v="20"/>
    <n v="1"/>
    <n v="24"/>
    <n v="11.798"/>
    <n v="20"/>
    <n v="208"/>
    <s v="Active"/>
    <x v="0"/>
    <n v="25"/>
    <n v="294.95"/>
    <m/>
    <s v="3/11/26:  Qty adjusted up to meet $250 MOV."/>
    <m/>
  </r>
  <r>
    <s v="668-A12469-004"/>
    <s v="CONN,RCPT,4POSN,2.54MM PITCH,SGL ROW"/>
    <s v="SSW-104-06-G-S"/>
    <s v="SAMTEC"/>
    <n v="10"/>
    <n v="1"/>
    <n v="7"/>
    <n v="3.9310999999999998"/>
    <n v="10"/>
    <n v="4897"/>
    <s v="Active"/>
    <x v="0"/>
    <n v="75"/>
    <n v="294.83249999999998"/>
    <m/>
    <s v="3/11/26:  Qty adjusted up to meet $250 MOV."/>
    <m/>
  </r>
  <r>
    <s v="615-267477-001"/>
    <s v="RES,SMD,2512,THKF,5%,1W,160K OHM,ROHS"/>
    <s v="CRCW2512160KJNEG"/>
    <s v="VISHAY"/>
    <n v="70"/>
    <n v="2000"/>
    <n v="17"/>
    <n v="0.1472"/>
    <n v="70"/>
    <n v="8459"/>
    <s v="Active"/>
    <x v="0"/>
    <n v="2000"/>
    <n v="294.39999999999998"/>
    <m/>
    <s v="3/11/26:  Qty adjusted up to meet $250 MOV."/>
    <m/>
  </r>
  <r>
    <s v="668-A21735-001"/>
    <s v="CONN,HDR,PLUG,STR,1ROW,4POSN,.1IN PITCH"/>
    <s v="MTSW-104-23-G-S-255"/>
    <s v="SAMTEC"/>
    <n v="10"/>
    <n v="1"/>
    <n v="8"/>
    <n v="1.9616"/>
    <n v="10"/>
    <n v="6653"/>
    <s v="Active"/>
    <x v="0"/>
    <n v="150"/>
    <n v="294.24"/>
    <m/>
    <s v="3/11/26:  Qty adjusted up to meet $250 MOV."/>
    <m/>
  </r>
  <r>
    <s v="630-198438-001"/>
    <s v="IC,SMD,QUAD 16BIT DAC,I2C INTFC"/>
    <s v="AD5696RBRUZ"/>
    <s v="ANALOG DEVICES INC."/>
    <n v="10"/>
    <n v="1"/>
    <n v="20"/>
    <n v="19.532"/>
    <n v="10"/>
    <n v="5213"/>
    <s v="Active"/>
    <x v="0"/>
    <n v="15"/>
    <n v="292.98"/>
    <m/>
    <s v="3/11/26:  Qty adjusted up to meet $250 MOV."/>
    <m/>
  </r>
  <r>
    <s v="616-052546-005"/>
    <s v="RES,LOAD,5 OHM,100W,1%TOL,TO-247"/>
    <s v="MP9100-5.00-1%"/>
    <s v="CADDOCK ELECTRONICS INC."/>
    <n v="20"/>
    <n v="1"/>
    <n v="20"/>
    <n v="14.6318"/>
    <n v="20"/>
    <n v="5862"/>
    <s v="Active"/>
    <x v="0"/>
    <n v="20"/>
    <n v="292.63600000000002"/>
    <m/>
    <m/>
    <m/>
  </r>
  <r>
    <s v="621-266358-001"/>
    <s v="POT,2K OHM,0.5W,25T,SIDE ADJUST"/>
    <s v="3299Z-1-202LF"/>
    <s v="BOURNS"/>
    <n v="10"/>
    <n v="1"/>
    <n v="14"/>
    <n v="1.6598999999999999"/>
    <n v="10"/>
    <n v="6413"/>
    <s v="Active"/>
    <x v="0"/>
    <n v="175"/>
    <n v="290.48250000000002"/>
    <m/>
    <s v="3/11/26:  Qty adjusted up to meet $250 MOV."/>
    <m/>
  </r>
  <r>
    <s v="667-281523-006"/>
    <s v="CONN,SMD,PWR,SHROUDED,16POS,ROHS"/>
    <s v="IPL1-108-02-L-D-K"/>
    <s v="SAMTEC"/>
    <n v="20"/>
    <n v="200"/>
    <n v="10"/>
    <n v="2.8997999999999999"/>
    <n v="20"/>
    <n v="3065"/>
    <s v="Active"/>
    <x v="0"/>
    <n v="100"/>
    <n v="289.98"/>
    <m/>
    <s v="3/11/26:  Qty adjusted up to meet $250 MOV."/>
    <m/>
  </r>
  <r>
    <s v="670-263372-008"/>
    <s v="FUSE,CRTG,CER,FAST-ACT,0.2A,250V,5X20MM"/>
    <s v="0216.200MXP"/>
    <s v="LITTELFUSE"/>
    <n v="40"/>
    <n v="1"/>
    <n v="25"/>
    <n v="1.1535"/>
    <n v="40"/>
    <n v="7622"/>
    <s v="Active"/>
    <x v="0"/>
    <n v="250"/>
    <n v="288.375"/>
    <m/>
    <s v="3/11/26:  Qty adjusted up to meet $250 MOV."/>
    <m/>
  </r>
  <r>
    <s v="645-313806-001"/>
    <s v="SW,DIP,MINIATURE,ROTARY,WASHABLE"/>
    <s v="DRR7016C"/>
    <s v="NIDEC"/>
    <n v="85"/>
    <n v="1"/>
    <n v="15"/>
    <n v="3.3820000000000001"/>
    <n v="85"/>
    <n v="5664"/>
    <s v="Active"/>
    <x v="0"/>
    <n v="85"/>
    <n v="287.47000000000003"/>
    <m/>
    <m/>
    <m/>
  </r>
  <r>
    <s v="669-C00309-007"/>
    <s v="CONT,PIN,600V,140A,6MM DIA,48MM LG"/>
    <s v="203263-0066"/>
    <s v="MOLEX, LLC"/>
    <n v="10"/>
    <n v="300"/>
    <n v="5"/>
    <n v="3.8"/>
    <n v="0"/>
    <n v="7284"/>
    <s v="Active"/>
    <x v="0"/>
    <n v="75"/>
    <n v="285"/>
    <m/>
    <s v="3/11/26:  Qty adjusted up to meet $250 MOV."/>
    <m/>
  </r>
  <r>
    <s v="668-267052-006"/>
    <s v="CONN,HDR,PCB,6CKT,1ROW,600V,50A,10MM,BLK"/>
    <s v="428196223"/>
    <s v="MOLEX, LLC"/>
    <n v="10"/>
    <n v="180"/>
    <n v="16"/>
    <n v="11.396000000000001"/>
    <n v="10"/>
    <n v="2169"/>
    <s v="Active"/>
    <x v="0"/>
    <n v="25"/>
    <n v="284.90000000000003"/>
    <m/>
    <s v="3/11/26:  Qty adjusted up to meet $250 MOV."/>
    <m/>
  </r>
  <r>
    <s v="615-122309-612"/>
    <s v="RES,0805,TF,0.1W,0.01%,61.2K ROHS"/>
    <s v="RNCF0805TTT61K2"/>
    <s v="STACKPOLE ELECTRONICS"/>
    <n v="20"/>
    <n v="5000"/>
    <n v="17"/>
    <n v="0.81399999999999995"/>
    <n v="20"/>
    <n v="0"/>
    <s v="Active"/>
    <x v="0"/>
    <n v="350"/>
    <n v="284.89999999999998"/>
    <m/>
    <s v="3/11/26:  Qty adjusted up to meet $250 MOV."/>
    <m/>
  </r>
  <r>
    <s v="630-339886-001"/>
    <s v="IC,SMD,DC/DC,STEP DN MDL,4-36V,0.5A"/>
    <s v="LMZM23600SILT"/>
    <s v="TEXAS INSTRUMENTS"/>
    <n v="10"/>
    <n v="1"/>
    <n v="6"/>
    <n v="7.08"/>
    <n v="10"/>
    <n v="551"/>
    <s v="Active"/>
    <x v="0"/>
    <n v="40"/>
    <n v="283.2"/>
    <m/>
    <s v="3/11/26:  Qty adjusted up to meet $250 MOV."/>
    <m/>
  </r>
  <r>
    <s v="630-017794-002"/>
    <s v="IC,SMD,SWITCHING REG,LT1376HVIS, ROHS"/>
    <s v="LT1376HVIS#PBF"/>
    <s v="ANALOG DEVICES"/>
    <n v="20"/>
    <n v="1"/>
    <n v="20"/>
    <n v="14.11"/>
    <n v="20"/>
    <n v="1086"/>
    <s v="Active"/>
    <x v="0"/>
    <n v="20"/>
    <n v="282.2"/>
    <m/>
    <m/>
    <m/>
  </r>
  <r>
    <s v="630-900073-001"/>
    <s v="IC,AD586 VREF 5V SO8"/>
    <s v="AD586KRZ"/>
    <s v="ANALOG DEVICES INC."/>
    <n v="10"/>
    <n v="1"/>
    <n v="20"/>
    <n v="11.2578"/>
    <n v="10"/>
    <n v="716"/>
    <s v="Active"/>
    <x v="0"/>
    <n v="25"/>
    <n v="281.44499999999999"/>
    <m/>
    <s v="3/11/26:  Qty adjusted up to meet $250 MOV."/>
    <m/>
  </r>
  <r>
    <s v="615-224835-017"/>
    <s v="RES,0603,TF,0.1%,25 PPM,0.15W,49.9K"/>
    <s v="PATT0603E4992BGT1"/>
    <s v="VISHAY"/>
    <n v="10"/>
    <n v="1000"/>
    <n v="24"/>
    <n v="0.80379999999999996"/>
    <n v="10"/>
    <n v="3804"/>
    <s v="Active"/>
    <x v="0"/>
    <n v="350"/>
    <n v="281.33"/>
    <m/>
    <s v="3/11/26:  Qty adjusted up to meet $250 MOV."/>
    <m/>
  </r>
  <r>
    <s v="630-268428-001"/>
    <s v="IC,SMD,USB BRIDGE TO UART,DFN12"/>
    <s v="FT234XD-R"/>
    <s v="FUTURE TECHNOLOGY DEVICES INTERNATIONAL (FTDI) LTD."/>
    <n v="45"/>
    <n v="5000"/>
    <n v="30"/>
    <n v="2.2502"/>
    <n v="45"/>
    <n v="2570"/>
    <s v="Active"/>
    <x v="0"/>
    <n v="125"/>
    <n v="281.27499999999998"/>
    <m/>
    <s v="3/11/26:  Qty adjusted up to meet $250 MOV."/>
    <m/>
  </r>
  <r>
    <s v="668-096777-037"/>
    <s v="CONN,DSUB,37P,M,STR,BRD LCK,ROHS"/>
    <s v="K85X-CD-37P-CBR"/>
    <s v="KYCON, INC"/>
    <n v="25"/>
    <n v="50"/>
    <n v="5"/>
    <n v="5.62"/>
    <n v="0"/>
    <n v="126"/>
    <s v="Active"/>
    <x v="0"/>
    <n v="50"/>
    <n v="281"/>
    <m/>
    <s v="3/11/26:  Qty adjusted up to meet $250 MOV."/>
    <m/>
  </r>
  <r>
    <s v="630-248896-001"/>
    <s v="IC,SMD,FLASH,128M,QPI/QSPI"/>
    <s v="IS25LP128-JBLE"/>
    <s v="INTEGRATED SILICON SOLUTION"/>
    <n v="130"/>
    <n v="1"/>
    <n v="22"/>
    <n v="2.1596000000000002"/>
    <n v="130"/>
    <n v="7824"/>
    <s v="Active"/>
    <x v="0"/>
    <n v="130"/>
    <n v="280.74800000000005"/>
    <m/>
    <m/>
    <m/>
  </r>
  <r>
    <s v="630-087790-001"/>
    <s v="IC,SMD,ECAT CONT,ET1100,128BGA,ROHS"/>
    <s v="ET1100"/>
    <s v="BECKHOFF AUTOMATION LLC"/>
    <n v="30"/>
    <n v="4000"/>
    <n v="0"/>
    <n v="0.1598"/>
    <n v="0"/>
    <s v="Build to Order"/>
    <s v="N/A"/>
    <x v="0"/>
    <n v="1750"/>
    <n v="279.64999999999998"/>
    <m/>
    <m/>
    <m/>
  </r>
  <r>
    <s v="630-068465-004"/>
    <s v="IC,SMD,VOLTAGE REF,0.1%,4.096V ROHS"/>
    <s v="REF5040AID"/>
    <s v="TEXAS INSTRUMENTS"/>
    <n v="10"/>
    <n v="2500"/>
    <n v="6"/>
    <n v="5.59"/>
    <n v="10"/>
    <n v="2034"/>
    <s v="Active"/>
    <x v="0"/>
    <n v="50"/>
    <n v="279.5"/>
    <m/>
    <s v="3/11/26:  Qty adjusted up to meet $250 MOV."/>
    <m/>
  </r>
  <r>
    <s v="615-049171-274"/>
    <s v="RES,SMD,0805,27.4K OHMS,ROHS"/>
    <s v="RG2012P-2742-B-T5"/>
    <s v="SUSUMU"/>
    <n v="20"/>
    <n v="5000"/>
    <n v="23"/>
    <n v="0.223"/>
    <n v="20"/>
    <n v="2223"/>
    <s v="Active"/>
    <x v="0"/>
    <n v="1250"/>
    <n v="278.75"/>
    <m/>
    <s v="3/11/26:  Qty adjusted up to meet $250 MOV."/>
    <m/>
  </r>
  <r>
    <s v="723-299192-001"/>
    <s v="STDF,RND,SMT,0.125 LONG"/>
    <s v="SMTSO-143-4ET"/>
    <s v="PENN ENGINEERING"/>
    <n v="60"/>
    <n v="1"/>
    <n v="17"/>
    <n v="0.79349999999999998"/>
    <n v="60"/>
    <n v="9399"/>
    <s v="Active"/>
    <x v="0"/>
    <n v="350"/>
    <n v="277.72499999999997"/>
    <m/>
    <s v="3/11/26:  Qty adjusted up to meet $250 MOV."/>
    <m/>
  </r>
  <r>
    <s v="626-A21861-001"/>
    <s v="XSTR,SMD,MOSFET,N-CH,300V,26A,TO-252"/>
    <s v="IXFY26N30X3"/>
    <s v="LITTELFUSE"/>
    <n v="20"/>
    <n v="1"/>
    <n v="49"/>
    <n v="3.9668000000000001"/>
    <n v="20"/>
    <n v="9188"/>
    <s v="Active"/>
    <x v="0"/>
    <n v="70"/>
    <n v="277.67599999999999"/>
    <m/>
    <s v="3/11/26:  Qty adjusted up to meet $250 MOV."/>
    <m/>
  </r>
  <r>
    <s v="630-228108-001"/>
    <s v="IC,SMD,BI,DIR,LEVEL TRANSL,6CH"/>
    <s v="MAX13035EETE+"/>
    <s v="MAXIM INTEGRATED"/>
    <n v="30"/>
    <n v="2500"/>
    <n v="19"/>
    <n v="9.2415000000000003"/>
    <n v="30"/>
    <n v="1430"/>
    <s v="Active"/>
    <x v="0"/>
    <n v="30"/>
    <n v="277.245"/>
    <m/>
    <m/>
    <m/>
  </r>
  <r>
    <s v="616-052546-003"/>
    <s v="RES,LOAD,20 OHM,100W,1%TOL,TO-247"/>
    <s v="MP9100-20.0-1%"/>
    <s v="CADDOCK ELECTRONICS INC."/>
    <n v="20"/>
    <n v="1"/>
    <n v="17"/>
    <n v="13.852"/>
    <n v="20"/>
    <n v="2828"/>
    <s v="Active"/>
    <x v="0"/>
    <n v="20"/>
    <n v="277.04000000000002"/>
    <m/>
    <m/>
    <m/>
  </r>
  <r>
    <s v="639-121560-001"/>
    <s v="IDCTR,SMD,PWR,2.2UH,30% TOL,1.45A"/>
    <s v="SRU2013-2R2Y"/>
    <s v="BOURNS"/>
    <n v="30"/>
    <n v="1200"/>
    <n v="15"/>
    <n v="0.79"/>
    <n v="30"/>
    <n v="8708"/>
    <s v="Active"/>
    <x v="0"/>
    <n v="350"/>
    <n v="276.5"/>
    <m/>
    <s v="3/11/26:  Qty adjusted up to meet $250 MOV."/>
    <m/>
  </r>
  <r>
    <s v="779-002694-001"/>
    <s v="HTSK,THERMAL CONDUCTOR,TO-220"/>
    <s v="QII-0.006-00-61"/>
    <s v="HENKEL"/>
    <n v="20"/>
    <n v="1"/>
    <n v="3"/>
    <n v="0.55000000000000004"/>
    <n v="0"/>
    <s v="Build to Order"/>
    <s v="N/A"/>
    <x v="0"/>
    <n v="500"/>
    <n v="275"/>
    <m/>
    <m/>
    <m/>
  </r>
  <r>
    <s v="631-099702-003"/>
    <s v="IC,FO RECVR, HORZ, ROHS"/>
    <s v="HFBR-2531ETZ"/>
    <s v="BROADCOM INC."/>
    <n v="10"/>
    <n v="1"/>
    <n v="24"/>
    <n v="18.3095"/>
    <n v="10"/>
    <n v="4941"/>
    <s v="Active"/>
    <x v="0"/>
    <n v="15"/>
    <n v="274.64249999999998"/>
    <m/>
    <s v="3/11/26:  Qty adjusted up to meet $250 MOV."/>
    <m/>
  </r>
  <r>
    <s v="639-A21737-001"/>
    <s v="IDCTR,SMD,22UH,18MHZ,2.5A,AEC-Q200"/>
    <s v="DO3316T-223MLD"/>
    <s v="COILCRAFT"/>
    <n v="10"/>
    <n v="1"/>
    <n v="26"/>
    <n v="2.7320000000000002"/>
    <n v="10"/>
    <n v="1191"/>
    <s v="Active"/>
    <x v="0"/>
    <n v="100"/>
    <n v="273.20000000000005"/>
    <m/>
    <s v="3/11/26:  Qty adjusted up to meet $250 MOV."/>
    <m/>
  </r>
  <r>
    <s v="630-026177-001"/>
    <s v="IC,SMD,HOT SWAP SWITCH,POS 65V,ROHS"/>
    <s v="MAX5917AESE+"/>
    <s v="MAXIM INTEGRATED"/>
    <n v="10"/>
    <n v="1"/>
    <n v="24"/>
    <n v="6.8188000000000004"/>
    <n v="10"/>
    <n v="118"/>
    <s v="Active"/>
    <x v="0"/>
    <n v="40"/>
    <n v="272.75200000000001"/>
    <m/>
    <s v="3/11/26:  Qty adjusted up to meet $250 MOV."/>
    <m/>
  </r>
  <r>
    <s v="648-051878-333"/>
    <s v="CAP,SMD,0603,.033UF,50V,10%,X7R,ROHS"/>
    <s v="C0603T333K5RACTU"/>
    <s v="KEMET"/>
    <n v="10"/>
    <n v="1"/>
    <n v="25"/>
    <n v="0.49419999999999997"/>
    <n v="10"/>
    <n v="0"/>
    <s v="Active"/>
    <x v="0"/>
    <n v="550"/>
    <n v="271.81"/>
    <m/>
    <s v="3/11/26:  Qty adjusted up to meet $250 MOV."/>
    <m/>
  </r>
  <r>
    <s v="630-232598-001"/>
    <s v="IC,SMD,2.93V,SUPPLY,MONITOR"/>
    <s v="TLC7733IPWR"/>
    <s v="TEXAS INSTRUMENTS"/>
    <n v="20"/>
    <n v="2000"/>
    <n v="6"/>
    <n v="1.8055000000000001"/>
    <n v="20"/>
    <n v="9612"/>
    <s v="Active"/>
    <x v="0"/>
    <n v="150"/>
    <n v="270.82499999999999"/>
    <m/>
    <s v="3/11/26:  Qty adjusted up to meet $250 MOV."/>
    <m/>
  </r>
  <r>
    <s v="615-A40653-909"/>
    <s v="RES,SMD,1206,0.1%,0.4W,90.9K,ROHS"/>
    <s v="TNPW120690K9BEEA"/>
    <s v="VISHAY"/>
    <n v="10"/>
    <n v="1"/>
    <n v="15"/>
    <n v="0.4158"/>
    <n v="10"/>
    <n v="2288"/>
    <s v="Active"/>
    <x v="0"/>
    <n v="650"/>
    <n v="270.27"/>
    <m/>
    <s v="3/11/26:  Qty adjusted up to meet $250 MOV."/>
    <m/>
  </r>
  <r>
    <s v="668-121742-012"/>
    <s v="CONN,MAG45 MOD JACK GRN/YEL PCB,ROHS"/>
    <s v="2250067-1"/>
    <s v="TRP CONNECTOR B.V."/>
    <n v="20"/>
    <n v="1"/>
    <n v="29"/>
    <n v="5.3993000000000002"/>
    <n v="20"/>
    <n v="5420"/>
    <s v="Active"/>
    <x v="0"/>
    <n v="50"/>
    <n v="269.96500000000003"/>
    <m/>
    <s v="3/11/26:  Qty adjusted up to meet $250 MOV."/>
    <m/>
  </r>
  <r>
    <s v="668-A44871-006"/>
    <s v="CONN,HDR,6CKT,7.5MM PITCH,18A,600V,TH"/>
    <s v="43160-0306"/>
    <s v="MOLEX, LLC"/>
    <n v="10"/>
    <n v="1"/>
    <n v="28"/>
    <n v="2.1516999999999999"/>
    <n v="10"/>
    <n v="1530"/>
    <s v="Active"/>
    <x v="0"/>
    <n v="125"/>
    <n v="268.96249999999998"/>
    <m/>
    <s v="3/11/26:  Qty adjusted up to meet $250 MOV."/>
    <m/>
  </r>
  <r>
    <s v="668-267052-004"/>
    <s v="CONN,HDR,PCB,5CKT,1ROW,600V,50A,10MM,BLK"/>
    <s v="428195223"/>
    <s v="MOLEX, LLC"/>
    <n v="10"/>
    <n v="216"/>
    <n v="26"/>
    <n v="10.736499999999999"/>
    <n v="10"/>
    <n v="1155"/>
    <s v="Active"/>
    <x v="0"/>
    <n v="25"/>
    <n v="268.41249999999997"/>
    <m/>
    <s v="3/11/26:  Qty adjusted up to meet $250 MOV."/>
    <m/>
  </r>
  <r>
    <s v="668-269583-002"/>
    <s v="CONN,PLUG HSG,DIN,SIG,32P,TYPE 2Q,ROHS"/>
    <s v="09271326903"/>
    <s v="HARTING TECHNOLOGY GROUP"/>
    <n v="20"/>
    <n v="20"/>
    <n v="15"/>
    <n v="6.67"/>
    <n v="20"/>
    <n v="229"/>
    <s v="Active"/>
    <x v="0"/>
    <n v="40"/>
    <n v="266.8"/>
    <m/>
    <s v="3/11/26:  Qty adjusted up to meet $250 MOV."/>
    <m/>
  </r>
  <r>
    <s v="667-281523-008"/>
    <s v="CONN,SMD,PWR,SHROUDED,24POS,ROHS"/>
    <s v="IPL1-112-02-L-D-K"/>
    <s v="SAMTEC"/>
    <n v="20"/>
    <n v="1"/>
    <n v="11"/>
    <n v="4.8367000000000004"/>
    <n v="20"/>
    <n v="2091"/>
    <s v="Active"/>
    <x v="0"/>
    <n v="55"/>
    <n v="266.01850000000002"/>
    <m/>
    <s v="3/11/26:  Qty adjusted up to meet $250 MOV."/>
    <m/>
  </r>
  <r>
    <s v="648-243376-039"/>
    <s v="CAP,SMD,CER,1000PF,±5%,X7R,630V,0805"/>
    <s v="C0805C102JBRACTU"/>
    <s v="KEMET"/>
    <n v="100"/>
    <n v="1"/>
    <n v="20"/>
    <n v="0.26600000000000001"/>
    <n v="100"/>
    <n v="4453"/>
    <s v="Active"/>
    <x v="0"/>
    <n v="1000"/>
    <n v="266"/>
    <m/>
    <s v="3/11/26:  Qty adjusted up to meet $250 MOV."/>
    <m/>
  </r>
  <r>
    <s v="631-099701-003"/>
    <s v="IC,XMTR,FIBER OPTIC,ROHS"/>
    <s v="HFBR-1531ETZ"/>
    <s v="BROADCOM INC."/>
    <n v="10"/>
    <n v="1"/>
    <n v="19"/>
    <n v="17.720600000000001"/>
    <n v="10"/>
    <n v="754"/>
    <s v="Active"/>
    <x v="0"/>
    <n v="15"/>
    <n v="265.80900000000003"/>
    <m/>
    <s v="3/11/26:  Qty adjusted up to meet $250 MOV."/>
    <m/>
  </r>
  <r>
    <s v="668-089643-020"/>
    <s v="CONN,RCPT,LOW PROFILE STRIP 20P,ROHS"/>
    <s v="SL-120-G-10"/>
    <s v="SAMTEC"/>
    <n v="20"/>
    <n v="1"/>
    <n v="6"/>
    <n v="7.5869999999999997"/>
    <n v="20"/>
    <n v="5056"/>
    <s v="Active"/>
    <x v="0"/>
    <n v="35"/>
    <n v="265.54500000000002"/>
    <m/>
    <s v="3/11/26:  Qty adjusted up to meet $250 MOV."/>
    <m/>
  </r>
  <r>
    <s v="639-A21747-001"/>
    <s v="XFMR,SMD,GATE DRIVE,1:1:1,1500VDC"/>
    <s v="X-1569"/>
    <s v="PULSER LLC."/>
    <n v="10"/>
    <n v="400"/>
    <n v="15"/>
    <n v="13.2582"/>
    <n v="10"/>
    <n v="3379"/>
    <s v="Active"/>
    <x v="0"/>
    <n v="20"/>
    <n v="265.16399999999999"/>
    <m/>
    <s v="3/11/26:  Qty adjusted up to meet $250 MOV."/>
    <m/>
  </r>
  <r>
    <s v="31-10099-00"/>
    <s v="KEYING PLUG,D CONN"/>
    <s v="206509-1"/>
    <s v="TE CONNECTIVITY (P)"/>
    <n v="620"/>
    <n v="2000"/>
    <n v="5"/>
    <n v="0.53"/>
    <n v="2000"/>
    <n v="192627"/>
    <s v="Active"/>
    <x v="0"/>
    <n v="500"/>
    <n v="265"/>
    <m/>
    <m/>
    <m/>
  </r>
  <r>
    <s v="630-067077-002"/>
    <s v="IC,SMD,OPT, 1MHZ,6P, ,H11N1SR2M ROHS"/>
    <s v="H11N1SR2M"/>
    <s v="ON SEMICONDUCTOR"/>
    <n v="10"/>
    <n v="1000"/>
    <n v="21"/>
    <n v="1.325"/>
    <n v="10"/>
    <n v="5332"/>
    <s v="Active"/>
    <x v="0"/>
    <n v="200"/>
    <n v="265"/>
    <m/>
    <s v="3/11/26:  Qty adjusted up to meet $250 MOV."/>
    <m/>
  </r>
  <r>
    <s v="615-B36708-002"/>
    <s v="RES,SMD,2.43K OHM,0.1%,0.063W,0402"/>
    <s v="ERA2ARB2431X"/>
    <s v="PANASONIC"/>
    <n v="240"/>
    <n v="10000"/>
    <n v="12"/>
    <n v="0.33100000000000002"/>
    <n v="240"/>
    <n v="7754"/>
    <s v="Active"/>
    <x v="0"/>
    <n v="800"/>
    <n v="264.8"/>
    <m/>
    <s v="3/11/26:  Qty adjusted up to meet $250 MOV."/>
    <m/>
  </r>
  <r>
    <s v="630-204173-001"/>
    <s v="IC,SMD,CLK BUFFER"/>
    <s v="524MILF"/>
    <s v="IDT"/>
    <n v="30"/>
    <n v="1"/>
    <n v="16"/>
    <n v="3.31"/>
    <n v="30"/>
    <n v="2049"/>
    <s v="Active"/>
    <x v="0"/>
    <n v="80"/>
    <n v="264.8"/>
    <m/>
    <s v="3/11/26:  Qty adjusted up to meet $250 MOV."/>
    <m/>
  </r>
  <r>
    <s v="668-B94693-003"/>
    <s v="CONN,HDR,3POSN,RTANG,30A,PCB,W/ BD LOCK"/>
    <s v="172043-0302"/>
    <s v="MOLEX, LLC"/>
    <n v="10"/>
    <n v="1"/>
    <n v="21"/>
    <n v="4.806"/>
    <n v="10"/>
    <n v="1420"/>
    <s v="Active"/>
    <x v="0"/>
    <n v="55"/>
    <n v="264.33"/>
    <m/>
    <s v="3/11/26:  Qty adjusted up to meet $250 MOV."/>
    <m/>
  </r>
  <r>
    <s v="616-052546-006"/>
    <s v="RES,LOAD,10 OHM,100W,1%TOL,TO-247"/>
    <s v="MP9100-10.0-1%"/>
    <s v="CADDOCK ELECTRONICS INC."/>
    <n v="20"/>
    <n v="1"/>
    <n v="16"/>
    <n v="13.173999999999999"/>
    <n v="20"/>
    <n v="1632"/>
    <s v="Active"/>
    <x v="0"/>
    <n v="20"/>
    <n v="263.48"/>
    <m/>
    <m/>
    <m/>
  </r>
  <r>
    <s v="615-B39027-001"/>
    <s v="RES,SMD,THIN FILM,249OHM,.1%,1/16W,0402"/>
    <s v="TNPW0402249RBYEP"/>
    <s v="VISHAY"/>
    <n v="40"/>
    <n v="1000"/>
    <n v="15"/>
    <n v="0.40510000000000002"/>
    <n v="40"/>
    <n v="5437"/>
    <s v="Active"/>
    <x v="0"/>
    <n v="650"/>
    <n v="263.315"/>
    <m/>
    <s v="3/11/26:  Qty adjusted up to meet $250 MOV."/>
    <m/>
  </r>
  <r>
    <s v="635-B65663-160"/>
    <s v="OSC,SMD,XTAL,16MHZ,2.5PPM,1.7-3.6V"/>
    <s v="ECS-TXO-3225MV-160-TR"/>
    <s v="ECS INC. INTERNATIONAL"/>
    <n v="120"/>
    <n v="1000"/>
    <n v="23"/>
    <n v="1.7549999999999999"/>
    <n v="120"/>
    <n v="7944"/>
    <s v="Active"/>
    <x v="0"/>
    <n v="150"/>
    <n v="263.25"/>
    <m/>
    <s v="3/11/26:  Qty adjusted up to meet $250 MOV."/>
    <m/>
  </r>
  <r>
    <s v="615-041833-203"/>
    <s v="RES,SMD,2010,PTF,1%,1/2W,20K"/>
    <s v="ERJ-12SF2002U"/>
    <s v="PANASONIC"/>
    <n v="20"/>
    <n v="10000"/>
    <n v="26"/>
    <n v="0.3286"/>
    <n v="20"/>
    <n v="0"/>
    <s v="Active (NRND)"/>
    <x v="0"/>
    <n v="800"/>
    <n v="262.88"/>
    <m/>
    <s v="3/11/26:  Qty adjusted up to meet $250 MOV."/>
    <m/>
  </r>
  <r>
    <s v="648-C06198-303"/>
    <s v="CAP,SMD,MLCC,0.03UF,10%,X7R,3KVDC"/>
    <s v="C2220C303KHRLCAUTO"/>
    <s v="KEMET"/>
    <n v="80"/>
    <n v="300"/>
    <n v="26"/>
    <n v="3.2854999999999999"/>
    <n v="80"/>
    <n v="1571"/>
    <s v="Active"/>
    <x v="0"/>
    <n v="80"/>
    <n v="262.83999999999997"/>
    <m/>
    <m/>
    <m/>
  </r>
  <r>
    <s v="615-B72620-005"/>
    <s v="RES,SMD,CUR SNS,0.005OHM,1% TOL,4W,3518"/>
    <s v="FC4L90R005FER"/>
    <s v="OHMITE MANUFACTURING COMPANY"/>
    <n v="20"/>
    <n v="1"/>
    <n v="26"/>
    <n v="1.6419999999999999"/>
    <n v="20"/>
    <n v="2438"/>
    <s v="Active"/>
    <x v="0"/>
    <n v="160"/>
    <n v="262.71999999999997"/>
    <m/>
    <s v="3/11/26:  Qty adjusted up to meet $250 MOV."/>
    <m/>
  </r>
  <r>
    <s v="644-059699-005"/>
    <s v="RLY,HV,REED,DPDT"/>
    <s v="500-231"/>
    <s v="COMPUTER COMPONENTS,INC"/>
    <n v="10"/>
    <n v="2000"/>
    <n v="12"/>
    <n v="0.35"/>
    <n v="10"/>
    <s v="Build to Order"/>
    <s v="N/A"/>
    <x v="0"/>
    <n v="750"/>
    <n v="262.5"/>
    <m/>
    <m/>
    <m/>
  </r>
  <r>
    <s v="667-B77583-001"/>
    <s v="CONN,SMD,DSUB,RCPT,9P,SHL SIZE E,RTANG"/>
    <s v="K202XHT-E9S-N"/>
    <s v="KYCON INC."/>
    <n v="35"/>
    <n v="1"/>
    <n v="22"/>
    <n v="3.0828000000000002"/>
    <n v="35"/>
    <n v="1000"/>
    <s v="Active"/>
    <x v="0"/>
    <n v="85"/>
    <n v="262.03800000000001"/>
    <m/>
    <s v="3/11/26:  Qty adjusted up to meet $250 MOV."/>
    <m/>
  </r>
  <r>
    <s v="630-099973-001"/>
    <s v="IC,ADG431 QUAD ANLG SW,SO16, ROHS"/>
    <s v="ADG431BRZ"/>
    <s v="ANALOG DEVICES INC."/>
    <n v="20"/>
    <n v="1"/>
    <n v="20"/>
    <n v="7.4805000000000001"/>
    <n v="20"/>
    <n v="3173"/>
    <s v="Active (Unconfirmed)"/>
    <x v="0"/>
    <n v="35"/>
    <n v="261.8175"/>
    <m/>
    <s v="3/11/26:  Qty adjusted up to meet $250 MOV."/>
    <m/>
  </r>
  <r>
    <s v="670-006780-038"/>
    <s v="FUSE .25x1.25 12A 250VAC,ROHS"/>
    <s v="#ABC-12"/>
    <s v="EATON"/>
    <n v="20"/>
    <n v="1"/>
    <n v="16"/>
    <n v="2.4900000000000002"/>
    <n v="20"/>
    <n v="1620"/>
    <s v="Active"/>
    <x v="0"/>
    <n v="105"/>
    <n v="261.45000000000005"/>
    <m/>
    <s v="3/11/26:  Qty adjusted up to meet $250 MOV."/>
    <m/>
  </r>
  <r>
    <s v="615-099609-806"/>
    <s v="RES,SMD,2010,80.6,1%,1/2W,ROHS"/>
    <s v="RK73H2HTTE80R6F"/>
    <s v="KOA SPEER"/>
    <n v="10"/>
    <n v="4000"/>
    <n v="10"/>
    <n v="0.17419999999999999"/>
    <n v="10"/>
    <n v="6600"/>
    <s v="Active"/>
    <x v="0"/>
    <n v="1500"/>
    <n v="261.3"/>
    <m/>
    <s v="3/11/26:  Qty adjusted up to meet $250 MOV."/>
    <m/>
  </r>
  <r>
    <s v="668-005463-026"/>
    <s v="HEADER,STRAIGHT,DOUBLE ROW,26C,ROHS"/>
    <s v="67997-126HLF"/>
    <s v="FCI"/>
    <n v="15"/>
    <n v="1"/>
    <n v="18"/>
    <n v="2.09"/>
    <n v="15"/>
    <n v="1487"/>
    <s v="Active"/>
    <x v="0"/>
    <n v="125"/>
    <n v="261.25"/>
    <m/>
    <s v="3/11/26:  Qty adjusted up to meet $250 MOV."/>
    <m/>
  </r>
  <r>
    <s v="639-A21749-001"/>
    <s v="XFMR,SMD,CUR,0.0017 H,4A,1:50 TURNS R"/>
    <s v="PA0368.050NL"/>
    <s v="PULSE ELECTRONICS"/>
    <n v="10"/>
    <n v="1100"/>
    <n v="16"/>
    <n v="1.6245000000000001"/>
    <n v="10"/>
    <n v="188"/>
    <s v="Active"/>
    <x v="0"/>
    <n v="160"/>
    <n v="259.92"/>
    <m/>
    <s v="3/11/26:  Qty adjusted up to meet $250 MOV."/>
    <m/>
  </r>
  <r>
    <s v="648-051878-224"/>
    <s v="CAP,SMD,0603,0.22UF,50V,10%,ROHS"/>
    <s v="NMC0603X7R224K50TRPF"/>
    <s v="NIC COMPONENTS"/>
    <n v="245"/>
    <n v="1"/>
    <n v="21"/>
    <n v="1.9900000000000001E-2"/>
    <n v="245"/>
    <n v="6"/>
    <s v="Active"/>
    <x v="0"/>
    <n v="13000"/>
    <n v="258.7"/>
    <m/>
    <s v="3/11/26:  Qty adjusted up to meet $250 MOV."/>
    <m/>
  </r>
  <r>
    <s v="668-A44871-002"/>
    <s v="CONN,HDR,2CKT,7.5MM PITCH,18A,600V,TH"/>
    <s v="43160-0302"/>
    <s v="MOLEX, LLC"/>
    <n v="10"/>
    <n v="1"/>
    <n v="23"/>
    <n v="1.1496999999999999"/>
    <n v="10"/>
    <n v="1573"/>
    <s v="Active"/>
    <x v="0"/>
    <n v="225"/>
    <n v="258.6825"/>
    <m/>
    <s v="3/11/26:  Qty adjusted up to meet $250 MOV."/>
    <m/>
  </r>
  <r>
    <s v="618-007480-237"/>
    <s v="RESSTR,FXD,1/4W,1%,MTL FLM,237,ROHS"/>
    <s v="CMF55237R00 FHEB"/>
    <s v="VISHAY/DALE"/>
    <n v="45"/>
    <n v="1000"/>
    <n v="8"/>
    <n v="0.43009999999999998"/>
    <n v="45"/>
    <n v="3340"/>
    <s v="Active"/>
    <x v="0"/>
    <n v="600"/>
    <n v="258.06"/>
    <m/>
    <s v="3/11/26:  Qty adjusted up to meet $250 MOV."/>
    <m/>
  </r>
  <r>
    <s v="630-173321-001"/>
    <s v="IC,SMD,SRAM,256Kx16,TSOP,ROHS"/>
    <s v="AS7C34098A-10TCN"/>
    <s v="ALLIANCE MEMORY"/>
    <n v="10"/>
    <n v="1"/>
    <n v="22"/>
    <n v="6.45"/>
    <n v="10"/>
    <n v="1172"/>
    <s v="Active"/>
    <x v="0"/>
    <n v="40"/>
    <n v="258"/>
    <m/>
    <s v="3/11/26:  Qty adjusted up to meet $250 MOV."/>
    <m/>
  </r>
  <r>
    <s v="609-B81538-001"/>
    <s v="DIO,SMD,ARR,SCHOTTKY,200V,15A,TO263AC"/>
    <s v="MBRBF30200CT-TP"/>
    <s v="MCC"/>
    <n v="10"/>
    <n v="1500"/>
    <n v="24"/>
    <n v="2.5792000000000002"/>
    <n v="10"/>
    <n v="4794"/>
    <s v="Active"/>
    <x v="0"/>
    <n v="100"/>
    <n v="257.92"/>
    <m/>
    <s v="3/11/26:  Qty adjusted up to meet $250 MOV."/>
    <m/>
  </r>
  <r>
    <s v="670-A40551-025"/>
    <s v="FUSE,CRTG,FAST ACT,500VDC/AC,25A,6X32MM"/>
    <s v="0ADEC9250-BE"/>
    <s v="BEL FUSE INC."/>
    <n v="20"/>
    <n v="1"/>
    <n v="10"/>
    <n v="3.68"/>
    <n v="20"/>
    <n v="1569"/>
    <s v="Active"/>
    <x v="0"/>
    <n v="70"/>
    <n v="257.60000000000002"/>
    <m/>
    <s v="3/11/26:  Qty adjusted up to meet $250 MOV."/>
    <m/>
  </r>
  <r>
    <s v="615-080145-047"/>
    <s v="RES,1206,TF,0.1%,25 PPM,174K ROHS"/>
    <s v="TNPW1206174KBETA"/>
    <s v="VISHAY"/>
    <n v="10"/>
    <n v="5000"/>
    <n v="15"/>
    <n v="0.28599999999999998"/>
    <n v="10"/>
    <n v="0"/>
    <s v="Active"/>
    <x v="0"/>
    <n v="900"/>
    <n v="257.39999999999998"/>
    <m/>
    <s v="3/11/26:  Qty adjusted up to meet $250 MOV."/>
    <m/>
  </r>
  <r>
    <s v="630-B06281-001"/>
    <s v="IC,SMD,BFR,3 STATE,8-BIT,6V,TSSOP20"/>
    <s v="74HCT7541PW118"/>
    <s v="NEXPERIA"/>
    <n v="10"/>
    <n v="2500"/>
    <n v="58"/>
    <n v="0.64300000000000002"/>
    <n v="10"/>
    <n v="1889"/>
    <s v="Active"/>
    <x v="0"/>
    <n v="400"/>
    <n v="257.2"/>
    <m/>
    <s v="3/11/26:  Qty adjusted up to meet $250 MOV."/>
    <m/>
  </r>
  <r>
    <s v="648-067080-001"/>
    <s v="CAP,SMD,CER,X7R,50V,20%,10UF ROHS"/>
    <s v="CKG57NX7R1H106M500JH"/>
    <s v="TDK"/>
    <n v="40"/>
    <n v="1000"/>
    <n v="17"/>
    <n v="3.2149999999999999"/>
    <n v="40"/>
    <n v="7754"/>
    <s v="Active"/>
    <x v="0"/>
    <n v="80"/>
    <n v="257.2"/>
    <m/>
    <s v="3/11/26:  Qty adjusted up to meet $250 MOV."/>
    <m/>
  </r>
  <r>
    <s v="670-A39955-001"/>
    <s v="CLIP,1/4 IN DIA FU,ANGLED LEAD,CRTG BRS"/>
    <s v="1A1119-10-R"/>
    <s v="EATON"/>
    <n v="105"/>
    <n v="1"/>
    <n v="11"/>
    <n v="0.3024"/>
    <n v="105"/>
    <n v="0"/>
    <s v="Active (Unconfirmed)"/>
    <x v="0"/>
    <n v="850"/>
    <n v="257.04000000000002"/>
    <m/>
    <s v="3/11/26:  Qty adjusted up to meet $250 MOV."/>
    <m/>
  </r>
  <r>
    <s v="615-064170-107"/>
    <s v="RES,SMD,0805,RG,MF,0.1%,1/10W,1.07K ROHS"/>
    <s v="RG2012P-1071-B-T5"/>
    <s v="SUSUMU"/>
    <n v="125"/>
    <n v="5000"/>
    <n v="21"/>
    <n v="8.5500000000000007E-2"/>
    <n v="125"/>
    <n v="8875"/>
    <s v="Active"/>
    <x v="0"/>
    <n v="3000"/>
    <n v="256.5"/>
    <m/>
    <s v="3/11/26:  Qty adjusted up to meet $250 MOV."/>
    <m/>
  </r>
  <r>
    <s v="639-065795-001"/>
    <s v="IDCTR,SMD,COM MODE FLTR,ROHS"/>
    <s v="M2022-ALC"/>
    <s v="COILCRAFT"/>
    <n v="85"/>
    <n v="1"/>
    <n v="6"/>
    <n v="1.71"/>
    <n v="85"/>
    <n v="1836"/>
    <s v="Active"/>
    <x v="0"/>
    <n v="150"/>
    <n v="256.5"/>
    <m/>
    <s v="3/11/26:  Qty adjusted up to meet $250 MOV."/>
    <m/>
  </r>
  <r>
    <s v="630-341691-001"/>
    <s v="IC,SMD,HOT SWAP CONT,2.7-36V,4UA,12-MSOP"/>
    <s v="LTC4231HMS-1#PBF"/>
    <s v="ANALOG DEVICES INC."/>
    <n v="10"/>
    <n v="37"/>
    <n v="20"/>
    <n v="7.3281999999999998"/>
    <n v="10"/>
    <n v="1967"/>
    <s v="Active"/>
    <x v="0"/>
    <n v="35"/>
    <n v="256.48699999999997"/>
    <m/>
    <s v="3/11/26:  Qty adjusted up to meet $250 MOV."/>
    <m/>
  </r>
  <r>
    <s v="648-326249-001"/>
    <s v="CAP,SMD,AL ELCTLT,2200UF,±20% TOL,35V"/>
    <s v="EEEFK1V222SM"/>
    <s v="PANASONIC"/>
    <n v="40"/>
    <n v="1"/>
    <n v="31"/>
    <n v="2.23"/>
    <n v="40"/>
    <n v="1045"/>
    <s v="Active"/>
    <x v="0"/>
    <n v="115"/>
    <n v="256.45"/>
    <m/>
    <s v="3/11/26:  Qty adjusted up to meet $250 MOV."/>
    <m/>
  </r>
  <r>
    <s v="615-064170-237"/>
    <s v="RES,SMD,0805,RG,MF,0.1%,1/10W,2.37K ROHS"/>
    <s v="RG2012P-2371-B-T5"/>
    <s v="SUSUMU"/>
    <n v="40"/>
    <n v="5000"/>
    <n v="23"/>
    <n v="8.5400000000000004E-2"/>
    <n v="40"/>
    <n v="7088"/>
    <s v="Active"/>
    <x v="0"/>
    <n v="3000"/>
    <n v="256.2"/>
    <m/>
    <s v="3/11/26:  Qty adjusted up to meet $250 MOV."/>
    <m/>
  </r>
  <r>
    <s v="630-343681-001"/>
    <s v="IC,POT,DGTL,20K,1%TOL,1024POS,TSSOP-14"/>
    <s v="AD5292BRUZ-20"/>
    <s v="ANALOG DEVICES INC."/>
    <n v="20"/>
    <n v="1"/>
    <n v="31"/>
    <n v="6.3993000000000002"/>
    <n v="20"/>
    <n v="6843"/>
    <s v="Active"/>
    <x v="0"/>
    <n v="40"/>
    <n v="255.97200000000001"/>
    <m/>
    <s v="3/11/26:  Qty adjusted up to meet $250 MOV."/>
    <m/>
  </r>
  <r>
    <s v="630-259131-001"/>
    <s v="IC,SMD,CMOS,VREF SERIES,1.25V,SOT23-3"/>
    <s v="REF3012AIDBZR"/>
    <s v="TEXAS INSTRUMENTS"/>
    <n v="30"/>
    <n v="3000"/>
    <n v="15"/>
    <n v="0.63949999999999996"/>
    <n v="30"/>
    <n v="5562"/>
    <s v="Active"/>
    <x v="0"/>
    <n v="400"/>
    <n v="255.79999999999998"/>
    <m/>
    <s v="3/11/26:  Qty adjusted up to meet $250 MOV."/>
    <m/>
  </r>
  <r>
    <s v="615-080142-198"/>
    <s v="RES,1206,TF,0.1%,+/- 25 PPM,198 ROHS"/>
    <s v="TNPW1206198RBEEA"/>
    <s v="VISHAY"/>
    <n v="5"/>
    <n v="5000"/>
    <n v="14"/>
    <n v="0.93"/>
    <n v="0"/>
    <n v="0"/>
    <s v="Active"/>
    <x v="0"/>
    <n v="275"/>
    <n v="255.75"/>
    <m/>
    <s v="3/11/26:  Qty adjusted up to meet $250 MOV."/>
    <m/>
  </r>
  <r>
    <s v="668-035473-020"/>
    <s v="CONN,INTCON STRIP, MALE 20 PIN"/>
    <s v="BBS-120-G-A"/>
    <s v="SAMTEC"/>
    <n v="20"/>
    <n v="1"/>
    <n v="7"/>
    <n v="12.782"/>
    <n v="20"/>
    <n v="3416"/>
    <s v="Active"/>
    <x v="0"/>
    <n v="20"/>
    <n v="255.64"/>
    <m/>
    <m/>
    <m/>
  </r>
  <r>
    <s v="615-122309-100"/>
    <s v="RES,0805,TF,0.1W,0.01%,10.0K ROHS"/>
    <s v="RNCF0805TTT10K0"/>
    <s v="STACKPOLE ELECTRONICS"/>
    <n v="160"/>
    <n v="5000"/>
    <n v="17"/>
    <n v="0.82299999999999995"/>
    <n v="160"/>
    <n v="0"/>
    <s v="Active"/>
    <x v="0"/>
    <n v="310"/>
    <n v="255.13"/>
    <m/>
    <s v="3/11/26:  Qty adjusted up to meet $250 MOV."/>
    <m/>
  </r>
  <r>
    <s v="615-064170-210"/>
    <s v="RES,SMD,0805,RG,MF,0.1%,1/10W,2.10K"/>
    <s v="RG2012P-2101-B-T5"/>
    <s v="SUSUMU"/>
    <n v="170"/>
    <n v="1"/>
    <n v="23"/>
    <n v="8.5000000000000006E-2"/>
    <n v="170"/>
    <n v="0"/>
    <s v="Active"/>
    <x v="0"/>
    <n v="3000"/>
    <n v="255.00000000000003"/>
    <m/>
    <s v="3/11/26:  Qty adjusted up to meet $250 MOV."/>
    <m/>
  </r>
  <r>
    <s v="639-004556-390"/>
    <s v="IDCTR,SMD,0.5&quot; X 0.25&quot;, 390 UH,ROHS"/>
    <s v="4922R-32L"/>
    <s v="API DELEVAN"/>
    <n v="30"/>
    <n v="800"/>
    <n v="18"/>
    <n v="4.25"/>
    <n v="30"/>
    <n v="530"/>
    <s v="Active"/>
    <x v="0"/>
    <n v="60"/>
    <n v="255"/>
    <m/>
    <s v="3/11/26:  Qty adjusted up to meet $250 MOV."/>
    <m/>
  </r>
  <r>
    <s v="639-B45787-001"/>
    <s v="IDCTR,SMD,H CUR,2.8UH,20%TOL,3.3MOHM,20A"/>
    <s v="7443551280"/>
    <s v="WURTH ELEKTRONIK"/>
    <n v="10"/>
    <n v="400"/>
    <n v="28"/>
    <n v="3.1850000000000001"/>
    <n v="10"/>
    <n v="2758"/>
    <s v="Active"/>
    <x v="0"/>
    <n v="80"/>
    <n v="254.8"/>
    <m/>
    <s v="3/11/26:  Qty adjusted up to meet $250 MOV."/>
    <m/>
  </r>
  <r>
    <s v="630-A21745-001"/>
    <s v="IC,SMD,PWM CONT,2-OUT,5.05-5.15V,SOIC-16"/>
    <s v="UC2825AQDWREP"/>
    <s v="TEXAS INSTRUMENTS"/>
    <n v="10"/>
    <n v="2000"/>
    <n v="12"/>
    <n v="7.2714999999999996"/>
    <n v="10"/>
    <n v="7859"/>
    <s v="Active"/>
    <x v="0"/>
    <n v="35"/>
    <n v="254.5025"/>
    <m/>
    <s v="3/11/26:  Qty adjusted up to meet $250 MOV."/>
    <m/>
  </r>
  <r>
    <s v="668-160560-040"/>
    <s v="CONN,RCPT,SMD,VERT,40P,DUAL ROW,2MM"/>
    <s v="0791091019"/>
    <s v="MOLEX, LLC"/>
    <n v="10"/>
    <n v="13"/>
    <n v="12"/>
    <n v="7.25"/>
    <n v="10"/>
    <n v="1550"/>
    <s v="Active"/>
    <x v="0"/>
    <n v="35"/>
    <n v="253.75"/>
    <m/>
    <s v="3/11/26:  Qty adjusted up to meet $250 MOV."/>
    <m/>
  </r>
  <r>
    <s v="670-260022-006"/>
    <s v="FUSE,CRTG,0.8AMP,500VAC/400VDC,5X20MM"/>
    <s v="0477.800MXP"/>
    <s v="LITTELFUSE"/>
    <n v="20"/>
    <n v="1"/>
    <n v="29"/>
    <n v="1.4093"/>
    <n v="20"/>
    <n v="1484"/>
    <s v="Active"/>
    <x v="0"/>
    <n v="180"/>
    <n v="253.67400000000001"/>
    <m/>
    <s v="3/11/26:  Qty adjusted up to meet $250 MOV."/>
    <m/>
  </r>
  <r>
    <s v="630-221563-003"/>
    <s v="IC,TC74,A2,TMP SNSR,I2C,TO220-5"/>
    <s v="TC74A2-3.3VAT"/>
    <s v="MICROCHIP TECHNOLOGY INC."/>
    <n v="10"/>
    <n v="1"/>
    <n v="13"/>
    <n v="1.6906000000000001"/>
    <n v="10"/>
    <n v="5469"/>
    <s v="Active"/>
    <x v="0"/>
    <n v="150"/>
    <n v="253.59"/>
    <m/>
    <s v="3/11/26:  Qty adjusted up to meet $250 MOV."/>
    <m/>
  </r>
  <r>
    <s v="648-A42164-224"/>
    <s v="CAP,SMD,CER,X7R,0.22UF,±5%,100V,1812"/>
    <s v="C1812C224J1RACTU"/>
    <s v="KEMET"/>
    <n v="120"/>
    <n v="1"/>
    <n v="18"/>
    <n v="0.84450000000000003"/>
    <n v="120"/>
    <n v="693"/>
    <s v="Active"/>
    <x v="0"/>
    <n v="300"/>
    <n v="253.35000000000002"/>
    <m/>
    <s v="3/11/26:  Qty adjusted up to meet $250 MOV."/>
    <m/>
  </r>
  <r>
    <s v="648-243934-001"/>
    <s v="CAP,SMD,CER,750PF,±2% TOL,50V,NPO,0402"/>
    <s v="C0402C751G5GACTU"/>
    <s v="KEMET"/>
    <n v="25"/>
    <n v="10000"/>
    <n v="17"/>
    <n v="0.72350000000000003"/>
    <n v="25"/>
    <n v="9804"/>
    <s v="Active"/>
    <x v="0"/>
    <n v="350"/>
    <n v="253.22500000000002"/>
    <m/>
    <s v="3/11/26:  Qty adjusted up to meet $250 MOV."/>
    <m/>
  </r>
  <r>
    <s v="648-082038-390"/>
    <s v="CAP,CER,0805,NPO,±5%,250V,39PF"/>
    <s v="251R15S390JV4E"/>
    <s v="JOHANSON TECHNOLOGY"/>
    <n v="10"/>
    <n v="1"/>
    <n v="14"/>
    <n v="0.42199999999999999"/>
    <n v="10"/>
    <n v="8458"/>
    <s v="Active"/>
    <x v="0"/>
    <n v="600"/>
    <n v="253.2"/>
    <m/>
    <s v="3/11/26:  Qty adjusted up to meet $250 MOV."/>
    <m/>
  </r>
  <r>
    <s v="615-109462-191"/>
    <s v="RES,SMD,0805,1.91K,0.1%,1/10W,ROHS"/>
    <s v="TNPW08051K91BEEN"/>
    <s v="VISHAY"/>
    <n v="100"/>
    <n v="1000"/>
    <n v="11"/>
    <n v="0.40500000000000003"/>
    <n v="100"/>
    <n v="4813"/>
    <s v="Active"/>
    <x v="0"/>
    <n v="625"/>
    <n v="253.12500000000003"/>
    <m/>
    <s v="3/11/26:  Qty adjusted up to meet $250 MOV."/>
    <m/>
  </r>
  <r>
    <s v="668-097649-064"/>
    <s v="CONN,DIN,STR,64 POS,MALE, ROHS"/>
    <s v="100-064-133"/>
    <s v="PANCON"/>
    <n v="20"/>
    <n v="1"/>
    <n v="27"/>
    <n v="4.5986000000000002"/>
    <n v="20"/>
    <n v="2465"/>
    <s v="Active"/>
    <x v="0"/>
    <n v="55"/>
    <n v="252.923"/>
    <m/>
    <s v="3/11/26:  Qty adjusted up to meet $250 MOV."/>
    <m/>
  </r>
  <r>
    <s v="687-C11587-001"/>
    <s v="SPCR,SLF-RTNG,1.6MM PNL THK,PA66,NATURAL"/>
    <s v="702910000"/>
    <s v="WURTH ELEKTRONIK (P)"/>
    <n v="120"/>
    <n v="2000"/>
    <n v="3"/>
    <n v="0.20200000000000001"/>
    <n v="0"/>
    <n v="3665"/>
    <s v="Active"/>
    <x v="0"/>
    <n v="1250"/>
    <n v="252.50000000000003"/>
    <m/>
    <s v="3/11/26:  Qty adjusted up to meet $250 MOV."/>
    <m/>
  </r>
  <r>
    <s v="630-340553-001"/>
    <s v="IC,SMD,CLOCK BFR,1-4,8PIN,1.8-3.3V,DFN"/>
    <s v="551SCMGI"/>
    <s v="RENESAS"/>
    <n v="25"/>
    <n v="1"/>
    <n v="17"/>
    <n v="1.6821999999999999"/>
    <n v="25"/>
    <n v="5951"/>
    <s v="Active"/>
    <x v="0"/>
    <n v="150"/>
    <n v="252.32999999999998"/>
    <m/>
    <s v="3/11/26:  Qty adjusted up to meet $250 MOV."/>
    <m/>
  </r>
  <r>
    <s v="615-064170-196"/>
    <s v="RES,SMD,0805,RG,MF,0.1%,1/10W,1.96K ROHS"/>
    <s v="RG2012P-1961-B-T5"/>
    <s v="SUSUMU"/>
    <n v="20"/>
    <n v="1"/>
    <n v="23"/>
    <n v="0.18010000000000001"/>
    <n v="20"/>
    <n v="516"/>
    <s v="Active"/>
    <x v="0"/>
    <n v="1400"/>
    <n v="252.14000000000001"/>
    <m/>
    <s v="3/11/26:  Qty adjusted up to meet $250 MOV."/>
    <m/>
  </r>
  <r>
    <s v="630-121394-001"/>
    <s v="IC,SMD,ETHERNET PHY,10/100 MB/S,ROHS"/>
    <s v="TLK110PTR"/>
    <s v="TEXAS INSTRUMENTS"/>
    <n v="30"/>
    <n v="1"/>
    <n v="6"/>
    <n v="7.1955"/>
    <n v="30"/>
    <n v="1630"/>
    <s v="Active (NRND)"/>
    <x v="0"/>
    <n v="35"/>
    <n v="251.8425"/>
    <m/>
    <s v="3/11/26:  Qty adjusted up to meet $250 MOV."/>
    <m/>
  </r>
  <r>
    <s v="630-039459-004"/>
    <s v="IC,SMD,SUPERVISORY CKT,TPS3837K33"/>
    <s v="TPS3837K33DBVT"/>
    <s v="TEXAS INSTRUMENTS"/>
    <n v="15"/>
    <n v="1"/>
    <n v="17"/>
    <n v="4.5765000000000002"/>
    <n v="15"/>
    <n v="566"/>
    <s v="Active"/>
    <x v="0"/>
    <n v="55"/>
    <n v="251.70750000000001"/>
    <m/>
    <s v="3/11/26:  Qty adjusted up to meet $250 MOV."/>
    <m/>
  </r>
  <r>
    <s v="668-277308-002"/>
    <s v="CONN,PLUG,DSUB,09POS,VERT,7.5A,125V"/>
    <s v="163A16159X"/>
    <s v="CONEC ELEKTRONISCHE BAUELEMENTE GMBH"/>
    <n v="20"/>
    <n v="1"/>
    <n v="21"/>
    <n v="7.1837999999999997"/>
    <n v="20"/>
    <n v="639"/>
    <s v="Active"/>
    <x v="0"/>
    <n v="35"/>
    <n v="251.43299999999999"/>
    <m/>
    <s v="3/11/26:  Qty adjusted up to meet $250 MOV."/>
    <m/>
  </r>
  <r>
    <s v="668-064219-015"/>
    <s v="CONN,RCPT HD D-SUB,RA,15 PIN FEMALE,ROHS"/>
    <s v="K66X-E15S-N"/>
    <s v="KYCON, INC"/>
    <n v="20"/>
    <n v="1"/>
    <n v="29"/>
    <n v="2.5121000000000002"/>
    <n v="20"/>
    <n v="2368"/>
    <s v="Active"/>
    <x v="0"/>
    <n v="100"/>
    <n v="251.21000000000004"/>
    <m/>
    <s v="3/11/26:  Qty adjusted up to meet $250 MOV."/>
    <m/>
  </r>
  <r>
    <s v="615-A40066-001"/>
    <s v="RES,SMD,PWR,.004OHM,±.5%,3W,±150PPM,2512"/>
    <s v="WSLP25124L000DEA"/>
    <s v="VISHAY"/>
    <n v="30"/>
    <n v="2000"/>
    <n v="18"/>
    <n v="2.7888000000000002"/>
    <n v="30"/>
    <n v="5922"/>
    <s v="Active"/>
    <x v="0"/>
    <n v="90"/>
    <n v="250.99200000000002"/>
    <m/>
    <s v="3/11/26:  Qty adjusted up to meet $250 MOV."/>
    <m/>
  </r>
  <r>
    <s v="648-B66447-472"/>
    <s v="CAP,SMD,4700PF,+/-10%TOL,100VDC,0805"/>
    <s v="CDR31BX472BKUS"/>
    <s v="KEMET"/>
    <n v="30"/>
    <n v="4000"/>
    <n v="56"/>
    <n v="0.62729999999999997"/>
    <n v="30"/>
    <n v="3405"/>
    <s v="Active"/>
    <x v="0"/>
    <n v="400"/>
    <n v="250.92"/>
    <m/>
    <s v="3/11/26:  Qty adjusted up to meet $250 MOV."/>
    <m/>
  </r>
  <r>
    <s v="615-B53766-002"/>
    <s v="RES,SMD,THIN FILM,200 OHM,.1%,.5W,0603"/>
    <s v="RA73F1J200RBTDF"/>
    <s v="TE CONNECTIVITY"/>
    <n v="120"/>
    <n v="5000"/>
    <n v="28"/>
    <n v="1.5205"/>
    <n v="120"/>
    <n v="2489"/>
    <s v="Active"/>
    <x v="0"/>
    <n v="165"/>
    <n v="250.88249999999999"/>
    <m/>
    <s v="3/11/26:  Qty adjusted up to meet $250 MOV."/>
    <m/>
  </r>
  <r>
    <s v="668-230911-009"/>
    <s v="CONN,HDR,8POS,.100&quot;,ROHS"/>
    <s v="TSW-108-17-G-S"/>
    <s v="SAMTEC"/>
    <n v="80"/>
    <n v="1"/>
    <n v="7"/>
    <n v="3.1345000000000001"/>
    <n v="80"/>
    <n v="5764"/>
    <s v="Active"/>
    <x v="0"/>
    <n v="80"/>
    <n v="250.76"/>
    <m/>
    <m/>
    <m/>
  </r>
  <r>
    <s v="639-311328-002"/>
    <s v="IDCTR,SMD,POWER,SHIELDED,0.82UH"/>
    <s v="XEL6060-821MEC"/>
    <s v="COILCRAFT"/>
    <n v="40"/>
    <n v="1"/>
    <n v="20"/>
    <n v="2.9476"/>
    <n v="40"/>
    <n v="1229"/>
    <s v="Active"/>
    <x v="0"/>
    <n v="85"/>
    <n v="250.54599999999999"/>
    <m/>
    <s v="3/11/26:  Qty adjusted up to meet $250 MOV."/>
    <m/>
  </r>
  <r>
    <s v="670-338640-050"/>
    <s v="FUSE,CRTG,0.5A,600VAC/400DC,5X20MM"/>
    <s v="S505H-500-R"/>
    <s v="EATON"/>
    <n v="170"/>
    <n v="1"/>
    <n v="100"/>
    <n v="1.2523"/>
    <n v="170"/>
    <n v="0"/>
    <s v="Active"/>
    <x v="0"/>
    <n v="200"/>
    <n v="250.45999999999998"/>
    <m/>
    <s v="3/11/26:  Qty adjusted up to meet $250 MOV."/>
    <m/>
  </r>
  <r>
    <s v="609-185158-001"/>
    <s v="DIO,SMD,TVS,25.6V,1.5KW,SMCJ1.5KE,ROHS"/>
    <s v="SMCJ1.5KE30A-TP"/>
    <s v="MICRO COMMERCIAL CO"/>
    <n v="180"/>
    <n v="3000"/>
    <n v="18"/>
    <n v="0.39750000000000002"/>
    <n v="180"/>
    <n v="6156"/>
    <s v="Active"/>
    <x v="0"/>
    <n v="630"/>
    <n v="250.42500000000001"/>
    <m/>
    <s v="3/11/26:  Qty adjusted up to meet $250 MOV."/>
    <m/>
  </r>
  <r>
    <s v="608-096583-504"/>
    <s v="RES,SMD,POT,12T,T-ADJ,0.25SQ,500K,ROHS"/>
    <s v="TS63Y504KR10"/>
    <s v="VISHAY"/>
    <n v="40"/>
    <n v="500"/>
    <n v="25"/>
    <n v="2.3849999999999998"/>
    <n v="40"/>
    <n v="0"/>
    <s v="Active"/>
    <x v="0"/>
    <n v="105"/>
    <n v="250.42499999999998"/>
    <m/>
    <s v="3/11/26:  Qty adjusted up to meet $250 MOV."/>
    <m/>
  </r>
  <r>
    <s v="648-083577-106"/>
    <s v="CAP,SMD,1206,CER,X7R,10%,25V,10UF ROHS"/>
    <s v="C1206C106K3RAC"/>
    <s v="KEMET"/>
    <n v="140"/>
    <n v="2000"/>
    <n v="57"/>
    <n v="0.31290000000000001"/>
    <n v="140"/>
    <n v="165"/>
    <s v="Active"/>
    <x v="0"/>
    <n v="800"/>
    <n v="250.32000000000002"/>
    <m/>
    <s v="3/11/26:  Qty adjusted up to meet $250 MOV."/>
    <m/>
  </r>
  <r>
    <s v="615-A31517-001"/>
    <s v="RES,SMD,49.9OHM,±0.1%,1W,±25PPM,0805"/>
    <s v="PCAN0805E49R9BST5"/>
    <s v="VISHAY"/>
    <n v="160"/>
    <n v="1"/>
    <n v="27"/>
    <n v="1.5256000000000001"/>
    <n v="160"/>
    <n v="5143"/>
    <s v="Active"/>
    <x v="0"/>
    <n v="160"/>
    <n v="250"/>
    <m/>
    <m/>
    <m/>
  </r>
  <r>
    <s v="630-B94226-030"/>
    <s v="IC,SMD,CUR SNSR,4.75-5.5V,30A,SOIC-8"/>
    <s v="CT418-HSN830DR"/>
    <s v="ALLEGRO MICROSYSTEMS LLC"/>
    <n v="105"/>
    <n v="2000"/>
    <n v="27"/>
    <n v="2.36"/>
    <n v="105"/>
    <n v="1782"/>
    <s v="Active"/>
    <x v="0"/>
    <n v="105"/>
    <n v="250"/>
    <m/>
    <m/>
    <m/>
  </r>
  <r>
    <s v="686-008011-001"/>
    <s v="MARKER,CABLE,PLATE, 1.75 X .75"/>
    <s v="MP175-C"/>
    <s v="PANDUIT"/>
    <n v="100"/>
    <n v="100"/>
    <n v="14"/>
    <n v="74.115600000000001"/>
    <n v="100"/>
    <n v="123"/>
    <s v="Active"/>
    <x v="1"/>
    <n v="500"/>
    <n v="37057.800000000003"/>
    <m/>
    <s v="3/11/26:  DigiKey pricing ~ $1.15/ea.  Please check pricing."/>
    <m/>
  </r>
  <r>
    <s v="632-258830-001"/>
    <s v="RLY,SMD,SIG,24VDC,2A,230MW,2.5KOHM,DPDT"/>
    <s v="AGQ200A24Z"/>
    <s v="PANASONIC"/>
    <n v="10985"/>
    <n v="1800"/>
    <n v="17"/>
    <n v="6.43"/>
    <n v="10985"/>
    <n v="72583"/>
    <s v="Active"/>
    <x v="1"/>
    <n v="5000"/>
    <n v="32150"/>
    <m/>
    <s v="3/11/26:  DigiKey has for ~$1.25/ea.  Prior CM shortage."/>
    <m/>
  </r>
  <r>
    <s v="670-037698-044"/>
    <s v="FUSE,CLASS CC,600V,TIME DLY,30 AMP"/>
    <s v="FNQ-R-30"/>
    <s v="EATON"/>
    <n v="60"/>
    <n v="1"/>
    <n v="15"/>
    <n v="98.092200000000005"/>
    <n v="60"/>
    <n v="8150"/>
    <s v="Active"/>
    <x v="1"/>
    <n v="30"/>
    <n v="2942.7660000000001"/>
    <m/>
    <s v="3/11/26:  Mouser pricing ~ $60/ea.  Please check pricing."/>
    <m/>
  </r>
  <r>
    <s v="615-B61754-005"/>
    <s v="RES,SMD,5 OHM,+/-0.5%TOL,1.2W,THK FILM"/>
    <s v="68552-5"/>
    <s v="OHMITE MANUFACTURING COMPANY"/>
    <n v="445"/>
    <n v="1"/>
    <n v="24"/>
    <n v="7.92"/>
    <n v="445"/>
    <s v="Build to Order"/>
    <s v="N/A"/>
    <x v="1"/>
    <n v="200"/>
    <n v="1584"/>
    <m/>
    <s v="3/10/26:  Josh, check pricing for qty 200/ea"/>
    <m/>
  </r>
  <r>
    <s v="615-B61754-010"/>
    <s v="RES,SMD,10 OHM,+/-0.5%TOL,1.2W,THK FILM"/>
    <s v="68552-10"/>
    <s v="OHMITE MANUFACTURING COMPANY"/>
    <n v="445"/>
    <n v="1"/>
    <n v="24"/>
    <n v="7.92"/>
    <n v="445"/>
    <s v="Build to Order"/>
    <s v="N/A"/>
    <x v="1"/>
    <n v="200"/>
    <n v="1584"/>
    <m/>
    <s v="3/10/26:  Josh, check pricing for qty 200/ea"/>
    <m/>
  </r>
  <r>
    <s v="615-B61754-020"/>
    <s v="RES,SMD,20 OHM,+/-0.5%TOL,1.2W,THK FILM"/>
    <s v="68552-20"/>
    <s v="OHMITE MANUFACTURING COMPANY"/>
    <n v="445"/>
    <n v="1"/>
    <n v="24"/>
    <n v="7.92"/>
    <n v="445"/>
    <s v="Build to Order"/>
    <s v="N/A"/>
    <x v="1"/>
    <n v="200"/>
    <n v="1584"/>
    <m/>
    <s v="3/10/26:  Josh, check pricing for qty 200/ea"/>
    <m/>
  </r>
  <r>
    <s v="615-B61754-040"/>
    <s v="RES,SMD,40 OHM,+/-0.5%TOL,1.2W,THK FILM"/>
    <s v="68552-40"/>
    <s v="OHMITE MANUFACTURING COMPANY"/>
    <n v="445"/>
    <n v="1"/>
    <n v="24"/>
    <n v="7.92"/>
    <n v="445"/>
    <s v="Build to Order"/>
    <s v="N/A"/>
    <x v="1"/>
    <n v="200"/>
    <n v="1584"/>
    <m/>
    <s v="3/10/26:  Josh, check pricing for qty 200/ea"/>
    <m/>
  </r>
  <r>
    <s v="615-B61754-080"/>
    <s v="RES,SMD,80 OHM,+/-0.5%TOL,1.2W,THK FILM"/>
    <s v="68552-80"/>
    <s v="OHMITE MANUFACTURING COMPANY"/>
    <n v="445"/>
    <n v="1"/>
    <n v="24"/>
    <n v="7.92"/>
    <n v="445"/>
    <s v="Build to Order"/>
    <s v="N/A"/>
    <x v="1"/>
    <n v="200"/>
    <n v="1584"/>
    <m/>
    <s v="3/10/26:  Josh, check pricing for qty 200/ea"/>
    <m/>
  </r>
  <r>
    <s v="615-B61754-160"/>
    <s v="RES,SMD,160 OHM,+/-0.5%TOL,1.2W,THK FILM"/>
    <s v="68552-160"/>
    <s v="OHMITE MANUFACTURING COMPANY"/>
    <n v="445"/>
    <n v="1"/>
    <n v="24"/>
    <n v="7.92"/>
    <n v="445"/>
    <s v="Build to Order"/>
    <s v="N/A"/>
    <x v="1"/>
    <n v="200"/>
    <n v="1584"/>
    <m/>
    <s v="3/10/26:  Josh, check pricing for qty 200/ea"/>
    <m/>
  </r>
  <r>
    <s v="615-B61754-320"/>
    <s v="RES,SMD,320 OHM,+/-0.5%TOL,1.2W,THK FILM"/>
    <s v="68552-320"/>
    <s v="OHMITE MANUFACTURING COMPANY"/>
    <n v="445"/>
    <n v="1"/>
    <n v="24"/>
    <n v="7.92"/>
    <n v="445"/>
    <s v="Build to Order"/>
    <s v="N/A"/>
    <x v="1"/>
    <n v="200"/>
    <n v="1584"/>
    <m/>
    <s v="3/10/26:  Josh, check pricing for qty 200/ea"/>
    <m/>
  </r>
  <r>
    <s v="615-217933-536"/>
    <s v="RES,SMD,5.36KOHM,+/-0.1% TOL,1/10W,0603"/>
    <s v="ERA-3AEB5361V"/>
    <s v="PANASONIC"/>
    <e v="#N/A"/>
    <e v="#N/A"/>
    <e v="#N/A"/>
    <e v="#N/A"/>
    <e v="#N/A"/>
    <m/>
    <e v="#N/A"/>
    <x v="2"/>
    <n v="1000"/>
    <m/>
    <m/>
    <s v="2/18/26:  New Part ADD.  Please provide Heat Map data."/>
    <m/>
  </r>
  <r>
    <s v="615-217933-562"/>
    <s v="RES,SMD,5.62KOHM,+/-0.1% TOL,1/10W,0603"/>
    <s v="ERA-3AEB5621V"/>
    <s v="PANASONIC"/>
    <e v="#N/A"/>
    <e v="#N/A"/>
    <e v="#N/A"/>
    <e v="#N/A"/>
    <e v="#N/A"/>
    <m/>
    <e v="#N/A"/>
    <x v="2"/>
    <n v="1000"/>
    <m/>
    <m/>
    <s v="2/18/26:  New Part ADD.  Please provide Heat Map data."/>
    <m/>
  </r>
  <r>
    <s v="615-217933-806"/>
    <s v="RES,SMD,8.06KOHM,+/-0.1% TOL,1/10W,0603"/>
    <s v="ERA-3AEB8061V"/>
    <s v="PANASONIC"/>
    <e v="#N/A"/>
    <e v="#N/A"/>
    <e v="#N/A"/>
    <e v="#N/A"/>
    <e v="#N/A"/>
    <m/>
    <e v="#N/A"/>
    <x v="2"/>
    <n v="1000"/>
    <m/>
    <m/>
    <s v="2/18/26:  New Part ADD.  Please provide Heat Map data."/>
    <m/>
  </r>
  <r>
    <s v="615-310567-255"/>
    <s v="RES,SMD,7.68K,0.1%,1/10W,0603,ROHS"/>
    <s v="ERA-3AEB7681V"/>
    <s v="PANASONIC"/>
    <e v="#N/A"/>
    <e v="#N/A"/>
    <e v="#N/A"/>
    <e v="#N/A"/>
    <e v="#N/A"/>
    <m/>
    <e v="#N/A"/>
    <x v="2"/>
    <n v="1000"/>
    <m/>
    <m/>
    <s v="2/18/26:  New Part ADD.  Please provide Heat Map data."/>
    <m/>
  </r>
  <r>
    <s v="615-131264-001"/>
    <s v="RES,SMD,THK FILM,10K,1%,100PPM,5020"/>
    <s v="HVC5020K1002FT"/>
    <s v="OHMITE MANUFACTURING COMPANY"/>
    <n v="35"/>
    <n v="0"/>
    <n v="0"/>
    <n v="0"/>
    <n v="0"/>
    <s v="Build to Order"/>
    <s v="N/A"/>
    <x v="3"/>
    <n v="35"/>
    <n v="0"/>
    <m/>
    <m/>
    <s v="2/19/26:  LOA Provided, Working on RFQ"/>
  </r>
  <r>
    <s v="615-131307-001"/>
    <s v="RES,SMD,THK FILM,20M,1%,25PPM,5020"/>
    <s v="HVC5020E2005FT"/>
    <s v="OHMITE MANUFACTURING COMPANY"/>
    <n v="10"/>
    <n v="0"/>
    <n v="0"/>
    <n v="0"/>
    <n v="0"/>
    <s v="Build to Order"/>
    <s v="N/A"/>
    <x v="3"/>
    <n v="10"/>
    <n v="0"/>
    <m/>
    <m/>
    <s v="2/19/26:  LOA Provided, Working on RFQ"/>
  </r>
  <r>
    <s v="615-131307-002"/>
    <s v="RES,SMD,THK FILM,50M,1%,25PPM,5020"/>
    <s v="HVC5020E5005FT"/>
    <s v="OHMITE MANUFACTURING COMPANY"/>
    <n v="10"/>
    <n v="0"/>
    <n v="0"/>
    <n v="0"/>
    <n v="0"/>
    <s v="Build to Order"/>
    <s v="N/A"/>
    <x v="3"/>
    <n v="10"/>
    <n v="0"/>
    <m/>
    <m/>
    <s v="2/19/26:  LOA Provided, Working on RFQ"/>
  </r>
  <r>
    <s v="615-218819-001"/>
    <s v="RES,SMD,2.5MEG,1%,25PPM,2W"/>
    <s v="HVC2512E2504FT"/>
    <s v="OHMITE MANUFACTURING COMPANY"/>
    <n v="930"/>
    <n v="0"/>
    <n v="0"/>
    <n v="0"/>
    <n v="0"/>
    <s v="Build to Order"/>
    <s v="N/A"/>
    <x v="3"/>
    <n v="930"/>
    <n v="0"/>
    <m/>
    <m/>
    <s v="2/19/26:  LOA Provided, Working on RFQ"/>
  </r>
  <r>
    <s v="615-A18150-001"/>
    <s v="RES,SMD,HV,THK,100MOHM,±1%,25PPM,3512"/>
    <s v="HVCD3512Y1006FT-R294"/>
    <s v="MICROPEN TECHNOLOGIES CORPORATION"/>
    <n v="15"/>
    <n v="0"/>
    <n v="0"/>
    <n v="0"/>
    <n v="0"/>
    <s v="Build to Order"/>
    <s v="N/A"/>
    <x v="3"/>
    <n v="15"/>
    <n v="0"/>
    <m/>
    <m/>
    <s v="2/19/26:  LOA Provided, Working on RFQ"/>
  </r>
  <r>
    <s v="615-B31543-001"/>
    <s v="RES,HV,100MEG,1%,2W,25PPM,VCR&lt;1PPM,4020"/>
    <s v="HVC4020E1006FT-1790"/>
    <s v="OHMITE MANUFACTURING COMPANY"/>
    <n v="235"/>
    <n v="0"/>
    <n v="0"/>
    <n v="0"/>
    <n v="0"/>
    <s v="Build to Order"/>
    <s v="N/A"/>
    <x v="3"/>
    <n v="235"/>
    <n v="0"/>
    <m/>
    <m/>
    <s v="2/19/26:  LOA Provided, Working on RFQ"/>
  </r>
  <r>
    <s v="616-052546-008"/>
    <s v="RES,LOAD,80 OHM,100W,1%TOL,TO-247"/>
    <s v="MP9100-80.0-1%"/>
    <s v="CADDOCK ELECTRONICS INC."/>
    <n v="10"/>
    <n v="0"/>
    <n v="0"/>
    <n v="0"/>
    <n v="0"/>
    <s v="Build to Order"/>
    <s v="N/A"/>
    <x v="3"/>
    <n v="10"/>
    <n v="0"/>
    <m/>
    <m/>
    <s v="2/19/26:  LOA Provided, Working on RFQ"/>
  </r>
  <r>
    <s v="618-B67173-524"/>
    <s v="RES,METAL FILM,524.288K,6W,0.1%,2KV,THT"/>
    <s v="MS260-524.288K-0.1%"/>
    <s v="CADDOCK ELECTRONICS INC."/>
    <n v="230"/>
    <n v="0"/>
    <n v="0"/>
    <n v="0"/>
    <n v="0"/>
    <s v="Build to Order"/>
    <s v="N/A"/>
    <x v="3"/>
    <n v="230"/>
    <n v="0"/>
    <m/>
    <m/>
    <s v="2/19/26:  LOA Provided, Working on RFQ"/>
  </r>
  <r>
    <s v="618-B67755-001"/>
    <s v="RES,METAL FILM,550 OHM,15W,1% TOL,THT"/>
    <s v="MS315-550-1%"/>
    <s v="CADDOCK ELECTRONICS INC."/>
    <n v="230"/>
    <n v="0"/>
    <n v="0"/>
    <n v="0"/>
    <n v="0"/>
    <s v="Build to Order"/>
    <s v="N/A"/>
    <x v="3"/>
    <n v="230"/>
    <n v="0"/>
    <m/>
    <m/>
    <s v="2/19/26:  LOA Provided, Working on RFQ"/>
  </r>
  <r>
    <s v="618-B98892-001"/>
    <s v="RES,PWR,160OHM,1%TOL,50W,THT"/>
    <s v="MDN1512-01"/>
    <s v="CADDOCK ELECTRONICS INC."/>
    <n v="10"/>
    <n v="0"/>
    <n v="0"/>
    <n v="0"/>
    <n v="0"/>
    <s v="Build to Order"/>
    <s v="N/A"/>
    <x v="3"/>
    <n v="10"/>
    <n v="0"/>
    <m/>
    <m/>
    <s v="2/19/26:  LOA Provided, Working on RFQ"/>
  </r>
  <r>
    <s v="618-B98892-002"/>
    <s v="RES,PWR,320OHM,1%TOL,50W,THT"/>
    <s v="MDN1512-02"/>
    <s v="CADDOCK ELECTRONICS INC."/>
    <n v="10"/>
    <n v="0"/>
    <n v="0"/>
    <n v="0"/>
    <n v="0"/>
    <s v="Build to Order"/>
    <s v="N/A"/>
    <x v="3"/>
    <n v="10"/>
    <n v="0"/>
    <m/>
    <m/>
    <s v="2/19/26:  LOA Provided, Working on RFQ"/>
  </r>
  <r>
    <s v="619-095611-104"/>
    <s v="RES,6KV,15W,1%,100K,NON-1ND"/>
    <s v="MS315-100K-1.0%"/>
    <s v="CADDOCK ELECTRONICS INC."/>
    <n v="15"/>
    <n v="0"/>
    <n v="0"/>
    <n v="0"/>
    <n v="0"/>
    <s v="Build to Order"/>
    <s v="N/A"/>
    <x v="3"/>
    <n v="15"/>
    <n v="0"/>
    <m/>
    <m/>
    <s v="2/19/26:  LOA Provided, Working on RFQ"/>
  </r>
  <r>
    <s v="621-092237-102"/>
    <s v="POT,MULT TURN 1/4W,10%,1K"/>
    <s v="67F5846"/>
    <s v="VISHAY"/>
    <n v="10"/>
    <n v="0"/>
    <n v="0"/>
    <n v="0"/>
    <n v="0"/>
    <s v="Build to Order"/>
    <s v="N/A"/>
    <x v="3"/>
    <n v="10"/>
    <n v="0"/>
    <m/>
    <m/>
    <s v="2/19/26:  LOA Provided, Working on RFQ"/>
  </r>
  <r>
    <s v="622-A00763-001"/>
    <s v="RES,NTWK,HV 1000:1 DIVDR,100 MOHM,±1.0%"/>
    <s v="HVD-W10-AE-1006-F-4"/>
    <s v="OHMITE MANUFACTURING COMPANY"/>
    <n v="15"/>
    <n v="0"/>
    <n v="0"/>
    <n v="0"/>
    <n v="0"/>
    <s v="Build to Order"/>
    <s v="N/A"/>
    <x v="3"/>
    <n v="15"/>
    <n v="0"/>
    <m/>
    <m/>
    <s v="2/19/26:  LOA Provided, Working on RFQ"/>
  </r>
  <r>
    <s v="622-A78896-001"/>
    <s v="RES,NTWK,THRU,5M,294:1,0.05%"/>
    <s v="T1794-675"/>
    <s v="CADDOCK ELECTRONICS INC."/>
    <n v="15"/>
    <n v="0"/>
    <n v="0"/>
    <n v="0"/>
    <n v="0"/>
    <s v="Build to Order"/>
    <s v="N/A"/>
    <x v="3"/>
    <n v="15"/>
    <n v="0"/>
    <m/>
    <m/>
    <s v="2/19/26:  LOA Provided, Working on RFQ"/>
  </r>
  <r>
    <s v="639-A21769-001"/>
    <s v="XFMR,SMD,FORWARD,1.70:1"/>
    <s v="WCM6788"/>
    <s v="WEST COAST MAGNETICS"/>
    <n v="5"/>
    <n v="0"/>
    <n v="0"/>
    <n v="0"/>
    <n v="0"/>
    <s v="Build to Order"/>
    <s v="N/A"/>
    <x v="3"/>
    <n v="5"/>
    <n v="0"/>
    <m/>
    <m/>
    <s v="2/19/26:  LOA Provided, Working on RFQ"/>
  </r>
  <r>
    <s v="648-218816-003"/>
    <s v="CAP,SMD,220PF,1%,500V,NPO"/>
    <s v="1111C221FP501X"/>
    <s v="PASSIVE PLUS INC."/>
    <n v="50"/>
    <n v="0"/>
    <n v="0"/>
    <n v="0"/>
    <n v="0"/>
    <n v="0"/>
    <s v="Active"/>
    <x v="3"/>
    <n v="50"/>
    <n v="0"/>
    <m/>
    <m/>
    <m/>
  </r>
  <r>
    <s v="648-218817-001"/>
    <s v="CAP,SMD,+/-0.05PF,7200V,NPO,2PF"/>
    <s v="3838C2R0AP722X"/>
    <s v="PASSIVE PLUS INC."/>
    <n v="235"/>
    <n v="0"/>
    <n v="0"/>
    <n v="0"/>
    <n v="0"/>
    <n v="0"/>
    <s v="Active"/>
    <x v="3"/>
    <n v="235"/>
    <n v="0"/>
    <m/>
    <m/>
    <m/>
  </r>
  <r>
    <s v="648-221599-001"/>
    <s v="CAP,SMD,1.1NF,5%,10KV,NPO,ROHS"/>
    <s v="ST4040N112J103TJXW-1R"/>
    <s v="NOVACAP"/>
    <n v="375"/>
    <n v="0"/>
    <n v="0"/>
    <n v="0"/>
    <n v="0"/>
    <s v="Build to Order"/>
    <s v="N/A"/>
    <x v="3"/>
    <n v="375"/>
    <n v="0"/>
    <m/>
    <m/>
    <s v="2/19/26:  LOA Provided, Working on RFQ"/>
  </r>
  <r>
    <s v="648-249226-001"/>
    <s v="CAP,SMD,PWR TRANSMITTER,5KV,5%,NP0,1NF"/>
    <s v="7676C102JW502X"/>
    <s v="PASSIVE PLUS INC."/>
    <n v="20"/>
    <n v="0"/>
    <n v="0"/>
    <n v="0"/>
    <n v="0"/>
    <n v="0"/>
    <s v="Active"/>
    <x v="3"/>
    <n v="20"/>
    <n v="0"/>
    <m/>
    <m/>
    <m/>
  </r>
  <r>
    <s v="648-339430-001"/>
    <s v="CAP,SMD,100PF,±0.5% TOL,500V,NP0,1111"/>
    <s v="1111C101EP501X"/>
    <s v="PPI"/>
    <n v="5"/>
    <n v="0"/>
    <n v="0"/>
    <n v="0"/>
    <n v="0"/>
    <s v="Build to Order"/>
    <s v="N/A"/>
    <x v="3"/>
    <n v="5"/>
    <n v="0"/>
    <m/>
    <m/>
    <s v="2/19/26:  LOA Provided, Working on RFQ"/>
  </r>
  <r>
    <s v="648-345343-016"/>
    <s v="CAP,SMD,+/-0.25PF,7200V,NPO,2.0PF"/>
    <s v="3838C2R0CP722X"/>
    <s v="PASSIVE PLUS INC."/>
    <n v="180"/>
    <n v="0"/>
    <n v="0"/>
    <n v="0"/>
    <n v="0"/>
    <s v="Build to Order"/>
    <s v="N/A"/>
    <x v="3"/>
    <n v="180"/>
    <n v="0"/>
    <m/>
    <m/>
    <s v="2/19/26:  LOA Provided, Working on RFQ"/>
  </r>
  <r>
    <s v="648-B62204-001"/>
    <s v="CAP,SMD,PWR TRANSMITTER,1NF,5KV,2%,NP0"/>
    <s v="7676C102GP502X"/>
    <s v="PASSIVE PLUS INC."/>
    <n v="205"/>
    <n v="0"/>
    <n v="0"/>
    <n v="0"/>
    <n v="0"/>
    <s v="Build to Order"/>
    <s v="N/A"/>
    <x v="3"/>
    <n v="205"/>
    <n v="0"/>
    <m/>
    <m/>
    <s v="2/19/26:  LOA Provided, Working on RFQ"/>
  </r>
  <r>
    <s v="648-B64083-047"/>
    <s v="CAP,SMD,CER,4.7PF,+/-0.1%TOL,3.6KV,3838"/>
    <s v="3838C4R7BW362X"/>
    <s v="PASSIVE PLUS INC."/>
    <n v="230"/>
    <n v="0"/>
    <n v="0"/>
    <n v="0"/>
    <n v="0"/>
    <s v="Build to Order"/>
    <s v="N/A"/>
    <x v="3"/>
    <n v="230"/>
    <n v="0"/>
    <m/>
    <m/>
    <s v="2/19/26:  LOA Provided, Working on RFQ"/>
  </r>
  <r>
    <s v="648-B67704-121"/>
    <s v="CAP,SMD,MLCC,120PF,1% TOL,2500V,NP0"/>
    <s v="2225C121FW252X"/>
    <s v="PASSIVE PLUS INC."/>
    <n v="230"/>
    <n v="0"/>
    <n v="0"/>
    <n v="0"/>
    <n v="0"/>
    <s v="Build to Order"/>
    <s v="N/A"/>
    <x v="3"/>
    <n v="230"/>
    <n v="0"/>
    <m/>
    <m/>
    <s v="2/19/26:  LOA Provided, Working on RFQ"/>
  </r>
  <r>
    <s v="648-B67704-241"/>
    <s v="CAP,SMD,MLCC,240PF,1% TOL,2500V,NP0"/>
    <s v="2225C241FW252X"/>
    <s v="PASSIVE PLUS INC."/>
    <n v="230"/>
    <n v="0"/>
    <n v="0"/>
    <n v="0"/>
    <n v="0"/>
    <s v="Build to Order"/>
    <s v="N/A"/>
    <x v="3"/>
    <n v="230"/>
    <n v="0"/>
    <m/>
    <m/>
    <s v="2/19/26:  LOA Provided, Working on RFQ"/>
  </r>
  <r>
    <s v="648-B67704-300"/>
    <s v="CAP,SMD,MLCC,30PF,1% TOL,2500V,NP0"/>
    <s v="2225C300FW252X"/>
    <s v="PASSIVE PLUS INC."/>
    <n v="230"/>
    <n v="0"/>
    <n v="0"/>
    <n v="0"/>
    <n v="0"/>
    <s v="Build to Order"/>
    <s v="N/A"/>
    <x v="3"/>
    <n v="230"/>
    <n v="0"/>
    <m/>
    <m/>
    <s v="2/19/26:  LOA Provided, Working on RFQ"/>
  </r>
  <r>
    <s v="648-B67704-620"/>
    <s v="CAP,SMD,MLCC,62PF,1% TOL,2500V,NP0"/>
    <s v="2225C620FW252X"/>
    <s v="PASSIVE PLUS INC."/>
    <n v="230"/>
    <n v="0"/>
    <n v="0"/>
    <n v="0"/>
    <n v="0"/>
    <s v="Build to Order"/>
    <s v="N/A"/>
    <x v="3"/>
    <n v="230"/>
    <n v="0"/>
    <m/>
    <m/>
    <s v="2/19/26:  LOA Provided, Working on RFQ"/>
  </r>
  <r>
    <s v="648-B67732-820"/>
    <s v="CAP,SMD,MLCC,82PF,5% TOL,3600V,NP0,3838"/>
    <s v="3838C820JW362X"/>
    <s v="PASSIVE PLUS INC."/>
    <n v="230"/>
    <n v="0"/>
    <n v="0"/>
    <n v="0"/>
    <n v="0"/>
    <s v="Build to Order"/>
    <s v="N/A"/>
    <x v="3"/>
    <n v="230"/>
    <n v="0"/>
    <m/>
    <m/>
    <s v="2/19/26:  LOA Provided, Working on RFQ"/>
  </r>
  <r>
    <s v="660-121917-001"/>
    <s v="PS,DC-DC CONV,HV,12V INPUT,-2KV OUT,4W"/>
    <s v="2AA12-N4-I10-Y83-M"/>
    <s v="ULTRAVOLT"/>
    <n v="5"/>
    <n v="0"/>
    <n v="0"/>
    <n v="0"/>
    <n v="0"/>
    <s v="Build to Order"/>
    <s v="N/A"/>
    <x v="3"/>
    <n v="5"/>
    <n v="0"/>
    <m/>
    <m/>
    <s v="2/19/26:  LOA Provided, Working on RFQ"/>
  </r>
  <r>
    <s v="660-165469-001"/>
    <s v="PS,HV,DC-DC,8KV CT,15W"/>
    <s v="4FLHV24-BP15-I10-25PPM"/>
    <s v="ULTRAVOLT"/>
    <n v="5"/>
    <n v="0"/>
    <n v="0"/>
    <n v="0"/>
    <n v="0"/>
    <s v="Build to Order"/>
    <s v="N/A"/>
    <x v="3"/>
    <n v="5"/>
    <n v="0"/>
    <m/>
    <m/>
    <s v="2/19/26:  LOA Provided, Working on RFQ"/>
  </r>
  <r>
    <s v="660-169194-001"/>
    <s v="PS,HV,DC-DC,8KV CT,10W"/>
    <s v="E10590"/>
    <s v="XP POWER"/>
    <n v="5"/>
    <n v="0"/>
    <n v="0"/>
    <n v="0"/>
    <n v="0"/>
    <s v="Build to Order"/>
    <s v="N/A"/>
    <x v="3"/>
    <n v="5"/>
    <n v="0"/>
    <m/>
    <m/>
    <s v="2/19/26:  LOA Provided, Working on RFQ"/>
  </r>
  <r>
    <s v="668-032731-001"/>
    <s v="CONN,HI VOLT,RT ANGLE,RED,37 INCH"/>
    <s v="10483-56"/>
    <s v="CONNECTRONICS"/>
    <n v="10"/>
    <n v="0"/>
    <n v="0"/>
    <n v="0"/>
    <n v="0"/>
    <s v="Build to Order"/>
    <s v="N/A"/>
    <x v="3"/>
    <n v="10"/>
    <n v="0"/>
    <m/>
    <m/>
    <s v="2/19/26:  LOA Provided, Working on RFQ"/>
  </r>
  <r>
    <s v="668-107631-001"/>
    <s v="CONN,PLUG,DSUB,RA,5W5P,5P,15A,ROHS"/>
    <s v="3005W5PXX55N40X"/>
    <s v="CONEC ELEKTRONISCHE BAUELEMENTE GMBH"/>
    <n v="5"/>
    <n v="0"/>
    <n v="0"/>
    <n v="0"/>
    <n v="0"/>
    <s v="Build to Order"/>
    <s v="N/A"/>
    <x v="3"/>
    <n v="5"/>
    <n v="0"/>
    <m/>
    <m/>
    <s v="2/19/26:  LOA Provided, Working on RFQ"/>
  </r>
  <r>
    <s v="668-314221-001"/>
    <s v="CONN,RCPT,PWR ENTRY,5.7MM PIN"/>
    <s v="C10-738244-100"/>
    <s v="AMPHENOL"/>
    <n v="15"/>
    <n v="0"/>
    <n v="0"/>
    <n v="0"/>
    <n v="0"/>
    <s v="Build to Order"/>
    <s v="N/A"/>
    <x v="3"/>
    <n v="15"/>
    <n v="0"/>
    <m/>
    <m/>
    <s v="2/19/26:  LOA Provided, Working on RFQ"/>
  </r>
  <r>
    <s v="668-318161-001"/>
    <s v="CONN,PLUG,COMBO D-SUB,M/F,2P,30A"/>
    <s v="302W2CPXX57N40X"/>
    <s v="CONEC ELEKTRONISCHE BAUELEMENTE GMBH"/>
    <n v="15"/>
    <n v="0"/>
    <n v="0"/>
    <n v="0"/>
    <n v="0"/>
    <s v="Build to Order"/>
    <s v="N/A"/>
    <x v="3"/>
    <n v="15"/>
    <n v="0"/>
    <m/>
    <m/>
    <s v="2/19/26:  LOA Provided, Working on RFQ"/>
  </r>
  <r>
    <s v="668-340337-001"/>
    <s v="CONN,RCPT,DSUB,COMBO FEM,2POS,30A,CU ALY"/>
    <s v="302W2CSXX51E40X"/>
    <s v="CONEC ELEKTRONISCHE BAUELEMENTE GMBH"/>
    <n v="85"/>
    <n v="0"/>
    <n v="0"/>
    <n v="0"/>
    <n v="0"/>
    <s v="Build to Order"/>
    <s v="N/A"/>
    <x v="3"/>
    <n v="85"/>
    <n v="0"/>
    <m/>
    <m/>
    <s v="2/19/26:  LOA Provided, Working on RFQ"/>
  </r>
  <r>
    <s v="668-900417-001"/>
    <s v="CONN,RECPT,12KVDC/3AMP PCB MT"/>
    <s v="10654-01"/>
    <s v="CONNECTRONICS"/>
    <n v="15"/>
    <n v="0"/>
    <n v="0"/>
    <n v="0"/>
    <n v="0"/>
    <s v="Build to Order"/>
    <s v="N/A"/>
    <x v="3"/>
    <n v="15"/>
    <n v="0"/>
    <m/>
    <m/>
    <s v="2/19/26:  LOA Provided, Working on RFQ"/>
  </r>
  <r>
    <s v="668-B66386-001"/>
    <s v="CONN,RCPT,COMBO DSUB,STR,7W2S,7.5/30A"/>
    <s v="3007W2SCR51E40X"/>
    <s v="CONEC ELEKTRONISCHE BAUELEMENTE GMBH"/>
    <n v="40"/>
    <n v="0"/>
    <n v="0"/>
    <n v="0"/>
    <n v="0"/>
    <s v="Build to Order"/>
    <s v="N/A"/>
    <x v="3"/>
    <n v="40"/>
    <n v="0"/>
    <m/>
    <m/>
    <s v="2/19/26:  LOA Provided, Working on RFQ"/>
  </r>
  <r>
    <s v="668-C13091-001"/>
    <s v="CONN,RCPT,D-SUB,13W3,7.5A/30A,SLDR PIN"/>
    <s v="3013W3SCR51F40X"/>
    <s v="CONEC ELEKTRONISCHE BAUELEMENTE GMBH (P)"/>
    <n v="5"/>
    <n v="0"/>
    <n v="0"/>
    <n v="0"/>
    <n v="0"/>
    <s v="Build to Order"/>
    <s v="N/A"/>
    <x v="3"/>
    <n v="5"/>
    <n v="0"/>
    <m/>
    <m/>
    <s v="2/19/26:  LOA Provided, Working on RFQ"/>
  </r>
  <r>
    <s v="673-060116-001"/>
    <s v="TERM,PCB,PWR,W-INSULATOR,6-32,10P ROHS"/>
    <s v="121-14204-01-260"/>
    <s v="WINCHESTER INTERCONNECT"/>
    <n v="150"/>
    <n v="0"/>
    <n v="0"/>
    <n v="0"/>
    <n v="0"/>
    <s v="Build to Order"/>
    <s v="N/A"/>
    <x v="3"/>
    <n v="150"/>
    <n v="0"/>
    <m/>
    <m/>
    <s v="2/19/26:  LOA Provided, Working on RFQ"/>
  </r>
  <r>
    <s v="681-006802-210"/>
    <s v="WIRE,22AWG,300V,105C,UL1569,RED/BLK"/>
    <s v="ORDER BY DESCRIPTION"/>
    <s v="ORDER BY DESCRIPTION"/>
    <n v="60"/>
    <n v="0"/>
    <n v="0"/>
    <n v="0"/>
    <n v="0"/>
    <s v="Build to Order"/>
    <s v="N/A"/>
    <x v="3"/>
    <n v="60"/>
    <n v="0"/>
    <m/>
    <s v="2/19: No prior order history from Lam.  Please quote through your channels or advise if help is needed"/>
    <m/>
  </r>
  <r>
    <s v="720-900692-006"/>
    <s v="SCR,PNH,SLTD,6-32X.375LG,NYL"/>
    <s v="BUILD TO PRINT"/>
    <s v="BUILD TO PRINT"/>
    <n v="4"/>
    <n v="0"/>
    <n v="0"/>
    <n v="0"/>
    <n v="0"/>
    <s v="Build to Order"/>
    <s v="N/A"/>
    <x v="3"/>
    <n v="16"/>
    <n v="0"/>
    <m/>
    <s v="2/19:  Quote Rexel (Gexpro)"/>
    <m/>
  </r>
  <r>
    <s v="723-062412-007"/>
    <s v="STDF,NYLON,M/F,1/4 HEX 1.000"/>
    <s v="ORDER TO SPECIFICATION"/>
    <s v="ORDER TO SPECIFICATION"/>
    <n v="20"/>
    <n v="0"/>
    <n v="0"/>
    <n v="0"/>
    <n v="0"/>
    <s v="Build to Order"/>
    <s v="N/A"/>
    <x v="3"/>
    <n v="20"/>
    <n v="0"/>
    <m/>
    <s v="2/19:  Quote Rexel (Gexpro)"/>
    <m/>
  </r>
  <r>
    <s v="723-308078-009"/>
    <s v="STDF,RND,SWAGE1/4 3/32&quot; 6-32,0.105&quot;,ROHS"/>
    <s v="3045A-B-632-B-16"/>
    <s v="RAF"/>
    <n v="425"/>
    <n v="0"/>
    <n v="0"/>
    <n v="0"/>
    <n v="0"/>
    <s v="Build to Order"/>
    <s v="N/A"/>
    <x v="3"/>
    <n v="425"/>
    <n v="0"/>
    <m/>
    <m/>
    <s v="2/19/26:  LOA Provided, Working on RFQ"/>
  </r>
  <r>
    <s v="723-308078-046"/>
    <s v="STDF,RND,SWAGE,1/4,15/32&quot;,6-32,.105,ROHS"/>
    <s v="3050T-B-632-B-16"/>
    <s v="RAF"/>
    <n v="10"/>
    <n v="0"/>
    <n v="0"/>
    <n v="0"/>
    <n v="0"/>
    <s v="Build to Order"/>
    <s v="N/A"/>
    <x v="3"/>
    <n v="10"/>
    <n v="0"/>
    <m/>
    <m/>
    <s v="2/19/26:  LOA Provided, Working on RFQ"/>
  </r>
  <r>
    <s v="723-A64642-001"/>
    <s v="SPCR,BRS,POGO"/>
    <s v="YSMTSOB-81515-GN"/>
    <s v="PENN ENGINEERING"/>
    <n v="140"/>
    <n v="0"/>
    <n v="0"/>
    <n v="0"/>
    <n v="0"/>
    <s v="Build to Order"/>
    <s v="N/A"/>
    <x v="3"/>
    <n v="140"/>
    <n v="0"/>
    <m/>
    <m/>
    <s v="2/19/26:  LOA Provided, Working on RFQ"/>
  </r>
  <r>
    <s v="730-061071-004"/>
    <s v="NUT,HEX,M4 X .7 X 3.2"/>
    <s v="ORDER TO SPECIFICATION"/>
    <s v="ORDER TO SPECIFICATION"/>
    <n v="20"/>
    <n v="0"/>
    <n v="0"/>
    <n v="0"/>
    <n v="0"/>
    <s v="Build to Order"/>
    <s v="N/A"/>
    <x v="3"/>
    <n v="430"/>
    <n v="0"/>
    <m/>
    <s v="2/19:  Quote Rexel (Gexpro)"/>
    <m/>
  </r>
  <r>
    <s v="714-084061-001"/>
    <s v="STRAP,PWR,DC"/>
    <s v="BUILD TO PRINT"/>
    <s v="BUILD TO PRINT"/>
    <n v="4"/>
    <n v="0"/>
    <n v="5"/>
    <n v="43.62"/>
    <n v="0"/>
    <s v="Build to Order"/>
    <s v="N/A"/>
    <x v="4"/>
    <n v="24"/>
    <n v="1046.8799999999999"/>
    <m/>
    <s v="3/11:  Per Cortec quote.  Price doesn't include  $125/FA charge."/>
    <m/>
  </r>
  <r>
    <s v="714-084061-002"/>
    <s v="STRAP,PWR,DC"/>
    <s v="BUILD TO PRINT"/>
    <s v="BUILD TO PRINT"/>
    <n v="4"/>
    <n v="0"/>
    <n v="5"/>
    <n v="43.62"/>
    <n v="0"/>
    <s v="Build to Order"/>
    <s v="N/A"/>
    <x v="4"/>
    <n v="24"/>
    <n v="1046.8799999999999"/>
    <m/>
    <s v="3/11:  Per Cortec quote.  Price doesn't include  $125/FA charge."/>
    <m/>
  </r>
  <r>
    <s v="714-084061-011"/>
    <s v="STRAP,PWR,DC"/>
    <s v="BUILD TO PRINT"/>
    <s v="BUILD TO PRINT"/>
    <n v="4"/>
    <n v="0"/>
    <n v="5"/>
    <n v="106.41"/>
    <n v="0"/>
    <s v="Build to Order"/>
    <s v="N/A"/>
    <x v="4"/>
    <n v="6"/>
    <n v="638.46"/>
    <m/>
    <s v="3/11:  Per Cortec quote.  Price doesn't include  $125/FA charge."/>
    <m/>
  </r>
  <r>
    <s v="714-084061-012"/>
    <s v="STRAP,PWR,DC"/>
    <s v="BUILD TO PRINT"/>
    <s v="BUILD TO PRINT"/>
    <n v="4"/>
    <n v="0"/>
    <n v="5"/>
    <n v="172.99"/>
    <n v="0"/>
    <s v="Build to Order"/>
    <s v="N/A"/>
    <x v="4"/>
    <n v="3"/>
    <n v="518.97"/>
    <m/>
    <s v="3/11:  Per Cortec quote.  Price doesn't include  $125/FA charge."/>
    <m/>
  </r>
  <r>
    <s v="714-084061-013"/>
    <s v="STRAP,PWR,DC"/>
    <s v="BUILD TO PRINT"/>
    <s v="BUILD TO PRINT"/>
    <n v="4"/>
    <n v="0"/>
    <n v="5"/>
    <n v="165.76"/>
    <n v="0"/>
    <s v="Build to Order"/>
    <s v="N/A"/>
    <x v="4"/>
    <n v="3"/>
    <n v="497.28"/>
    <m/>
    <s v="3/11:  Per Cortec quote.  Price doesn't include  $125/FA charge."/>
    <m/>
  </r>
  <r>
    <s v="714-084061-010"/>
    <s v="STRAP,PWR,DC"/>
    <s v="BUILD TO PRINT"/>
    <s v="BUILD TO PRINT"/>
    <n v="4"/>
    <n v="0"/>
    <n v="5"/>
    <n v="38.1"/>
    <n v="0"/>
    <s v="Build to Order"/>
    <s v="N/A"/>
    <x v="4"/>
    <n v="12"/>
    <n v="457.20000000000005"/>
    <m/>
    <s v="3/11:  Per Cortec quote.  Price doesn't include  $125/FA charge."/>
    <m/>
  </r>
  <r>
    <s v="668-B24466-001"/>
    <s v="CONN,RCPT ASSY,15KVDC,7.5A,PC BD MT"/>
    <s v="10582-01"/>
    <s v="CONNECTRONICS CORP."/>
    <n v="40"/>
    <n v="1"/>
    <n v="18"/>
    <n v="125"/>
    <n v="40"/>
    <s v="Build to Order"/>
    <s v="N/A"/>
    <x v="5"/>
    <m/>
    <n v="0"/>
    <n v="40"/>
    <s v="3/10:  Lam will transfer.  Astute will hold as LOI."/>
    <m/>
  </r>
  <r>
    <s v="681-236697-004"/>
    <s v="WIRE,22 AWG,300V,105C,AWM,1569,BLU"/>
    <s v="ORDER TO SPECIFICATION"/>
    <s v="ORDER TO SPECIFICATION"/>
    <n v="20"/>
    <n v="0"/>
    <n v="0"/>
    <n v="0"/>
    <n v="0"/>
    <s v="Build to Order"/>
    <s v="N/A"/>
    <x v="5"/>
    <m/>
    <n v="0"/>
    <n v="92"/>
    <s v="3/10:  Lam will transfer.  Astute will hold as LOI."/>
    <m/>
  </r>
  <r>
    <s v="686-001219-001"/>
    <s v="TIE WRAP,.87IN BUNDLE DIA,3.9IN LG,WHT"/>
    <s v="ORDER TO SPECIFICATION"/>
    <s v="ORDER TO SPECIFICATION"/>
    <n v="20"/>
    <n v="0"/>
    <n v="0"/>
    <n v="0"/>
    <n v="0"/>
    <s v="Build to Order"/>
    <s v="N/A"/>
    <x v="5"/>
    <m/>
    <n v="0"/>
    <n v="5000"/>
    <s v="3/10:  Lam will transfer.  Astute will hold as LOI."/>
    <m/>
  </r>
  <r>
    <s v="720-000912-004"/>
    <s v="SCREW  PAN HD SST  2-56 X   1/"/>
    <s v="BUILD TO PRINT"/>
    <s v="BUILD TO PRINT"/>
    <n v="4"/>
    <n v="0"/>
    <n v="0"/>
    <n v="0"/>
    <n v="0"/>
    <s v="Build to Order"/>
    <s v="N/A"/>
    <x v="5"/>
    <m/>
    <n v="0"/>
    <n v="100"/>
    <s v="3/10:  Lam will transfer.  Astute will hold as LOI."/>
    <m/>
  </r>
  <r>
    <s v="720-000930-004"/>
    <s v="SCR,SCH CAP,6-32x1/4&quot;LG,SST"/>
    <s v="ORDER TO SPECIFICATION"/>
    <s v="ORDER TO SPECIFICATION"/>
    <n v="20"/>
    <n v="0"/>
    <n v="0"/>
    <n v="0"/>
    <n v="0"/>
    <s v="Build to Order"/>
    <s v="N/A"/>
    <x v="5"/>
    <m/>
    <n v="0"/>
    <n v="250"/>
    <s v="3/10:  Lam will transfer.  Astute will hold as LOI."/>
    <m/>
  </r>
  <r>
    <s v="720-000930-006"/>
    <s v="SCR,SCH CAP,6-32x3/8&quot;LG,SST"/>
    <s v="ORDER TO SPECIFICATION"/>
    <s v="ORDER TO SPECIFICATION"/>
    <n v="20"/>
    <n v="0"/>
    <n v="0"/>
    <n v="0"/>
    <n v="0"/>
    <s v="Build to Order"/>
    <s v="N/A"/>
    <x v="5"/>
    <m/>
    <n v="0"/>
    <n v="500"/>
    <s v="3/10:  Lam will transfer.  Astute will hold as LOI."/>
    <m/>
  </r>
  <r>
    <s v="720-001001-005"/>
    <s v="SCREW,PN HD,6-32X5/16"/>
    <s v="ORDER TO SPECIFICATION"/>
    <s v="ORDER TO SPECIFICATION"/>
    <n v="20"/>
    <n v="0"/>
    <n v="0"/>
    <n v="0"/>
    <n v="0"/>
    <s v="Build to Order"/>
    <s v="N/A"/>
    <x v="5"/>
    <m/>
    <n v="0"/>
    <n v="100"/>
    <s v="3/10:  Lam will transfer.  Astute will hold as LOI."/>
    <m/>
  </r>
  <r>
    <s v="721-000916-001"/>
    <s v="WSHR, FLT, #2"/>
    <s v="BUILD TO PRINT"/>
    <s v="BUILD TO PRINT"/>
    <n v="4"/>
    <n v="0"/>
    <n v="0"/>
    <n v="0"/>
    <n v="0"/>
    <s v="Build to Order"/>
    <s v="N/A"/>
    <x v="5"/>
    <m/>
    <n v="0"/>
    <n v="100"/>
    <s v="3/10:  Lam will transfer.  Astute will hold as LOI."/>
    <m/>
  </r>
  <r>
    <s v="721-000936-001"/>
    <s v="WSHR, FLT,#6"/>
    <s v="ORDER TO SPECIFICATION"/>
    <s v="ORDER TO SPECIFICATION"/>
    <n v="20"/>
    <n v="0"/>
    <n v="0"/>
    <n v="0"/>
    <n v="0"/>
    <s v="Build to Order"/>
    <s v="N/A"/>
    <x v="5"/>
    <m/>
    <n v="0"/>
    <n v="500"/>
    <s v="3/10:  Lam will transfer.  Astute will hold as LOI."/>
    <m/>
  </r>
  <r>
    <s v="721-000936-002"/>
    <s v="WSHR, LK, #6"/>
    <s v="ORDER TO SPECIFICATION"/>
    <s v="ORDER TO SPECIFICATION"/>
    <n v="20"/>
    <n v="0"/>
    <n v="0"/>
    <n v="0"/>
    <n v="0"/>
    <s v="Build to Order"/>
    <s v="N/A"/>
    <x v="5"/>
    <m/>
    <n v="0"/>
    <n v="500"/>
    <s v="3/10:  Lam will transfer.  Astute will hold as LOI."/>
    <m/>
  </r>
  <r>
    <s v="728-061063-008"/>
    <s v="SCR,SOC HD,M4 X .7 X 8MM,DIN 912,SST"/>
    <s v="ORDER TO SPECIFICATION"/>
    <s v="ORDER TO SPECIFICATION"/>
    <n v="20"/>
    <n v="0"/>
    <n v="0"/>
    <n v="0"/>
    <n v="0"/>
    <s v="Build to Order"/>
    <s v="N/A"/>
    <x v="5"/>
    <m/>
    <n v="0"/>
    <n v="300"/>
    <s v="3/10:  Lam will transfer.  Astute will hold as LOI."/>
    <m/>
  </r>
  <r>
    <s v="728-340899-006"/>
    <s v="SCR,SCH CAP,M3X0.5 THD,6MM LG,PEEK"/>
    <s v="ORDER TO SPECIFICATION"/>
    <s v="ORDER TO SPECIFICATION"/>
    <n v="20"/>
    <n v="0"/>
    <n v="0"/>
    <n v="0"/>
    <n v="0"/>
    <s v="Build to Order"/>
    <s v="N/A"/>
    <x v="5"/>
    <m/>
    <n v="0"/>
    <n v="50"/>
    <s v="3/10:  Lam will transfer.  Astute will hold as LOI."/>
    <m/>
  </r>
  <r>
    <s v="729-061056-004"/>
    <s v="WASHER,FLAT,M4"/>
    <s v="ORDER TO SPECIFICATION"/>
    <s v="ORDER TO SPECIFICATION"/>
    <n v="20"/>
    <n v="0"/>
    <n v="0"/>
    <n v="0"/>
    <n v="0"/>
    <s v="Build to Order"/>
    <s v="N/A"/>
    <x v="5"/>
    <m/>
    <n v="0"/>
    <n v="500"/>
    <s v="3/10:  Lam will transfer.  Astute will hold as LOI."/>
    <m/>
  </r>
  <r>
    <s v="729-061057-004"/>
    <s v="WASHER,SPLIT-LOCK,M4"/>
    <s v="ORDER TO SPECIFICATION"/>
    <s v="ORDER TO SPECIFICATION"/>
    <n v="20"/>
    <n v="0"/>
    <n v="0"/>
    <n v="0"/>
    <n v="0"/>
    <s v="Build to Order"/>
    <s v="N/A"/>
    <x v="5"/>
    <m/>
    <n v="0"/>
    <n v="500"/>
    <s v="3/10:  Lam will transfer.  Astute will hold as LOI.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42F216-424A-4AFA-8218-2E38E12C873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7">
        <item x="4"/>
        <item x="5"/>
        <item x="3"/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</pivotFields>
  <rowFields count="1">
    <field x="11"/>
  </rowFields>
  <rowItems count="7">
    <i>
      <x v="3"/>
    </i>
    <i>
      <x v="2"/>
    </i>
    <i>
      <x v="1"/>
    </i>
    <i>
      <x v="5"/>
    </i>
    <i>
      <x/>
    </i>
    <i>
      <x v="4"/>
    </i>
    <i t="grand">
      <x/>
    </i>
  </rowItems>
  <colItems count="1">
    <i/>
  </colItems>
  <dataFields count="1">
    <dataField name="Count of Astute PO Strategy" fld="1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2" dT="2026-02-03T23:33:41.37" personId="{FA5EFD3E-8287-4D8F-BFD8-04DBBBAC0C06}" id="{D5FCF917-BE6B-4927-AA91-D1C98D593190}">
    <text xml:space="preserve">RED = LT &gt; 26 wks
YELLOW = LT 13-26 wks
GREEN LT &lt; 12 wks
</text>
  </threadedComment>
  <threadedComment ref="J2" dT="2026-03-09T17:49:31.43" personId="{FA5EFD3E-8287-4D8F-BFD8-04DBBBAC0C06}" id="{D0F19B1A-C153-48BE-B55A-6716901775B0}">
    <text xml:space="preserve">Red &lt; 10k
Orange: 10k-100k
Yellow: 100K to500k
Green: Above 500k
Brown: OTS/BTP/BTO
</text>
  </threadedComment>
  <threadedComment ref="M2" dT="2026-04-10T18:21:29.43" personId="{FA5EFD3E-8287-4D8F-BFD8-04DBBBAC0C06}" id="{9D628CEC-2415-47B8-AA34-E298800B6F8D}">
    <text>BLUE highlight indicates qty has been reduced from the original quoted qty.  If price/ea is the same or &lt; 10% increase, please place PO.  If price increases &gt; 10% please hold for RJ feedback.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G2" dT="2026-02-03T23:33:41.37" personId="{FA5EFD3E-8287-4D8F-BFD8-04DBBBAC0C06}" id="{7667BEC6-0DAE-4BE0-8C1E-1EC6D52AB405}">
    <text xml:space="preserve">RED = LT &gt; 26 wks
YELLOW = LT 13-26 wks
GREEN LT &lt; 12 wks
</text>
  </threadedComment>
  <threadedComment ref="J2" dT="2026-03-09T17:49:31.43" personId="{FA5EFD3E-8287-4D8F-BFD8-04DBBBAC0C06}" id="{86E0C8B5-3E11-4BC5-A753-DB2552B47D9F}">
    <text xml:space="preserve">Red &lt; 10k
Orange: 10k-100k
Yellow: 100K to500k
Green: Above 500k
Brown: OTS/BTP/BTO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G1" dT="2026-02-03T23:33:41.37" personId="{FA5EFD3E-8287-4D8F-BFD8-04DBBBAC0C06}" id="{B2AFCFAC-71CB-44C4-88FB-8DFDC99DDE67}">
    <text xml:space="preserve">RED = LT &gt; 26 wks
YELLOW = LT 13-26 wks
GREEN LT &lt; 12 wks
</text>
  </threadedComment>
  <threadedComment ref="J1" dT="2026-03-09T17:49:31.43" personId="{FA5EFD3E-8287-4D8F-BFD8-04DBBBAC0C06}" id="{239EE6A8-A1EF-469A-B0FB-3E6E570E2810}">
    <text xml:space="preserve">Red &lt; 10k
Orange: 10k-100k
Yellow: 100K to500k
Green: Above 500k
Brown: OTS/BTP/BTO
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G1" dT="2026-02-03T23:33:41.37" personId="{FA5EFD3E-8287-4D8F-BFD8-04DBBBAC0C06}" id="{FE9C9E82-6A16-442B-8327-7940BCDE63A8}">
    <text xml:space="preserve">RED = LT &gt; 26 wks
YELLOW = LT 13-26 wks
GREEN LT &lt; 12 wks
</text>
  </threadedComment>
  <threadedComment ref="J1" dT="2026-03-09T17:49:31.43" personId="{FA5EFD3E-8287-4D8F-BFD8-04DBBBAC0C06}" id="{6C97287D-B782-480E-85CE-04AAA8456A2E}">
    <text xml:space="preserve">Red &lt; 10k
Orange: 10k-100k
Yellow: 100K to500k
Green: Above 500k
Brown: OTS/BTP/BTO
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G1" dT="2026-02-03T23:33:41.37" personId="{FA5EFD3E-8287-4D8F-BFD8-04DBBBAC0C06}" id="{33EAE7E8-38BB-4991-A1E0-19184226B30A}">
    <text xml:space="preserve">RED = LT &gt; 26 wks
YELLOW = LT 13-26 wks
GREEN LT &lt; 12 wks
</text>
  </threadedComment>
  <threadedComment ref="J1" dT="2026-03-09T17:49:31.43" personId="{FA5EFD3E-8287-4D8F-BFD8-04DBBBAC0C06}" id="{4AB4CFF5-A7FE-4FE3-9F94-098ED9D5E406}">
    <text xml:space="preserve">Red &lt; 10k
Orange: 10k-100k
Yellow: 100K to500k
Green: Above 500k
Brown: OTS/BTP/BTO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9CA0F-DDAD-4027-A12D-8A95AC3B9DD8}">
  <sheetPr>
    <pageSetUpPr autoPageBreaks="0"/>
  </sheetPr>
  <dimension ref="A1:Y292"/>
  <sheetViews>
    <sheetView tabSelected="1" zoomScale="85" zoomScaleNormal="85" workbookViewId="0">
      <pane xSplit="2" ySplit="2" topLeftCell="L3" activePane="bottomRight" state="frozen"/>
      <selection pane="topRight" activeCell="C1" sqref="C1"/>
      <selection pane="bottomLeft" activeCell="A4" sqref="A4"/>
      <selection pane="bottomRight" activeCell="M15" sqref="M15"/>
    </sheetView>
  </sheetViews>
  <sheetFormatPr defaultColWidth="9.140625" defaultRowHeight="12.75" x14ac:dyDescent="0.2"/>
  <cols>
    <col min="1" max="1" width="16.28515625" style="1" bestFit="1" customWidth="1"/>
    <col min="2" max="2" width="32" style="1" customWidth="1"/>
    <col min="3" max="3" width="23" style="1" customWidth="1"/>
    <col min="4" max="4" width="18" style="1" customWidth="1"/>
    <col min="5" max="6" width="15.7109375" style="1" customWidth="1"/>
    <col min="7" max="7" width="15.7109375" style="32" customWidth="1"/>
    <col min="8" max="8" width="15.7109375" style="33" customWidth="1"/>
    <col min="9" max="9" width="15.7109375" style="24" customWidth="1"/>
    <col min="10" max="10" width="15.7109375" style="21" customWidth="1"/>
    <col min="11" max="11" width="18.42578125" style="24" customWidth="1"/>
    <col min="12" max="12" width="22.5703125" style="24" customWidth="1"/>
    <col min="13" max="13" width="15.85546875" style="32" customWidth="1" collapsed="1"/>
    <col min="14" max="14" width="16.28515625" style="1" customWidth="1"/>
    <col min="15" max="15" width="7.140625" style="32" customWidth="1"/>
    <col min="16" max="16" width="13.85546875" style="32" customWidth="1"/>
    <col min="17" max="17" width="21" style="77" customWidth="1"/>
    <col min="18" max="18" width="15.5703125" style="32" customWidth="1"/>
    <col min="19" max="19" width="25.85546875" style="32" customWidth="1"/>
    <col min="20" max="20" width="21.7109375" style="32" customWidth="1"/>
    <col min="21" max="22" width="41.7109375" style="1" customWidth="1"/>
    <col min="23" max="23" width="22" style="1" customWidth="1"/>
    <col min="24" max="24" width="15.7109375" style="24" customWidth="1"/>
    <col min="25" max="25" width="18.85546875" style="24" customWidth="1"/>
    <col min="26" max="16384" width="9.140625" style="1"/>
  </cols>
  <sheetData>
    <row r="1" spans="1:25" ht="24" customHeight="1" x14ac:dyDescent="0.2">
      <c r="E1" s="70" t="s">
        <v>0</v>
      </c>
      <c r="F1" s="71"/>
      <c r="G1" s="71"/>
      <c r="H1" s="72"/>
      <c r="I1" s="73" t="s">
        <v>1</v>
      </c>
      <c r="J1" s="74"/>
      <c r="K1" s="75"/>
      <c r="L1" s="2" t="s">
        <v>2</v>
      </c>
      <c r="M1" s="3">
        <f>SUBTOTAL(9,M84:M293)</f>
        <v>58388</v>
      </c>
      <c r="N1" s="34">
        <f>SUBTOTAL(9,N3:N292)</f>
        <v>279167.94975000015</v>
      </c>
      <c r="O1" s="4"/>
      <c r="P1" s="79" t="s">
        <v>1003</v>
      </c>
      <c r="Q1" s="78"/>
      <c r="R1" s="78"/>
      <c r="S1" s="78"/>
      <c r="T1" s="78"/>
      <c r="X1" s="24">
        <f>SUM(X83:X292)</f>
        <v>52003.453000000001</v>
      </c>
      <c r="Y1" s="24">
        <f>SUM(Y83:Y292)</f>
        <v>25389.203000000001</v>
      </c>
    </row>
    <row r="2" spans="1:25" s="20" customFormat="1" ht="61.5" customHeight="1" thickBot="1" x14ac:dyDescent="0.3">
      <c r="A2" s="5" t="s">
        <v>3</v>
      </c>
      <c r="B2" s="5" t="s">
        <v>4</v>
      </c>
      <c r="C2" s="5" t="s">
        <v>5</v>
      </c>
      <c r="D2" s="6" t="s">
        <v>6</v>
      </c>
      <c r="E2" s="7" t="s">
        <v>7</v>
      </c>
      <c r="F2" s="8" t="s">
        <v>8</v>
      </c>
      <c r="G2" s="9" t="s">
        <v>9</v>
      </c>
      <c r="H2" s="10" t="s">
        <v>10</v>
      </c>
      <c r="I2" s="11" t="s">
        <v>11</v>
      </c>
      <c r="J2" s="12" t="s">
        <v>12</v>
      </c>
      <c r="K2" s="13" t="s">
        <v>13</v>
      </c>
      <c r="L2" s="14" t="s">
        <v>14</v>
      </c>
      <c r="M2" s="15" t="s">
        <v>999</v>
      </c>
      <c r="N2" s="16" t="s">
        <v>15</v>
      </c>
      <c r="O2" s="17" t="s">
        <v>16</v>
      </c>
      <c r="P2" s="56" t="s">
        <v>993</v>
      </c>
      <c r="Q2" s="57" t="s">
        <v>994</v>
      </c>
      <c r="R2" s="56" t="s">
        <v>997</v>
      </c>
      <c r="S2" s="56" t="s">
        <v>995</v>
      </c>
      <c r="T2" s="56" t="s">
        <v>996</v>
      </c>
      <c r="U2" s="18" t="s">
        <v>17</v>
      </c>
      <c r="V2" s="55" t="s">
        <v>1002</v>
      </c>
      <c r="W2" s="20" t="s">
        <v>1004</v>
      </c>
      <c r="X2" s="65" t="s">
        <v>1012</v>
      </c>
      <c r="Y2" s="65" t="s">
        <v>1013</v>
      </c>
    </row>
    <row r="3" spans="1:25" x14ac:dyDescent="0.2">
      <c r="A3" s="1" t="s">
        <v>19</v>
      </c>
      <c r="B3" s="1" t="s">
        <v>20</v>
      </c>
      <c r="C3" s="1" t="s">
        <v>21</v>
      </c>
      <c r="D3" s="1" t="s">
        <v>22</v>
      </c>
      <c r="E3" s="22">
        <v>1775</v>
      </c>
      <c r="F3" s="22">
        <v>1</v>
      </c>
      <c r="G3" s="21">
        <v>36</v>
      </c>
      <c r="H3" s="23">
        <v>45.155999999999999</v>
      </c>
      <c r="I3" s="24">
        <v>1775</v>
      </c>
      <c r="J3" s="21">
        <v>382</v>
      </c>
      <c r="K3" s="24" t="s">
        <v>23</v>
      </c>
      <c r="L3" s="24" t="s">
        <v>1000</v>
      </c>
      <c r="M3" s="25">
        <v>800</v>
      </c>
      <c r="N3" s="26">
        <f>H3*M3</f>
        <v>36124.799999999996</v>
      </c>
      <c r="O3" s="26"/>
      <c r="P3" s="68" t="s">
        <v>1027</v>
      </c>
      <c r="Q3" s="76">
        <v>46239</v>
      </c>
      <c r="R3" s="68" t="s">
        <v>1027</v>
      </c>
      <c r="S3" s="68" t="s">
        <v>1031</v>
      </c>
      <c r="T3" s="68" t="s">
        <v>1027</v>
      </c>
      <c r="X3" s="24">
        <v>2459</v>
      </c>
      <c r="Y3" s="24">
        <v>1637</v>
      </c>
    </row>
    <row r="4" spans="1:25" x14ac:dyDescent="0.2">
      <c r="A4" s="1" t="s">
        <v>25</v>
      </c>
      <c r="B4" s="1" t="s">
        <v>26</v>
      </c>
      <c r="C4" s="1" t="s">
        <v>27</v>
      </c>
      <c r="D4" s="1" t="s">
        <v>28</v>
      </c>
      <c r="E4" s="22">
        <v>25</v>
      </c>
      <c r="F4" s="22">
        <v>1</v>
      </c>
      <c r="G4" s="21">
        <v>26</v>
      </c>
      <c r="H4" s="23">
        <v>1532.595</v>
      </c>
      <c r="I4" s="24">
        <v>25</v>
      </c>
      <c r="J4" s="21">
        <v>5</v>
      </c>
      <c r="K4" s="24" t="s">
        <v>23</v>
      </c>
      <c r="L4" s="24" t="s">
        <v>1000</v>
      </c>
      <c r="M4" s="25">
        <v>15</v>
      </c>
      <c r="N4" s="26">
        <f t="shared" ref="N4:N67" si="0">H4*M4</f>
        <v>22988.924999999999</v>
      </c>
      <c r="O4" s="26"/>
      <c r="P4" s="68" t="s">
        <v>1048</v>
      </c>
      <c r="Q4" s="76"/>
      <c r="R4" s="68"/>
      <c r="S4" s="68"/>
      <c r="T4" s="68"/>
      <c r="X4" s="24">
        <v>37</v>
      </c>
      <c r="Y4" s="24">
        <v>33</v>
      </c>
    </row>
    <row r="5" spans="1:25" x14ac:dyDescent="0.2">
      <c r="A5" s="1" t="s">
        <v>29</v>
      </c>
      <c r="B5" s="1" t="s">
        <v>30</v>
      </c>
      <c r="C5" s="1" t="s">
        <v>31</v>
      </c>
      <c r="D5" s="1" t="s">
        <v>32</v>
      </c>
      <c r="E5" s="22">
        <v>850</v>
      </c>
      <c r="F5" s="22">
        <v>1</v>
      </c>
      <c r="G5" s="21">
        <v>9</v>
      </c>
      <c r="H5" s="23">
        <v>21.697500000000002</v>
      </c>
      <c r="I5" s="24">
        <v>850</v>
      </c>
      <c r="J5" s="21">
        <v>932</v>
      </c>
      <c r="K5" s="24" t="s">
        <v>23</v>
      </c>
      <c r="L5" s="24" t="s">
        <v>1000</v>
      </c>
      <c r="M5" s="25">
        <v>500</v>
      </c>
      <c r="N5" s="26">
        <f t="shared" si="0"/>
        <v>10848.75</v>
      </c>
      <c r="O5" s="26"/>
      <c r="P5" s="68" t="s">
        <v>1027</v>
      </c>
      <c r="Q5" s="76">
        <v>46197</v>
      </c>
      <c r="R5" s="68" t="s">
        <v>1027</v>
      </c>
      <c r="S5" s="68" t="s">
        <v>1037</v>
      </c>
      <c r="T5" s="68" t="s">
        <v>1027</v>
      </c>
      <c r="X5" s="24">
        <v>2092</v>
      </c>
      <c r="Y5" s="24">
        <v>942</v>
      </c>
    </row>
    <row r="6" spans="1:25" x14ac:dyDescent="0.2">
      <c r="A6" s="1" t="s">
        <v>33</v>
      </c>
      <c r="B6" s="1" t="s">
        <v>34</v>
      </c>
      <c r="C6" s="1" t="s">
        <v>35</v>
      </c>
      <c r="D6" s="1" t="s">
        <v>36</v>
      </c>
      <c r="E6" s="22">
        <v>2190</v>
      </c>
      <c r="F6" s="22">
        <v>1</v>
      </c>
      <c r="G6" s="21">
        <v>21</v>
      </c>
      <c r="H6" s="23">
        <v>9.6300000000000008</v>
      </c>
      <c r="I6" s="24">
        <v>2190</v>
      </c>
      <c r="J6" s="21">
        <v>1908</v>
      </c>
      <c r="K6" s="24" t="s">
        <v>23</v>
      </c>
      <c r="L6" s="24" t="s">
        <v>1000</v>
      </c>
      <c r="M6" s="25">
        <v>1000</v>
      </c>
      <c r="N6" s="26">
        <f t="shared" si="0"/>
        <v>9630</v>
      </c>
      <c r="O6" s="26"/>
      <c r="P6" s="68" t="s">
        <v>1027</v>
      </c>
      <c r="Q6" s="76">
        <v>46143</v>
      </c>
      <c r="R6" s="68" t="s">
        <v>1027</v>
      </c>
      <c r="S6" s="68" t="s">
        <v>1033</v>
      </c>
      <c r="T6" s="68" t="s">
        <v>1027</v>
      </c>
      <c r="U6" s="1" t="s">
        <v>37</v>
      </c>
      <c r="X6" s="24">
        <v>1866</v>
      </c>
      <c r="Y6" s="24">
        <v>1046</v>
      </c>
    </row>
    <row r="7" spans="1:25" x14ac:dyDescent="0.2">
      <c r="A7" s="1" t="s">
        <v>38</v>
      </c>
      <c r="B7" s="1" t="s">
        <v>39</v>
      </c>
      <c r="C7" s="1" t="s">
        <v>40</v>
      </c>
      <c r="D7" s="1" t="s">
        <v>41</v>
      </c>
      <c r="E7" s="22">
        <v>2310</v>
      </c>
      <c r="F7" s="22">
        <v>50</v>
      </c>
      <c r="G7" s="21">
        <v>26</v>
      </c>
      <c r="H7" s="23">
        <v>3.5449999999999999</v>
      </c>
      <c r="I7" s="24">
        <v>2310</v>
      </c>
      <c r="J7" s="21">
        <v>4422</v>
      </c>
      <c r="K7" s="24" t="s">
        <v>23</v>
      </c>
      <c r="L7" s="24" t="s">
        <v>1000</v>
      </c>
      <c r="M7" s="25">
        <v>2000</v>
      </c>
      <c r="N7" s="26">
        <f t="shared" si="0"/>
        <v>7090</v>
      </c>
      <c r="O7" s="26"/>
      <c r="P7" s="68" t="s">
        <v>1027</v>
      </c>
      <c r="Q7" s="76">
        <v>46206</v>
      </c>
      <c r="R7" s="68" t="s">
        <v>1027</v>
      </c>
      <c r="S7" s="68" t="s">
        <v>1031</v>
      </c>
      <c r="T7" s="68" t="s">
        <v>1027</v>
      </c>
      <c r="X7" s="24">
        <v>5985</v>
      </c>
      <c r="Y7" s="24">
        <v>2710</v>
      </c>
    </row>
    <row r="8" spans="1:25" x14ac:dyDescent="0.2">
      <c r="A8" s="1" t="s">
        <v>42</v>
      </c>
      <c r="B8" s="1" t="s">
        <v>43</v>
      </c>
      <c r="C8" s="1" t="s">
        <v>44</v>
      </c>
      <c r="D8" s="1" t="s">
        <v>28</v>
      </c>
      <c r="E8" s="22">
        <v>5</v>
      </c>
      <c r="F8" s="22">
        <v>1</v>
      </c>
      <c r="G8" s="21">
        <v>26</v>
      </c>
      <c r="H8" s="23">
        <v>1354</v>
      </c>
      <c r="I8" s="24">
        <v>5</v>
      </c>
      <c r="J8" s="21">
        <v>1356</v>
      </c>
      <c r="K8" s="24" t="s">
        <v>23</v>
      </c>
      <c r="L8" s="24" t="s">
        <v>1000</v>
      </c>
      <c r="M8" s="21">
        <v>5</v>
      </c>
      <c r="N8" s="26">
        <f t="shared" si="0"/>
        <v>6770</v>
      </c>
      <c r="O8" s="26"/>
      <c r="P8" s="68" t="s">
        <v>1048</v>
      </c>
      <c r="Q8" s="76"/>
      <c r="R8" s="68"/>
      <c r="S8" s="68"/>
      <c r="T8" s="68"/>
      <c r="X8" s="24">
        <v>0</v>
      </c>
      <c r="Y8" s="24">
        <v>0</v>
      </c>
    </row>
    <row r="9" spans="1:25" x14ac:dyDescent="0.2">
      <c r="A9" s="1" t="s">
        <v>45</v>
      </c>
      <c r="B9" s="1" t="s">
        <v>46</v>
      </c>
      <c r="C9" s="1" t="s">
        <v>47</v>
      </c>
      <c r="D9" s="1" t="s">
        <v>48</v>
      </c>
      <c r="E9" s="22">
        <v>235</v>
      </c>
      <c r="F9" s="22">
        <v>250</v>
      </c>
      <c r="G9" s="21">
        <v>20</v>
      </c>
      <c r="H9" s="23">
        <v>29.696200000000001</v>
      </c>
      <c r="I9" s="24">
        <v>235</v>
      </c>
      <c r="J9" s="21">
        <v>4554</v>
      </c>
      <c r="K9" s="24" t="s">
        <v>23</v>
      </c>
      <c r="L9" s="24" t="s">
        <v>1000</v>
      </c>
      <c r="M9" s="25">
        <v>200</v>
      </c>
      <c r="N9" s="26">
        <f t="shared" si="0"/>
        <v>5939.24</v>
      </c>
      <c r="O9" s="26"/>
      <c r="P9" s="68" t="s">
        <v>1048</v>
      </c>
      <c r="Q9" s="76"/>
      <c r="R9" s="68"/>
      <c r="S9" s="68"/>
      <c r="T9" s="68"/>
      <c r="X9" s="24">
        <v>346</v>
      </c>
      <c r="Y9" s="24">
        <v>158</v>
      </c>
    </row>
    <row r="10" spans="1:25" x14ac:dyDescent="0.2">
      <c r="A10" s="27" t="s">
        <v>49</v>
      </c>
      <c r="B10" s="27" t="s">
        <v>50</v>
      </c>
      <c r="C10" s="28" t="s">
        <v>51</v>
      </c>
      <c r="D10" s="28" t="s">
        <v>52</v>
      </c>
      <c r="E10" s="22">
        <v>25</v>
      </c>
      <c r="F10" s="22">
        <v>30</v>
      </c>
      <c r="G10" s="21">
        <v>21</v>
      </c>
      <c r="H10" s="23">
        <v>162.91</v>
      </c>
      <c r="I10" s="24">
        <v>25</v>
      </c>
      <c r="J10" s="21">
        <v>174</v>
      </c>
      <c r="K10" s="24" t="s">
        <v>23</v>
      </c>
      <c r="L10" s="24" t="s">
        <v>1000</v>
      </c>
      <c r="M10" s="21">
        <v>25</v>
      </c>
      <c r="N10" s="26">
        <f t="shared" si="0"/>
        <v>4072.75</v>
      </c>
      <c r="O10" s="26"/>
      <c r="P10" s="68" t="s">
        <v>1027</v>
      </c>
      <c r="Q10" s="76">
        <v>46143</v>
      </c>
      <c r="R10" s="68" t="s">
        <v>1027</v>
      </c>
      <c r="S10" s="68" t="s">
        <v>1032</v>
      </c>
      <c r="T10" s="68" t="s">
        <v>1027</v>
      </c>
      <c r="U10" s="27"/>
      <c r="V10" s="27"/>
      <c r="X10" s="24">
        <v>18</v>
      </c>
      <c r="Y10" s="24">
        <v>6</v>
      </c>
    </row>
    <row r="11" spans="1:25" x14ac:dyDescent="0.2">
      <c r="A11" s="1" t="s">
        <v>53</v>
      </c>
      <c r="B11" s="1" t="s">
        <v>54</v>
      </c>
      <c r="C11" s="1" t="s">
        <v>55</v>
      </c>
      <c r="D11" s="1" t="s">
        <v>56</v>
      </c>
      <c r="E11" s="22">
        <v>310</v>
      </c>
      <c r="F11" s="22">
        <v>1</v>
      </c>
      <c r="G11" s="21">
        <v>16</v>
      </c>
      <c r="H11" s="23">
        <v>25.290099999999999</v>
      </c>
      <c r="I11" s="24">
        <v>310</v>
      </c>
      <c r="J11" s="21">
        <v>220</v>
      </c>
      <c r="K11" s="24" t="s">
        <v>23</v>
      </c>
      <c r="L11" s="24" t="s">
        <v>1000</v>
      </c>
      <c r="M11" s="25">
        <v>150</v>
      </c>
      <c r="N11" s="26">
        <f t="shared" si="0"/>
        <v>3793.5149999999999</v>
      </c>
      <c r="O11" s="26"/>
      <c r="P11" s="68" t="s">
        <v>1027</v>
      </c>
      <c r="Q11" s="76">
        <v>46143</v>
      </c>
      <c r="R11" s="68" t="s">
        <v>1027</v>
      </c>
      <c r="S11" s="68" t="s">
        <v>1038</v>
      </c>
      <c r="T11" s="68" t="s">
        <v>1027</v>
      </c>
      <c r="X11" s="24">
        <v>207</v>
      </c>
      <c r="Y11" s="24">
        <v>207</v>
      </c>
    </row>
    <row r="12" spans="1:25" x14ac:dyDescent="0.2">
      <c r="A12" s="1" t="s">
        <v>57</v>
      </c>
      <c r="B12" s="1" t="s">
        <v>58</v>
      </c>
      <c r="C12" s="1" t="s">
        <v>59</v>
      </c>
      <c r="D12" s="1" t="s">
        <v>60</v>
      </c>
      <c r="E12" s="22">
        <v>630</v>
      </c>
      <c r="F12" s="22">
        <v>1</v>
      </c>
      <c r="G12" s="21">
        <v>19</v>
      </c>
      <c r="H12" s="23">
        <v>6.173</v>
      </c>
      <c r="I12" s="24">
        <v>630</v>
      </c>
      <c r="J12" s="21">
        <v>5881</v>
      </c>
      <c r="K12" s="24" t="s">
        <v>23</v>
      </c>
      <c r="L12" s="24" t="s">
        <v>1000</v>
      </c>
      <c r="M12" s="25">
        <v>500</v>
      </c>
      <c r="N12" s="26">
        <f t="shared" si="0"/>
        <v>3086.5</v>
      </c>
      <c r="O12" s="26"/>
      <c r="P12" s="68" t="s">
        <v>1027</v>
      </c>
      <c r="Q12" s="76">
        <v>46143</v>
      </c>
      <c r="R12" s="68" t="s">
        <v>1027</v>
      </c>
      <c r="S12" s="68" t="s">
        <v>1039</v>
      </c>
      <c r="T12" s="68" t="s">
        <v>1027</v>
      </c>
      <c r="X12" s="24">
        <v>462</v>
      </c>
      <c r="Y12" s="24">
        <v>354</v>
      </c>
    </row>
    <row r="13" spans="1:25" x14ac:dyDescent="0.2">
      <c r="A13" s="1" t="s">
        <v>61</v>
      </c>
      <c r="B13" s="1" t="s">
        <v>62</v>
      </c>
      <c r="C13" s="1" t="s">
        <v>63</v>
      </c>
      <c r="D13" s="1" t="s">
        <v>64</v>
      </c>
      <c r="E13" s="22">
        <v>90</v>
      </c>
      <c r="F13" s="22">
        <v>1</v>
      </c>
      <c r="G13" s="21">
        <v>31</v>
      </c>
      <c r="H13" s="23">
        <v>60.614600000000003</v>
      </c>
      <c r="I13" s="24">
        <v>90</v>
      </c>
      <c r="J13" s="21">
        <v>1032</v>
      </c>
      <c r="K13" s="24" t="s">
        <v>23</v>
      </c>
      <c r="L13" s="24" t="s">
        <v>1000</v>
      </c>
      <c r="M13" s="25">
        <v>50</v>
      </c>
      <c r="N13" s="26">
        <f t="shared" si="0"/>
        <v>3030.73</v>
      </c>
      <c r="O13" s="26"/>
      <c r="P13" s="68" t="s">
        <v>1027</v>
      </c>
      <c r="Q13" s="76">
        <v>46143</v>
      </c>
      <c r="R13" s="68" t="s">
        <v>1027</v>
      </c>
      <c r="S13" s="68" t="s">
        <v>1034</v>
      </c>
      <c r="T13" s="68" t="s">
        <v>1027</v>
      </c>
      <c r="X13" s="24">
        <v>0</v>
      </c>
      <c r="Y13" s="24">
        <v>0</v>
      </c>
    </row>
    <row r="14" spans="1:25" x14ac:dyDescent="0.2">
      <c r="A14" s="1" t="s">
        <v>65</v>
      </c>
      <c r="B14" s="1" t="s">
        <v>66</v>
      </c>
      <c r="C14" s="1" t="s">
        <v>67</v>
      </c>
      <c r="D14" s="1" t="s">
        <v>68</v>
      </c>
      <c r="E14" s="22">
        <v>50</v>
      </c>
      <c r="F14" s="22">
        <v>1</v>
      </c>
      <c r="G14" s="21">
        <v>14</v>
      </c>
      <c r="H14" s="23">
        <v>59.534199999999998</v>
      </c>
      <c r="I14" s="24">
        <v>50</v>
      </c>
      <c r="J14" s="21">
        <v>6949</v>
      </c>
      <c r="K14" s="24" t="s">
        <v>69</v>
      </c>
      <c r="L14" s="24" t="s">
        <v>1000</v>
      </c>
      <c r="M14" s="21">
        <v>50</v>
      </c>
      <c r="N14" s="26">
        <f t="shared" si="0"/>
        <v>2976.71</v>
      </c>
      <c r="O14" s="26"/>
      <c r="P14" s="68" t="s">
        <v>1027</v>
      </c>
      <c r="Q14" s="76">
        <v>46143</v>
      </c>
      <c r="R14" s="68" t="s">
        <v>1027</v>
      </c>
      <c r="S14" s="68" t="s">
        <v>1031</v>
      </c>
      <c r="T14" s="68" t="s">
        <v>1027</v>
      </c>
      <c r="U14" s="29"/>
      <c r="V14" s="29"/>
      <c r="X14" s="24">
        <v>465</v>
      </c>
      <c r="Y14" s="24">
        <v>417</v>
      </c>
    </row>
    <row r="15" spans="1:25" x14ac:dyDescent="0.2">
      <c r="A15" s="1" t="s">
        <v>70</v>
      </c>
      <c r="B15" s="1" t="s">
        <v>71</v>
      </c>
      <c r="C15" s="1" t="s">
        <v>72</v>
      </c>
      <c r="D15" s="1" t="s">
        <v>41</v>
      </c>
      <c r="E15" s="22">
        <v>1660</v>
      </c>
      <c r="F15" s="22">
        <v>50</v>
      </c>
      <c r="G15" s="21">
        <v>26</v>
      </c>
      <c r="H15" s="23">
        <v>2.8250000000000002</v>
      </c>
      <c r="I15" s="24">
        <v>1660</v>
      </c>
      <c r="J15" s="21">
        <v>3718</v>
      </c>
      <c r="K15" s="24" t="s">
        <v>23</v>
      </c>
      <c r="L15" s="24" t="s">
        <v>1000</v>
      </c>
      <c r="M15" s="21">
        <v>1000</v>
      </c>
      <c r="N15" s="26">
        <f t="shared" si="0"/>
        <v>2825</v>
      </c>
      <c r="O15" s="26"/>
      <c r="P15" s="68" t="s">
        <v>1027</v>
      </c>
      <c r="Q15" s="76">
        <v>46143</v>
      </c>
      <c r="R15" s="68" t="s">
        <v>1027</v>
      </c>
      <c r="S15" s="68" t="s">
        <v>1040</v>
      </c>
      <c r="T15" s="68" t="s">
        <v>1027</v>
      </c>
      <c r="X15" s="24">
        <v>3616</v>
      </c>
      <c r="Y15" s="24">
        <v>1592</v>
      </c>
    </row>
    <row r="16" spans="1:25" x14ac:dyDescent="0.2">
      <c r="A16" s="1" t="s">
        <v>73</v>
      </c>
      <c r="B16" s="1" t="s">
        <v>74</v>
      </c>
      <c r="C16" s="1" t="s">
        <v>75</v>
      </c>
      <c r="D16" s="1" t="s">
        <v>76</v>
      </c>
      <c r="E16" s="22">
        <v>255</v>
      </c>
      <c r="F16" s="22">
        <v>1</v>
      </c>
      <c r="G16" s="21">
        <v>10</v>
      </c>
      <c r="H16" s="23">
        <v>13.566890000000001</v>
      </c>
      <c r="I16" s="24">
        <v>255</v>
      </c>
      <c r="J16" s="21">
        <v>1431</v>
      </c>
      <c r="K16" s="24" t="s">
        <v>23</v>
      </c>
      <c r="L16" s="24" t="s">
        <v>1000</v>
      </c>
      <c r="M16" s="30">
        <v>200</v>
      </c>
      <c r="N16" s="26">
        <f t="shared" si="0"/>
        <v>2713.3780000000002</v>
      </c>
      <c r="O16" s="26"/>
      <c r="P16" s="68" t="s">
        <v>1027</v>
      </c>
      <c r="Q16" s="76">
        <v>46143</v>
      </c>
      <c r="R16" s="68" t="s">
        <v>1027</v>
      </c>
      <c r="S16" s="68" t="s">
        <v>1029</v>
      </c>
      <c r="T16" s="68" t="s">
        <v>1027</v>
      </c>
      <c r="X16" s="24">
        <v>137</v>
      </c>
      <c r="Y16" s="24">
        <v>113</v>
      </c>
    </row>
    <row r="17" spans="1:25" x14ac:dyDescent="0.2">
      <c r="A17" s="1" t="s">
        <v>77</v>
      </c>
      <c r="B17" s="1" t="s">
        <v>78</v>
      </c>
      <c r="C17" s="1" t="s">
        <v>79</v>
      </c>
      <c r="D17" s="1" t="s">
        <v>28</v>
      </c>
      <c r="E17" s="22">
        <v>10</v>
      </c>
      <c r="F17" s="22">
        <v>1</v>
      </c>
      <c r="G17" s="21">
        <v>20</v>
      </c>
      <c r="H17" s="23">
        <v>256.09500000000003</v>
      </c>
      <c r="I17" s="24">
        <v>10</v>
      </c>
      <c r="J17" s="21">
        <v>181</v>
      </c>
      <c r="K17" s="24" t="s">
        <v>23</v>
      </c>
      <c r="L17" s="24" t="s">
        <v>1000</v>
      </c>
      <c r="M17" s="21">
        <v>10</v>
      </c>
      <c r="N17" s="26">
        <f t="shared" si="0"/>
        <v>2560.9500000000003</v>
      </c>
      <c r="O17" s="26"/>
      <c r="P17" s="68" t="s">
        <v>1027</v>
      </c>
      <c r="Q17" s="76">
        <v>46143</v>
      </c>
      <c r="R17" s="68" t="s">
        <v>1027</v>
      </c>
      <c r="S17" s="68" t="s">
        <v>1035</v>
      </c>
      <c r="T17" s="68" t="s">
        <v>1048</v>
      </c>
      <c r="X17" s="24">
        <v>2</v>
      </c>
      <c r="Y17" s="24">
        <v>0</v>
      </c>
    </row>
    <row r="18" spans="1:25" x14ac:dyDescent="0.2">
      <c r="A18" s="1" t="s">
        <v>80</v>
      </c>
      <c r="B18" s="1" t="s">
        <v>81</v>
      </c>
      <c r="C18" s="1" t="s">
        <v>82</v>
      </c>
      <c r="D18" s="1" t="s">
        <v>83</v>
      </c>
      <c r="E18" s="22">
        <v>100</v>
      </c>
      <c r="F18" s="22">
        <v>1</v>
      </c>
      <c r="G18" s="21">
        <v>42</v>
      </c>
      <c r="H18" s="23">
        <v>49.875700000000002</v>
      </c>
      <c r="I18" s="24">
        <v>100</v>
      </c>
      <c r="J18" s="21">
        <v>455</v>
      </c>
      <c r="K18" s="24" t="s">
        <v>23</v>
      </c>
      <c r="L18" s="24" t="s">
        <v>1000</v>
      </c>
      <c r="M18" s="25">
        <v>50</v>
      </c>
      <c r="N18" s="26">
        <f t="shared" si="0"/>
        <v>2493.7850000000003</v>
      </c>
      <c r="O18" s="26"/>
      <c r="P18" s="68" t="s">
        <v>1027</v>
      </c>
      <c r="Q18" s="76">
        <v>46143</v>
      </c>
      <c r="R18" s="68" t="s">
        <v>1027</v>
      </c>
      <c r="S18" s="68" t="s">
        <v>1030</v>
      </c>
      <c r="T18" s="68" t="s">
        <v>1027</v>
      </c>
      <c r="X18" s="24">
        <v>50</v>
      </c>
      <c r="Y18" s="24">
        <v>0</v>
      </c>
    </row>
    <row r="19" spans="1:25" x14ac:dyDescent="0.2">
      <c r="A19" s="27" t="s">
        <v>84</v>
      </c>
      <c r="B19" s="27" t="s">
        <v>85</v>
      </c>
      <c r="C19" s="28" t="s">
        <v>86</v>
      </c>
      <c r="D19" s="28" t="s">
        <v>41</v>
      </c>
      <c r="E19" s="22">
        <v>470</v>
      </c>
      <c r="F19" s="22">
        <v>50</v>
      </c>
      <c r="G19" s="21">
        <v>25</v>
      </c>
      <c r="H19" s="23">
        <v>9.59</v>
      </c>
      <c r="I19" s="24">
        <v>470</v>
      </c>
      <c r="J19" s="21">
        <v>2366</v>
      </c>
      <c r="K19" s="24" t="s">
        <v>23</v>
      </c>
      <c r="L19" s="24" t="s">
        <v>1000</v>
      </c>
      <c r="M19" s="25">
        <v>250</v>
      </c>
      <c r="N19" s="26">
        <f t="shared" si="0"/>
        <v>2397.5</v>
      </c>
      <c r="O19" s="26"/>
      <c r="P19" s="68" t="s">
        <v>1027</v>
      </c>
      <c r="Q19" s="76">
        <v>46143</v>
      </c>
      <c r="R19" s="68" t="s">
        <v>1027</v>
      </c>
      <c r="S19" s="68" t="s">
        <v>1032</v>
      </c>
      <c r="T19" s="68" t="s">
        <v>1027</v>
      </c>
      <c r="U19" s="27"/>
      <c r="V19" s="27"/>
      <c r="X19" s="24">
        <v>551</v>
      </c>
      <c r="Y19" s="24">
        <v>305</v>
      </c>
    </row>
    <row r="20" spans="1:25" x14ac:dyDescent="0.2">
      <c r="A20" s="1" t="s">
        <v>87</v>
      </c>
      <c r="B20" s="1" t="s">
        <v>88</v>
      </c>
      <c r="C20" s="1" t="s">
        <v>89</v>
      </c>
      <c r="D20" s="1" t="s">
        <v>90</v>
      </c>
      <c r="E20" s="22">
        <v>235</v>
      </c>
      <c r="F20" s="22">
        <v>2500</v>
      </c>
      <c r="G20" s="21">
        <v>20</v>
      </c>
      <c r="H20" s="23">
        <v>8.8840000000000003</v>
      </c>
      <c r="I20" s="24">
        <v>235</v>
      </c>
      <c r="J20" s="21">
        <v>8707</v>
      </c>
      <c r="K20" s="24" t="s">
        <v>23</v>
      </c>
      <c r="L20" s="24" t="s">
        <v>1000</v>
      </c>
      <c r="M20" s="25">
        <v>250</v>
      </c>
      <c r="N20" s="26">
        <f t="shared" si="0"/>
        <v>2221</v>
      </c>
      <c r="O20" s="26"/>
      <c r="P20" s="68" t="s">
        <v>1048</v>
      </c>
      <c r="Q20" s="76"/>
      <c r="R20" s="68"/>
      <c r="S20" s="68"/>
      <c r="T20" s="68"/>
      <c r="X20" s="24">
        <v>760</v>
      </c>
      <c r="Y20" s="24">
        <v>392</v>
      </c>
    </row>
    <row r="21" spans="1:25" x14ac:dyDescent="0.2">
      <c r="A21" s="1" t="s">
        <v>91</v>
      </c>
      <c r="B21" s="1" t="s">
        <v>92</v>
      </c>
      <c r="C21" s="1" t="s">
        <v>93</v>
      </c>
      <c r="D21" s="1" t="s">
        <v>94</v>
      </c>
      <c r="E21" s="22">
        <v>310</v>
      </c>
      <c r="F21" s="22">
        <v>84</v>
      </c>
      <c r="G21" s="21">
        <v>26</v>
      </c>
      <c r="H21" s="23">
        <v>10.8241</v>
      </c>
      <c r="I21" s="24">
        <v>310</v>
      </c>
      <c r="J21" s="21">
        <v>4813</v>
      </c>
      <c r="K21" s="24" t="s">
        <v>23</v>
      </c>
      <c r="L21" s="24" t="s">
        <v>1000</v>
      </c>
      <c r="M21" s="30">
        <v>200</v>
      </c>
      <c r="N21" s="26">
        <f t="shared" si="0"/>
        <v>2164.8199999999997</v>
      </c>
      <c r="O21" s="26"/>
      <c r="P21" s="68" t="s">
        <v>1027</v>
      </c>
      <c r="Q21" s="76">
        <v>46143</v>
      </c>
      <c r="R21" s="68" t="s">
        <v>1027</v>
      </c>
      <c r="S21" s="68" t="s">
        <v>1036</v>
      </c>
      <c r="T21" s="68" t="s">
        <v>1027</v>
      </c>
      <c r="X21" s="24">
        <v>348</v>
      </c>
      <c r="Y21" s="24">
        <v>188</v>
      </c>
    </row>
    <row r="22" spans="1:25" x14ac:dyDescent="0.2">
      <c r="A22" s="1" t="s">
        <v>95</v>
      </c>
      <c r="B22" s="1" t="s">
        <v>96</v>
      </c>
      <c r="C22" s="1" t="s">
        <v>97</v>
      </c>
      <c r="D22" s="1" t="s">
        <v>98</v>
      </c>
      <c r="E22" s="22">
        <v>60</v>
      </c>
      <c r="F22" s="22">
        <v>500</v>
      </c>
      <c r="G22" s="21">
        <v>20</v>
      </c>
      <c r="H22" s="23">
        <v>36.069000000000003</v>
      </c>
      <c r="I22" s="24">
        <v>60</v>
      </c>
      <c r="J22" s="21">
        <v>0</v>
      </c>
      <c r="K22" s="24" t="s">
        <v>69</v>
      </c>
      <c r="L22" s="24" t="s">
        <v>1000</v>
      </c>
      <c r="M22" s="21">
        <v>60</v>
      </c>
      <c r="N22" s="26">
        <f t="shared" si="0"/>
        <v>2164.1400000000003</v>
      </c>
      <c r="O22" s="26"/>
      <c r="P22" s="68" t="s">
        <v>1027</v>
      </c>
      <c r="Q22" s="76">
        <v>46143</v>
      </c>
      <c r="R22" s="68" t="s">
        <v>1027</v>
      </c>
      <c r="S22" s="68" t="s">
        <v>1032</v>
      </c>
      <c r="T22" s="68" t="s">
        <v>1027</v>
      </c>
      <c r="U22" s="29"/>
      <c r="V22" s="29"/>
      <c r="X22" s="24">
        <v>88</v>
      </c>
      <c r="Y22" s="24">
        <v>20</v>
      </c>
    </row>
    <row r="23" spans="1:25" x14ac:dyDescent="0.2">
      <c r="A23" s="1" t="s">
        <v>99</v>
      </c>
      <c r="B23" s="1" t="s">
        <v>100</v>
      </c>
      <c r="C23" s="1" t="s">
        <v>101</v>
      </c>
      <c r="D23" s="1" t="s">
        <v>102</v>
      </c>
      <c r="E23" s="22">
        <v>80</v>
      </c>
      <c r="F23" s="22">
        <v>1</v>
      </c>
      <c r="G23" s="21">
        <v>13</v>
      </c>
      <c r="H23" s="23">
        <v>25.715</v>
      </c>
      <c r="I23" s="24">
        <v>80</v>
      </c>
      <c r="J23" s="21">
        <v>38</v>
      </c>
      <c r="K23" s="24" t="s">
        <v>23</v>
      </c>
      <c r="L23" s="24" t="s">
        <v>1000</v>
      </c>
      <c r="M23" s="21">
        <v>80</v>
      </c>
      <c r="N23" s="26">
        <f t="shared" si="0"/>
        <v>2057.1999999999998</v>
      </c>
      <c r="O23" s="26"/>
      <c r="P23" s="68" t="s">
        <v>1027</v>
      </c>
      <c r="Q23" s="76">
        <v>46143</v>
      </c>
      <c r="R23" s="68" t="s">
        <v>1027</v>
      </c>
      <c r="S23" s="68" t="s">
        <v>1037</v>
      </c>
      <c r="T23" s="68" t="s">
        <v>1027</v>
      </c>
      <c r="X23" s="24">
        <v>0</v>
      </c>
      <c r="Y23" s="24">
        <v>0</v>
      </c>
    </row>
    <row r="24" spans="1:25" x14ac:dyDescent="0.2">
      <c r="A24" s="1" t="s">
        <v>103</v>
      </c>
      <c r="B24" s="1" t="s">
        <v>104</v>
      </c>
      <c r="C24" s="1" t="s">
        <v>105</v>
      </c>
      <c r="D24" s="1" t="s">
        <v>106</v>
      </c>
      <c r="E24" s="22">
        <v>30</v>
      </c>
      <c r="F24" s="22">
        <v>1</v>
      </c>
      <c r="G24" s="21">
        <v>33</v>
      </c>
      <c r="H24" s="23">
        <v>65.38</v>
      </c>
      <c r="I24" s="24">
        <v>30</v>
      </c>
      <c r="J24" s="21">
        <v>1790</v>
      </c>
      <c r="K24" s="24" t="s">
        <v>107</v>
      </c>
      <c r="L24" s="24" t="s">
        <v>1000</v>
      </c>
      <c r="M24" s="21">
        <v>30</v>
      </c>
      <c r="N24" s="26">
        <f t="shared" si="0"/>
        <v>1961.3999999999999</v>
      </c>
      <c r="O24" s="26"/>
      <c r="P24" s="68" t="s">
        <v>1048</v>
      </c>
      <c r="Q24" s="76"/>
      <c r="R24" s="68"/>
      <c r="S24" s="68"/>
      <c r="T24" s="68"/>
      <c r="U24" s="29"/>
      <c r="V24" s="29" t="s">
        <v>1051</v>
      </c>
      <c r="X24" s="24">
        <v>72</v>
      </c>
      <c r="Y24" s="24">
        <v>33</v>
      </c>
    </row>
    <row r="25" spans="1:25" x14ac:dyDescent="0.2">
      <c r="A25" s="1" t="s">
        <v>108</v>
      </c>
      <c r="B25" s="1" t="s">
        <v>109</v>
      </c>
      <c r="C25" s="1" t="s">
        <v>110</v>
      </c>
      <c r="D25" s="1" t="s">
        <v>111</v>
      </c>
      <c r="E25" s="22">
        <v>160</v>
      </c>
      <c r="F25" s="22">
        <v>500</v>
      </c>
      <c r="G25" s="21">
        <v>18</v>
      </c>
      <c r="H25" s="23">
        <v>18.4892</v>
      </c>
      <c r="I25" s="24">
        <v>160</v>
      </c>
      <c r="J25" s="21">
        <v>2494</v>
      </c>
      <c r="K25" s="24" t="s">
        <v>23</v>
      </c>
      <c r="L25" s="24" t="s">
        <v>1000</v>
      </c>
      <c r="M25" s="30">
        <v>100</v>
      </c>
      <c r="N25" s="26">
        <f t="shared" si="0"/>
        <v>1848.92</v>
      </c>
      <c r="O25" s="26"/>
      <c r="P25" s="68" t="s">
        <v>1048</v>
      </c>
      <c r="Q25" s="76"/>
      <c r="R25" s="68"/>
      <c r="S25" s="68"/>
      <c r="T25" s="68"/>
      <c r="X25" s="24">
        <v>240</v>
      </c>
      <c r="Y25" s="24">
        <v>0</v>
      </c>
    </row>
    <row r="26" spans="1:25" x14ac:dyDescent="0.2">
      <c r="A26" s="27" t="s">
        <v>112</v>
      </c>
      <c r="B26" s="27" t="s">
        <v>113</v>
      </c>
      <c r="C26" s="28" t="s">
        <v>114</v>
      </c>
      <c r="D26" s="28" t="s">
        <v>115</v>
      </c>
      <c r="E26" s="22">
        <v>105</v>
      </c>
      <c r="F26" s="22">
        <v>1</v>
      </c>
      <c r="G26" s="21">
        <v>0</v>
      </c>
      <c r="H26" s="23">
        <v>17.5</v>
      </c>
      <c r="I26" s="24">
        <v>35</v>
      </c>
      <c r="J26" s="21" t="s">
        <v>116</v>
      </c>
      <c r="K26" s="24" t="s">
        <v>117</v>
      </c>
      <c r="L26" s="24" t="s">
        <v>1000</v>
      </c>
      <c r="M26" s="21">
        <v>105</v>
      </c>
      <c r="N26" s="26">
        <f t="shared" si="0"/>
        <v>1837.5</v>
      </c>
      <c r="O26" s="26"/>
      <c r="P26" s="68" t="s">
        <v>1027</v>
      </c>
      <c r="Q26" s="76">
        <v>46143</v>
      </c>
      <c r="R26" s="68" t="s">
        <v>1027</v>
      </c>
      <c r="S26" s="68" t="s">
        <v>1041</v>
      </c>
      <c r="T26" s="68" t="s">
        <v>1027</v>
      </c>
      <c r="U26" s="27" t="s">
        <v>118</v>
      </c>
      <c r="V26" s="27"/>
      <c r="X26" s="24">
        <v>196</v>
      </c>
      <c r="Y26" s="24">
        <v>132</v>
      </c>
    </row>
    <row r="27" spans="1:25" x14ac:dyDescent="0.2">
      <c r="A27" s="27" t="s">
        <v>119</v>
      </c>
      <c r="B27" s="27" t="s">
        <v>120</v>
      </c>
      <c r="C27" s="28" t="s">
        <v>121</v>
      </c>
      <c r="D27" s="28" t="s">
        <v>115</v>
      </c>
      <c r="E27" s="22">
        <v>50</v>
      </c>
      <c r="F27" s="22">
        <v>1</v>
      </c>
      <c r="G27" s="21">
        <v>10</v>
      </c>
      <c r="H27" s="23">
        <v>34.799999999999997</v>
      </c>
      <c r="I27" s="24">
        <v>15</v>
      </c>
      <c r="J27" s="21" t="s">
        <v>116</v>
      </c>
      <c r="K27" s="24" t="s">
        <v>117</v>
      </c>
      <c r="L27" s="24" t="s">
        <v>1000</v>
      </c>
      <c r="M27" s="21">
        <v>50</v>
      </c>
      <c r="N27" s="26">
        <f t="shared" si="0"/>
        <v>1739.9999999999998</v>
      </c>
      <c r="O27" s="26"/>
      <c r="P27" s="68" t="s">
        <v>1048</v>
      </c>
      <c r="Q27" s="76"/>
      <c r="R27" s="68"/>
      <c r="S27" s="68"/>
      <c r="T27" s="68"/>
      <c r="U27" s="27" t="s">
        <v>118</v>
      </c>
      <c r="V27" s="27"/>
      <c r="X27" s="24">
        <v>94</v>
      </c>
      <c r="Y27" s="24">
        <v>2</v>
      </c>
    </row>
    <row r="28" spans="1:25" x14ac:dyDescent="0.2">
      <c r="A28" s="1" t="s">
        <v>122</v>
      </c>
      <c r="B28" s="1" t="s">
        <v>123</v>
      </c>
      <c r="C28" s="1" t="s">
        <v>124</v>
      </c>
      <c r="D28" s="1" t="s">
        <v>41</v>
      </c>
      <c r="E28" s="22">
        <v>945</v>
      </c>
      <c r="F28" s="22">
        <v>50</v>
      </c>
      <c r="G28" s="21">
        <v>5</v>
      </c>
      <c r="H28" s="23">
        <v>5.62</v>
      </c>
      <c r="I28" s="24">
        <v>0</v>
      </c>
      <c r="J28" s="21">
        <v>5465</v>
      </c>
      <c r="K28" s="24" t="s">
        <v>23</v>
      </c>
      <c r="L28" s="24" t="s">
        <v>1000</v>
      </c>
      <c r="M28" s="25">
        <v>300</v>
      </c>
      <c r="N28" s="26">
        <f t="shared" si="0"/>
        <v>1686</v>
      </c>
      <c r="O28" s="26"/>
      <c r="P28" s="68" t="s">
        <v>1048</v>
      </c>
      <c r="Q28" s="76"/>
      <c r="R28" s="68"/>
      <c r="S28" s="68"/>
      <c r="T28" s="68"/>
      <c r="X28" s="24">
        <v>1381</v>
      </c>
      <c r="Y28" s="24">
        <v>771</v>
      </c>
    </row>
    <row r="29" spans="1:25" x14ac:dyDescent="0.2">
      <c r="A29" s="27" t="s">
        <v>125</v>
      </c>
      <c r="B29" s="27" t="s">
        <v>126</v>
      </c>
      <c r="C29" s="28" t="s">
        <v>127</v>
      </c>
      <c r="D29" s="28" t="s">
        <v>115</v>
      </c>
      <c r="E29" s="22">
        <v>85</v>
      </c>
      <c r="F29" s="22">
        <v>1</v>
      </c>
      <c r="G29" s="21">
        <v>0</v>
      </c>
      <c r="H29" s="23">
        <v>19.75</v>
      </c>
      <c r="I29" s="24">
        <v>30</v>
      </c>
      <c r="J29" s="21" t="s">
        <v>116</v>
      </c>
      <c r="K29" s="24" t="s">
        <v>117</v>
      </c>
      <c r="L29" s="24" t="s">
        <v>1000</v>
      </c>
      <c r="M29" s="21">
        <v>85</v>
      </c>
      <c r="N29" s="26">
        <f t="shared" si="0"/>
        <v>1678.75</v>
      </c>
      <c r="O29" s="26"/>
      <c r="P29" s="68" t="s">
        <v>1027</v>
      </c>
      <c r="Q29" s="76">
        <v>46206</v>
      </c>
      <c r="R29" s="68" t="s">
        <v>1027</v>
      </c>
      <c r="S29" s="68" t="s">
        <v>1041</v>
      </c>
      <c r="T29" s="68" t="s">
        <v>1027</v>
      </c>
      <c r="U29" s="27" t="s">
        <v>118</v>
      </c>
      <c r="V29" s="27"/>
      <c r="X29" s="24">
        <v>286</v>
      </c>
      <c r="Y29" s="24">
        <v>52</v>
      </c>
    </row>
    <row r="30" spans="1:25" x14ac:dyDescent="0.2">
      <c r="A30" s="1" t="s">
        <v>128</v>
      </c>
      <c r="B30" s="1" t="s">
        <v>129</v>
      </c>
      <c r="C30" s="1" t="s">
        <v>130</v>
      </c>
      <c r="D30" s="1" t="s">
        <v>41</v>
      </c>
      <c r="E30" s="22">
        <v>235</v>
      </c>
      <c r="F30" s="22">
        <v>50</v>
      </c>
      <c r="G30" s="21">
        <v>22</v>
      </c>
      <c r="H30" s="23">
        <v>8</v>
      </c>
      <c r="I30" s="24">
        <v>235</v>
      </c>
      <c r="J30" s="21">
        <v>4827</v>
      </c>
      <c r="K30" s="24" t="s">
        <v>23</v>
      </c>
      <c r="L30" s="24" t="s">
        <v>1000</v>
      </c>
      <c r="M30" s="25">
        <v>200</v>
      </c>
      <c r="N30" s="26">
        <f t="shared" si="0"/>
        <v>1600</v>
      </c>
      <c r="O30" s="26"/>
      <c r="P30" s="68" t="s">
        <v>1027</v>
      </c>
      <c r="Q30" s="76">
        <v>46143</v>
      </c>
      <c r="R30" s="68" t="s">
        <v>1027</v>
      </c>
      <c r="S30" s="68" t="s">
        <v>1032</v>
      </c>
      <c r="T30" s="68" t="s">
        <v>1027</v>
      </c>
      <c r="X30" s="24">
        <v>905</v>
      </c>
      <c r="Y30" s="24">
        <v>302</v>
      </c>
    </row>
    <row r="31" spans="1:25" x14ac:dyDescent="0.2">
      <c r="A31" s="1" t="s">
        <v>131</v>
      </c>
      <c r="B31" s="1" t="s">
        <v>132</v>
      </c>
      <c r="C31" s="1" t="s">
        <v>133</v>
      </c>
      <c r="D31" s="1" t="s">
        <v>68</v>
      </c>
      <c r="E31" s="22">
        <v>50</v>
      </c>
      <c r="F31" s="22">
        <v>1</v>
      </c>
      <c r="G31" s="21">
        <v>17</v>
      </c>
      <c r="H31" s="23">
        <v>63.3</v>
      </c>
      <c r="I31" s="24">
        <v>50</v>
      </c>
      <c r="J31" s="21">
        <v>648</v>
      </c>
      <c r="K31" s="24" t="s">
        <v>69</v>
      </c>
      <c r="L31" s="24" t="s">
        <v>1000</v>
      </c>
      <c r="M31" s="25">
        <v>25</v>
      </c>
      <c r="N31" s="26">
        <f t="shared" si="0"/>
        <v>1582.5</v>
      </c>
      <c r="O31" s="26"/>
      <c r="P31" s="68" t="s">
        <v>1027</v>
      </c>
      <c r="Q31" s="76">
        <v>46143</v>
      </c>
      <c r="R31" s="68" t="s">
        <v>1027</v>
      </c>
      <c r="S31" s="68" t="s">
        <v>1031</v>
      </c>
      <c r="T31" s="68" t="s">
        <v>1027</v>
      </c>
      <c r="U31" s="29"/>
      <c r="V31" s="29"/>
      <c r="X31" s="24">
        <v>12</v>
      </c>
      <c r="Y31" s="24">
        <v>12</v>
      </c>
    </row>
    <row r="32" spans="1:25" x14ac:dyDescent="0.2">
      <c r="A32" s="27" t="s">
        <v>134</v>
      </c>
      <c r="B32" s="27" t="s">
        <v>135</v>
      </c>
      <c r="C32" s="28" t="s">
        <v>136</v>
      </c>
      <c r="D32" s="28" t="s">
        <v>137</v>
      </c>
      <c r="E32" s="22">
        <v>40</v>
      </c>
      <c r="F32" s="22">
        <v>1</v>
      </c>
      <c r="G32" s="21">
        <v>16</v>
      </c>
      <c r="H32" s="23">
        <v>37.92</v>
      </c>
      <c r="I32" s="24">
        <v>40</v>
      </c>
      <c r="J32" s="21">
        <v>0</v>
      </c>
      <c r="K32" s="24" t="s">
        <v>23</v>
      </c>
      <c r="L32" s="24" t="s">
        <v>1000</v>
      </c>
      <c r="M32" s="21">
        <v>40</v>
      </c>
      <c r="N32" s="26">
        <f t="shared" si="0"/>
        <v>1516.8000000000002</v>
      </c>
      <c r="O32" s="26"/>
      <c r="P32" s="68" t="s">
        <v>1027</v>
      </c>
      <c r="Q32" s="76">
        <v>46143</v>
      </c>
      <c r="R32" s="68" t="s">
        <v>1027</v>
      </c>
      <c r="S32" s="68" t="s">
        <v>1032</v>
      </c>
      <c r="T32" s="68" t="s">
        <v>1027</v>
      </c>
      <c r="U32" s="27"/>
      <c r="V32" s="27"/>
      <c r="X32" s="24">
        <v>357</v>
      </c>
      <c r="Y32" s="24">
        <v>6</v>
      </c>
    </row>
    <row r="33" spans="1:25" x14ac:dyDescent="0.2">
      <c r="A33" s="1" t="s">
        <v>138</v>
      </c>
      <c r="B33" s="1" t="s">
        <v>139</v>
      </c>
      <c r="C33" s="1" t="s">
        <v>140</v>
      </c>
      <c r="D33" s="1" t="s">
        <v>141</v>
      </c>
      <c r="E33" s="22">
        <v>120</v>
      </c>
      <c r="F33" s="22">
        <v>42</v>
      </c>
      <c r="G33" s="21">
        <v>47</v>
      </c>
      <c r="H33" s="23">
        <v>12.43</v>
      </c>
      <c r="I33" s="24">
        <v>120</v>
      </c>
      <c r="J33" s="21">
        <v>104</v>
      </c>
      <c r="K33" s="24" t="s">
        <v>23</v>
      </c>
      <c r="L33" s="24" t="s">
        <v>1000</v>
      </c>
      <c r="M33" s="21">
        <v>120</v>
      </c>
      <c r="N33" s="26">
        <f t="shared" si="0"/>
        <v>1491.6</v>
      </c>
      <c r="O33" s="26"/>
      <c r="P33" s="68" t="s">
        <v>1027</v>
      </c>
      <c r="Q33" s="76">
        <v>46143</v>
      </c>
      <c r="R33" s="68" t="s">
        <v>1027</v>
      </c>
      <c r="S33" s="68" t="s">
        <v>1034</v>
      </c>
      <c r="T33" s="68" t="s">
        <v>1027</v>
      </c>
      <c r="X33" s="24">
        <v>118</v>
      </c>
      <c r="Y33" s="24">
        <v>98</v>
      </c>
    </row>
    <row r="34" spans="1:25" x14ac:dyDescent="0.2">
      <c r="A34" s="1" t="s">
        <v>142</v>
      </c>
      <c r="B34" s="1" t="s">
        <v>143</v>
      </c>
      <c r="C34" s="1" t="s">
        <v>144</v>
      </c>
      <c r="D34" s="1" t="s">
        <v>22</v>
      </c>
      <c r="E34" s="22">
        <v>585</v>
      </c>
      <c r="F34" s="22">
        <v>1</v>
      </c>
      <c r="G34" s="21">
        <v>19</v>
      </c>
      <c r="H34" s="23">
        <v>4.95</v>
      </c>
      <c r="I34" s="24">
        <v>585</v>
      </c>
      <c r="J34" s="21">
        <v>3224</v>
      </c>
      <c r="K34" s="24" t="s">
        <v>23</v>
      </c>
      <c r="L34" s="24" t="s">
        <v>1000</v>
      </c>
      <c r="M34" s="25">
        <v>300</v>
      </c>
      <c r="N34" s="26">
        <f t="shared" si="0"/>
        <v>1485</v>
      </c>
      <c r="O34" s="26"/>
      <c r="P34" s="68" t="s">
        <v>1027</v>
      </c>
      <c r="Q34" s="76">
        <v>46143</v>
      </c>
      <c r="R34" s="68" t="s">
        <v>1027</v>
      </c>
      <c r="S34" s="68" t="s">
        <v>1031</v>
      </c>
      <c r="T34" s="68" t="s">
        <v>1027</v>
      </c>
      <c r="X34" s="24">
        <v>192</v>
      </c>
      <c r="Y34" s="24">
        <v>180</v>
      </c>
    </row>
    <row r="35" spans="1:25" x14ac:dyDescent="0.2">
      <c r="A35" s="1" t="s">
        <v>145</v>
      </c>
      <c r="B35" s="1" t="s">
        <v>146</v>
      </c>
      <c r="C35" s="1" t="s">
        <v>147</v>
      </c>
      <c r="D35" s="1" t="s">
        <v>148</v>
      </c>
      <c r="E35" s="22">
        <v>100</v>
      </c>
      <c r="F35" s="22">
        <v>1</v>
      </c>
      <c r="G35" s="21">
        <v>21</v>
      </c>
      <c r="H35" s="23">
        <v>13.908200000000001</v>
      </c>
      <c r="I35" s="24">
        <v>100</v>
      </c>
      <c r="J35" s="21">
        <v>190</v>
      </c>
      <c r="K35" s="24" t="s">
        <v>23</v>
      </c>
      <c r="L35" s="24" t="s">
        <v>1000</v>
      </c>
      <c r="M35" s="21">
        <v>100</v>
      </c>
      <c r="N35" s="26">
        <f t="shared" si="0"/>
        <v>1390.8200000000002</v>
      </c>
      <c r="O35" s="26"/>
      <c r="P35" s="68" t="s">
        <v>1027</v>
      </c>
      <c r="Q35" s="76">
        <v>46143</v>
      </c>
      <c r="R35" s="68" t="s">
        <v>1027</v>
      </c>
      <c r="S35" s="68" t="s">
        <v>1032</v>
      </c>
      <c r="T35" s="68" t="s">
        <v>1027</v>
      </c>
      <c r="X35" s="24">
        <v>32</v>
      </c>
      <c r="Y35" s="24">
        <v>30</v>
      </c>
    </row>
    <row r="36" spans="1:25" x14ac:dyDescent="0.2">
      <c r="A36" s="1" t="s">
        <v>149</v>
      </c>
      <c r="B36" s="1" t="s">
        <v>150</v>
      </c>
      <c r="C36" s="1" t="s">
        <v>151</v>
      </c>
      <c r="D36" s="1" t="s">
        <v>152</v>
      </c>
      <c r="E36" s="22">
        <v>585</v>
      </c>
      <c r="F36" s="22">
        <v>1</v>
      </c>
      <c r="G36" s="21">
        <v>16</v>
      </c>
      <c r="H36" s="23">
        <v>1.7897000000000001</v>
      </c>
      <c r="I36" s="24">
        <v>585</v>
      </c>
      <c r="J36" s="21">
        <v>208</v>
      </c>
      <c r="K36" s="24" t="s">
        <v>23</v>
      </c>
      <c r="L36" s="24" t="s">
        <v>1000</v>
      </c>
      <c r="M36" s="25">
        <v>750</v>
      </c>
      <c r="N36" s="26">
        <f t="shared" si="0"/>
        <v>1342.2750000000001</v>
      </c>
      <c r="O36" s="26"/>
      <c r="P36" s="68" t="s">
        <v>1027</v>
      </c>
      <c r="Q36" s="76" t="s">
        <v>1052</v>
      </c>
      <c r="R36" s="68" t="s">
        <v>1027</v>
      </c>
      <c r="S36" s="68" t="s">
        <v>1030</v>
      </c>
      <c r="T36" s="68" t="s">
        <v>1027</v>
      </c>
      <c r="X36" s="24">
        <v>2103</v>
      </c>
      <c r="Y36" s="24">
        <v>1026</v>
      </c>
    </row>
    <row r="37" spans="1:25" x14ac:dyDescent="0.2">
      <c r="A37" s="1" t="s">
        <v>153</v>
      </c>
      <c r="B37" s="1" t="s">
        <v>154</v>
      </c>
      <c r="C37" s="1" t="s">
        <v>155</v>
      </c>
      <c r="D37" s="1" t="s">
        <v>156</v>
      </c>
      <c r="E37" s="22">
        <v>985</v>
      </c>
      <c r="F37" s="22">
        <v>1</v>
      </c>
      <c r="G37" s="21">
        <v>17</v>
      </c>
      <c r="H37" s="23">
        <v>1.0391999999999999</v>
      </c>
      <c r="I37" s="24">
        <v>985</v>
      </c>
      <c r="J37" s="21">
        <v>3093</v>
      </c>
      <c r="K37" s="24" t="s">
        <v>23</v>
      </c>
      <c r="L37" s="24" t="s">
        <v>1000</v>
      </c>
      <c r="M37" s="21">
        <v>1000</v>
      </c>
      <c r="N37" s="26">
        <f t="shared" si="0"/>
        <v>1039.1999999999998</v>
      </c>
      <c r="O37" s="26"/>
      <c r="P37" s="68" t="s">
        <v>1027</v>
      </c>
      <c r="Q37" s="76">
        <v>46226</v>
      </c>
      <c r="R37" s="68" t="s">
        <v>1027</v>
      </c>
      <c r="S37" s="68" t="s">
        <v>1038</v>
      </c>
      <c r="T37" s="68" t="s">
        <v>1027</v>
      </c>
      <c r="V37" s="1" t="s">
        <v>1053</v>
      </c>
      <c r="X37" s="24">
        <v>1077</v>
      </c>
      <c r="Y37" s="24">
        <v>867</v>
      </c>
    </row>
    <row r="38" spans="1:25" x14ac:dyDescent="0.2">
      <c r="A38" s="1" t="s">
        <v>157</v>
      </c>
      <c r="B38" s="1" t="s">
        <v>158</v>
      </c>
      <c r="C38" s="1" t="s">
        <v>159</v>
      </c>
      <c r="D38" s="1" t="s">
        <v>102</v>
      </c>
      <c r="E38" s="22">
        <v>40</v>
      </c>
      <c r="F38" s="22">
        <v>1</v>
      </c>
      <c r="G38" s="21">
        <v>18</v>
      </c>
      <c r="H38" s="23">
        <v>25.66</v>
      </c>
      <c r="I38" s="24">
        <v>40</v>
      </c>
      <c r="J38" s="21">
        <v>373</v>
      </c>
      <c r="K38" s="24" t="s">
        <v>23</v>
      </c>
      <c r="L38" s="24" t="s">
        <v>1000</v>
      </c>
      <c r="M38" s="21">
        <v>40</v>
      </c>
      <c r="N38" s="26">
        <f t="shared" si="0"/>
        <v>1026.4000000000001</v>
      </c>
      <c r="O38" s="26"/>
      <c r="P38" s="68" t="s">
        <v>1027</v>
      </c>
      <c r="Q38" s="76">
        <v>46191</v>
      </c>
      <c r="R38" s="68" t="s">
        <v>1027</v>
      </c>
      <c r="S38" s="68" t="s">
        <v>1037</v>
      </c>
      <c r="T38" s="68" t="s">
        <v>1027</v>
      </c>
      <c r="X38" s="24">
        <v>0</v>
      </c>
      <c r="Y38" s="24">
        <v>0</v>
      </c>
    </row>
    <row r="39" spans="1:25" x14ac:dyDescent="0.2">
      <c r="A39" s="1" t="s">
        <v>160</v>
      </c>
      <c r="B39" s="1" t="s">
        <v>161</v>
      </c>
      <c r="C39" s="1" t="s">
        <v>162</v>
      </c>
      <c r="D39" s="1" t="s">
        <v>163</v>
      </c>
      <c r="E39" s="22">
        <v>80</v>
      </c>
      <c r="F39" s="22">
        <v>1</v>
      </c>
      <c r="G39" s="21">
        <v>27</v>
      </c>
      <c r="H39" s="23">
        <v>12.565200000000001</v>
      </c>
      <c r="I39" s="24">
        <v>80</v>
      </c>
      <c r="J39" s="21">
        <v>1683</v>
      </c>
      <c r="K39" s="24" t="s">
        <v>69</v>
      </c>
      <c r="L39" s="24" t="s">
        <v>1000</v>
      </c>
      <c r="M39" s="21">
        <v>80</v>
      </c>
      <c r="N39" s="26">
        <f t="shared" si="0"/>
        <v>1005.2160000000001</v>
      </c>
      <c r="O39" s="26"/>
      <c r="P39" s="68" t="s">
        <v>1027</v>
      </c>
      <c r="Q39" s="76">
        <v>46143</v>
      </c>
      <c r="R39" s="68" t="s">
        <v>1027</v>
      </c>
      <c r="S39" s="68" t="s">
        <v>1034</v>
      </c>
      <c r="T39" s="68" t="s">
        <v>1027</v>
      </c>
      <c r="U39" s="29"/>
      <c r="V39" s="29"/>
      <c r="X39" s="24">
        <v>293</v>
      </c>
      <c r="Y39" s="24">
        <v>89</v>
      </c>
    </row>
    <row r="40" spans="1:25" x14ac:dyDescent="0.2">
      <c r="A40" s="27" t="s">
        <v>164</v>
      </c>
      <c r="B40" s="27" t="s">
        <v>165</v>
      </c>
      <c r="C40" s="28" t="s">
        <v>166</v>
      </c>
      <c r="D40" s="28" t="s">
        <v>32</v>
      </c>
      <c r="E40" s="22">
        <v>20</v>
      </c>
      <c r="F40" s="22">
        <v>1</v>
      </c>
      <c r="G40" s="21">
        <v>4</v>
      </c>
      <c r="H40" s="23">
        <v>49.707999999999998</v>
      </c>
      <c r="I40" s="24">
        <v>20</v>
      </c>
      <c r="J40" s="21">
        <v>805</v>
      </c>
      <c r="K40" s="24" t="s">
        <v>23</v>
      </c>
      <c r="L40" s="24" t="s">
        <v>1000</v>
      </c>
      <c r="M40" s="21">
        <v>20</v>
      </c>
      <c r="N40" s="26">
        <f t="shared" si="0"/>
        <v>994.16</v>
      </c>
      <c r="O40" s="26"/>
      <c r="P40" s="68" t="s">
        <v>1027</v>
      </c>
      <c r="Q40" s="76">
        <v>46191</v>
      </c>
      <c r="R40" s="68" t="s">
        <v>1027</v>
      </c>
      <c r="S40" s="68" t="s">
        <v>1037</v>
      </c>
      <c r="T40" s="68" t="s">
        <v>1027</v>
      </c>
      <c r="U40" s="27"/>
      <c r="V40" s="27"/>
      <c r="X40" s="24">
        <v>30</v>
      </c>
      <c r="Y40" s="24">
        <v>0</v>
      </c>
    </row>
    <row r="41" spans="1:25" x14ac:dyDescent="0.2">
      <c r="A41" s="1" t="s">
        <v>167</v>
      </c>
      <c r="B41" s="1" t="s">
        <v>168</v>
      </c>
      <c r="C41" s="1" t="s">
        <v>169</v>
      </c>
      <c r="D41" s="1" t="s">
        <v>170</v>
      </c>
      <c r="E41" s="22">
        <v>105</v>
      </c>
      <c r="F41" s="22">
        <v>1</v>
      </c>
      <c r="G41" s="21">
        <v>13</v>
      </c>
      <c r="H41" s="23">
        <v>9.17</v>
      </c>
      <c r="I41" s="24">
        <v>105</v>
      </c>
      <c r="J41" s="21">
        <v>0</v>
      </c>
      <c r="K41" s="24" t="s">
        <v>23</v>
      </c>
      <c r="L41" s="24" t="s">
        <v>1000</v>
      </c>
      <c r="M41" s="21">
        <v>105</v>
      </c>
      <c r="N41" s="26">
        <f t="shared" si="0"/>
        <v>962.85</v>
      </c>
      <c r="O41" s="26"/>
      <c r="P41" s="68" t="s">
        <v>1027</v>
      </c>
      <c r="Q41" s="76">
        <v>46191</v>
      </c>
      <c r="R41" s="68" t="s">
        <v>1027</v>
      </c>
      <c r="S41" s="68" t="s">
        <v>1038</v>
      </c>
      <c r="T41" s="68" t="s">
        <v>1027</v>
      </c>
      <c r="X41" s="24">
        <v>50</v>
      </c>
      <c r="Y41" s="24">
        <v>38</v>
      </c>
    </row>
    <row r="42" spans="1:25" x14ac:dyDescent="0.2">
      <c r="A42" s="1" t="s">
        <v>171</v>
      </c>
      <c r="B42" s="1" t="s">
        <v>172</v>
      </c>
      <c r="C42" s="1" t="s">
        <v>173</v>
      </c>
      <c r="D42" s="1" t="s">
        <v>90</v>
      </c>
      <c r="E42" s="22">
        <v>425</v>
      </c>
      <c r="F42" s="22">
        <v>2500</v>
      </c>
      <c r="G42" s="21">
        <v>14</v>
      </c>
      <c r="H42" s="23">
        <v>4.7610000000000001</v>
      </c>
      <c r="I42" s="24">
        <v>425</v>
      </c>
      <c r="J42" s="21">
        <v>9800</v>
      </c>
      <c r="K42" s="24" t="s">
        <v>23</v>
      </c>
      <c r="L42" s="24" t="s">
        <v>1000</v>
      </c>
      <c r="M42" s="25">
        <v>200</v>
      </c>
      <c r="N42" s="26">
        <f t="shared" si="0"/>
        <v>952.2</v>
      </c>
      <c r="O42" s="26"/>
      <c r="P42" s="68" t="s">
        <v>1048</v>
      </c>
      <c r="Q42" s="76"/>
      <c r="R42" s="68"/>
      <c r="S42" s="68"/>
      <c r="T42" s="68"/>
      <c r="X42" s="24">
        <v>357</v>
      </c>
      <c r="Y42" s="24">
        <v>258</v>
      </c>
    </row>
    <row r="43" spans="1:25" x14ac:dyDescent="0.2">
      <c r="A43" s="27" t="s">
        <v>174</v>
      </c>
      <c r="B43" s="27" t="s">
        <v>175</v>
      </c>
      <c r="C43" s="28" t="s">
        <v>176</v>
      </c>
      <c r="D43" s="28" t="s">
        <v>148</v>
      </c>
      <c r="E43" s="22">
        <v>20</v>
      </c>
      <c r="F43" s="22">
        <v>1</v>
      </c>
      <c r="G43" s="21">
        <v>24</v>
      </c>
      <c r="H43" s="23">
        <v>43.33</v>
      </c>
      <c r="I43" s="24">
        <v>20</v>
      </c>
      <c r="J43" s="21">
        <v>1481</v>
      </c>
      <c r="K43" s="24" t="s">
        <v>23</v>
      </c>
      <c r="L43" s="24" t="s">
        <v>1000</v>
      </c>
      <c r="M43" s="21">
        <v>20</v>
      </c>
      <c r="N43" s="26">
        <f t="shared" si="0"/>
        <v>866.59999999999991</v>
      </c>
      <c r="O43" s="26"/>
      <c r="P43" s="68" t="s">
        <v>1027</v>
      </c>
      <c r="Q43" s="76">
        <v>46143</v>
      </c>
      <c r="R43" s="68" t="s">
        <v>1027</v>
      </c>
      <c r="S43" s="68" t="s">
        <v>1034</v>
      </c>
      <c r="T43" s="68" t="s">
        <v>1027</v>
      </c>
      <c r="U43" s="27"/>
      <c r="V43" s="27"/>
      <c r="X43" s="24">
        <v>38</v>
      </c>
      <c r="Y43" s="24">
        <v>4</v>
      </c>
    </row>
    <row r="44" spans="1:25" x14ac:dyDescent="0.2">
      <c r="A44" s="1" t="s">
        <v>177</v>
      </c>
      <c r="B44" s="1" t="s">
        <v>178</v>
      </c>
      <c r="C44" s="1" t="s">
        <v>179</v>
      </c>
      <c r="D44" s="1" t="s">
        <v>141</v>
      </c>
      <c r="E44" s="22">
        <v>120</v>
      </c>
      <c r="F44" s="22">
        <v>1</v>
      </c>
      <c r="G44" s="21">
        <v>0</v>
      </c>
      <c r="H44" s="23">
        <v>7.2</v>
      </c>
      <c r="I44" s="24">
        <v>120</v>
      </c>
      <c r="J44" s="21">
        <v>0</v>
      </c>
      <c r="K44" s="24" t="s">
        <v>23</v>
      </c>
      <c r="L44" s="24" t="s">
        <v>1000</v>
      </c>
      <c r="M44" s="21">
        <v>120</v>
      </c>
      <c r="N44" s="26">
        <f t="shared" si="0"/>
        <v>864</v>
      </c>
      <c r="O44" s="26"/>
      <c r="P44" s="68" t="s">
        <v>1027</v>
      </c>
      <c r="Q44" s="76" t="s">
        <v>1054</v>
      </c>
      <c r="R44" s="68" t="s">
        <v>1027</v>
      </c>
      <c r="S44" s="68" t="s">
        <v>1031</v>
      </c>
      <c r="T44" s="68" t="s">
        <v>1027</v>
      </c>
      <c r="X44" s="24">
        <v>342</v>
      </c>
      <c r="Y44" s="24">
        <v>214</v>
      </c>
    </row>
    <row r="45" spans="1:25" x14ac:dyDescent="0.2">
      <c r="A45" s="27" t="s">
        <v>180</v>
      </c>
      <c r="B45" s="27" t="s">
        <v>181</v>
      </c>
      <c r="C45" s="28" t="s">
        <v>182</v>
      </c>
      <c r="D45" s="28" t="s">
        <v>183</v>
      </c>
      <c r="E45" s="22">
        <v>20</v>
      </c>
      <c r="F45" s="22">
        <v>1</v>
      </c>
      <c r="G45" s="21">
        <v>17</v>
      </c>
      <c r="H45" s="23">
        <v>85.83</v>
      </c>
      <c r="I45" s="24">
        <v>20</v>
      </c>
      <c r="J45" s="21">
        <v>1701</v>
      </c>
      <c r="K45" s="24" t="s">
        <v>184</v>
      </c>
      <c r="L45" s="24" t="s">
        <v>1000</v>
      </c>
      <c r="M45" s="25">
        <v>10</v>
      </c>
      <c r="N45" s="26">
        <f t="shared" si="0"/>
        <v>858.3</v>
      </c>
      <c r="O45" s="26"/>
      <c r="P45" s="68" t="s">
        <v>1048</v>
      </c>
      <c r="Q45" s="76"/>
      <c r="R45" s="68"/>
      <c r="S45" s="68" t="s">
        <v>1035</v>
      </c>
      <c r="T45" s="68"/>
      <c r="U45" s="29"/>
      <c r="V45" s="29" t="s">
        <v>1057</v>
      </c>
      <c r="X45" s="24">
        <v>68</v>
      </c>
      <c r="Y45" s="24">
        <v>2</v>
      </c>
    </row>
    <row r="46" spans="1:25" x14ac:dyDescent="0.2">
      <c r="A46" s="1" t="s">
        <v>185</v>
      </c>
      <c r="B46" s="1" t="s">
        <v>186</v>
      </c>
      <c r="C46" s="1" t="s">
        <v>187</v>
      </c>
      <c r="D46" s="1" t="s">
        <v>188</v>
      </c>
      <c r="E46" s="22">
        <v>40</v>
      </c>
      <c r="F46" s="22">
        <v>1</v>
      </c>
      <c r="G46" s="21">
        <v>35</v>
      </c>
      <c r="H46" s="23">
        <v>21.1782</v>
      </c>
      <c r="I46" s="24">
        <v>40</v>
      </c>
      <c r="J46" s="21">
        <v>24</v>
      </c>
      <c r="K46" s="24" t="s">
        <v>23</v>
      </c>
      <c r="L46" s="24" t="s">
        <v>1000</v>
      </c>
      <c r="M46" s="21">
        <v>40</v>
      </c>
      <c r="N46" s="26">
        <f t="shared" si="0"/>
        <v>847.12800000000004</v>
      </c>
      <c r="O46" s="26"/>
      <c r="P46" s="68" t="s">
        <v>1027</v>
      </c>
      <c r="Q46" s="76">
        <v>46143</v>
      </c>
      <c r="R46" s="68" t="s">
        <v>1027</v>
      </c>
      <c r="S46" s="68" t="s">
        <v>1034</v>
      </c>
      <c r="T46" s="68" t="s">
        <v>1027</v>
      </c>
      <c r="X46" s="24">
        <v>1</v>
      </c>
      <c r="Y46" s="24">
        <v>1</v>
      </c>
    </row>
    <row r="47" spans="1:25" x14ac:dyDescent="0.2">
      <c r="A47" s="1" t="s">
        <v>189</v>
      </c>
      <c r="B47" s="1" t="s">
        <v>190</v>
      </c>
      <c r="C47" s="1" t="s">
        <v>191</v>
      </c>
      <c r="D47" s="1" t="s">
        <v>192</v>
      </c>
      <c r="E47" s="22">
        <v>105</v>
      </c>
      <c r="F47" s="22">
        <v>400</v>
      </c>
      <c r="G47" s="21">
        <v>16</v>
      </c>
      <c r="H47" s="23">
        <v>7.8357999999999999</v>
      </c>
      <c r="I47" s="24">
        <v>105</v>
      </c>
      <c r="J47" s="21">
        <v>7364</v>
      </c>
      <c r="K47" s="24" t="s">
        <v>23</v>
      </c>
      <c r="L47" s="24" t="s">
        <v>1000</v>
      </c>
      <c r="M47" s="21">
        <v>105</v>
      </c>
      <c r="N47" s="26">
        <f t="shared" si="0"/>
        <v>822.75900000000001</v>
      </c>
      <c r="O47" s="26"/>
      <c r="P47" s="68" t="s">
        <v>1027</v>
      </c>
      <c r="Q47" s="76">
        <v>46143</v>
      </c>
      <c r="R47" s="68" t="s">
        <v>1027</v>
      </c>
      <c r="S47" s="68" t="s">
        <v>1030</v>
      </c>
      <c r="T47" s="68" t="s">
        <v>1027</v>
      </c>
      <c r="X47" s="24">
        <v>124</v>
      </c>
      <c r="Y47" s="24">
        <v>98</v>
      </c>
    </row>
    <row r="48" spans="1:25" x14ac:dyDescent="0.2">
      <c r="A48" s="1" t="s">
        <v>193</v>
      </c>
      <c r="B48" s="1" t="s">
        <v>194</v>
      </c>
      <c r="C48" s="1" t="s">
        <v>195</v>
      </c>
      <c r="D48" s="1" t="s">
        <v>32</v>
      </c>
      <c r="E48" s="22">
        <v>100</v>
      </c>
      <c r="F48" s="22">
        <v>1</v>
      </c>
      <c r="G48" s="21">
        <v>8</v>
      </c>
      <c r="H48" s="23">
        <v>16.4438</v>
      </c>
      <c r="I48" s="24">
        <v>100</v>
      </c>
      <c r="J48" s="21">
        <v>969</v>
      </c>
      <c r="K48" s="24" t="s">
        <v>23</v>
      </c>
      <c r="L48" s="24" t="s">
        <v>1000</v>
      </c>
      <c r="M48" s="25">
        <v>50</v>
      </c>
      <c r="N48" s="26">
        <f t="shared" si="0"/>
        <v>822.18999999999994</v>
      </c>
      <c r="O48" s="26"/>
      <c r="P48" s="68" t="s">
        <v>1027</v>
      </c>
      <c r="Q48" s="76">
        <v>46143</v>
      </c>
      <c r="R48" s="68" t="s">
        <v>1027</v>
      </c>
      <c r="S48" s="68" t="s">
        <v>1036</v>
      </c>
      <c r="T48" s="68" t="s">
        <v>1027</v>
      </c>
      <c r="X48" s="24">
        <v>32</v>
      </c>
      <c r="Y48" s="24">
        <v>30</v>
      </c>
    </row>
    <row r="49" spans="1:25" x14ac:dyDescent="0.2">
      <c r="A49" s="1" t="s">
        <v>196</v>
      </c>
      <c r="B49" s="1" t="s">
        <v>197</v>
      </c>
      <c r="C49" s="1" t="s">
        <v>198</v>
      </c>
      <c r="D49" s="1" t="s">
        <v>141</v>
      </c>
      <c r="E49" s="22">
        <v>90</v>
      </c>
      <c r="F49" s="22">
        <v>1</v>
      </c>
      <c r="G49" s="21">
        <v>14</v>
      </c>
      <c r="H49" s="23">
        <v>9.0679999999999996</v>
      </c>
      <c r="I49" s="24">
        <v>90</v>
      </c>
      <c r="J49" s="21">
        <v>5267</v>
      </c>
      <c r="K49" s="24" t="s">
        <v>23</v>
      </c>
      <c r="L49" s="24" t="s">
        <v>1000</v>
      </c>
      <c r="M49" s="21">
        <v>90</v>
      </c>
      <c r="N49" s="26">
        <f t="shared" si="0"/>
        <v>816.12</v>
      </c>
      <c r="O49" s="26"/>
      <c r="P49" s="68" t="s">
        <v>1027</v>
      </c>
      <c r="Q49" s="76">
        <v>46143</v>
      </c>
      <c r="R49" s="68" t="s">
        <v>1027</v>
      </c>
      <c r="S49" s="68" t="s">
        <v>1031</v>
      </c>
      <c r="T49" s="68" t="s">
        <v>1027</v>
      </c>
      <c r="X49" s="24">
        <v>24</v>
      </c>
      <c r="Y49" s="24">
        <v>0</v>
      </c>
    </row>
    <row r="50" spans="1:25" x14ac:dyDescent="0.2">
      <c r="A50" s="27" t="s">
        <v>199</v>
      </c>
      <c r="B50" s="27" t="s">
        <v>200</v>
      </c>
      <c r="C50" s="28" t="s">
        <v>201</v>
      </c>
      <c r="D50" s="28" t="s">
        <v>111</v>
      </c>
      <c r="E50" s="22">
        <v>80</v>
      </c>
      <c r="F50" s="22">
        <v>55</v>
      </c>
      <c r="G50" s="21">
        <v>25</v>
      </c>
      <c r="H50" s="23">
        <v>15.576599999999999</v>
      </c>
      <c r="I50" s="24">
        <v>80</v>
      </c>
      <c r="J50" s="21">
        <v>2544</v>
      </c>
      <c r="K50" s="24" t="s">
        <v>23</v>
      </c>
      <c r="L50" s="24" t="s">
        <v>1000</v>
      </c>
      <c r="M50" s="25">
        <v>50</v>
      </c>
      <c r="N50" s="26">
        <f t="shared" si="0"/>
        <v>778.82999999999993</v>
      </c>
      <c r="O50" s="26"/>
      <c r="P50" s="68" t="s">
        <v>1048</v>
      </c>
      <c r="Q50" s="76"/>
      <c r="R50" s="68"/>
      <c r="S50" s="68" t="s">
        <v>1028</v>
      </c>
      <c r="T50" s="68"/>
      <c r="U50" s="27"/>
      <c r="V50" s="27"/>
      <c r="X50" s="24">
        <v>42</v>
      </c>
      <c r="Y50" s="24">
        <v>8</v>
      </c>
    </row>
    <row r="51" spans="1:25" x14ac:dyDescent="0.2">
      <c r="A51" s="1" t="s">
        <v>202</v>
      </c>
      <c r="B51" s="1" t="s">
        <v>203</v>
      </c>
      <c r="C51" s="1" t="s">
        <v>204</v>
      </c>
      <c r="D51" s="1" t="s">
        <v>32</v>
      </c>
      <c r="E51" s="22">
        <v>40</v>
      </c>
      <c r="F51" s="22">
        <v>150</v>
      </c>
      <c r="G51" s="21">
        <v>13</v>
      </c>
      <c r="H51" s="23">
        <v>19.206499999999998</v>
      </c>
      <c r="I51" s="24">
        <v>40</v>
      </c>
      <c r="J51" s="21">
        <v>410</v>
      </c>
      <c r="K51" s="24" t="s">
        <v>23</v>
      </c>
      <c r="L51" s="24" t="s">
        <v>1000</v>
      </c>
      <c r="M51" s="21">
        <v>40</v>
      </c>
      <c r="N51" s="26">
        <f t="shared" si="0"/>
        <v>768.26</v>
      </c>
      <c r="O51" s="26"/>
      <c r="P51" s="68" t="s">
        <v>1027</v>
      </c>
      <c r="Q51" s="76">
        <v>46143</v>
      </c>
      <c r="R51" s="68" t="s">
        <v>1027</v>
      </c>
      <c r="S51" s="68" t="s">
        <v>1030</v>
      </c>
      <c r="T51" s="68" t="s">
        <v>1027</v>
      </c>
      <c r="X51" s="24">
        <v>5</v>
      </c>
      <c r="Y51" s="24">
        <v>5</v>
      </c>
    </row>
    <row r="52" spans="1:25" x14ac:dyDescent="0.2">
      <c r="A52" s="1" t="s">
        <v>205</v>
      </c>
      <c r="B52" s="1" t="s">
        <v>206</v>
      </c>
      <c r="C52" s="1" t="s">
        <v>207</v>
      </c>
      <c r="D52" s="1" t="s">
        <v>208</v>
      </c>
      <c r="E52" s="22">
        <v>45</v>
      </c>
      <c r="F52" s="22">
        <v>1</v>
      </c>
      <c r="G52" s="21">
        <v>18</v>
      </c>
      <c r="H52" s="23">
        <v>17.024999999999999</v>
      </c>
      <c r="I52" s="24">
        <v>45</v>
      </c>
      <c r="J52" s="21">
        <v>4086</v>
      </c>
      <c r="K52" s="24" t="s">
        <v>23</v>
      </c>
      <c r="L52" s="24" t="s">
        <v>1000</v>
      </c>
      <c r="M52" s="21">
        <v>45</v>
      </c>
      <c r="N52" s="26">
        <f t="shared" si="0"/>
        <v>766.12499999999989</v>
      </c>
      <c r="O52" s="26"/>
      <c r="P52" s="68" t="s">
        <v>1027</v>
      </c>
      <c r="Q52" s="76">
        <v>46143</v>
      </c>
      <c r="R52" s="68" t="s">
        <v>1027</v>
      </c>
      <c r="S52" s="68" t="s">
        <v>1031</v>
      </c>
      <c r="T52" s="68" t="s">
        <v>1027</v>
      </c>
      <c r="X52" s="24">
        <v>69</v>
      </c>
      <c r="Y52" s="24">
        <v>36</v>
      </c>
    </row>
    <row r="53" spans="1:25" x14ac:dyDescent="0.2">
      <c r="A53" s="1" t="s">
        <v>209</v>
      </c>
      <c r="B53" s="1" t="s">
        <v>210</v>
      </c>
      <c r="C53" s="1" t="s">
        <v>211</v>
      </c>
      <c r="D53" s="1" t="s">
        <v>152</v>
      </c>
      <c r="E53" s="22">
        <v>355</v>
      </c>
      <c r="F53" s="22">
        <v>1</v>
      </c>
      <c r="G53" s="21">
        <v>16</v>
      </c>
      <c r="H53" s="23">
        <v>2.1</v>
      </c>
      <c r="I53" s="24">
        <v>355</v>
      </c>
      <c r="J53" s="21">
        <v>179</v>
      </c>
      <c r="K53" s="24" t="s">
        <v>23</v>
      </c>
      <c r="L53" s="24" t="s">
        <v>1000</v>
      </c>
      <c r="M53" s="21">
        <v>355</v>
      </c>
      <c r="N53" s="26">
        <f t="shared" si="0"/>
        <v>745.5</v>
      </c>
      <c r="O53" s="26"/>
      <c r="P53" s="68" t="s">
        <v>1027</v>
      </c>
      <c r="Q53" s="76" t="s">
        <v>1055</v>
      </c>
      <c r="R53" s="68" t="s">
        <v>1027</v>
      </c>
      <c r="S53" s="68" t="s">
        <v>1030</v>
      </c>
      <c r="T53" s="68" t="s">
        <v>1027</v>
      </c>
      <c r="X53" s="24">
        <v>948</v>
      </c>
      <c r="Y53" s="24">
        <v>479</v>
      </c>
    </row>
    <row r="54" spans="1:25" x14ac:dyDescent="0.2">
      <c r="A54" s="1" t="s">
        <v>212</v>
      </c>
      <c r="B54" s="1" t="s">
        <v>213</v>
      </c>
      <c r="C54" s="1" t="s">
        <v>214</v>
      </c>
      <c r="D54" s="1" t="s">
        <v>215</v>
      </c>
      <c r="E54" s="22">
        <v>360</v>
      </c>
      <c r="F54" s="22">
        <v>1</v>
      </c>
      <c r="G54" s="21">
        <v>20</v>
      </c>
      <c r="H54" s="23">
        <v>4.9476000000000004</v>
      </c>
      <c r="I54" s="24">
        <v>360</v>
      </c>
      <c r="J54" s="21">
        <v>834</v>
      </c>
      <c r="K54" s="24" t="s">
        <v>69</v>
      </c>
      <c r="L54" s="24" t="s">
        <v>1000</v>
      </c>
      <c r="M54" s="25">
        <v>150</v>
      </c>
      <c r="N54" s="26">
        <f t="shared" si="0"/>
        <v>742.1400000000001</v>
      </c>
      <c r="O54" s="26"/>
      <c r="P54" s="68" t="s">
        <v>1027</v>
      </c>
      <c r="Q54" s="76">
        <v>46143</v>
      </c>
      <c r="R54" s="68" t="s">
        <v>1027</v>
      </c>
      <c r="S54" s="68" t="s">
        <v>1036</v>
      </c>
      <c r="T54" s="68" t="s">
        <v>1027</v>
      </c>
      <c r="U54" s="29"/>
      <c r="V54" s="29"/>
      <c r="X54" s="24">
        <v>208</v>
      </c>
      <c r="Y54" s="24">
        <v>60</v>
      </c>
    </row>
    <row r="55" spans="1:25" x14ac:dyDescent="0.2">
      <c r="A55" s="1" t="s">
        <v>216</v>
      </c>
      <c r="B55" s="1" t="s">
        <v>217</v>
      </c>
      <c r="C55" s="1" t="s">
        <v>218</v>
      </c>
      <c r="D55" s="1" t="s">
        <v>219</v>
      </c>
      <c r="E55" s="22">
        <v>50</v>
      </c>
      <c r="F55" s="22">
        <v>1</v>
      </c>
      <c r="G55" s="21">
        <v>6</v>
      </c>
      <c r="H55" s="23">
        <v>13.87</v>
      </c>
      <c r="I55" s="24">
        <v>50</v>
      </c>
      <c r="J55" s="21" t="s">
        <v>116</v>
      </c>
      <c r="K55" s="24" t="s">
        <v>117</v>
      </c>
      <c r="L55" s="24" t="s">
        <v>1000</v>
      </c>
      <c r="M55" s="21">
        <v>50</v>
      </c>
      <c r="N55" s="26">
        <f t="shared" si="0"/>
        <v>693.5</v>
      </c>
      <c r="O55" s="26"/>
      <c r="P55" s="68" t="s">
        <v>1048</v>
      </c>
      <c r="Q55" s="76"/>
      <c r="R55" s="68"/>
      <c r="S55" s="68"/>
      <c r="T55" s="68"/>
      <c r="X55" s="24">
        <v>0</v>
      </c>
      <c r="Y55" s="24">
        <v>0</v>
      </c>
    </row>
    <row r="56" spans="1:25" x14ac:dyDescent="0.2">
      <c r="A56" s="1" t="s">
        <v>220</v>
      </c>
      <c r="B56" s="1" t="s">
        <v>221</v>
      </c>
      <c r="C56" s="1" t="s">
        <v>222</v>
      </c>
      <c r="D56" s="1" t="s">
        <v>32</v>
      </c>
      <c r="E56" s="22">
        <v>155</v>
      </c>
      <c r="F56" s="22">
        <v>575</v>
      </c>
      <c r="G56" s="21">
        <v>13</v>
      </c>
      <c r="H56" s="23">
        <v>4.4623999999999997</v>
      </c>
      <c r="I56" s="24">
        <v>155</v>
      </c>
      <c r="J56" s="21">
        <v>3322</v>
      </c>
      <c r="K56" s="24" t="s">
        <v>23</v>
      </c>
      <c r="L56" s="24" t="s">
        <v>1000</v>
      </c>
      <c r="M56" s="21">
        <v>155</v>
      </c>
      <c r="N56" s="26">
        <f t="shared" si="0"/>
        <v>691.67199999999991</v>
      </c>
      <c r="O56" s="26"/>
      <c r="P56" s="68" t="s">
        <v>1027</v>
      </c>
      <c r="Q56" s="76">
        <v>46143</v>
      </c>
      <c r="R56" s="68" t="s">
        <v>1027</v>
      </c>
      <c r="S56" s="68" t="s">
        <v>1031</v>
      </c>
      <c r="T56" s="68" t="s">
        <v>1027</v>
      </c>
      <c r="X56" s="24">
        <v>221</v>
      </c>
      <c r="Y56" s="24">
        <v>100</v>
      </c>
    </row>
    <row r="57" spans="1:25" x14ac:dyDescent="0.2">
      <c r="A57" s="1" t="s">
        <v>223</v>
      </c>
      <c r="B57" s="1" t="s">
        <v>224</v>
      </c>
      <c r="C57" s="1" t="s">
        <v>225</v>
      </c>
      <c r="D57" s="1" t="s">
        <v>188</v>
      </c>
      <c r="E57" s="22">
        <v>150</v>
      </c>
      <c r="F57" s="22">
        <v>1</v>
      </c>
      <c r="G57" s="21">
        <v>19</v>
      </c>
      <c r="H57" s="23">
        <v>4.5617999999999999</v>
      </c>
      <c r="I57" s="24">
        <v>150</v>
      </c>
      <c r="J57" s="21">
        <v>9775</v>
      </c>
      <c r="K57" s="24" t="s">
        <v>23</v>
      </c>
      <c r="L57" s="24" t="s">
        <v>1000</v>
      </c>
      <c r="M57" s="21">
        <v>150</v>
      </c>
      <c r="N57" s="26">
        <f t="shared" si="0"/>
        <v>684.27</v>
      </c>
      <c r="O57" s="26"/>
      <c r="P57" s="68" t="s">
        <v>1027</v>
      </c>
      <c r="Q57" s="76">
        <v>46143</v>
      </c>
      <c r="R57" s="68" t="s">
        <v>1027</v>
      </c>
      <c r="S57" s="68" t="s">
        <v>1038</v>
      </c>
      <c r="T57" s="68" t="s">
        <v>1027</v>
      </c>
      <c r="X57" s="24">
        <v>20</v>
      </c>
      <c r="Y57" s="24">
        <v>20</v>
      </c>
    </row>
    <row r="58" spans="1:25" x14ac:dyDescent="0.2">
      <c r="A58" s="1" t="s">
        <v>226</v>
      </c>
      <c r="B58" s="1" t="s">
        <v>227</v>
      </c>
      <c r="C58" s="1" t="s">
        <v>228</v>
      </c>
      <c r="D58" s="1" t="s">
        <v>102</v>
      </c>
      <c r="E58" s="22">
        <v>160</v>
      </c>
      <c r="F58" s="22">
        <v>1</v>
      </c>
      <c r="G58" s="21">
        <v>20</v>
      </c>
      <c r="H58" s="23">
        <v>4.1962000000000002</v>
      </c>
      <c r="I58" s="24">
        <v>160</v>
      </c>
      <c r="J58" s="21">
        <v>3280</v>
      </c>
      <c r="K58" s="24" t="s">
        <v>23</v>
      </c>
      <c r="L58" s="24" t="s">
        <v>1000</v>
      </c>
      <c r="M58" s="21">
        <v>160</v>
      </c>
      <c r="N58" s="26">
        <f t="shared" si="0"/>
        <v>671.39200000000005</v>
      </c>
      <c r="O58" s="26"/>
      <c r="P58" s="68" t="s">
        <v>1027</v>
      </c>
      <c r="Q58" s="76">
        <v>46143</v>
      </c>
      <c r="R58" s="68" t="s">
        <v>1027</v>
      </c>
      <c r="S58" s="68" t="s">
        <v>1030</v>
      </c>
      <c r="T58" s="68" t="s">
        <v>1027</v>
      </c>
      <c r="X58" s="24">
        <v>7</v>
      </c>
      <c r="Y58" s="24">
        <v>7</v>
      </c>
    </row>
    <row r="59" spans="1:25" x14ac:dyDescent="0.2">
      <c r="A59" s="1" t="s">
        <v>229</v>
      </c>
      <c r="B59" s="1" t="s">
        <v>230</v>
      </c>
      <c r="C59" s="1" t="s">
        <v>231</v>
      </c>
      <c r="D59" s="1" t="s">
        <v>232</v>
      </c>
      <c r="E59" s="22">
        <v>60</v>
      </c>
      <c r="F59" s="22">
        <v>1</v>
      </c>
      <c r="G59" s="21">
        <v>5</v>
      </c>
      <c r="H59" s="23">
        <v>10.8491</v>
      </c>
      <c r="I59" s="24">
        <v>60</v>
      </c>
      <c r="J59" s="21">
        <v>393</v>
      </c>
      <c r="K59" s="24" t="s">
        <v>23</v>
      </c>
      <c r="L59" s="24" t="s">
        <v>1000</v>
      </c>
      <c r="M59" s="21">
        <v>60</v>
      </c>
      <c r="N59" s="26">
        <f t="shared" si="0"/>
        <v>650.94600000000003</v>
      </c>
      <c r="O59" s="26"/>
      <c r="P59" s="68" t="s">
        <v>1027</v>
      </c>
      <c r="Q59" s="76">
        <v>46143</v>
      </c>
      <c r="R59" s="68" t="s">
        <v>1027</v>
      </c>
      <c r="S59" s="68" t="s">
        <v>1032</v>
      </c>
      <c r="T59" s="68" t="s">
        <v>1027</v>
      </c>
      <c r="X59" s="24">
        <v>46</v>
      </c>
      <c r="Y59" s="24">
        <v>26</v>
      </c>
    </row>
    <row r="60" spans="1:25" x14ac:dyDescent="0.2">
      <c r="A60" s="1" t="s">
        <v>233</v>
      </c>
      <c r="B60" s="1" t="s">
        <v>234</v>
      </c>
      <c r="C60" s="1" t="s">
        <v>235</v>
      </c>
      <c r="D60" s="1" t="s">
        <v>236</v>
      </c>
      <c r="E60" s="22">
        <v>220</v>
      </c>
      <c r="F60" s="22">
        <v>1</v>
      </c>
      <c r="G60" s="21">
        <v>25</v>
      </c>
      <c r="H60" s="23">
        <v>2.8149999999999999</v>
      </c>
      <c r="I60" s="24">
        <v>220</v>
      </c>
      <c r="J60" s="21">
        <v>3151</v>
      </c>
      <c r="K60" s="24" t="s">
        <v>23</v>
      </c>
      <c r="L60" s="24" t="s">
        <v>1000</v>
      </c>
      <c r="M60" s="21">
        <v>220</v>
      </c>
      <c r="N60" s="26">
        <f t="shared" si="0"/>
        <v>619.29999999999995</v>
      </c>
      <c r="O60" s="26"/>
      <c r="P60" s="68" t="s">
        <v>1027</v>
      </c>
      <c r="Q60" s="76">
        <v>46143</v>
      </c>
      <c r="R60" s="68" t="s">
        <v>1027</v>
      </c>
      <c r="S60" s="68" t="s">
        <v>1031</v>
      </c>
      <c r="T60" s="68" t="s">
        <v>1027</v>
      </c>
      <c r="X60" s="24">
        <v>4</v>
      </c>
      <c r="Y60" s="24">
        <v>4</v>
      </c>
    </row>
    <row r="61" spans="1:25" x14ac:dyDescent="0.2">
      <c r="A61" s="1" t="s">
        <v>237</v>
      </c>
      <c r="B61" s="1" t="s">
        <v>238</v>
      </c>
      <c r="C61" s="1" t="s">
        <v>239</v>
      </c>
      <c r="D61" s="1" t="s">
        <v>232</v>
      </c>
      <c r="E61" s="22">
        <v>60</v>
      </c>
      <c r="F61" s="22">
        <v>1</v>
      </c>
      <c r="G61" s="21">
        <v>5</v>
      </c>
      <c r="H61" s="23">
        <v>9.5105000000000004</v>
      </c>
      <c r="I61" s="24">
        <v>60</v>
      </c>
      <c r="J61" s="21">
        <v>123</v>
      </c>
      <c r="K61" s="24" t="s">
        <v>23</v>
      </c>
      <c r="L61" s="24" t="s">
        <v>1000</v>
      </c>
      <c r="M61" s="21">
        <v>60</v>
      </c>
      <c r="N61" s="26">
        <f t="shared" si="0"/>
        <v>570.63</v>
      </c>
      <c r="O61" s="26"/>
      <c r="P61" s="68" t="s">
        <v>1027</v>
      </c>
      <c r="Q61" s="76">
        <v>46143</v>
      </c>
      <c r="R61" s="68" t="s">
        <v>1027</v>
      </c>
      <c r="S61" s="68" t="s">
        <v>1032</v>
      </c>
      <c r="T61" s="68" t="s">
        <v>1027</v>
      </c>
      <c r="X61" s="24">
        <v>46</v>
      </c>
      <c r="Y61" s="24">
        <v>26</v>
      </c>
    </row>
    <row r="62" spans="1:25" x14ac:dyDescent="0.2">
      <c r="A62" s="1" t="s">
        <v>240</v>
      </c>
      <c r="B62" s="1" t="s">
        <v>241</v>
      </c>
      <c r="C62" s="1" t="s">
        <v>242</v>
      </c>
      <c r="D62" s="1" t="s">
        <v>243</v>
      </c>
      <c r="E62" s="22">
        <v>40</v>
      </c>
      <c r="F62" s="22">
        <v>1</v>
      </c>
      <c r="G62" s="21">
        <v>29</v>
      </c>
      <c r="H62" s="23">
        <v>13.223000000000001</v>
      </c>
      <c r="I62" s="24">
        <v>40</v>
      </c>
      <c r="J62" s="21">
        <v>3036</v>
      </c>
      <c r="K62" s="24" t="s">
        <v>23</v>
      </c>
      <c r="L62" s="24" t="s">
        <v>1000</v>
      </c>
      <c r="M62" s="21">
        <v>40</v>
      </c>
      <c r="N62" s="26">
        <f t="shared" si="0"/>
        <v>528.92000000000007</v>
      </c>
      <c r="O62" s="26"/>
      <c r="P62" s="68" t="s">
        <v>1027</v>
      </c>
      <c r="Q62" s="76">
        <v>46143</v>
      </c>
      <c r="R62" s="68" t="s">
        <v>1027</v>
      </c>
      <c r="S62" s="68" t="s">
        <v>1032</v>
      </c>
      <c r="T62" s="68" t="s">
        <v>1027</v>
      </c>
      <c r="X62" s="24">
        <v>68</v>
      </c>
      <c r="Y62" s="24">
        <v>0</v>
      </c>
    </row>
    <row r="63" spans="1:25" x14ac:dyDescent="0.2">
      <c r="A63" s="1" t="s">
        <v>244</v>
      </c>
      <c r="B63" s="1" t="s">
        <v>245</v>
      </c>
      <c r="C63" s="1" t="s">
        <v>246</v>
      </c>
      <c r="D63" s="1" t="s">
        <v>247</v>
      </c>
      <c r="E63" s="22">
        <v>40</v>
      </c>
      <c r="F63" s="22">
        <v>1</v>
      </c>
      <c r="G63" s="21">
        <v>24</v>
      </c>
      <c r="H63" s="23">
        <v>13.2</v>
      </c>
      <c r="I63" s="24">
        <v>40</v>
      </c>
      <c r="J63" s="21">
        <v>0</v>
      </c>
      <c r="K63" s="24" t="s">
        <v>69</v>
      </c>
      <c r="L63" s="24" t="s">
        <v>1000</v>
      </c>
      <c r="M63" s="21">
        <v>40</v>
      </c>
      <c r="N63" s="26">
        <f t="shared" si="0"/>
        <v>528</v>
      </c>
      <c r="O63" s="26"/>
      <c r="P63" s="68" t="s">
        <v>1027</v>
      </c>
      <c r="Q63" s="76">
        <v>46143</v>
      </c>
      <c r="R63" s="68" t="s">
        <v>1027</v>
      </c>
      <c r="S63" s="68" t="s">
        <v>1032</v>
      </c>
      <c r="T63" s="68" t="s">
        <v>1027</v>
      </c>
      <c r="U63" s="29"/>
      <c r="V63" s="29"/>
      <c r="X63" s="24">
        <v>0</v>
      </c>
      <c r="Y63" s="24">
        <v>0</v>
      </c>
    </row>
    <row r="64" spans="1:25" x14ac:dyDescent="0.2">
      <c r="A64" s="1" t="s">
        <v>248</v>
      </c>
      <c r="B64" s="1" t="s">
        <v>249</v>
      </c>
      <c r="C64" s="1" t="s">
        <v>250</v>
      </c>
      <c r="D64" s="1" t="s">
        <v>76</v>
      </c>
      <c r="E64" s="22">
        <v>20</v>
      </c>
      <c r="F64" s="22">
        <v>1</v>
      </c>
      <c r="G64" s="21">
        <v>6</v>
      </c>
      <c r="H64" s="23">
        <v>25.78</v>
      </c>
      <c r="I64" s="24">
        <v>20</v>
      </c>
      <c r="J64" s="21">
        <v>3552</v>
      </c>
      <c r="K64" s="24" t="s">
        <v>23</v>
      </c>
      <c r="L64" s="24" t="s">
        <v>1000</v>
      </c>
      <c r="M64" s="21">
        <v>20</v>
      </c>
      <c r="N64" s="26">
        <f t="shared" si="0"/>
        <v>515.6</v>
      </c>
      <c r="O64" s="26"/>
      <c r="P64" s="68" t="s">
        <v>1027</v>
      </c>
      <c r="Q64" s="76">
        <v>46143</v>
      </c>
      <c r="R64" s="68" t="s">
        <v>1027</v>
      </c>
      <c r="S64" s="68" t="s">
        <v>1029</v>
      </c>
      <c r="T64" s="68" t="s">
        <v>1027</v>
      </c>
      <c r="X64" s="24">
        <v>4</v>
      </c>
      <c r="Y64" s="24">
        <v>0</v>
      </c>
    </row>
    <row r="65" spans="1:25" x14ac:dyDescent="0.2">
      <c r="A65" s="1" t="s">
        <v>251</v>
      </c>
      <c r="B65" s="1" t="s">
        <v>252</v>
      </c>
      <c r="C65" s="1" t="s">
        <v>253</v>
      </c>
      <c r="D65" s="1" t="s">
        <v>254</v>
      </c>
      <c r="E65" s="22">
        <v>10</v>
      </c>
      <c r="F65" s="22">
        <v>1</v>
      </c>
      <c r="G65" s="21">
        <v>28</v>
      </c>
      <c r="H65" s="23">
        <v>47.51</v>
      </c>
      <c r="I65" s="24">
        <v>0</v>
      </c>
      <c r="J65" s="21">
        <v>0</v>
      </c>
      <c r="K65" s="24" t="s">
        <v>23</v>
      </c>
      <c r="L65" s="24" t="s">
        <v>1000</v>
      </c>
      <c r="M65" s="21">
        <v>10</v>
      </c>
      <c r="N65" s="26">
        <f t="shared" si="0"/>
        <v>475.09999999999997</v>
      </c>
      <c r="O65" s="26"/>
      <c r="P65" s="68" t="s">
        <v>1048</v>
      </c>
      <c r="Q65" s="76"/>
      <c r="R65" s="68"/>
      <c r="S65" s="68"/>
      <c r="T65" s="68"/>
      <c r="X65" s="24">
        <v>0</v>
      </c>
      <c r="Y65" s="24">
        <v>0</v>
      </c>
    </row>
    <row r="66" spans="1:25" x14ac:dyDescent="0.2">
      <c r="A66" s="1" t="s">
        <v>255</v>
      </c>
      <c r="B66" s="1" t="s">
        <v>256</v>
      </c>
      <c r="C66" s="1" t="s">
        <v>257</v>
      </c>
      <c r="D66" s="1" t="s">
        <v>76</v>
      </c>
      <c r="E66" s="22">
        <v>155</v>
      </c>
      <c r="F66" s="22">
        <v>1</v>
      </c>
      <c r="G66" s="21">
        <v>17</v>
      </c>
      <c r="H66" s="23">
        <v>3.0150000000000001</v>
      </c>
      <c r="I66" s="24">
        <v>155</v>
      </c>
      <c r="J66" s="21">
        <v>0</v>
      </c>
      <c r="K66" s="24" t="s">
        <v>23</v>
      </c>
      <c r="L66" s="24" t="s">
        <v>1000</v>
      </c>
      <c r="M66" s="21">
        <v>155</v>
      </c>
      <c r="N66" s="26">
        <f t="shared" si="0"/>
        <v>467.32500000000005</v>
      </c>
      <c r="O66" s="26"/>
      <c r="P66" s="68" t="s">
        <v>1027</v>
      </c>
      <c r="Q66" s="76">
        <v>46143</v>
      </c>
      <c r="R66" s="68" t="s">
        <v>1027</v>
      </c>
      <c r="S66" s="68" t="s">
        <v>1029</v>
      </c>
      <c r="T66" s="68" t="s">
        <v>1027</v>
      </c>
      <c r="X66" s="24">
        <v>262</v>
      </c>
      <c r="Y66" s="24">
        <v>235</v>
      </c>
    </row>
    <row r="67" spans="1:25" x14ac:dyDescent="0.2">
      <c r="A67" s="1" t="s">
        <v>258</v>
      </c>
      <c r="B67" s="1" t="s">
        <v>259</v>
      </c>
      <c r="C67" s="1" t="s">
        <v>260</v>
      </c>
      <c r="D67" s="1" t="s">
        <v>261</v>
      </c>
      <c r="E67" s="22">
        <v>120</v>
      </c>
      <c r="F67" s="22">
        <v>43</v>
      </c>
      <c r="G67" s="21">
        <v>24</v>
      </c>
      <c r="H67" s="23">
        <v>3.76</v>
      </c>
      <c r="I67" s="24">
        <v>120</v>
      </c>
      <c r="J67" s="21">
        <v>846</v>
      </c>
      <c r="K67" s="24" t="s">
        <v>23</v>
      </c>
      <c r="L67" s="24" t="s">
        <v>1000</v>
      </c>
      <c r="M67" s="21">
        <v>120</v>
      </c>
      <c r="N67" s="26">
        <f t="shared" si="0"/>
        <v>451.2</v>
      </c>
      <c r="O67" s="26"/>
      <c r="P67" s="68" t="s">
        <v>1027</v>
      </c>
      <c r="Q67" s="76">
        <v>46143</v>
      </c>
      <c r="R67" s="68" t="s">
        <v>1027</v>
      </c>
      <c r="S67" s="68" t="s">
        <v>1030</v>
      </c>
      <c r="T67" s="68" t="s">
        <v>1027</v>
      </c>
      <c r="X67" s="24">
        <v>85</v>
      </c>
      <c r="Y67" s="24">
        <v>63</v>
      </c>
    </row>
    <row r="68" spans="1:25" x14ac:dyDescent="0.2">
      <c r="A68" s="27" t="s">
        <v>262</v>
      </c>
      <c r="B68" s="27" t="s">
        <v>263</v>
      </c>
      <c r="C68" s="28" t="s">
        <v>264</v>
      </c>
      <c r="D68" s="28" t="s">
        <v>183</v>
      </c>
      <c r="E68" s="22">
        <v>20</v>
      </c>
      <c r="F68" s="22">
        <v>1</v>
      </c>
      <c r="G68" s="21">
        <v>14</v>
      </c>
      <c r="H68" s="23">
        <v>22.39</v>
      </c>
      <c r="I68" s="24">
        <v>20</v>
      </c>
      <c r="J68" s="21">
        <v>390</v>
      </c>
      <c r="K68" s="24" t="s">
        <v>184</v>
      </c>
      <c r="L68" s="24" t="s">
        <v>1000</v>
      </c>
      <c r="M68" s="21">
        <v>20</v>
      </c>
      <c r="N68" s="26">
        <f t="shared" ref="N68:N131" si="1">H68*M68</f>
        <v>447.8</v>
      </c>
      <c r="O68" s="26"/>
      <c r="P68" s="68" t="s">
        <v>1027</v>
      </c>
      <c r="Q68" s="76">
        <v>46143</v>
      </c>
      <c r="R68" s="68" t="s">
        <v>1027</v>
      </c>
      <c r="S68" s="68" t="s">
        <v>1035</v>
      </c>
      <c r="T68" s="68" t="s">
        <v>1048</v>
      </c>
      <c r="U68" s="29"/>
      <c r="V68" s="29"/>
      <c r="X68" s="24">
        <v>15</v>
      </c>
      <c r="Y68" s="24">
        <v>2</v>
      </c>
    </row>
    <row r="69" spans="1:25" x14ac:dyDescent="0.2">
      <c r="A69" s="1" t="s">
        <v>265</v>
      </c>
      <c r="B69" s="1" t="s">
        <v>266</v>
      </c>
      <c r="C69" s="1" t="s">
        <v>267</v>
      </c>
      <c r="D69" s="1" t="s">
        <v>268</v>
      </c>
      <c r="E69" s="22">
        <v>2950</v>
      </c>
      <c r="F69" s="22">
        <v>1</v>
      </c>
      <c r="G69" s="21">
        <v>0</v>
      </c>
      <c r="H69" s="23">
        <v>0.15</v>
      </c>
      <c r="I69" s="24">
        <v>2950</v>
      </c>
      <c r="J69" s="21">
        <v>0</v>
      </c>
      <c r="K69" s="24" t="s">
        <v>23</v>
      </c>
      <c r="L69" s="24" t="s">
        <v>1000</v>
      </c>
      <c r="M69" s="21">
        <v>2950</v>
      </c>
      <c r="N69" s="26">
        <f t="shared" si="1"/>
        <v>442.5</v>
      </c>
      <c r="O69" s="26"/>
      <c r="P69" s="68" t="s">
        <v>1048</v>
      </c>
      <c r="Q69" s="76"/>
      <c r="R69" s="68"/>
      <c r="S69" s="68"/>
      <c r="T69" s="68"/>
      <c r="X69" s="24">
        <v>4878</v>
      </c>
      <c r="Y69" s="24">
        <v>2140</v>
      </c>
    </row>
    <row r="70" spans="1:25" x14ac:dyDescent="0.2">
      <c r="A70" s="1" t="s">
        <v>269</v>
      </c>
      <c r="B70" s="1" t="s">
        <v>270</v>
      </c>
      <c r="C70" s="1" t="s">
        <v>271</v>
      </c>
      <c r="D70" s="1" t="s">
        <v>272</v>
      </c>
      <c r="E70" s="22">
        <v>40</v>
      </c>
      <c r="F70" s="22">
        <v>1</v>
      </c>
      <c r="G70" s="21">
        <v>12</v>
      </c>
      <c r="H70" s="23">
        <v>10.935</v>
      </c>
      <c r="I70" s="24">
        <v>40</v>
      </c>
      <c r="J70" s="21">
        <v>704</v>
      </c>
      <c r="K70" s="24" t="s">
        <v>23</v>
      </c>
      <c r="L70" s="24" t="s">
        <v>1000</v>
      </c>
      <c r="M70" s="21">
        <v>40</v>
      </c>
      <c r="N70" s="26">
        <f t="shared" si="1"/>
        <v>437.40000000000003</v>
      </c>
      <c r="O70" s="26"/>
      <c r="P70" s="68" t="s">
        <v>1027</v>
      </c>
      <c r="Q70" s="76">
        <v>46220</v>
      </c>
      <c r="R70" s="68" t="s">
        <v>1027</v>
      </c>
      <c r="S70" s="68" t="s">
        <v>1031</v>
      </c>
      <c r="T70" s="68" t="s">
        <v>1027</v>
      </c>
      <c r="X70" s="24">
        <v>40</v>
      </c>
      <c r="Y70" s="24">
        <v>8</v>
      </c>
    </row>
    <row r="71" spans="1:25" x14ac:dyDescent="0.2">
      <c r="A71" s="1" t="s">
        <v>273</v>
      </c>
      <c r="B71" s="1" t="s">
        <v>274</v>
      </c>
      <c r="C71" s="1" t="s">
        <v>275</v>
      </c>
      <c r="D71" s="1" t="s">
        <v>276</v>
      </c>
      <c r="E71" s="22">
        <v>530</v>
      </c>
      <c r="F71" s="22">
        <v>5000</v>
      </c>
      <c r="G71" s="21">
        <v>17</v>
      </c>
      <c r="H71" s="23">
        <v>0.81399999999999995</v>
      </c>
      <c r="I71" s="24">
        <v>530</v>
      </c>
      <c r="J71" s="21">
        <v>0</v>
      </c>
      <c r="K71" s="24" t="s">
        <v>23</v>
      </c>
      <c r="L71" s="24" t="s">
        <v>1000</v>
      </c>
      <c r="M71" s="21">
        <v>530</v>
      </c>
      <c r="N71" s="26">
        <f t="shared" si="1"/>
        <v>431.41999999999996</v>
      </c>
      <c r="O71" s="26"/>
      <c r="P71" s="68" t="s">
        <v>1027</v>
      </c>
      <c r="Q71" s="76">
        <v>46143</v>
      </c>
      <c r="R71" s="68" t="s">
        <v>1027</v>
      </c>
      <c r="S71" s="68" t="s">
        <v>1031</v>
      </c>
      <c r="T71" s="68" t="s">
        <v>1027</v>
      </c>
      <c r="X71" s="24">
        <v>587</v>
      </c>
      <c r="Y71" s="24">
        <v>194</v>
      </c>
    </row>
    <row r="72" spans="1:25" x14ac:dyDescent="0.2">
      <c r="A72" s="1" t="s">
        <v>277</v>
      </c>
      <c r="B72" s="1" t="s">
        <v>278</v>
      </c>
      <c r="C72" s="1" t="s">
        <v>279</v>
      </c>
      <c r="D72" s="1" t="s">
        <v>141</v>
      </c>
      <c r="E72" s="22">
        <v>55</v>
      </c>
      <c r="F72" s="22">
        <v>1</v>
      </c>
      <c r="G72" s="21">
        <v>0</v>
      </c>
      <c r="H72" s="23">
        <v>7.2</v>
      </c>
      <c r="I72" s="24">
        <v>55</v>
      </c>
      <c r="J72" s="21">
        <v>0</v>
      </c>
      <c r="K72" s="24" t="s">
        <v>184</v>
      </c>
      <c r="L72" s="24" t="s">
        <v>1000</v>
      </c>
      <c r="M72" s="21">
        <v>55</v>
      </c>
      <c r="N72" s="26">
        <f t="shared" si="1"/>
        <v>396</v>
      </c>
      <c r="O72" s="26"/>
      <c r="P72" s="68" t="s">
        <v>1027</v>
      </c>
      <c r="Q72" s="76">
        <v>46220</v>
      </c>
      <c r="R72" s="68" t="s">
        <v>1027</v>
      </c>
      <c r="S72" s="68" t="s">
        <v>1031</v>
      </c>
      <c r="T72" s="68" t="s">
        <v>1027</v>
      </c>
      <c r="U72" s="29"/>
      <c r="V72" s="29"/>
      <c r="X72" s="24">
        <v>162</v>
      </c>
      <c r="Y72" s="24">
        <v>102</v>
      </c>
    </row>
    <row r="73" spans="1:25" x14ac:dyDescent="0.2">
      <c r="A73" s="1" t="s">
        <v>280</v>
      </c>
      <c r="B73" s="1" t="s">
        <v>281</v>
      </c>
      <c r="C73" s="1" t="s">
        <v>282</v>
      </c>
      <c r="D73" s="1" t="s">
        <v>141</v>
      </c>
      <c r="E73" s="22">
        <v>80</v>
      </c>
      <c r="F73" s="22">
        <v>1</v>
      </c>
      <c r="G73" s="21">
        <v>22</v>
      </c>
      <c r="H73" s="23">
        <v>4.8137999999999996</v>
      </c>
      <c r="I73" s="24">
        <v>80</v>
      </c>
      <c r="J73" s="21">
        <v>2015</v>
      </c>
      <c r="K73" s="24" t="s">
        <v>23</v>
      </c>
      <c r="L73" s="24" t="s">
        <v>1000</v>
      </c>
      <c r="M73" s="21">
        <v>80</v>
      </c>
      <c r="N73" s="26">
        <f t="shared" si="1"/>
        <v>385.10399999999998</v>
      </c>
      <c r="O73" s="26"/>
      <c r="P73" s="68" t="s">
        <v>1027</v>
      </c>
      <c r="Q73" s="76">
        <v>46143</v>
      </c>
      <c r="R73" s="68" t="s">
        <v>1027</v>
      </c>
      <c r="S73" s="68" t="s">
        <v>1036</v>
      </c>
      <c r="T73" s="68" t="s">
        <v>1027</v>
      </c>
      <c r="X73" s="24">
        <v>85</v>
      </c>
      <c r="Y73" s="24">
        <v>66</v>
      </c>
    </row>
    <row r="74" spans="1:25" x14ac:dyDescent="0.2">
      <c r="A74" s="1" t="s">
        <v>283</v>
      </c>
      <c r="B74" s="1" t="s">
        <v>284</v>
      </c>
      <c r="C74" s="1" t="s">
        <v>285</v>
      </c>
      <c r="D74" s="1" t="s">
        <v>41</v>
      </c>
      <c r="E74" s="22">
        <v>85</v>
      </c>
      <c r="F74" s="22">
        <v>1</v>
      </c>
      <c r="G74" s="21">
        <v>26</v>
      </c>
      <c r="H74" s="23">
        <v>4.3359500000000004</v>
      </c>
      <c r="I74" s="24">
        <v>85</v>
      </c>
      <c r="J74" s="21">
        <v>1723</v>
      </c>
      <c r="K74" s="24" t="s">
        <v>23</v>
      </c>
      <c r="L74" s="24" t="s">
        <v>1000</v>
      </c>
      <c r="M74" s="21">
        <v>85</v>
      </c>
      <c r="N74" s="26">
        <f t="shared" si="1"/>
        <v>368.55575000000005</v>
      </c>
      <c r="O74" s="26"/>
      <c r="P74" s="68" t="s">
        <v>1027</v>
      </c>
      <c r="Q74" s="76">
        <v>46264</v>
      </c>
      <c r="R74" s="68" t="s">
        <v>1027</v>
      </c>
      <c r="S74" s="68" t="s">
        <v>1037</v>
      </c>
      <c r="T74" s="68" t="s">
        <v>1027</v>
      </c>
      <c r="X74" s="24">
        <v>293</v>
      </c>
      <c r="Y74" s="24">
        <v>43</v>
      </c>
    </row>
    <row r="75" spans="1:25" x14ac:dyDescent="0.2">
      <c r="A75" s="1" t="s">
        <v>286</v>
      </c>
      <c r="B75" s="1" t="s">
        <v>287</v>
      </c>
      <c r="C75" s="1" t="s">
        <v>288</v>
      </c>
      <c r="D75" s="1" t="s">
        <v>90</v>
      </c>
      <c r="E75" s="22">
        <v>10</v>
      </c>
      <c r="F75" s="22">
        <v>75</v>
      </c>
      <c r="G75" s="21">
        <v>14</v>
      </c>
      <c r="H75" s="23">
        <v>2.38</v>
      </c>
      <c r="I75" s="24">
        <v>10</v>
      </c>
      <c r="J75" s="21">
        <v>3024</v>
      </c>
      <c r="K75" s="24" t="s">
        <v>23</v>
      </c>
      <c r="L75" s="24" t="s">
        <v>1000</v>
      </c>
      <c r="M75" s="25">
        <v>150</v>
      </c>
      <c r="N75" s="26">
        <f t="shared" si="1"/>
        <v>357</v>
      </c>
      <c r="O75" s="26"/>
      <c r="P75" s="68" t="s">
        <v>1048</v>
      </c>
      <c r="Q75" s="76"/>
      <c r="R75" s="68"/>
      <c r="S75" s="68"/>
      <c r="T75" s="68"/>
      <c r="U75" s="29" t="s">
        <v>289</v>
      </c>
      <c r="V75" s="29"/>
      <c r="X75" s="24">
        <v>30</v>
      </c>
      <c r="Y75" s="24">
        <v>0</v>
      </c>
    </row>
    <row r="76" spans="1:25" x14ac:dyDescent="0.2">
      <c r="A76" s="1" t="s">
        <v>290</v>
      </c>
      <c r="B76" s="1" t="s">
        <v>291</v>
      </c>
      <c r="C76" s="1" t="s">
        <v>292</v>
      </c>
      <c r="D76" s="1" t="s">
        <v>94</v>
      </c>
      <c r="E76" s="22">
        <v>120</v>
      </c>
      <c r="F76" s="22">
        <v>45</v>
      </c>
      <c r="G76" s="21">
        <v>32</v>
      </c>
      <c r="H76" s="23">
        <v>2.964</v>
      </c>
      <c r="I76" s="24">
        <v>120</v>
      </c>
      <c r="J76" s="21">
        <v>2769</v>
      </c>
      <c r="K76" s="24" t="s">
        <v>23</v>
      </c>
      <c r="L76" s="24" t="s">
        <v>1000</v>
      </c>
      <c r="M76" s="21">
        <v>120</v>
      </c>
      <c r="N76" s="26">
        <f t="shared" si="1"/>
        <v>355.68</v>
      </c>
      <c r="O76" s="26"/>
      <c r="P76" s="68" t="s">
        <v>1027</v>
      </c>
      <c r="Q76" s="76">
        <v>46143</v>
      </c>
      <c r="R76" s="68" t="s">
        <v>1027</v>
      </c>
      <c r="S76" s="68" t="s">
        <v>1030</v>
      </c>
      <c r="T76" s="68" t="s">
        <v>1027</v>
      </c>
      <c r="X76" s="24">
        <v>85</v>
      </c>
      <c r="Y76" s="24">
        <v>63</v>
      </c>
    </row>
    <row r="77" spans="1:25" x14ac:dyDescent="0.2">
      <c r="A77" s="1" t="s">
        <v>293</v>
      </c>
      <c r="B77" s="1" t="s">
        <v>294</v>
      </c>
      <c r="C77" s="1" t="s">
        <v>295</v>
      </c>
      <c r="D77" s="1" t="s">
        <v>141</v>
      </c>
      <c r="E77" s="22">
        <v>40</v>
      </c>
      <c r="F77" s="22">
        <v>1</v>
      </c>
      <c r="G77" s="21">
        <v>24</v>
      </c>
      <c r="H77" s="23">
        <v>8.7850000000000001</v>
      </c>
      <c r="I77" s="24">
        <v>40</v>
      </c>
      <c r="J77" s="21">
        <v>1410</v>
      </c>
      <c r="K77" s="24" t="s">
        <v>23</v>
      </c>
      <c r="L77" s="24" t="s">
        <v>1000</v>
      </c>
      <c r="M77" s="21">
        <v>40</v>
      </c>
      <c r="N77" s="26">
        <f t="shared" si="1"/>
        <v>351.4</v>
      </c>
      <c r="O77" s="26"/>
      <c r="P77" s="68" t="s">
        <v>1027</v>
      </c>
      <c r="Q77" s="76">
        <v>46143</v>
      </c>
      <c r="R77" s="68" t="s">
        <v>1027</v>
      </c>
      <c r="S77" s="68" t="s">
        <v>1038</v>
      </c>
      <c r="T77" s="68" t="s">
        <v>1027</v>
      </c>
      <c r="X77" s="24">
        <v>24</v>
      </c>
      <c r="Y77" s="24">
        <v>24</v>
      </c>
    </row>
    <row r="78" spans="1:25" x14ac:dyDescent="0.2">
      <c r="A78" s="1" t="s">
        <v>296</v>
      </c>
      <c r="B78" s="1" t="s">
        <v>297</v>
      </c>
      <c r="C78" s="1" t="s">
        <v>298</v>
      </c>
      <c r="D78" s="1" t="s">
        <v>299</v>
      </c>
      <c r="E78" s="22">
        <v>230</v>
      </c>
      <c r="F78" s="22">
        <v>1</v>
      </c>
      <c r="G78" s="21">
        <v>8</v>
      </c>
      <c r="H78" s="23">
        <v>1.51</v>
      </c>
      <c r="I78" s="24">
        <v>230</v>
      </c>
      <c r="J78" s="21">
        <v>1114</v>
      </c>
      <c r="K78" s="24" t="s">
        <v>23</v>
      </c>
      <c r="L78" s="24" t="s">
        <v>1000</v>
      </c>
      <c r="M78" s="21">
        <v>230</v>
      </c>
      <c r="N78" s="26">
        <f t="shared" si="1"/>
        <v>347.3</v>
      </c>
      <c r="O78" s="26"/>
      <c r="P78" s="68" t="s">
        <v>1027</v>
      </c>
      <c r="Q78" s="76">
        <v>46143</v>
      </c>
      <c r="R78" s="68" t="s">
        <v>1027</v>
      </c>
      <c r="S78" s="68" t="s">
        <v>1030</v>
      </c>
      <c r="T78" s="68" t="s">
        <v>1027</v>
      </c>
      <c r="X78" s="24">
        <v>184</v>
      </c>
      <c r="Y78" s="24">
        <v>104</v>
      </c>
    </row>
    <row r="79" spans="1:25" x14ac:dyDescent="0.2">
      <c r="A79" s="27" t="s">
        <v>300</v>
      </c>
      <c r="B79" s="27" t="s">
        <v>301</v>
      </c>
      <c r="C79" s="28" t="s">
        <v>302</v>
      </c>
      <c r="D79" s="28" t="s">
        <v>303</v>
      </c>
      <c r="E79" s="22">
        <v>10</v>
      </c>
      <c r="F79" s="22">
        <v>1</v>
      </c>
      <c r="G79" s="21">
        <v>22</v>
      </c>
      <c r="H79" s="23">
        <v>33.337200000000003</v>
      </c>
      <c r="I79" s="24">
        <v>10</v>
      </c>
      <c r="J79" s="21">
        <v>7043</v>
      </c>
      <c r="K79" s="24" t="s">
        <v>23</v>
      </c>
      <c r="L79" s="24" t="s">
        <v>1000</v>
      </c>
      <c r="M79" s="21">
        <v>10</v>
      </c>
      <c r="N79" s="26">
        <f t="shared" si="1"/>
        <v>333.37200000000001</v>
      </c>
      <c r="O79" s="26"/>
      <c r="P79" s="68" t="s">
        <v>1027</v>
      </c>
      <c r="Q79" s="76">
        <v>46143</v>
      </c>
      <c r="R79" s="68" t="s">
        <v>1027</v>
      </c>
      <c r="S79" s="68" t="s">
        <v>1035</v>
      </c>
      <c r="T79" s="68" t="s">
        <v>1048</v>
      </c>
      <c r="U79" s="27"/>
      <c r="V79" s="27"/>
      <c r="X79" s="24">
        <v>39</v>
      </c>
      <c r="Y79" s="24">
        <v>0</v>
      </c>
    </row>
    <row r="80" spans="1:25" x14ac:dyDescent="0.2">
      <c r="A80" s="1" t="s">
        <v>304</v>
      </c>
      <c r="B80" s="1" t="s">
        <v>305</v>
      </c>
      <c r="C80" s="1" t="s">
        <v>306</v>
      </c>
      <c r="D80" s="1" t="s">
        <v>307</v>
      </c>
      <c r="E80" s="22">
        <v>60</v>
      </c>
      <c r="F80" s="22">
        <v>1</v>
      </c>
      <c r="G80" s="21">
        <v>23</v>
      </c>
      <c r="H80" s="23">
        <v>0.16070000000000001</v>
      </c>
      <c r="I80" s="24">
        <v>60</v>
      </c>
      <c r="J80" s="21">
        <v>0</v>
      </c>
      <c r="K80" s="24" t="s">
        <v>23</v>
      </c>
      <c r="L80" s="24" t="s">
        <v>1000</v>
      </c>
      <c r="M80" s="25">
        <v>2000</v>
      </c>
      <c r="N80" s="26">
        <f t="shared" si="1"/>
        <v>321.40000000000003</v>
      </c>
      <c r="O80" s="26"/>
      <c r="P80" s="68" t="s">
        <v>1027</v>
      </c>
      <c r="Q80" s="76">
        <v>46143</v>
      </c>
      <c r="R80" s="68" t="s">
        <v>1027</v>
      </c>
      <c r="S80" s="68" t="s">
        <v>1039</v>
      </c>
      <c r="T80" s="68" t="s">
        <v>1027</v>
      </c>
      <c r="U80" s="29" t="s">
        <v>289</v>
      </c>
      <c r="V80" s="29"/>
      <c r="X80" s="24">
        <v>58</v>
      </c>
      <c r="Y80" s="24">
        <v>34</v>
      </c>
    </row>
    <row r="81" spans="1:25" x14ac:dyDescent="0.2">
      <c r="A81" s="27" t="s">
        <v>308</v>
      </c>
      <c r="B81" s="27" t="s">
        <v>309</v>
      </c>
      <c r="C81" s="28" t="s">
        <v>310</v>
      </c>
      <c r="D81" s="28" t="s">
        <v>311</v>
      </c>
      <c r="E81" s="22">
        <v>30</v>
      </c>
      <c r="F81" s="22">
        <v>1</v>
      </c>
      <c r="G81" s="21">
        <v>22</v>
      </c>
      <c r="H81" s="23">
        <v>10.67</v>
      </c>
      <c r="I81" s="24">
        <v>30</v>
      </c>
      <c r="J81" s="21">
        <v>155</v>
      </c>
      <c r="K81" s="24" t="s">
        <v>23</v>
      </c>
      <c r="L81" s="24" t="s">
        <v>1000</v>
      </c>
      <c r="M81" s="21">
        <v>30</v>
      </c>
      <c r="N81" s="26">
        <f t="shared" si="1"/>
        <v>320.10000000000002</v>
      </c>
      <c r="O81" s="26"/>
      <c r="P81" s="68" t="s">
        <v>1048</v>
      </c>
      <c r="Q81" s="76"/>
      <c r="R81" s="68"/>
      <c r="S81" s="68"/>
      <c r="T81" s="68"/>
      <c r="U81" s="27"/>
      <c r="V81" s="27"/>
      <c r="X81" s="24">
        <v>77</v>
      </c>
      <c r="Y81" s="24">
        <v>0</v>
      </c>
    </row>
    <row r="82" spans="1:25" x14ac:dyDescent="0.2">
      <c r="A82" s="1" t="s">
        <v>312</v>
      </c>
      <c r="B82" s="1" t="s">
        <v>313</v>
      </c>
      <c r="C82" s="1" t="s">
        <v>314</v>
      </c>
      <c r="D82" s="1" t="s">
        <v>76</v>
      </c>
      <c r="E82" s="22">
        <v>100</v>
      </c>
      <c r="F82" s="22">
        <v>2500</v>
      </c>
      <c r="G82" s="21">
        <v>6</v>
      </c>
      <c r="H82" s="23">
        <v>3.1385000000000001</v>
      </c>
      <c r="I82" s="24">
        <v>100</v>
      </c>
      <c r="J82" s="21">
        <v>8598</v>
      </c>
      <c r="K82" s="24" t="s">
        <v>23</v>
      </c>
      <c r="L82" s="24" t="s">
        <v>1000</v>
      </c>
      <c r="M82" s="21">
        <v>100</v>
      </c>
      <c r="N82" s="26">
        <f t="shared" si="1"/>
        <v>313.85000000000002</v>
      </c>
      <c r="O82" s="26"/>
      <c r="P82" s="68" t="s">
        <v>1027</v>
      </c>
      <c r="Q82" s="76">
        <v>46143</v>
      </c>
      <c r="R82" s="68" t="s">
        <v>1027</v>
      </c>
      <c r="S82" s="68" t="s">
        <v>1029</v>
      </c>
      <c r="T82" s="68" t="s">
        <v>1027</v>
      </c>
      <c r="X82" s="24">
        <v>170</v>
      </c>
      <c r="Y82" s="24">
        <v>97</v>
      </c>
    </row>
    <row r="83" spans="1:25" x14ac:dyDescent="0.2">
      <c r="A83" s="1" t="s">
        <v>315</v>
      </c>
      <c r="B83" s="1" t="s">
        <v>316</v>
      </c>
      <c r="C83" s="1" t="s">
        <v>317</v>
      </c>
      <c r="D83" s="1" t="s">
        <v>318</v>
      </c>
      <c r="E83" s="22">
        <v>50</v>
      </c>
      <c r="F83" s="22">
        <v>300</v>
      </c>
      <c r="G83" s="21">
        <v>12</v>
      </c>
      <c r="H83" s="23">
        <v>6.2312000000000003</v>
      </c>
      <c r="I83" s="24">
        <v>50</v>
      </c>
      <c r="J83" s="21">
        <v>3574</v>
      </c>
      <c r="K83" s="24" t="s">
        <v>69</v>
      </c>
      <c r="L83" s="24" t="s">
        <v>1000</v>
      </c>
      <c r="M83" s="21">
        <v>50</v>
      </c>
      <c r="N83" s="26">
        <f t="shared" si="1"/>
        <v>311.56</v>
      </c>
      <c r="O83" s="26"/>
      <c r="P83" s="68" t="s">
        <v>1027</v>
      </c>
      <c r="Q83" s="76">
        <v>46143</v>
      </c>
      <c r="R83" s="68" t="s">
        <v>1027</v>
      </c>
      <c r="S83" s="68" t="s">
        <v>1032</v>
      </c>
      <c r="T83" s="68" t="s">
        <v>1027</v>
      </c>
      <c r="U83" s="29"/>
      <c r="V83" s="29"/>
      <c r="X83" s="24">
        <v>0</v>
      </c>
      <c r="Y83" s="24">
        <v>0</v>
      </c>
    </row>
    <row r="84" spans="1:25" x14ac:dyDescent="0.2">
      <c r="A84" s="1" t="s">
        <v>319</v>
      </c>
      <c r="B84" s="1" t="s">
        <v>320</v>
      </c>
      <c r="C84" s="1" t="s">
        <v>321</v>
      </c>
      <c r="D84" s="1" t="s">
        <v>94</v>
      </c>
      <c r="E84" s="22">
        <v>60</v>
      </c>
      <c r="F84" s="22">
        <v>140</v>
      </c>
      <c r="G84" s="21">
        <v>22</v>
      </c>
      <c r="H84" s="23">
        <v>5.1532</v>
      </c>
      <c r="I84" s="24">
        <v>60</v>
      </c>
      <c r="J84" s="21">
        <v>7047</v>
      </c>
      <c r="K84" s="24" t="s">
        <v>23</v>
      </c>
      <c r="L84" s="24" t="s">
        <v>1000</v>
      </c>
      <c r="M84" s="21">
        <v>60</v>
      </c>
      <c r="N84" s="26">
        <f t="shared" si="1"/>
        <v>309.19200000000001</v>
      </c>
      <c r="O84" s="26"/>
      <c r="P84" s="68" t="s">
        <v>1027</v>
      </c>
      <c r="Q84" s="76">
        <v>46143</v>
      </c>
      <c r="R84" s="68" t="s">
        <v>1027</v>
      </c>
      <c r="S84" s="68" t="s">
        <v>1038</v>
      </c>
      <c r="T84" s="68" t="s">
        <v>1027</v>
      </c>
      <c r="X84" s="24">
        <v>5</v>
      </c>
      <c r="Y84" s="24">
        <v>5</v>
      </c>
    </row>
    <row r="85" spans="1:25" x14ac:dyDescent="0.2">
      <c r="A85" s="1" t="s">
        <v>322</v>
      </c>
      <c r="B85" s="1" t="s">
        <v>323</v>
      </c>
      <c r="C85" s="1" t="s">
        <v>324</v>
      </c>
      <c r="D85" s="1" t="s">
        <v>41</v>
      </c>
      <c r="E85" s="22">
        <v>55</v>
      </c>
      <c r="F85" s="22">
        <v>50</v>
      </c>
      <c r="G85" s="21">
        <v>5</v>
      </c>
      <c r="H85" s="23">
        <v>5.62</v>
      </c>
      <c r="I85" s="24">
        <v>0</v>
      </c>
      <c r="J85" s="21">
        <v>2203</v>
      </c>
      <c r="K85" s="24" t="s">
        <v>23</v>
      </c>
      <c r="L85" s="24" t="s">
        <v>1000</v>
      </c>
      <c r="M85" s="21">
        <v>55</v>
      </c>
      <c r="N85" s="26">
        <f t="shared" si="1"/>
        <v>309.10000000000002</v>
      </c>
      <c r="O85" s="26"/>
      <c r="P85" s="68" t="s">
        <v>1027</v>
      </c>
      <c r="Q85" s="76">
        <v>46143</v>
      </c>
      <c r="R85" s="68" t="s">
        <v>1027</v>
      </c>
      <c r="S85" s="68" t="s">
        <v>1038</v>
      </c>
      <c r="T85" s="68" t="s">
        <v>1027</v>
      </c>
      <c r="X85" s="24">
        <v>74</v>
      </c>
      <c r="Y85" s="24">
        <v>26</v>
      </c>
    </row>
    <row r="86" spans="1:25" x14ac:dyDescent="0.2">
      <c r="A86" s="1" t="s">
        <v>325</v>
      </c>
      <c r="B86" s="1" t="s">
        <v>326</v>
      </c>
      <c r="C86" s="1" t="s">
        <v>327</v>
      </c>
      <c r="D86" s="1" t="s">
        <v>276</v>
      </c>
      <c r="E86" s="22">
        <v>265</v>
      </c>
      <c r="F86" s="22">
        <v>1000</v>
      </c>
      <c r="G86" s="21">
        <v>13</v>
      </c>
      <c r="H86" s="23">
        <v>1.2284999999999999</v>
      </c>
      <c r="I86" s="24">
        <v>265</v>
      </c>
      <c r="J86" s="21">
        <v>21838</v>
      </c>
      <c r="K86" s="24" t="s">
        <v>23</v>
      </c>
      <c r="L86" s="24" t="s">
        <v>1000</v>
      </c>
      <c r="M86" s="21">
        <v>250</v>
      </c>
      <c r="N86" s="26">
        <f t="shared" si="1"/>
        <v>307.125</v>
      </c>
      <c r="O86" s="26"/>
      <c r="P86" s="68" t="s">
        <v>1027</v>
      </c>
      <c r="Q86" s="76">
        <v>46143</v>
      </c>
      <c r="R86" s="68" t="s">
        <v>1027</v>
      </c>
      <c r="S86" s="68" t="s">
        <v>1031</v>
      </c>
      <c r="T86" s="68" t="s">
        <v>1027</v>
      </c>
      <c r="X86" s="24">
        <v>228</v>
      </c>
      <c r="Y86" s="24">
        <v>164</v>
      </c>
    </row>
    <row r="87" spans="1:25" x14ac:dyDescent="0.2">
      <c r="A87" s="1" t="s">
        <v>328</v>
      </c>
      <c r="B87" s="1" t="s">
        <v>329</v>
      </c>
      <c r="C87" s="1" t="s">
        <v>330</v>
      </c>
      <c r="D87" s="1" t="s">
        <v>331</v>
      </c>
      <c r="E87" s="22">
        <v>25</v>
      </c>
      <c r="F87" s="22">
        <v>1</v>
      </c>
      <c r="G87" s="21">
        <v>22</v>
      </c>
      <c r="H87" s="23">
        <v>2.04</v>
      </c>
      <c r="I87" s="24">
        <v>25</v>
      </c>
      <c r="J87" s="21">
        <v>3938</v>
      </c>
      <c r="K87" s="24" t="s">
        <v>23</v>
      </c>
      <c r="L87" s="24" t="s">
        <v>1000</v>
      </c>
      <c r="M87" s="25">
        <v>150</v>
      </c>
      <c r="N87" s="26">
        <f t="shared" si="1"/>
        <v>306</v>
      </c>
      <c r="O87" s="26"/>
      <c r="P87" s="68" t="s">
        <v>1027</v>
      </c>
      <c r="Q87" s="76">
        <v>46143</v>
      </c>
      <c r="R87" s="68" t="s">
        <v>1027</v>
      </c>
      <c r="S87" s="68" t="s">
        <v>1032</v>
      </c>
      <c r="T87" s="68" t="s">
        <v>1027</v>
      </c>
      <c r="U87" s="29" t="s">
        <v>289</v>
      </c>
      <c r="V87" s="29"/>
      <c r="X87" s="24">
        <v>53</v>
      </c>
      <c r="Y87" s="24">
        <v>33</v>
      </c>
    </row>
    <row r="88" spans="1:25" x14ac:dyDescent="0.2">
      <c r="A88" s="27" t="s">
        <v>332</v>
      </c>
      <c r="B88" s="27" t="s">
        <v>333</v>
      </c>
      <c r="C88" s="28" t="s">
        <v>334</v>
      </c>
      <c r="D88" s="28" t="s">
        <v>141</v>
      </c>
      <c r="E88" s="22">
        <v>10</v>
      </c>
      <c r="F88" s="22">
        <v>23</v>
      </c>
      <c r="G88" s="21">
        <v>21</v>
      </c>
      <c r="H88" s="23">
        <v>4.07</v>
      </c>
      <c r="I88" s="24">
        <v>10</v>
      </c>
      <c r="J88" s="21">
        <v>5618</v>
      </c>
      <c r="K88" s="24" t="s">
        <v>184</v>
      </c>
      <c r="L88" s="24" t="s">
        <v>1000</v>
      </c>
      <c r="M88" s="25">
        <v>75</v>
      </c>
      <c r="N88" s="26">
        <f t="shared" si="1"/>
        <v>305.25</v>
      </c>
      <c r="O88" s="26"/>
      <c r="P88" s="68" t="s">
        <v>1027</v>
      </c>
      <c r="Q88" s="76">
        <v>46143</v>
      </c>
      <c r="R88" s="68" t="s">
        <v>1027</v>
      </c>
      <c r="S88" s="68" t="s">
        <v>1031</v>
      </c>
      <c r="T88" s="68" t="s">
        <v>1027</v>
      </c>
      <c r="U88" s="29"/>
      <c r="V88" s="29"/>
      <c r="X88" s="24">
        <v>45</v>
      </c>
      <c r="Y88" s="24">
        <v>0</v>
      </c>
    </row>
    <row r="89" spans="1:25" x14ac:dyDescent="0.2">
      <c r="A89" s="1" t="s">
        <v>335</v>
      </c>
      <c r="B89" s="1" t="s">
        <v>336</v>
      </c>
      <c r="C89" s="1" t="s">
        <v>337</v>
      </c>
      <c r="D89" s="1" t="s">
        <v>141</v>
      </c>
      <c r="E89" s="22">
        <v>55</v>
      </c>
      <c r="F89" s="22">
        <v>1</v>
      </c>
      <c r="G89" s="21">
        <v>0</v>
      </c>
      <c r="H89" s="23">
        <v>5.5</v>
      </c>
      <c r="I89" s="24">
        <v>55</v>
      </c>
      <c r="J89" s="21">
        <v>0</v>
      </c>
      <c r="K89" s="24" t="s">
        <v>184</v>
      </c>
      <c r="L89" s="24" t="s">
        <v>1000</v>
      </c>
      <c r="M89" s="21">
        <v>55</v>
      </c>
      <c r="N89" s="26">
        <f t="shared" si="1"/>
        <v>302.5</v>
      </c>
      <c r="O89" s="26"/>
      <c r="P89" s="68" t="s">
        <v>1027</v>
      </c>
      <c r="Q89" s="76">
        <v>46226</v>
      </c>
      <c r="R89" s="68" t="s">
        <v>1027</v>
      </c>
      <c r="S89" s="68" t="s">
        <v>1031</v>
      </c>
      <c r="T89" s="68" t="s">
        <v>1027</v>
      </c>
      <c r="U89" s="29"/>
      <c r="V89" s="29"/>
      <c r="X89" s="24">
        <v>162</v>
      </c>
      <c r="Y89" s="24">
        <v>102</v>
      </c>
    </row>
    <row r="90" spans="1:25" x14ac:dyDescent="0.2">
      <c r="A90" s="1" t="s">
        <v>338</v>
      </c>
      <c r="B90" s="1" t="s">
        <v>339</v>
      </c>
      <c r="C90" s="1" t="s">
        <v>340</v>
      </c>
      <c r="D90" s="1" t="s">
        <v>341</v>
      </c>
      <c r="E90" s="22">
        <v>10</v>
      </c>
      <c r="F90" s="22">
        <v>1</v>
      </c>
      <c r="G90" s="21">
        <v>19</v>
      </c>
      <c r="H90" s="23">
        <v>12.098599999999999</v>
      </c>
      <c r="I90" s="24">
        <v>10</v>
      </c>
      <c r="J90" s="21">
        <v>414</v>
      </c>
      <c r="K90" s="24" t="s">
        <v>23</v>
      </c>
      <c r="L90" s="24" t="s">
        <v>1000</v>
      </c>
      <c r="M90" s="25">
        <v>25</v>
      </c>
      <c r="N90" s="26">
        <f t="shared" si="1"/>
        <v>302.46499999999997</v>
      </c>
      <c r="O90" s="26"/>
      <c r="P90" s="68" t="s">
        <v>1027</v>
      </c>
      <c r="Q90" s="76">
        <v>46143</v>
      </c>
      <c r="R90" s="68" t="s">
        <v>1027</v>
      </c>
      <c r="S90" s="68" t="s">
        <v>1032</v>
      </c>
      <c r="T90" s="68" t="s">
        <v>1027</v>
      </c>
      <c r="U90" s="29" t="s">
        <v>289</v>
      </c>
      <c r="V90" s="29"/>
      <c r="X90" s="24">
        <v>12</v>
      </c>
      <c r="Y90" s="24">
        <v>10</v>
      </c>
    </row>
    <row r="91" spans="1:25" x14ac:dyDescent="0.2">
      <c r="A91" s="1" t="s">
        <v>342</v>
      </c>
      <c r="B91" s="1" t="s">
        <v>343</v>
      </c>
      <c r="C91" s="1" t="s">
        <v>344</v>
      </c>
      <c r="D91" s="1" t="s">
        <v>341</v>
      </c>
      <c r="E91" s="22">
        <v>10</v>
      </c>
      <c r="F91" s="22">
        <v>1</v>
      </c>
      <c r="G91" s="21">
        <v>12</v>
      </c>
      <c r="H91" s="23">
        <v>15.06</v>
      </c>
      <c r="I91" s="24">
        <v>10</v>
      </c>
      <c r="J91" s="21">
        <v>605</v>
      </c>
      <c r="K91" s="24" t="s">
        <v>69</v>
      </c>
      <c r="L91" s="24" t="s">
        <v>1000</v>
      </c>
      <c r="M91" s="21">
        <v>20</v>
      </c>
      <c r="N91" s="26">
        <f t="shared" si="1"/>
        <v>301.2</v>
      </c>
      <c r="O91" s="26"/>
      <c r="P91" s="68" t="s">
        <v>1027</v>
      </c>
      <c r="Q91" s="76">
        <v>46143</v>
      </c>
      <c r="R91" s="68" t="s">
        <v>1027</v>
      </c>
      <c r="S91" s="68" t="s">
        <v>1031</v>
      </c>
      <c r="T91" s="68" t="s">
        <v>1027</v>
      </c>
      <c r="U91" s="29"/>
      <c r="V91" s="29"/>
      <c r="X91" s="24">
        <v>0</v>
      </c>
      <c r="Y91" s="24">
        <v>0</v>
      </c>
    </row>
    <row r="92" spans="1:25" x14ac:dyDescent="0.2">
      <c r="A92" s="1" t="s">
        <v>345</v>
      </c>
      <c r="B92" s="1" t="s">
        <v>346</v>
      </c>
      <c r="C92" s="1" t="s">
        <v>347</v>
      </c>
      <c r="D92" s="1" t="s">
        <v>348</v>
      </c>
      <c r="E92" s="22">
        <v>20</v>
      </c>
      <c r="F92" s="22">
        <v>1</v>
      </c>
      <c r="G92" s="21">
        <v>4</v>
      </c>
      <c r="H92" s="23">
        <v>15.028</v>
      </c>
      <c r="I92" s="24">
        <v>20</v>
      </c>
      <c r="J92" s="21">
        <v>526</v>
      </c>
      <c r="K92" s="24" t="s">
        <v>23</v>
      </c>
      <c r="L92" s="24" t="s">
        <v>1000</v>
      </c>
      <c r="M92" s="21">
        <v>20</v>
      </c>
      <c r="N92" s="26">
        <f t="shared" si="1"/>
        <v>300.56</v>
      </c>
      <c r="O92" s="26"/>
      <c r="P92" s="68" t="s">
        <v>1027</v>
      </c>
      <c r="Q92" s="76">
        <v>46143</v>
      </c>
      <c r="R92" s="68" t="s">
        <v>1027</v>
      </c>
      <c r="S92" s="68" t="s">
        <v>1042</v>
      </c>
      <c r="T92" s="68" t="s">
        <v>1027</v>
      </c>
      <c r="X92" s="24">
        <v>0</v>
      </c>
      <c r="Y92" s="24">
        <v>0</v>
      </c>
    </row>
    <row r="93" spans="1:25" x14ac:dyDescent="0.2">
      <c r="A93" s="1" t="s">
        <v>349</v>
      </c>
      <c r="B93" s="1" t="s">
        <v>350</v>
      </c>
      <c r="C93" s="1" t="s">
        <v>351</v>
      </c>
      <c r="D93" s="1" t="s">
        <v>141</v>
      </c>
      <c r="E93" s="22">
        <v>40</v>
      </c>
      <c r="F93" s="22">
        <v>94</v>
      </c>
      <c r="G93" s="21">
        <v>25</v>
      </c>
      <c r="H93" s="23">
        <v>5.9989999999999997</v>
      </c>
      <c r="I93" s="24">
        <v>40</v>
      </c>
      <c r="J93" s="21">
        <v>4749</v>
      </c>
      <c r="K93" s="24" t="s">
        <v>23</v>
      </c>
      <c r="L93" s="24" t="s">
        <v>1000</v>
      </c>
      <c r="M93" s="25">
        <v>50</v>
      </c>
      <c r="N93" s="26">
        <f t="shared" si="1"/>
        <v>299.95</v>
      </c>
      <c r="O93" s="26"/>
      <c r="P93" s="68" t="s">
        <v>1027</v>
      </c>
      <c r="Q93" s="76">
        <v>46143</v>
      </c>
      <c r="R93" s="68" t="s">
        <v>1027</v>
      </c>
      <c r="S93" s="68" t="s">
        <v>1030</v>
      </c>
      <c r="T93" s="68" t="s">
        <v>1027</v>
      </c>
      <c r="U93" s="29" t="s">
        <v>289</v>
      </c>
      <c r="V93" s="29"/>
      <c r="X93" s="24">
        <v>26</v>
      </c>
      <c r="Y93" s="24">
        <v>26</v>
      </c>
    </row>
    <row r="94" spans="1:25" x14ac:dyDescent="0.2">
      <c r="A94" s="1" t="s">
        <v>352</v>
      </c>
      <c r="B94" s="1" t="s">
        <v>353</v>
      </c>
      <c r="C94" s="1" t="s">
        <v>354</v>
      </c>
      <c r="D94" s="1" t="s">
        <v>311</v>
      </c>
      <c r="E94" s="22">
        <v>120</v>
      </c>
      <c r="F94" s="22">
        <v>2500</v>
      </c>
      <c r="G94" s="21">
        <v>19</v>
      </c>
      <c r="H94" s="23">
        <v>2.4971999999999999</v>
      </c>
      <c r="I94" s="24">
        <v>120</v>
      </c>
      <c r="J94" s="21">
        <v>4068</v>
      </c>
      <c r="K94" s="24" t="s">
        <v>23</v>
      </c>
      <c r="L94" s="24" t="s">
        <v>1000</v>
      </c>
      <c r="M94" s="21">
        <v>120</v>
      </c>
      <c r="N94" s="26">
        <f t="shared" si="1"/>
        <v>299.66399999999999</v>
      </c>
      <c r="O94" s="26"/>
      <c r="P94" s="68" t="s">
        <v>1027</v>
      </c>
      <c r="Q94" s="76">
        <v>46143</v>
      </c>
      <c r="R94" s="68" t="s">
        <v>1027</v>
      </c>
      <c r="S94" s="68" t="s">
        <v>1035</v>
      </c>
      <c r="T94" s="68" t="s">
        <v>1048</v>
      </c>
      <c r="X94" s="24">
        <v>85</v>
      </c>
      <c r="Y94" s="24">
        <v>63</v>
      </c>
    </row>
    <row r="95" spans="1:25" x14ac:dyDescent="0.2">
      <c r="A95" s="1" t="s">
        <v>355</v>
      </c>
      <c r="B95" s="1" t="s">
        <v>356</v>
      </c>
      <c r="C95" s="1" t="s">
        <v>357</v>
      </c>
      <c r="D95" s="1" t="s">
        <v>358</v>
      </c>
      <c r="E95" s="22">
        <v>20</v>
      </c>
      <c r="F95" s="22">
        <v>1</v>
      </c>
      <c r="G95" s="21">
        <v>16</v>
      </c>
      <c r="H95" s="23">
        <v>9.92</v>
      </c>
      <c r="I95" s="24">
        <v>20</v>
      </c>
      <c r="J95" s="21">
        <v>468</v>
      </c>
      <c r="K95" s="24" t="s">
        <v>23</v>
      </c>
      <c r="L95" s="24" t="s">
        <v>1000</v>
      </c>
      <c r="M95" s="25">
        <v>30</v>
      </c>
      <c r="N95" s="26">
        <f t="shared" si="1"/>
        <v>297.60000000000002</v>
      </c>
      <c r="O95" s="26"/>
      <c r="P95" s="68" t="s">
        <v>1027</v>
      </c>
      <c r="Q95" s="76">
        <v>46143</v>
      </c>
      <c r="R95" s="68" t="s">
        <v>1027</v>
      </c>
      <c r="S95" s="68" t="s">
        <v>1030</v>
      </c>
      <c r="T95" s="68" t="s">
        <v>1027</v>
      </c>
      <c r="U95" s="29" t="s">
        <v>289</v>
      </c>
      <c r="V95" s="29"/>
      <c r="X95" s="24">
        <v>516</v>
      </c>
      <c r="Y95" s="24">
        <v>356</v>
      </c>
    </row>
    <row r="96" spans="1:25" x14ac:dyDescent="0.2">
      <c r="A96" s="1" t="s">
        <v>359</v>
      </c>
      <c r="B96" s="1" t="s">
        <v>360</v>
      </c>
      <c r="C96" s="1" t="s">
        <v>361</v>
      </c>
      <c r="D96" s="1" t="s">
        <v>341</v>
      </c>
      <c r="E96" s="22">
        <v>10</v>
      </c>
      <c r="F96" s="22">
        <v>1</v>
      </c>
      <c r="G96" s="21">
        <v>17</v>
      </c>
      <c r="H96" s="23">
        <v>11.83</v>
      </c>
      <c r="I96" s="24">
        <v>10</v>
      </c>
      <c r="J96" s="21">
        <v>68</v>
      </c>
      <c r="K96" s="24" t="s">
        <v>23</v>
      </c>
      <c r="L96" s="24" t="s">
        <v>1000</v>
      </c>
      <c r="M96" s="25">
        <v>25</v>
      </c>
      <c r="N96" s="26">
        <f t="shared" si="1"/>
        <v>295.75</v>
      </c>
      <c r="O96" s="26"/>
      <c r="P96" s="68" t="s">
        <v>1027</v>
      </c>
      <c r="Q96" s="76">
        <v>46143</v>
      </c>
      <c r="R96" s="68" t="s">
        <v>1027</v>
      </c>
      <c r="S96" s="68" t="s">
        <v>1032</v>
      </c>
      <c r="T96" s="68" t="s">
        <v>1027</v>
      </c>
      <c r="U96" s="29" t="s">
        <v>289</v>
      </c>
      <c r="V96" s="29"/>
      <c r="X96" s="24">
        <v>0</v>
      </c>
      <c r="Y96" s="24">
        <v>0</v>
      </c>
    </row>
    <row r="97" spans="1:25" x14ac:dyDescent="0.2">
      <c r="A97" s="1" t="s">
        <v>362</v>
      </c>
      <c r="B97" s="1" t="s">
        <v>363</v>
      </c>
      <c r="C97" s="1" t="s">
        <v>364</v>
      </c>
      <c r="D97" s="1" t="s">
        <v>106</v>
      </c>
      <c r="E97" s="22">
        <v>10</v>
      </c>
      <c r="F97" s="22">
        <v>2000</v>
      </c>
      <c r="G97" s="21">
        <v>7</v>
      </c>
      <c r="H97" s="23">
        <v>14.779199999999999</v>
      </c>
      <c r="I97" s="24">
        <v>2000</v>
      </c>
      <c r="J97" s="21">
        <v>2472</v>
      </c>
      <c r="K97" s="24" t="s">
        <v>107</v>
      </c>
      <c r="L97" s="24" t="s">
        <v>1000</v>
      </c>
      <c r="M97" s="25">
        <v>20</v>
      </c>
      <c r="N97" s="26">
        <f t="shared" si="1"/>
        <v>295.584</v>
      </c>
      <c r="O97" s="26"/>
      <c r="P97" s="68" t="s">
        <v>1048</v>
      </c>
      <c r="Q97" s="76"/>
      <c r="R97" s="68"/>
      <c r="S97" s="68"/>
      <c r="T97" s="68"/>
      <c r="U97" s="29" t="s">
        <v>289</v>
      </c>
      <c r="V97" s="29"/>
      <c r="X97" s="24">
        <v>316</v>
      </c>
      <c r="Y97" s="24">
        <v>6</v>
      </c>
    </row>
    <row r="98" spans="1:25" x14ac:dyDescent="0.2">
      <c r="A98" s="1" t="s">
        <v>365</v>
      </c>
      <c r="B98" s="1" t="s">
        <v>366</v>
      </c>
      <c r="C98" s="1" t="s">
        <v>367</v>
      </c>
      <c r="D98" s="1" t="s">
        <v>111</v>
      </c>
      <c r="E98" s="22">
        <v>20</v>
      </c>
      <c r="F98" s="22">
        <v>1</v>
      </c>
      <c r="G98" s="21">
        <v>24</v>
      </c>
      <c r="H98" s="23">
        <v>11.798</v>
      </c>
      <c r="I98" s="24">
        <v>20</v>
      </c>
      <c r="J98" s="21">
        <v>208</v>
      </c>
      <c r="K98" s="24" t="s">
        <v>23</v>
      </c>
      <c r="L98" s="24" t="s">
        <v>1000</v>
      </c>
      <c r="M98" s="25">
        <v>25</v>
      </c>
      <c r="N98" s="26">
        <f t="shared" si="1"/>
        <v>294.95</v>
      </c>
      <c r="O98" s="26"/>
      <c r="P98" s="68" t="s">
        <v>1048</v>
      </c>
      <c r="Q98" s="76"/>
      <c r="R98" s="68"/>
      <c r="S98" s="68"/>
      <c r="T98" s="68"/>
      <c r="U98" s="29" t="s">
        <v>289</v>
      </c>
      <c r="V98" s="29"/>
      <c r="X98" s="24">
        <v>174</v>
      </c>
      <c r="Y98" s="24">
        <v>0</v>
      </c>
    </row>
    <row r="99" spans="1:25" x14ac:dyDescent="0.2">
      <c r="A99" s="1" t="s">
        <v>368</v>
      </c>
      <c r="B99" s="1" t="s">
        <v>369</v>
      </c>
      <c r="C99" s="1" t="s">
        <v>370</v>
      </c>
      <c r="D99" s="1" t="s">
        <v>32</v>
      </c>
      <c r="E99" s="22">
        <v>10</v>
      </c>
      <c r="F99" s="22">
        <v>1</v>
      </c>
      <c r="G99" s="21">
        <v>7</v>
      </c>
      <c r="H99" s="23">
        <v>3.9310999999999998</v>
      </c>
      <c r="I99" s="24">
        <v>10</v>
      </c>
      <c r="J99" s="21">
        <v>4897</v>
      </c>
      <c r="K99" s="24" t="s">
        <v>23</v>
      </c>
      <c r="L99" s="24" t="s">
        <v>1000</v>
      </c>
      <c r="M99" s="25">
        <v>75</v>
      </c>
      <c r="N99" s="26">
        <f t="shared" si="1"/>
        <v>294.83249999999998</v>
      </c>
      <c r="O99" s="26"/>
      <c r="P99" s="68" t="s">
        <v>1027</v>
      </c>
      <c r="Q99" s="76">
        <v>46143</v>
      </c>
      <c r="R99" s="68" t="s">
        <v>1027</v>
      </c>
      <c r="S99" s="68" t="s">
        <v>1030</v>
      </c>
      <c r="T99" s="68" t="s">
        <v>1027</v>
      </c>
      <c r="U99" s="29" t="s">
        <v>289</v>
      </c>
      <c r="V99" s="29"/>
      <c r="X99" s="24">
        <v>15</v>
      </c>
      <c r="Y99" s="24">
        <v>0</v>
      </c>
    </row>
    <row r="100" spans="1:25" x14ac:dyDescent="0.2">
      <c r="A100" s="1" t="s">
        <v>371</v>
      </c>
      <c r="B100" s="1" t="s">
        <v>372</v>
      </c>
      <c r="C100" s="1" t="s">
        <v>373</v>
      </c>
      <c r="D100" s="1" t="s">
        <v>374</v>
      </c>
      <c r="E100" s="22">
        <v>70</v>
      </c>
      <c r="F100" s="22">
        <v>2000</v>
      </c>
      <c r="G100" s="21">
        <v>17</v>
      </c>
      <c r="H100" s="23">
        <v>0.1472</v>
      </c>
      <c r="I100" s="24">
        <v>70</v>
      </c>
      <c r="J100" s="21">
        <v>8459</v>
      </c>
      <c r="K100" s="24" t="s">
        <v>23</v>
      </c>
      <c r="L100" s="24" t="s">
        <v>1000</v>
      </c>
      <c r="M100" s="25">
        <v>2000</v>
      </c>
      <c r="N100" s="26">
        <f t="shared" si="1"/>
        <v>294.39999999999998</v>
      </c>
      <c r="O100" s="26"/>
      <c r="P100" s="68" t="s">
        <v>1027</v>
      </c>
      <c r="Q100" s="76">
        <v>46143</v>
      </c>
      <c r="R100" s="68" t="s">
        <v>1027</v>
      </c>
      <c r="S100" s="68" t="s">
        <v>1030</v>
      </c>
      <c r="T100" s="68" t="s">
        <v>1027</v>
      </c>
      <c r="U100" s="29" t="s">
        <v>289</v>
      </c>
      <c r="V100" s="29"/>
      <c r="X100" s="24">
        <v>210</v>
      </c>
      <c r="Y100" s="24">
        <v>0</v>
      </c>
    </row>
    <row r="101" spans="1:25" x14ac:dyDescent="0.2">
      <c r="A101" s="1" t="s">
        <v>375</v>
      </c>
      <c r="B101" s="1" t="s">
        <v>376</v>
      </c>
      <c r="C101" s="1" t="s">
        <v>377</v>
      </c>
      <c r="D101" s="1" t="s">
        <v>32</v>
      </c>
      <c r="E101" s="22">
        <v>10</v>
      </c>
      <c r="F101" s="22">
        <v>1</v>
      </c>
      <c r="G101" s="21">
        <v>8</v>
      </c>
      <c r="H101" s="23">
        <v>1.9616</v>
      </c>
      <c r="I101" s="24">
        <v>10</v>
      </c>
      <c r="J101" s="21">
        <v>6653</v>
      </c>
      <c r="K101" s="24" t="s">
        <v>23</v>
      </c>
      <c r="L101" s="24" t="s">
        <v>1000</v>
      </c>
      <c r="M101" s="25">
        <v>150</v>
      </c>
      <c r="N101" s="26">
        <f t="shared" si="1"/>
        <v>294.24</v>
      </c>
      <c r="O101" s="26"/>
      <c r="P101" s="68" t="s">
        <v>1027</v>
      </c>
      <c r="Q101" s="76">
        <v>46143</v>
      </c>
      <c r="R101" s="68" t="s">
        <v>1027</v>
      </c>
      <c r="S101" s="68" t="s">
        <v>1030</v>
      </c>
      <c r="T101" s="68" t="s">
        <v>1027</v>
      </c>
      <c r="U101" s="29" t="s">
        <v>289</v>
      </c>
      <c r="V101" s="29"/>
      <c r="X101" s="24">
        <v>10</v>
      </c>
      <c r="Y101" s="24">
        <v>0</v>
      </c>
    </row>
    <row r="102" spans="1:25" x14ac:dyDescent="0.2">
      <c r="A102" s="1" t="s">
        <v>378</v>
      </c>
      <c r="B102" s="1" t="s">
        <v>379</v>
      </c>
      <c r="C102" s="1" t="s">
        <v>380</v>
      </c>
      <c r="D102" s="1" t="s">
        <v>311</v>
      </c>
      <c r="E102" s="22">
        <v>10</v>
      </c>
      <c r="F102" s="22">
        <v>1</v>
      </c>
      <c r="G102" s="21">
        <v>20</v>
      </c>
      <c r="H102" s="23">
        <v>19.532</v>
      </c>
      <c r="I102" s="24">
        <v>10</v>
      </c>
      <c r="J102" s="21">
        <v>5213</v>
      </c>
      <c r="K102" s="24" t="s">
        <v>23</v>
      </c>
      <c r="L102" s="24" t="s">
        <v>1000</v>
      </c>
      <c r="M102" s="25">
        <v>15</v>
      </c>
      <c r="N102" s="26">
        <f t="shared" si="1"/>
        <v>292.98</v>
      </c>
      <c r="O102" s="26"/>
      <c r="P102" s="68" t="s">
        <v>1027</v>
      </c>
      <c r="Q102" s="76">
        <v>46143</v>
      </c>
      <c r="R102" s="68" t="s">
        <v>1027</v>
      </c>
      <c r="S102" s="68" t="s">
        <v>1035</v>
      </c>
      <c r="T102" s="68" t="s">
        <v>1048</v>
      </c>
      <c r="U102" s="29" t="s">
        <v>289</v>
      </c>
      <c r="V102" s="29"/>
      <c r="X102" s="24">
        <v>10</v>
      </c>
      <c r="Y102" s="24">
        <v>2</v>
      </c>
    </row>
    <row r="103" spans="1:25" x14ac:dyDescent="0.2">
      <c r="A103" s="1" t="s">
        <v>381</v>
      </c>
      <c r="B103" s="1" t="s">
        <v>382</v>
      </c>
      <c r="C103" s="1" t="s">
        <v>383</v>
      </c>
      <c r="D103" s="1" t="s">
        <v>358</v>
      </c>
      <c r="E103" s="22">
        <v>20</v>
      </c>
      <c r="F103" s="22">
        <v>1</v>
      </c>
      <c r="G103" s="21">
        <v>20</v>
      </c>
      <c r="H103" s="23">
        <v>14.6318</v>
      </c>
      <c r="I103" s="24">
        <v>20</v>
      </c>
      <c r="J103" s="21">
        <v>5862</v>
      </c>
      <c r="K103" s="24" t="s">
        <v>23</v>
      </c>
      <c r="L103" s="24" t="s">
        <v>1000</v>
      </c>
      <c r="M103" s="21">
        <v>20</v>
      </c>
      <c r="N103" s="26">
        <f t="shared" si="1"/>
        <v>292.63600000000002</v>
      </c>
      <c r="O103" s="26"/>
      <c r="P103" s="68" t="s">
        <v>1027</v>
      </c>
      <c r="Q103" s="76">
        <v>46143</v>
      </c>
      <c r="R103" s="68" t="s">
        <v>1027</v>
      </c>
      <c r="S103" s="68" t="s">
        <v>1032</v>
      </c>
      <c r="T103" s="68" t="s">
        <v>1027</v>
      </c>
      <c r="X103" s="24">
        <v>516</v>
      </c>
      <c r="Y103" s="24">
        <v>356</v>
      </c>
    </row>
    <row r="104" spans="1:25" x14ac:dyDescent="0.2">
      <c r="A104" s="1" t="s">
        <v>384</v>
      </c>
      <c r="B104" s="1" t="s">
        <v>385</v>
      </c>
      <c r="C104" s="1" t="s">
        <v>386</v>
      </c>
      <c r="D104" s="1" t="s">
        <v>387</v>
      </c>
      <c r="E104" s="22">
        <v>10</v>
      </c>
      <c r="F104" s="22">
        <v>1</v>
      </c>
      <c r="G104" s="21">
        <v>14</v>
      </c>
      <c r="H104" s="23">
        <v>1.6598999999999999</v>
      </c>
      <c r="I104" s="24">
        <v>10</v>
      </c>
      <c r="J104" s="21">
        <v>6413</v>
      </c>
      <c r="K104" s="24" t="s">
        <v>23</v>
      </c>
      <c r="L104" s="24" t="s">
        <v>1000</v>
      </c>
      <c r="M104" s="25">
        <v>175</v>
      </c>
      <c r="N104" s="26">
        <f t="shared" si="1"/>
        <v>290.48250000000002</v>
      </c>
      <c r="O104" s="26"/>
      <c r="P104" s="68" t="s">
        <v>1027</v>
      </c>
      <c r="Q104" s="76">
        <v>46143</v>
      </c>
      <c r="R104" s="68" t="s">
        <v>1027</v>
      </c>
      <c r="S104" s="68" t="s">
        <v>1046</v>
      </c>
      <c r="T104" s="68" t="s">
        <v>1027</v>
      </c>
      <c r="U104" s="29" t="s">
        <v>289</v>
      </c>
      <c r="V104" s="29"/>
      <c r="X104" s="24">
        <v>8</v>
      </c>
      <c r="Y104" s="24">
        <v>8</v>
      </c>
    </row>
    <row r="105" spans="1:25" x14ac:dyDescent="0.2">
      <c r="A105" s="1" t="s">
        <v>388</v>
      </c>
      <c r="B105" s="1" t="s">
        <v>389</v>
      </c>
      <c r="C105" s="1" t="s">
        <v>390</v>
      </c>
      <c r="D105" s="1" t="s">
        <v>32</v>
      </c>
      <c r="E105" s="22">
        <v>20</v>
      </c>
      <c r="F105" s="22">
        <v>200</v>
      </c>
      <c r="G105" s="21">
        <v>10</v>
      </c>
      <c r="H105" s="23">
        <v>2.8997999999999999</v>
      </c>
      <c r="I105" s="24">
        <v>20</v>
      </c>
      <c r="J105" s="21">
        <v>3065</v>
      </c>
      <c r="K105" s="24" t="s">
        <v>23</v>
      </c>
      <c r="L105" s="24" t="s">
        <v>1000</v>
      </c>
      <c r="M105" s="25">
        <v>100</v>
      </c>
      <c r="N105" s="26">
        <f t="shared" si="1"/>
        <v>289.98</v>
      </c>
      <c r="O105" s="26"/>
      <c r="P105" s="68" t="s">
        <v>1027</v>
      </c>
      <c r="Q105" s="76">
        <v>46143</v>
      </c>
      <c r="R105" s="68" t="s">
        <v>1027</v>
      </c>
      <c r="S105" s="68" t="s">
        <v>1031</v>
      </c>
      <c r="T105" s="68" t="s">
        <v>1027</v>
      </c>
      <c r="U105" s="29" t="s">
        <v>289</v>
      </c>
      <c r="V105" s="29"/>
      <c r="X105" s="24">
        <v>20</v>
      </c>
      <c r="Y105" s="24">
        <v>4</v>
      </c>
    </row>
    <row r="106" spans="1:25" x14ac:dyDescent="0.2">
      <c r="A106" s="1" t="s">
        <v>391</v>
      </c>
      <c r="B106" s="1" t="s">
        <v>392</v>
      </c>
      <c r="C106" s="1" t="s">
        <v>393</v>
      </c>
      <c r="D106" s="1" t="s">
        <v>102</v>
      </c>
      <c r="E106" s="22">
        <v>40</v>
      </c>
      <c r="F106" s="22">
        <v>1</v>
      </c>
      <c r="G106" s="21">
        <v>25</v>
      </c>
      <c r="H106" s="23">
        <v>1.1535</v>
      </c>
      <c r="I106" s="24">
        <v>40</v>
      </c>
      <c r="J106" s="21">
        <v>7622</v>
      </c>
      <c r="K106" s="24" t="s">
        <v>23</v>
      </c>
      <c r="L106" s="24" t="s">
        <v>1000</v>
      </c>
      <c r="M106" s="25">
        <v>250</v>
      </c>
      <c r="N106" s="26">
        <f t="shared" si="1"/>
        <v>288.375</v>
      </c>
      <c r="O106" s="26"/>
      <c r="P106" s="68" t="s">
        <v>1027</v>
      </c>
      <c r="Q106" s="76">
        <v>46143</v>
      </c>
      <c r="R106" s="68" t="s">
        <v>1027</v>
      </c>
      <c r="S106" s="68" t="s">
        <v>1045</v>
      </c>
      <c r="T106" s="68" t="s">
        <v>1027</v>
      </c>
      <c r="U106" s="29" t="s">
        <v>289</v>
      </c>
      <c r="V106" s="29"/>
      <c r="X106" s="24">
        <v>24</v>
      </c>
      <c r="Y106" s="24">
        <v>24</v>
      </c>
    </row>
    <row r="107" spans="1:25" x14ac:dyDescent="0.2">
      <c r="A107" s="1" t="s">
        <v>394</v>
      </c>
      <c r="B107" s="1" t="s">
        <v>395</v>
      </c>
      <c r="C107" s="1" t="s">
        <v>396</v>
      </c>
      <c r="D107" s="1" t="s">
        <v>397</v>
      </c>
      <c r="E107" s="22">
        <v>85</v>
      </c>
      <c r="F107" s="22">
        <v>1</v>
      </c>
      <c r="G107" s="21">
        <v>15</v>
      </c>
      <c r="H107" s="23">
        <v>3.3820000000000001</v>
      </c>
      <c r="I107" s="24">
        <v>85</v>
      </c>
      <c r="J107" s="21">
        <v>5664</v>
      </c>
      <c r="K107" s="24" t="s">
        <v>23</v>
      </c>
      <c r="L107" s="24" t="s">
        <v>1000</v>
      </c>
      <c r="M107" s="21">
        <v>85</v>
      </c>
      <c r="N107" s="26">
        <f t="shared" si="1"/>
        <v>287.47000000000003</v>
      </c>
      <c r="O107" s="26"/>
      <c r="P107" s="68" t="s">
        <v>1027</v>
      </c>
      <c r="Q107" s="76">
        <v>46218</v>
      </c>
      <c r="R107" s="68" t="s">
        <v>1027</v>
      </c>
      <c r="S107" s="68" t="s">
        <v>1032</v>
      </c>
      <c r="T107" s="68" t="s">
        <v>1027</v>
      </c>
      <c r="X107" s="24">
        <v>477</v>
      </c>
      <c r="Y107" s="24">
        <v>99</v>
      </c>
    </row>
    <row r="108" spans="1:25" x14ac:dyDescent="0.2">
      <c r="A108" s="1" t="s">
        <v>398</v>
      </c>
      <c r="B108" s="1" t="s">
        <v>399</v>
      </c>
      <c r="C108" s="1" t="s">
        <v>400</v>
      </c>
      <c r="D108" s="1" t="s">
        <v>94</v>
      </c>
      <c r="E108" s="22">
        <v>10</v>
      </c>
      <c r="F108" s="22">
        <v>300</v>
      </c>
      <c r="G108" s="21">
        <v>5</v>
      </c>
      <c r="H108" s="23">
        <v>3.8</v>
      </c>
      <c r="I108" s="24">
        <v>0</v>
      </c>
      <c r="J108" s="21">
        <v>7284</v>
      </c>
      <c r="K108" s="24" t="s">
        <v>23</v>
      </c>
      <c r="L108" s="24" t="s">
        <v>1000</v>
      </c>
      <c r="M108" s="25">
        <v>75</v>
      </c>
      <c r="N108" s="26">
        <f t="shared" si="1"/>
        <v>285</v>
      </c>
      <c r="O108" s="26"/>
      <c r="P108" s="68" t="s">
        <v>1048</v>
      </c>
      <c r="Q108" s="76"/>
      <c r="R108" s="68"/>
      <c r="S108" s="68"/>
      <c r="T108" s="68"/>
      <c r="U108" s="29" t="s">
        <v>289</v>
      </c>
      <c r="V108" s="29"/>
      <c r="X108" s="24">
        <v>516</v>
      </c>
      <c r="Y108" s="24">
        <v>356</v>
      </c>
    </row>
    <row r="109" spans="1:25" ht="13.5" customHeight="1" x14ac:dyDescent="0.2">
      <c r="A109" s="1" t="s">
        <v>401</v>
      </c>
      <c r="B109" s="1" t="s">
        <v>402</v>
      </c>
      <c r="C109" s="1" t="s">
        <v>403</v>
      </c>
      <c r="D109" s="1" t="s">
        <v>94</v>
      </c>
      <c r="E109" s="22">
        <v>10</v>
      </c>
      <c r="F109" s="22">
        <v>180</v>
      </c>
      <c r="G109" s="21">
        <v>16</v>
      </c>
      <c r="H109" s="23">
        <v>11.396000000000001</v>
      </c>
      <c r="I109" s="24">
        <v>10</v>
      </c>
      <c r="J109" s="21">
        <v>2169</v>
      </c>
      <c r="K109" s="24" t="s">
        <v>23</v>
      </c>
      <c r="L109" s="24" t="s">
        <v>1000</v>
      </c>
      <c r="M109" s="25">
        <v>25</v>
      </c>
      <c r="N109" s="26">
        <f t="shared" si="1"/>
        <v>284.90000000000003</v>
      </c>
      <c r="O109" s="26"/>
      <c r="P109" s="68" t="s">
        <v>1027</v>
      </c>
      <c r="Q109" s="76">
        <v>46143</v>
      </c>
      <c r="R109" s="68" t="s">
        <v>1027</v>
      </c>
      <c r="S109" s="68" t="s">
        <v>1030</v>
      </c>
      <c r="T109" s="68" t="s">
        <v>1027</v>
      </c>
      <c r="U109" s="29" t="s">
        <v>289</v>
      </c>
      <c r="V109" s="29"/>
      <c r="X109" s="24">
        <v>3</v>
      </c>
      <c r="Y109" s="24">
        <v>3</v>
      </c>
    </row>
    <row r="110" spans="1:25" x14ac:dyDescent="0.2">
      <c r="A110" s="1" t="s">
        <v>404</v>
      </c>
      <c r="B110" s="1" t="s">
        <v>405</v>
      </c>
      <c r="C110" s="1" t="s">
        <v>406</v>
      </c>
      <c r="D110" s="1" t="s">
        <v>276</v>
      </c>
      <c r="E110" s="22">
        <v>20</v>
      </c>
      <c r="F110" s="22">
        <v>5000</v>
      </c>
      <c r="G110" s="21">
        <v>17</v>
      </c>
      <c r="H110" s="23">
        <v>0.81399999999999995</v>
      </c>
      <c r="I110" s="24">
        <v>20</v>
      </c>
      <c r="J110" s="21">
        <v>0</v>
      </c>
      <c r="K110" s="24" t="s">
        <v>23</v>
      </c>
      <c r="L110" s="24" t="s">
        <v>1000</v>
      </c>
      <c r="M110" s="25">
        <v>350</v>
      </c>
      <c r="N110" s="26">
        <f t="shared" si="1"/>
        <v>284.89999999999998</v>
      </c>
      <c r="O110" s="26"/>
      <c r="P110" s="68" t="s">
        <v>1048</v>
      </c>
      <c r="Q110" s="76"/>
      <c r="R110" s="68"/>
      <c r="S110" s="68"/>
      <c r="T110" s="68"/>
      <c r="U110" s="29" t="s">
        <v>289</v>
      </c>
      <c r="V110" s="29"/>
      <c r="X110" s="24">
        <v>30</v>
      </c>
      <c r="Y110" s="24">
        <v>16</v>
      </c>
    </row>
    <row r="111" spans="1:25" x14ac:dyDescent="0.2">
      <c r="A111" s="1" t="s">
        <v>407</v>
      </c>
      <c r="B111" s="1" t="s">
        <v>408</v>
      </c>
      <c r="C111" s="1" t="s">
        <v>409</v>
      </c>
      <c r="D111" s="1" t="s">
        <v>76</v>
      </c>
      <c r="E111" s="22">
        <v>10</v>
      </c>
      <c r="F111" s="22">
        <v>1</v>
      </c>
      <c r="G111" s="21">
        <v>6</v>
      </c>
      <c r="H111" s="23">
        <v>7.08</v>
      </c>
      <c r="I111" s="24">
        <v>10</v>
      </c>
      <c r="J111" s="21">
        <v>551</v>
      </c>
      <c r="K111" s="24" t="s">
        <v>23</v>
      </c>
      <c r="L111" s="24" t="s">
        <v>1000</v>
      </c>
      <c r="M111" s="25">
        <v>40</v>
      </c>
      <c r="N111" s="26">
        <f t="shared" si="1"/>
        <v>283.2</v>
      </c>
      <c r="O111" s="26"/>
      <c r="P111" s="68" t="s">
        <v>1027</v>
      </c>
      <c r="Q111" s="76">
        <v>46143</v>
      </c>
      <c r="R111" s="68" t="s">
        <v>1027</v>
      </c>
      <c r="S111" s="68" t="s">
        <v>1029</v>
      </c>
      <c r="T111" s="68" t="s">
        <v>1027</v>
      </c>
      <c r="U111" s="29" t="s">
        <v>289</v>
      </c>
      <c r="V111" s="29"/>
      <c r="X111" s="24">
        <v>19</v>
      </c>
      <c r="Y111" s="24">
        <v>0</v>
      </c>
    </row>
    <row r="112" spans="1:25" x14ac:dyDescent="0.2">
      <c r="A112" s="27" t="s">
        <v>410</v>
      </c>
      <c r="B112" s="27" t="s">
        <v>411</v>
      </c>
      <c r="C112" s="28" t="s">
        <v>412</v>
      </c>
      <c r="D112" s="28" t="s">
        <v>111</v>
      </c>
      <c r="E112" s="22">
        <v>20</v>
      </c>
      <c r="F112" s="22">
        <v>1</v>
      </c>
      <c r="G112" s="21">
        <v>20</v>
      </c>
      <c r="H112" s="23">
        <v>14.11</v>
      </c>
      <c r="I112" s="24">
        <v>20</v>
      </c>
      <c r="J112" s="21">
        <v>1086</v>
      </c>
      <c r="K112" s="24" t="s">
        <v>23</v>
      </c>
      <c r="L112" s="24" t="s">
        <v>1000</v>
      </c>
      <c r="M112" s="21">
        <v>20</v>
      </c>
      <c r="N112" s="26">
        <f t="shared" si="1"/>
        <v>282.2</v>
      </c>
      <c r="O112" s="26"/>
      <c r="P112" s="68" t="s">
        <v>1027</v>
      </c>
      <c r="Q112" s="76">
        <v>46143</v>
      </c>
      <c r="R112" s="68" t="s">
        <v>1027</v>
      </c>
      <c r="S112" s="68" t="s">
        <v>1035</v>
      </c>
      <c r="T112" s="68" t="s">
        <v>1048</v>
      </c>
      <c r="U112" s="27"/>
      <c r="V112" s="27"/>
      <c r="X112" s="24">
        <v>24</v>
      </c>
      <c r="Y112" s="24">
        <v>1</v>
      </c>
    </row>
    <row r="113" spans="1:25" x14ac:dyDescent="0.2">
      <c r="A113" s="1" t="s">
        <v>413</v>
      </c>
      <c r="B113" s="1" t="s">
        <v>414</v>
      </c>
      <c r="C113" s="1" t="s">
        <v>415</v>
      </c>
      <c r="D113" s="1" t="s">
        <v>311</v>
      </c>
      <c r="E113" s="22">
        <v>10</v>
      </c>
      <c r="F113" s="22">
        <v>1</v>
      </c>
      <c r="G113" s="21">
        <v>20</v>
      </c>
      <c r="H113" s="23">
        <v>11.2578</v>
      </c>
      <c r="I113" s="24">
        <v>10</v>
      </c>
      <c r="J113" s="21">
        <v>716</v>
      </c>
      <c r="K113" s="24" t="s">
        <v>23</v>
      </c>
      <c r="L113" s="24" t="s">
        <v>1000</v>
      </c>
      <c r="M113" s="25">
        <v>25</v>
      </c>
      <c r="N113" s="26">
        <f t="shared" si="1"/>
        <v>281.44499999999999</v>
      </c>
      <c r="O113" s="26"/>
      <c r="P113" s="68" t="s">
        <v>1027</v>
      </c>
      <c r="Q113" s="76">
        <v>46143</v>
      </c>
      <c r="R113" s="68" t="s">
        <v>1027</v>
      </c>
      <c r="S113" s="68" t="s">
        <v>1035</v>
      </c>
      <c r="T113" s="68" t="s">
        <v>1048</v>
      </c>
      <c r="U113" s="29" t="s">
        <v>289</v>
      </c>
      <c r="V113" s="29"/>
      <c r="X113" s="24">
        <v>0</v>
      </c>
      <c r="Y113" s="24">
        <v>0</v>
      </c>
    </row>
    <row r="114" spans="1:25" ht="13.5" customHeight="1" x14ac:dyDescent="0.2">
      <c r="A114" s="1" t="s">
        <v>416</v>
      </c>
      <c r="B114" s="1" t="s">
        <v>417</v>
      </c>
      <c r="C114" s="1" t="s">
        <v>418</v>
      </c>
      <c r="D114" s="1" t="s">
        <v>374</v>
      </c>
      <c r="E114" s="22">
        <v>10</v>
      </c>
      <c r="F114" s="22">
        <v>1000</v>
      </c>
      <c r="G114" s="21">
        <v>24</v>
      </c>
      <c r="H114" s="23">
        <v>0.80379999999999996</v>
      </c>
      <c r="I114" s="24">
        <v>10</v>
      </c>
      <c r="J114" s="21">
        <v>3804</v>
      </c>
      <c r="K114" s="24" t="s">
        <v>23</v>
      </c>
      <c r="L114" s="24" t="s">
        <v>1000</v>
      </c>
      <c r="M114" s="25">
        <v>350</v>
      </c>
      <c r="N114" s="26">
        <f t="shared" si="1"/>
        <v>281.33</v>
      </c>
      <c r="O114" s="26"/>
      <c r="P114" s="68" t="s">
        <v>1027</v>
      </c>
      <c r="Q114" s="76">
        <v>46143</v>
      </c>
      <c r="R114" s="68" t="s">
        <v>1027</v>
      </c>
      <c r="S114" s="68" t="s">
        <v>1032</v>
      </c>
      <c r="T114" s="68" t="s">
        <v>1027</v>
      </c>
      <c r="U114" s="29" t="s">
        <v>289</v>
      </c>
      <c r="V114" s="29"/>
      <c r="X114" s="24">
        <v>0</v>
      </c>
      <c r="Y114" s="24">
        <v>0</v>
      </c>
    </row>
    <row r="115" spans="1:25" x14ac:dyDescent="0.2">
      <c r="A115" s="1" t="s">
        <v>419</v>
      </c>
      <c r="B115" s="1" t="s">
        <v>420</v>
      </c>
      <c r="C115" s="1" t="s">
        <v>421</v>
      </c>
      <c r="D115" s="1" t="s">
        <v>422</v>
      </c>
      <c r="E115" s="22">
        <v>45</v>
      </c>
      <c r="F115" s="22">
        <v>5000</v>
      </c>
      <c r="G115" s="21">
        <v>30</v>
      </c>
      <c r="H115" s="23">
        <v>2.2502</v>
      </c>
      <c r="I115" s="24">
        <v>45</v>
      </c>
      <c r="J115" s="21">
        <v>2570</v>
      </c>
      <c r="K115" s="24" t="s">
        <v>23</v>
      </c>
      <c r="L115" s="24" t="s">
        <v>1000</v>
      </c>
      <c r="M115" s="25">
        <v>125</v>
      </c>
      <c r="N115" s="26">
        <f t="shared" si="1"/>
        <v>281.27499999999998</v>
      </c>
      <c r="O115" s="26"/>
      <c r="P115" s="68" t="s">
        <v>1048</v>
      </c>
      <c r="Q115" s="76"/>
      <c r="R115" s="68"/>
      <c r="S115" s="68"/>
      <c r="T115" s="68"/>
      <c r="U115" s="29" t="s">
        <v>289</v>
      </c>
      <c r="V115" s="29"/>
      <c r="X115" s="24">
        <v>155</v>
      </c>
      <c r="Y115" s="24">
        <v>36</v>
      </c>
    </row>
    <row r="116" spans="1:25" x14ac:dyDescent="0.2">
      <c r="A116" s="1" t="s">
        <v>423</v>
      </c>
      <c r="B116" s="1" t="s">
        <v>424</v>
      </c>
      <c r="C116" s="1" t="s">
        <v>425</v>
      </c>
      <c r="D116" s="1" t="s">
        <v>41</v>
      </c>
      <c r="E116" s="22">
        <v>25</v>
      </c>
      <c r="F116" s="22">
        <v>50</v>
      </c>
      <c r="G116" s="21">
        <v>5</v>
      </c>
      <c r="H116" s="23">
        <v>5.62</v>
      </c>
      <c r="I116" s="24">
        <v>0</v>
      </c>
      <c r="J116" s="21">
        <v>126</v>
      </c>
      <c r="K116" s="24" t="s">
        <v>23</v>
      </c>
      <c r="L116" s="24" t="s">
        <v>1000</v>
      </c>
      <c r="M116" s="25">
        <v>50</v>
      </c>
      <c r="N116" s="26">
        <f t="shared" si="1"/>
        <v>281</v>
      </c>
      <c r="O116" s="26"/>
      <c r="P116" s="68" t="s">
        <v>1027</v>
      </c>
      <c r="Q116" s="76">
        <v>46157</v>
      </c>
      <c r="R116" s="68" t="s">
        <v>1027</v>
      </c>
      <c r="S116" s="68" t="s">
        <v>1036</v>
      </c>
      <c r="T116" s="68" t="s">
        <v>1027</v>
      </c>
      <c r="U116" s="29" t="s">
        <v>289</v>
      </c>
      <c r="V116" s="29"/>
      <c r="X116" s="24">
        <v>2</v>
      </c>
      <c r="Y116" s="24">
        <v>1</v>
      </c>
    </row>
    <row r="117" spans="1:25" x14ac:dyDescent="0.2">
      <c r="A117" s="1" t="s">
        <v>426</v>
      </c>
      <c r="B117" s="1" t="s">
        <v>427</v>
      </c>
      <c r="C117" s="1" t="s">
        <v>428</v>
      </c>
      <c r="D117" s="1" t="s">
        <v>429</v>
      </c>
      <c r="E117" s="22">
        <v>130</v>
      </c>
      <c r="F117" s="22">
        <v>1</v>
      </c>
      <c r="G117" s="21">
        <v>22</v>
      </c>
      <c r="H117" s="23">
        <v>2.1596000000000002</v>
      </c>
      <c r="I117" s="24">
        <v>130</v>
      </c>
      <c r="J117" s="21">
        <v>7824</v>
      </c>
      <c r="K117" s="24" t="s">
        <v>23</v>
      </c>
      <c r="L117" s="24" t="s">
        <v>1000</v>
      </c>
      <c r="M117" s="21">
        <v>130</v>
      </c>
      <c r="N117" s="26">
        <f t="shared" si="1"/>
        <v>280.74800000000005</v>
      </c>
      <c r="O117" s="26"/>
      <c r="P117" s="68" t="s">
        <v>1048</v>
      </c>
      <c r="Q117" s="76"/>
      <c r="R117" s="68"/>
      <c r="S117" s="68"/>
      <c r="T117" s="68"/>
      <c r="X117" s="24">
        <v>177</v>
      </c>
      <c r="Y117" s="24">
        <v>76</v>
      </c>
    </row>
    <row r="118" spans="1:25" x14ac:dyDescent="0.2">
      <c r="A118" s="1" t="s">
        <v>430</v>
      </c>
      <c r="B118" s="1" t="s">
        <v>431</v>
      </c>
      <c r="C118" s="1" t="s">
        <v>432</v>
      </c>
      <c r="D118" s="1" t="s">
        <v>433</v>
      </c>
      <c r="E118" s="22">
        <v>30</v>
      </c>
      <c r="F118" s="22">
        <v>4000</v>
      </c>
      <c r="G118" s="21">
        <v>0</v>
      </c>
      <c r="H118" s="23">
        <v>0.1598</v>
      </c>
      <c r="I118" s="24">
        <v>0</v>
      </c>
      <c r="J118" s="21" t="s">
        <v>116</v>
      </c>
      <c r="K118" s="24" t="s">
        <v>117</v>
      </c>
      <c r="L118" s="24" t="s">
        <v>1000</v>
      </c>
      <c r="M118" s="25">
        <v>1750</v>
      </c>
      <c r="N118" s="26">
        <f t="shared" si="1"/>
        <v>279.64999999999998</v>
      </c>
      <c r="O118" s="26"/>
      <c r="P118" s="68" t="s">
        <v>1048</v>
      </c>
      <c r="Q118" s="76"/>
      <c r="R118" s="68"/>
      <c r="S118" s="68"/>
      <c r="T118" s="68"/>
      <c r="X118" s="24">
        <v>164</v>
      </c>
      <c r="Y118" s="24">
        <v>38</v>
      </c>
    </row>
    <row r="119" spans="1:25" x14ac:dyDescent="0.2">
      <c r="A119" s="27" t="s">
        <v>434</v>
      </c>
      <c r="B119" s="27" t="s">
        <v>435</v>
      </c>
      <c r="C119" s="28" t="s">
        <v>436</v>
      </c>
      <c r="D119" s="28" t="s">
        <v>76</v>
      </c>
      <c r="E119" s="22">
        <v>10</v>
      </c>
      <c r="F119" s="22">
        <v>2500</v>
      </c>
      <c r="G119" s="21">
        <v>6</v>
      </c>
      <c r="H119" s="23">
        <v>5.59</v>
      </c>
      <c r="I119" s="24">
        <v>10</v>
      </c>
      <c r="J119" s="21">
        <v>2034</v>
      </c>
      <c r="K119" s="24" t="s">
        <v>23</v>
      </c>
      <c r="L119" s="24" t="s">
        <v>1000</v>
      </c>
      <c r="M119" s="25">
        <v>50</v>
      </c>
      <c r="N119" s="26">
        <f t="shared" si="1"/>
        <v>279.5</v>
      </c>
      <c r="O119" s="26"/>
      <c r="P119" s="68" t="s">
        <v>1027</v>
      </c>
      <c r="Q119" s="76">
        <v>46143</v>
      </c>
      <c r="R119" s="68" t="s">
        <v>1027</v>
      </c>
      <c r="S119" s="68" t="s">
        <v>1029</v>
      </c>
      <c r="T119" s="68" t="s">
        <v>1027</v>
      </c>
      <c r="U119" s="29" t="s">
        <v>289</v>
      </c>
      <c r="V119" s="29"/>
      <c r="X119" s="24">
        <v>314</v>
      </c>
      <c r="Y119" s="24">
        <v>6</v>
      </c>
    </row>
    <row r="120" spans="1:25" x14ac:dyDescent="0.2">
      <c r="A120" s="1" t="s">
        <v>437</v>
      </c>
      <c r="B120" s="1" t="s">
        <v>438</v>
      </c>
      <c r="C120" s="1" t="s">
        <v>439</v>
      </c>
      <c r="D120" s="1" t="s">
        <v>307</v>
      </c>
      <c r="E120" s="22">
        <v>20</v>
      </c>
      <c r="F120" s="22">
        <v>5000</v>
      </c>
      <c r="G120" s="21">
        <v>23</v>
      </c>
      <c r="H120" s="23">
        <v>0.223</v>
      </c>
      <c r="I120" s="24">
        <v>20</v>
      </c>
      <c r="J120" s="21">
        <v>2223</v>
      </c>
      <c r="K120" s="24" t="s">
        <v>23</v>
      </c>
      <c r="L120" s="24" t="s">
        <v>1000</v>
      </c>
      <c r="M120" s="25">
        <v>1250</v>
      </c>
      <c r="N120" s="26">
        <f t="shared" si="1"/>
        <v>278.75</v>
      </c>
      <c r="O120" s="26"/>
      <c r="P120" s="68" t="s">
        <v>1027</v>
      </c>
      <c r="Q120" s="76">
        <v>46143</v>
      </c>
      <c r="R120" s="68" t="s">
        <v>1027</v>
      </c>
      <c r="S120" s="68" t="s">
        <v>1033</v>
      </c>
      <c r="T120" s="68" t="s">
        <v>1027</v>
      </c>
      <c r="U120" s="29" t="s">
        <v>289</v>
      </c>
      <c r="V120" s="29"/>
      <c r="X120" s="24">
        <v>2</v>
      </c>
      <c r="Y120" s="24">
        <v>0</v>
      </c>
    </row>
    <row r="121" spans="1:25" x14ac:dyDescent="0.2">
      <c r="A121" s="1" t="s">
        <v>440</v>
      </c>
      <c r="B121" s="1" t="s">
        <v>441</v>
      </c>
      <c r="C121" s="1" t="s">
        <v>442</v>
      </c>
      <c r="D121" s="1" t="s">
        <v>443</v>
      </c>
      <c r="E121" s="22">
        <v>60</v>
      </c>
      <c r="F121" s="22">
        <v>1</v>
      </c>
      <c r="G121" s="21">
        <v>17</v>
      </c>
      <c r="H121" s="23">
        <v>0.79349999999999998</v>
      </c>
      <c r="I121" s="24">
        <v>60</v>
      </c>
      <c r="J121" s="21">
        <v>9399</v>
      </c>
      <c r="K121" s="24" t="s">
        <v>23</v>
      </c>
      <c r="L121" s="24" t="s">
        <v>1000</v>
      </c>
      <c r="M121" s="25">
        <v>350</v>
      </c>
      <c r="N121" s="26">
        <f t="shared" si="1"/>
        <v>277.72499999999997</v>
      </c>
      <c r="O121" s="26"/>
      <c r="P121" s="68" t="s">
        <v>1027</v>
      </c>
      <c r="Q121" s="76">
        <v>46143</v>
      </c>
      <c r="R121" s="68" t="s">
        <v>1027</v>
      </c>
      <c r="S121" s="68" t="s">
        <v>1030</v>
      </c>
      <c r="T121" s="68" t="s">
        <v>1027</v>
      </c>
      <c r="U121" s="29" t="s">
        <v>289</v>
      </c>
      <c r="V121" s="29"/>
      <c r="X121" s="24">
        <v>0</v>
      </c>
      <c r="Y121" s="24">
        <v>0</v>
      </c>
    </row>
    <row r="122" spans="1:25" x14ac:dyDescent="0.2">
      <c r="A122" s="1" t="s">
        <v>444</v>
      </c>
      <c r="B122" s="1" t="s">
        <v>445</v>
      </c>
      <c r="C122" s="1" t="s">
        <v>446</v>
      </c>
      <c r="D122" s="1" t="s">
        <v>102</v>
      </c>
      <c r="E122" s="22">
        <v>20</v>
      </c>
      <c r="F122" s="22">
        <v>1</v>
      </c>
      <c r="G122" s="21">
        <v>49</v>
      </c>
      <c r="H122" s="23">
        <v>3.9668000000000001</v>
      </c>
      <c r="I122" s="24">
        <v>20</v>
      </c>
      <c r="J122" s="21">
        <v>9188</v>
      </c>
      <c r="K122" s="24" t="s">
        <v>23</v>
      </c>
      <c r="L122" s="24" t="s">
        <v>1000</v>
      </c>
      <c r="M122" s="25">
        <v>70</v>
      </c>
      <c r="N122" s="26">
        <f t="shared" si="1"/>
        <v>277.67599999999999</v>
      </c>
      <c r="O122" s="26"/>
      <c r="P122" s="68" t="s">
        <v>1027</v>
      </c>
      <c r="Q122" s="76">
        <v>46143</v>
      </c>
      <c r="R122" s="68" t="s">
        <v>1027</v>
      </c>
      <c r="S122" s="68" t="s">
        <v>1030</v>
      </c>
      <c r="T122" s="68" t="s">
        <v>1027</v>
      </c>
      <c r="U122" s="29" t="s">
        <v>289</v>
      </c>
      <c r="V122" s="29"/>
      <c r="X122" s="24">
        <v>20</v>
      </c>
      <c r="Y122" s="24">
        <v>0</v>
      </c>
    </row>
    <row r="123" spans="1:25" x14ac:dyDescent="0.2">
      <c r="A123" s="1" t="s">
        <v>447</v>
      </c>
      <c r="B123" s="1" t="s">
        <v>448</v>
      </c>
      <c r="C123" s="1" t="s">
        <v>449</v>
      </c>
      <c r="D123" s="1" t="s">
        <v>90</v>
      </c>
      <c r="E123" s="22">
        <v>30</v>
      </c>
      <c r="F123" s="22">
        <v>2500</v>
      </c>
      <c r="G123" s="21">
        <v>19</v>
      </c>
      <c r="H123" s="23">
        <v>9.2415000000000003</v>
      </c>
      <c r="I123" s="24">
        <v>30</v>
      </c>
      <c r="J123" s="21">
        <v>1430</v>
      </c>
      <c r="K123" s="24" t="s">
        <v>23</v>
      </c>
      <c r="L123" s="24" t="s">
        <v>1000</v>
      </c>
      <c r="M123" s="21">
        <v>30</v>
      </c>
      <c r="N123" s="26">
        <f t="shared" si="1"/>
        <v>277.245</v>
      </c>
      <c r="O123" s="26"/>
      <c r="P123" s="68" t="s">
        <v>1048</v>
      </c>
      <c r="Q123" s="76"/>
      <c r="R123" s="68"/>
      <c r="S123" s="68"/>
      <c r="T123" s="68"/>
      <c r="X123" s="24">
        <v>159</v>
      </c>
      <c r="Y123" s="24">
        <v>33</v>
      </c>
    </row>
    <row r="124" spans="1:25" x14ac:dyDescent="0.2">
      <c r="A124" s="1" t="s">
        <v>450</v>
      </c>
      <c r="B124" s="1" t="s">
        <v>451</v>
      </c>
      <c r="C124" s="1" t="s">
        <v>452</v>
      </c>
      <c r="D124" s="1" t="s">
        <v>358</v>
      </c>
      <c r="E124" s="22">
        <v>20</v>
      </c>
      <c r="F124" s="22">
        <v>1</v>
      </c>
      <c r="G124" s="21">
        <v>17</v>
      </c>
      <c r="H124" s="23">
        <v>13.852</v>
      </c>
      <c r="I124" s="24">
        <v>20</v>
      </c>
      <c r="J124" s="21">
        <v>2828</v>
      </c>
      <c r="K124" s="24" t="s">
        <v>23</v>
      </c>
      <c r="L124" s="24" t="s">
        <v>1000</v>
      </c>
      <c r="M124" s="21">
        <v>20</v>
      </c>
      <c r="N124" s="26">
        <f t="shared" si="1"/>
        <v>277.04000000000002</v>
      </c>
      <c r="O124" s="26"/>
      <c r="P124" s="68" t="s">
        <v>1027</v>
      </c>
      <c r="Q124" s="76">
        <v>46143</v>
      </c>
      <c r="R124" s="68" t="s">
        <v>1027</v>
      </c>
      <c r="S124" s="68" t="s">
        <v>1032</v>
      </c>
      <c r="T124" s="68" t="s">
        <v>1027</v>
      </c>
      <c r="X124" s="24">
        <v>516</v>
      </c>
      <c r="Y124" s="24">
        <v>356</v>
      </c>
    </row>
    <row r="125" spans="1:25" x14ac:dyDescent="0.2">
      <c r="A125" s="27" t="s">
        <v>453</v>
      </c>
      <c r="B125" s="27" t="s">
        <v>454</v>
      </c>
      <c r="C125" s="28" t="s">
        <v>455</v>
      </c>
      <c r="D125" s="28" t="s">
        <v>387</v>
      </c>
      <c r="E125" s="22">
        <v>30</v>
      </c>
      <c r="F125" s="22">
        <v>1200</v>
      </c>
      <c r="G125" s="21">
        <v>15</v>
      </c>
      <c r="H125" s="23">
        <v>0.79</v>
      </c>
      <c r="I125" s="24">
        <v>30</v>
      </c>
      <c r="J125" s="21">
        <v>8708</v>
      </c>
      <c r="K125" s="24" t="s">
        <v>23</v>
      </c>
      <c r="L125" s="24" t="s">
        <v>1000</v>
      </c>
      <c r="M125" s="25">
        <v>350</v>
      </c>
      <c r="N125" s="26">
        <f t="shared" si="1"/>
        <v>276.5</v>
      </c>
      <c r="O125" s="26"/>
      <c r="P125" s="68" t="s">
        <v>1027</v>
      </c>
      <c r="Q125" s="76">
        <v>46143</v>
      </c>
      <c r="R125" s="68" t="s">
        <v>1027</v>
      </c>
      <c r="S125" s="68" t="s">
        <v>1030</v>
      </c>
      <c r="T125" s="68" t="s">
        <v>1027</v>
      </c>
      <c r="U125" s="29" t="s">
        <v>289</v>
      </c>
      <c r="V125" s="29"/>
      <c r="X125" s="24">
        <v>942</v>
      </c>
      <c r="Y125" s="24">
        <v>18</v>
      </c>
    </row>
    <row r="126" spans="1:25" x14ac:dyDescent="0.2">
      <c r="A126" s="1" t="s">
        <v>456</v>
      </c>
      <c r="B126" s="1" t="s">
        <v>457</v>
      </c>
      <c r="C126" s="1" t="s">
        <v>458</v>
      </c>
      <c r="D126" s="1" t="s">
        <v>459</v>
      </c>
      <c r="E126" s="22">
        <v>20</v>
      </c>
      <c r="F126" s="22">
        <v>1</v>
      </c>
      <c r="G126" s="21">
        <v>3</v>
      </c>
      <c r="H126" s="23">
        <v>0.55000000000000004</v>
      </c>
      <c r="I126" s="24">
        <v>0</v>
      </c>
      <c r="J126" s="21" t="s">
        <v>116</v>
      </c>
      <c r="K126" s="24" t="s">
        <v>117</v>
      </c>
      <c r="L126" s="24" t="s">
        <v>1000</v>
      </c>
      <c r="M126" s="25">
        <v>500</v>
      </c>
      <c r="N126" s="26">
        <f t="shared" si="1"/>
        <v>275</v>
      </c>
      <c r="O126" s="26"/>
      <c r="P126" s="68" t="s">
        <v>1048</v>
      </c>
      <c r="Q126" s="76"/>
      <c r="R126" s="68"/>
      <c r="S126" s="68"/>
      <c r="T126" s="68"/>
      <c r="V126" s="1" t="s">
        <v>1047</v>
      </c>
      <c r="X126" s="24">
        <v>29</v>
      </c>
      <c r="Y126" s="24">
        <v>8</v>
      </c>
    </row>
    <row r="127" spans="1:25" x14ac:dyDescent="0.2">
      <c r="A127" s="1" t="s">
        <v>460</v>
      </c>
      <c r="B127" s="1" t="s">
        <v>461</v>
      </c>
      <c r="C127" s="1" t="s">
        <v>462</v>
      </c>
      <c r="D127" s="1" t="s">
        <v>463</v>
      </c>
      <c r="E127" s="22">
        <v>10</v>
      </c>
      <c r="F127" s="22">
        <v>1</v>
      </c>
      <c r="G127" s="21">
        <v>24</v>
      </c>
      <c r="H127" s="23">
        <v>18.3095</v>
      </c>
      <c r="I127" s="24">
        <v>10</v>
      </c>
      <c r="J127" s="21">
        <v>4941</v>
      </c>
      <c r="K127" s="24" t="s">
        <v>23</v>
      </c>
      <c r="L127" s="24" t="s">
        <v>1000</v>
      </c>
      <c r="M127" s="25">
        <v>15</v>
      </c>
      <c r="N127" s="26">
        <f t="shared" si="1"/>
        <v>274.64249999999998</v>
      </c>
      <c r="O127" s="26"/>
      <c r="P127" s="68" t="s">
        <v>1027</v>
      </c>
      <c r="Q127" s="76">
        <v>46143</v>
      </c>
      <c r="R127" s="68" t="s">
        <v>1027</v>
      </c>
      <c r="S127" s="68" t="s">
        <v>1036</v>
      </c>
      <c r="T127" s="68" t="s">
        <v>1027</v>
      </c>
      <c r="U127" s="29" t="s">
        <v>289</v>
      </c>
      <c r="V127" s="29"/>
      <c r="X127" s="24">
        <v>28</v>
      </c>
      <c r="Y127" s="24">
        <v>3</v>
      </c>
    </row>
    <row r="128" spans="1:25" x14ac:dyDescent="0.2">
      <c r="A128" s="1" t="s">
        <v>464</v>
      </c>
      <c r="B128" s="1" t="s">
        <v>465</v>
      </c>
      <c r="C128" s="1" t="s">
        <v>466</v>
      </c>
      <c r="D128" s="1" t="s">
        <v>299</v>
      </c>
      <c r="E128" s="22">
        <v>10</v>
      </c>
      <c r="F128" s="22">
        <v>1</v>
      </c>
      <c r="G128" s="21">
        <v>26</v>
      </c>
      <c r="H128" s="23">
        <v>2.7320000000000002</v>
      </c>
      <c r="I128" s="24">
        <v>10</v>
      </c>
      <c r="J128" s="21">
        <v>1191</v>
      </c>
      <c r="K128" s="24" t="s">
        <v>23</v>
      </c>
      <c r="L128" s="24" t="s">
        <v>1000</v>
      </c>
      <c r="M128" s="25">
        <v>100</v>
      </c>
      <c r="N128" s="26">
        <f t="shared" si="1"/>
        <v>273.20000000000005</v>
      </c>
      <c r="O128" s="26"/>
      <c r="P128" s="68" t="s">
        <v>1027</v>
      </c>
      <c r="Q128" s="76">
        <v>46143</v>
      </c>
      <c r="R128" s="68" t="s">
        <v>1027</v>
      </c>
      <c r="S128" s="68" t="s">
        <v>1030</v>
      </c>
      <c r="T128" s="68" t="s">
        <v>1027</v>
      </c>
      <c r="U128" s="29" t="s">
        <v>289</v>
      </c>
      <c r="V128" s="29"/>
      <c r="X128" s="24">
        <v>10</v>
      </c>
      <c r="Y128" s="24">
        <v>0</v>
      </c>
    </row>
    <row r="129" spans="1:25" x14ac:dyDescent="0.2">
      <c r="A129" s="1" t="s">
        <v>467</v>
      </c>
      <c r="B129" s="1" t="s">
        <v>468</v>
      </c>
      <c r="C129" s="1" t="s">
        <v>469</v>
      </c>
      <c r="D129" s="1" t="s">
        <v>90</v>
      </c>
      <c r="E129" s="22">
        <v>10</v>
      </c>
      <c r="F129" s="22">
        <v>1</v>
      </c>
      <c r="G129" s="21">
        <v>24</v>
      </c>
      <c r="H129" s="23">
        <v>6.8188000000000004</v>
      </c>
      <c r="I129" s="24">
        <v>10</v>
      </c>
      <c r="J129" s="21">
        <v>118</v>
      </c>
      <c r="K129" s="24" t="s">
        <v>23</v>
      </c>
      <c r="L129" s="24" t="s">
        <v>1000</v>
      </c>
      <c r="M129" s="25">
        <v>40</v>
      </c>
      <c r="N129" s="26">
        <f t="shared" si="1"/>
        <v>272.75200000000001</v>
      </c>
      <c r="O129" s="26"/>
      <c r="P129" s="68" t="s">
        <v>1048</v>
      </c>
      <c r="Q129" s="76"/>
      <c r="R129" s="68"/>
      <c r="S129" s="68"/>
      <c r="T129" s="68"/>
      <c r="U129" s="29" t="s">
        <v>289</v>
      </c>
      <c r="V129" s="29"/>
      <c r="X129" s="24">
        <v>20</v>
      </c>
      <c r="Y129" s="24">
        <v>10</v>
      </c>
    </row>
    <row r="130" spans="1:25" x14ac:dyDescent="0.2">
      <c r="A130" s="1" t="s">
        <v>470</v>
      </c>
      <c r="B130" s="1" t="s">
        <v>471</v>
      </c>
      <c r="C130" s="1" t="s">
        <v>472</v>
      </c>
      <c r="D130" s="1" t="s">
        <v>473</v>
      </c>
      <c r="E130" s="22">
        <v>10</v>
      </c>
      <c r="F130" s="22">
        <v>1</v>
      </c>
      <c r="G130" s="21">
        <v>25</v>
      </c>
      <c r="H130" s="23">
        <v>0.49419999999999997</v>
      </c>
      <c r="I130" s="24">
        <v>10</v>
      </c>
      <c r="J130" s="21">
        <v>0</v>
      </c>
      <c r="K130" s="24" t="s">
        <v>23</v>
      </c>
      <c r="L130" s="24" t="s">
        <v>1000</v>
      </c>
      <c r="M130" s="25">
        <v>550</v>
      </c>
      <c r="N130" s="26">
        <f t="shared" si="1"/>
        <v>271.81</v>
      </c>
      <c r="O130" s="26"/>
      <c r="P130" s="68" t="s">
        <v>1027</v>
      </c>
      <c r="Q130" s="76">
        <v>46143</v>
      </c>
      <c r="R130" s="68" t="s">
        <v>1027</v>
      </c>
      <c r="S130" s="68" t="s">
        <v>1032</v>
      </c>
      <c r="T130" s="68" t="s">
        <v>1027</v>
      </c>
      <c r="U130" s="29" t="s">
        <v>289</v>
      </c>
      <c r="V130" s="29"/>
      <c r="X130" s="24">
        <v>0</v>
      </c>
      <c r="Y130" s="24">
        <v>0</v>
      </c>
    </row>
    <row r="131" spans="1:25" x14ac:dyDescent="0.2">
      <c r="A131" s="1" t="s">
        <v>474</v>
      </c>
      <c r="B131" s="1" t="s">
        <v>475</v>
      </c>
      <c r="C131" s="1" t="s">
        <v>476</v>
      </c>
      <c r="D131" s="1" t="s">
        <v>76</v>
      </c>
      <c r="E131" s="22">
        <v>20</v>
      </c>
      <c r="F131" s="22">
        <v>2000</v>
      </c>
      <c r="G131" s="21">
        <v>6</v>
      </c>
      <c r="H131" s="23">
        <v>1.8055000000000001</v>
      </c>
      <c r="I131" s="24">
        <v>20</v>
      </c>
      <c r="J131" s="21">
        <v>9612</v>
      </c>
      <c r="K131" s="24" t="s">
        <v>23</v>
      </c>
      <c r="L131" s="24" t="s">
        <v>1000</v>
      </c>
      <c r="M131" s="25">
        <v>150</v>
      </c>
      <c r="N131" s="26">
        <f t="shared" si="1"/>
        <v>270.82499999999999</v>
      </c>
      <c r="O131" s="26"/>
      <c r="P131" s="68" t="s">
        <v>1027</v>
      </c>
      <c r="Q131" s="76">
        <v>46143</v>
      </c>
      <c r="R131" s="68" t="s">
        <v>1027</v>
      </c>
      <c r="S131" s="68" t="s">
        <v>1029</v>
      </c>
      <c r="T131" s="68" t="s">
        <v>1027</v>
      </c>
      <c r="U131" s="29" t="s">
        <v>289</v>
      </c>
      <c r="V131" s="29"/>
      <c r="X131" s="24">
        <v>50</v>
      </c>
      <c r="Y131" s="24">
        <v>32</v>
      </c>
    </row>
    <row r="132" spans="1:25" x14ac:dyDescent="0.2">
      <c r="A132" s="1" t="s">
        <v>477</v>
      </c>
      <c r="B132" s="1" t="s">
        <v>478</v>
      </c>
      <c r="C132" s="1" t="s">
        <v>479</v>
      </c>
      <c r="D132" s="1" t="s">
        <v>374</v>
      </c>
      <c r="E132" s="22">
        <v>10</v>
      </c>
      <c r="F132" s="22">
        <v>1</v>
      </c>
      <c r="G132" s="21">
        <v>15</v>
      </c>
      <c r="H132" s="23">
        <v>0.4158</v>
      </c>
      <c r="I132" s="24">
        <v>10</v>
      </c>
      <c r="J132" s="21">
        <v>2288</v>
      </c>
      <c r="K132" s="24" t="s">
        <v>23</v>
      </c>
      <c r="L132" s="24" t="s">
        <v>1000</v>
      </c>
      <c r="M132" s="25">
        <v>650</v>
      </c>
      <c r="N132" s="26">
        <f t="shared" ref="N132:N195" si="2">H132*M132</f>
        <v>270.27</v>
      </c>
      <c r="O132" s="26"/>
      <c r="P132" s="68" t="s">
        <v>1027</v>
      </c>
      <c r="Q132" s="76">
        <v>46143</v>
      </c>
      <c r="R132" s="68" t="s">
        <v>1027</v>
      </c>
      <c r="S132" s="68" t="s">
        <v>1030</v>
      </c>
      <c r="T132" s="68" t="s">
        <v>1027</v>
      </c>
      <c r="U132" s="29" t="s">
        <v>289</v>
      </c>
      <c r="V132" s="29"/>
      <c r="X132" s="24">
        <v>10</v>
      </c>
      <c r="Y132" s="24">
        <v>0</v>
      </c>
    </row>
    <row r="133" spans="1:25" x14ac:dyDescent="0.2">
      <c r="A133" s="1" t="s">
        <v>480</v>
      </c>
      <c r="B133" s="1" t="s">
        <v>481</v>
      </c>
      <c r="C133" s="1" t="s">
        <v>482</v>
      </c>
      <c r="D133" s="1" t="s">
        <v>483</v>
      </c>
      <c r="E133" s="22">
        <v>20</v>
      </c>
      <c r="F133" s="22">
        <v>1</v>
      </c>
      <c r="G133" s="21">
        <v>29</v>
      </c>
      <c r="H133" s="23">
        <v>5.3993000000000002</v>
      </c>
      <c r="I133" s="24">
        <v>20</v>
      </c>
      <c r="J133" s="21">
        <v>5420</v>
      </c>
      <c r="K133" s="24" t="s">
        <v>23</v>
      </c>
      <c r="L133" s="24" t="s">
        <v>1000</v>
      </c>
      <c r="M133" s="25">
        <v>50</v>
      </c>
      <c r="N133" s="26">
        <f t="shared" si="2"/>
        <v>269.96500000000003</v>
      </c>
      <c r="O133" s="26"/>
      <c r="P133" s="68" t="s">
        <v>1027</v>
      </c>
      <c r="Q133" s="76">
        <v>46143</v>
      </c>
      <c r="R133" s="68" t="s">
        <v>1027</v>
      </c>
      <c r="S133" s="68" t="s">
        <v>1031</v>
      </c>
      <c r="T133" s="68" t="s">
        <v>1027</v>
      </c>
      <c r="U133" s="29" t="s">
        <v>289</v>
      </c>
      <c r="V133" s="29"/>
      <c r="X133" s="24">
        <v>4</v>
      </c>
      <c r="Y133" s="24">
        <v>0</v>
      </c>
    </row>
    <row r="134" spans="1:25" x14ac:dyDescent="0.2">
      <c r="A134" s="1" t="s">
        <v>484</v>
      </c>
      <c r="B134" s="1" t="s">
        <v>485</v>
      </c>
      <c r="C134" s="1" t="s">
        <v>486</v>
      </c>
      <c r="D134" s="1" t="s">
        <v>94</v>
      </c>
      <c r="E134" s="22">
        <v>10</v>
      </c>
      <c r="F134" s="22">
        <v>1</v>
      </c>
      <c r="G134" s="21">
        <v>28</v>
      </c>
      <c r="H134" s="23">
        <v>2.1516999999999999</v>
      </c>
      <c r="I134" s="24">
        <v>10</v>
      </c>
      <c r="J134" s="21">
        <v>1530</v>
      </c>
      <c r="K134" s="24" t="s">
        <v>23</v>
      </c>
      <c r="L134" s="24" t="s">
        <v>1000</v>
      </c>
      <c r="M134" s="25">
        <v>125</v>
      </c>
      <c r="N134" s="26">
        <f t="shared" si="2"/>
        <v>268.96249999999998</v>
      </c>
      <c r="O134" s="26"/>
      <c r="P134" s="68" t="s">
        <v>1027</v>
      </c>
      <c r="Q134" s="76">
        <v>46143</v>
      </c>
      <c r="R134" s="68" t="s">
        <v>1027</v>
      </c>
      <c r="S134" s="68" t="s">
        <v>1034</v>
      </c>
      <c r="T134" s="68" t="s">
        <v>1027</v>
      </c>
      <c r="U134" s="29" t="s">
        <v>289</v>
      </c>
      <c r="V134" s="29"/>
      <c r="X134" s="24">
        <v>5</v>
      </c>
      <c r="Y134" s="24">
        <v>5</v>
      </c>
    </row>
    <row r="135" spans="1:25" x14ac:dyDescent="0.2">
      <c r="A135" s="1" t="s">
        <v>487</v>
      </c>
      <c r="B135" s="1" t="s">
        <v>488</v>
      </c>
      <c r="C135" s="1" t="s">
        <v>489</v>
      </c>
      <c r="D135" s="1" t="s">
        <v>94</v>
      </c>
      <c r="E135" s="22">
        <v>10</v>
      </c>
      <c r="F135" s="22">
        <v>216</v>
      </c>
      <c r="G135" s="21">
        <v>26</v>
      </c>
      <c r="H135" s="23">
        <v>10.736499999999999</v>
      </c>
      <c r="I135" s="24">
        <v>10</v>
      </c>
      <c r="J135" s="21">
        <v>1155</v>
      </c>
      <c r="K135" s="24" t="s">
        <v>23</v>
      </c>
      <c r="L135" s="24" t="s">
        <v>1000</v>
      </c>
      <c r="M135" s="25">
        <v>25</v>
      </c>
      <c r="N135" s="26">
        <f t="shared" si="2"/>
        <v>268.41249999999997</v>
      </c>
      <c r="O135" s="26"/>
      <c r="P135" s="68" t="s">
        <v>1027</v>
      </c>
      <c r="Q135" s="76">
        <v>46143</v>
      </c>
      <c r="R135" s="68" t="s">
        <v>1027</v>
      </c>
      <c r="S135" s="68" t="s">
        <v>1030</v>
      </c>
      <c r="T135" s="68" t="s">
        <v>1027</v>
      </c>
      <c r="U135" s="29" t="s">
        <v>289</v>
      </c>
      <c r="V135" s="29"/>
      <c r="X135" s="24">
        <v>3</v>
      </c>
      <c r="Y135" s="24">
        <v>3</v>
      </c>
    </row>
    <row r="136" spans="1:25" x14ac:dyDescent="0.2">
      <c r="A136" s="1" t="s">
        <v>490</v>
      </c>
      <c r="B136" s="1" t="s">
        <v>491</v>
      </c>
      <c r="C136" s="1" t="s">
        <v>492</v>
      </c>
      <c r="D136" s="1" t="s">
        <v>493</v>
      </c>
      <c r="E136" s="22">
        <v>20</v>
      </c>
      <c r="F136" s="22">
        <v>20</v>
      </c>
      <c r="G136" s="21">
        <v>15</v>
      </c>
      <c r="H136" s="23">
        <v>6.67</v>
      </c>
      <c r="I136" s="24">
        <v>20</v>
      </c>
      <c r="J136" s="21">
        <v>229</v>
      </c>
      <c r="K136" s="24" t="s">
        <v>23</v>
      </c>
      <c r="L136" s="24" t="s">
        <v>1000</v>
      </c>
      <c r="M136" s="25">
        <v>40</v>
      </c>
      <c r="N136" s="26">
        <f t="shared" si="2"/>
        <v>266.8</v>
      </c>
      <c r="O136" s="26"/>
      <c r="P136" s="68" t="s">
        <v>1027</v>
      </c>
      <c r="Q136" s="76">
        <v>46143</v>
      </c>
      <c r="R136" s="68" t="s">
        <v>1027</v>
      </c>
      <c r="S136" s="68" t="s">
        <v>1032</v>
      </c>
      <c r="T136" s="68" t="s">
        <v>1027</v>
      </c>
      <c r="U136" s="29" t="s">
        <v>289</v>
      </c>
      <c r="V136" s="29"/>
      <c r="X136" s="24">
        <v>20</v>
      </c>
      <c r="Y136" s="24">
        <v>4</v>
      </c>
    </row>
    <row r="137" spans="1:25" x14ac:dyDescent="0.2">
      <c r="A137" s="1" t="s">
        <v>494</v>
      </c>
      <c r="B137" s="1" t="s">
        <v>495</v>
      </c>
      <c r="C137" s="1" t="s">
        <v>496</v>
      </c>
      <c r="D137" s="1" t="s">
        <v>32</v>
      </c>
      <c r="E137" s="22">
        <v>20</v>
      </c>
      <c r="F137" s="22">
        <v>1</v>
      </c>
      <c r="G137" s="21">
        <v>11</v>
      </c>
      <c r="H137" s="23">
        <v>4.8367000000000004</v>
      </c>
      <c r="I137" s="24">
        <v>20</v>
      </c>
      <c r="J137" s="21">
        <v>2091</v>
      </c>
      <c r="K137" s="24" t="s">
        <v>23</v>
      </c>
      <c r="L137" s="24" t="s">
        <v>1000</v>
      </c>
      <c r="M137" s="25">
        <v>55</v>
      </c>
      <c r="N137" s="26">
        <f t="shared" si="2"/>
        <v>266.01850000000002</v>
      </c>
      <c r="O137" s="26"/>
      <c r="P137" s="68" t="s">
        <v>1027</v>
      </c>
      <c r="Q137" s="76">
        <v>46143</v>
      </c>
      <c r="R137" s="68" t="s">
        <v>1027</v>
      </c>
      <c r="S137" s="68" t="s">
        <v>1031</v>
      </c>
      <c r="T137" s="68" t="s">
        <v>1027</v>
      </c>
      <c r="U137" s="29" t="s">
        <v>289</v>
      </c>
      <c r="V137" s="29"/>
      <c r="X137" s="24">
        <v>15</v>
      </c>
      <c r="Y137" s="24">
        <v>4</v>
      </c>
    </row>
    <row r="138" spans="1:25" x14ac:dyDescent="0.2">
      <c r="A138" s="1" t="s">
        <v>497</v>
      </c>
      <c r="B138" s="1" t="s">
        <v>498</v>
      </c>
      <c r="C138" s="1" t="s">
        <v>499</v>
      </c>
      <c r="D138" s="1" t="s">
        <v>473</v>
      </c>
      <c r="E138" s="22">
        <v>100</v>
      </c>
      <c r="F138" s="22">
        <v>1</v>
      </c>
      <c r="G138" s="21">
        <v>20</v>
      </c>
      <c r="H138" s="23">
        <v>0.26600000000000001</v>
      </c>
      <c r="I138" s="24">
        <v>100</v>
      </c>
      <c r="J138" s="21">
        <v>4453</v>
      </c>
      <c r="K138" s="24" t="s">
        <v>23</v>
      </c>
      <c r="L138" s="24" t="s">
        <v>1000</v>
      </c>
      <c r="M138" s="25">
        <v>1000</v>
      </c>
      <c r="N138" s="26">
        <f t="shared" si="2"/>
        <v>266</v>
      </c>
      <c r="O138" s="26"/>
      <c r="P138" s="68" t="s">
        <v>1027</v>
      </c>
      <c r="Q138" s="76">
        <v>46143</v>
      </c>
      <c r="R138" s="68" t="s">
        <v>1027</v>
      </c>
      <c r="S138" s="68" t="s">
        <v>1030</v>
      </c>
      <c r="T138" s="68" t="s">
        <v>1027</v>
      </c>
      <c r="U138" s="29" t="s">
        <v>289</v>
      </c>
      <c r="V138" s="29"/>
      <c r="X138" s="24">
        <v>204</v>
      </c>
      <c r="Y138" s="24">
        <v>30</v>
      </c>
    </row>
    <row r="139" spans="1:25" x14ac:dyDescent="0.2">
      <c r="A139" s="1" t="s">
        <v>500</v>
      </c>
      <c r="B139" s="1" t="s">
        <v>501</v>
      </c>
      <c r="C139" s="1" t="s">
        <v>502</v>
      </c>
      <c r="D139" s="1" t="s">
        <v>463</v>
      </c>
      <c r="E139" s="22">
        <v>10</v>
      </c>
      <c r="F139" s="22">
        <v>1</v>
      </c>
      <c r="G139" s="21">
        <v>19</v>
      </c>
      <c r="H139" s="23">
        <v>17.720600000000001</v>
      </c>
      <c r="I139" s="24">
        <v>10</v>
      </c>
      <c r="J139" s="21">
        <v>754</v>
      </c>
      <c r="K139" s="24" t="s">
        <v>23</v>
      </c>
      <c r="L139" s="24" t="s">
        <v>1000</v>
      </c>
      <c r="M139" s="25">
        <v>15</v>
      </c>
      <c r="N139" s="26">
        <f t="shared" si="2"/>
        <v>265.80900000000003</v>
      </c>
      <c r="O139" s="26"/>
      <c r="P139" s="68" t="s">
        <v>1048</v>
      </c>
      <c r="Q139" s="76"/>
      <c r="R139" s="68"/>
      <c r="S139" s="68"/>
      <c r="T139" s="68"/>
      <c r="U139" s="29" t="s">
        <v>289</v>
      </c>
      <c r="V139" s="29"/>
      <c r="X139" s="24">
        <v>28</v>
      </c>
      <c r="Y139" s="24">
        <v>3</v>
      </c>
    </row>
    <row r="140" spans="1:25" x14ac:dyDescent="0.2">
      <c r="A140" s="27" t="s">
        <v>503</v>
      </c>
      <c r="B140" s="27" t="s">
        <v>504</v>
      </c>
      <c r="C140" s="28" t="s">
        <v>505</v>
      </c>
      <c r="D140" s="28" t="s">
        <v>32</v>
      </c>
      <c r="E140" s="22">
        <v>20</v>
      </c>
      <c r="F140" s="22">
        <v>1</v>
      </c>
      <c r="G140" s="21">
        <v>6</v>
      </c>
      <c r="H140" s="23">
        <v>7.5869999999999997</v>
      </c>
      <c r="I140" s="24">
        <v>20</v>
      </c>
      <c r="J140" s="21">
        <v>5056</v>
      </c>
      <c r="K140" s="24" t="s">
        <v>23</v>
      </c>
      <c r="L140" s="24" t="s">
        <v>1000</v>
      </c>
      <c r="M140" s="25">
        <v>35</v>
      </c>
      <c r="N140" s="26">
        <f t="shared" si="2"/>
        <v>265.54500000000002</v>
      </c>
      <c r="O140" s="26"/>
      <c r="P140" s="68" t="s">
        <v>1027</v>
      </c>
      <c r="Q140" s="76">
        <v>46143</v>
      </c>
      <c r="R140" s="68" t="s">
        <v>1027</v>
      </c>
      <c r="S140" s="68" t="s">
        <v>1030</v>
      </c>
      <c r="T140" s="68" t="s">
        <v>1027</v>
      </c>
      <c r="U140" s="29" t="s">
        <v>289</v>
      </c>
      <c r="V140" s="29"/>
      <c r="X140" s="24">
        <v>311</v>
      </c>
      <c r="Y140" s="24">
        <v>7</v>
      </c>
    </row>
    <row r="141" spans="1:25" x14ac:dyDescent="0.2">
      <c r="A141" s="1" t="s">
        <v>506</v>
      </c>
      <c r="B141" s="1" t="s">
        <v>507</v>
      </c>
      <c r="C141" s="1" t="s">
        <v>508</v>
      </c>
      <c r="D141" s="1" t="s">
        <v>509</v>
      </c>
      <c r="E141" s="22">
        <v>10</v>
      </c>
      <c r="F141" s="22">
        <v>400</v>
      </c>
      <c r="G141" s="21">
        <v>15</v>
      </c>
      <c r="H141" s="23">
        <v>13.2582</v>
      </c>
      <c r="I141" s="24">
        <v>10</v>
      </c>
      <c r="J141" s="21">
        <v>3379</v>
      </c>
      <c r="K141" s="24" t="s">
        <v>23</v>
      </c>
      <c r="L141" s="24" t="s">
        <v>1000</v>
      </c>
      <c r="M141" s="25">
        <v>20</v>
      </c>
      <c r="N141" s="26">
        <f t="shared" si="2"/>
        <v>265.16399999999999</v>
      </c>
      <c r="O141" s="26"/>
      <c r="P141" s="68" t="s">
        <v>1027</v>
      </c>
      <c r="Q141" s="76">
        <v>46143</v>
      </c>
      <c r="R141" s="68" t="s">
        <v>1027</v>
      </c>
      <c r="S141" s="68" t="s">
        <v>1043</v>
      </c>
      <c r="T141" s="68" t="s">
        <v>1027</v>
      </c>
      <c r="U141" s="29" t="s">
        <v>289</v>
      </c>
      <c r="V141" s="29"/>
      <c r="X141" s="24">
        <v>10</v>
      </c>
      <c r="Y141" s="24">
        <v>0</v>
      </c>
    </row>
    <row r="142" spans="1:25" x14ac:dyDescent="0.2">
      <c r="A142" s="1" t="s">
        <v>510</v>
      </c>
      <c r="B142" s="1" t="s">
        <v>511</v>
      </c>
      <c r="C142" s="1" t="s">
        <v>512</v>
      </c>
      <c r="D142" s="1" t="s">
        <v>513</v>
      </c>
      <c r="E142" s="22">
        <v>620</v>
      </c>
      <c r="F142" s="22">
        <v>2000</v>
      </c>
      <c r="G142" s="21">
        <v>5</v>
      </c>
      <c r="H142" s="23">
        <v>0.53</v>
      </c>
      <c r="I142" s="24">
        <v>2000</v>
      </c>
      <c r="J142" s="21">
        <v>192627</v>
      </c>
      <c r="K142" s="24" t="s">
        <v>23</v>
      </c>
      <c r="L142" s="24" t="s">
        <v>1000</v>
      </c>
      <c r="M142" s="25">
        <v>500</v>
      </c>
      <c r="N142" s="26">
        <f t="shared" si="2"/>
        <v>265</v>
      </c>
      <c r="O142" s="26"/>
      <c r="P142" s="68" t="s">
        <v>1027</v>
      </c>
      <c r="Q142" s="76">
        <v>46143</v>
      </c>
      <c r="R142" s="68" t="s">
        <v>1027</v>
      </c>
      <c r="S142" s="68" t="s">
        <v>1035</v>
      </c>
      <c r="T142" s="68" t="s">
        <v>1048</v>
      </c>
      <c r="X142" s="24">
        <v>1918</v>
      </c>
      <c r="Y142" s="24">
        <v>1114</v>
      </c>
    </row>
    <row r="143" spans="1:25" x14ac:dyDescent="0.2">
      <c r="A143" s="1" t="s">
        <v>514</v>
      </c>
      <c r="B143" s="1" t="s">
        <v>515</v>
      </c>
      <c r="C143" s="1" t="s">
        <v>516</v>
      </c>
      <c r="D143" s="1" t="s">
        <v>517</v>
      </c>
      <c r="E143" s="22">
        <v>10</v>
      </c>
      <c r="F143" s="22">
        <v>1000</v>
      </c>
      <c r="G143" s="21">
        <v>21</v>
      </c>
      <c r="H143" s="23">
        <v>1.325</v>
      </c>
      <c r="I143" s="24">
        <v>10</v>
      </c>
      <c r="J143" s="21">
        <v>5332</v>
      </c>
      <c r="K143" s="24" t="s">
        <v>23</v>
      </c>
      <c r="L143" s="24" t="s">
        <v>1000</v>
      </c>
      <c r="M143" s="25">
        <v>200</v>
      </c>
      <c r="N143" s="26">
        <f t="shared" si="2"/>
        <v>265</v>
      </c>
      <c r="O143" s="26"/>
      <c r="P143" s="68" t="s">
        <v>1027</v>
      </c>
      <c r="Q143" s="76">
        <v>46143</v>
      </c>
      <c r="R143" s="68" t="s">
        <v>1027</v>
      </c>
      <c r="S143" s="68" t="s">
        <v>1030</v>
      </c>
      <c r="T143" s="68" t="s">
        <v>1027</v>
      </c>
      <c r="U143" s="29" t="s">
        <v>289</v>
      </c>
      <c r="V143" s="29"/>
      <c r="X143" s="24">
        <v>18</v>
      </c>
      <c r="Y143" s="24">
        <v>0</v>
      </c>
    </row>
    <row r="144" spans="1:25" x14ac:dyDescent="0.2">
      <c r="A144" s="1" t="s">
        <v>518</v>
      </c>
      <c r="B144" s="1" t="s">
        <v>519</v>
      </c>
      <c r="C144" s="1" t="s">
        <v>520</v>
      </c>
      <c r="D144" s="1" t="s">
        <v>236</v>
      </c>
      <c r="E144" s="22">
        <v>240</v>
      </c>
      <c r="F144" s="22">
        <v>10000</v>
      </c>
      <c r="G144" s="21">
        <v>12</v>
      </c>
      <c r="H144" s="23">
        <v>0.33100000000000002</v>
      </c>
      <c r="I144" s="24">
        <v>240</v>
      </c>
      <c r="J144" s="21">
        <v>7754</v>
      </c>
      <c r="K144" s="24" t="s">
        <v>23</v>
      </c>
      <c r="L144" s="24" t="s">
        <v>1000</v>
      </c>
      <c r="M144" s="25">
        <v>800</v>
      </c>
      <c r="N144" s="26">
        <f t="shared" si="2"/>
        <v>264.8</v>
      </c>
      <c r="O144" s="26"/>
      <c r="P144" s="68" t="s">
        <v>1027</v>
      </c>
      <c r="Q144" s="76">
        <v>46221</v>
      </c>
      <c r="R144" s="68" t="s">
        <v>1027</v>
      </c>
      <c r="S144" s="68" t="s">
        <v>1032</v>
      </c>
      <c r="T144" s="68" t="s">
        <v>1027</v>
      </c>
      <c r="U144" s="29" t="s">
        <v>289</v>
      </c>
      <c r="V144" s="29"/>
      <c r="X144" s="24">
        <v>170</v>
      </c>
      <c r="Y144" s="24">
        <v>126</v>
      </c>
    </row>
    <row r="145" spans="1:25" x14ac:dyDescent="0.2">
      <c r="A145" s="1" t="s">
        <v>521</v>
      </c>
      <c r="B145" s="1" t="s">
        <v>522</v>
      </c>
      <c r="C145" s="1" t="s">
        <v>523</v>
      </c>
      <c r="D145" s="1" t="s">
        <v>524</v>
      </c>
      <c r="E145" s="22">
        <v>30</v>
      </c>
      <c r="F145" s="22">
        <v>1</v>
      </c>
      <c r="G145" s="21">
        <v>16</v>
      </c>
      <c r="H145" s="23">
        <v>3.31</v>
      </c>
      <c r="I145" s="24">
        <v>30</v>
      </c>
      <c r="J145" s="21">
        <v>2049</v>
      </c>
      <c r="K145" s="24" t="s">
        <v>23</v>
      </c>
      <c r="L145" s="24" t="s">
        <v>1000</v>
      </c>
      <c r="M145" s="25">
        <v>80</v>
      </c>
      <c r="N145" s="26">
        <f t="shared" si="2"/>
        <v>264.8</v>
      </c>
      <c r="O145" s="26"/>
      <c r="P145" s="68" t="s">
        <v>1027</v>
      </c>
      <c r="Q145" s="76">
        <v>46143</v>
      </c>
      <c r="R145" s="68" t="s">
        <v>1027</v>
      </c>
      <c r="S145" s="68" t="s">
        <v>1035</v>
      </c>
      <c r="T145" s="68" t="s">
        <v>1048</v>
      </c>
      <c r="U145" s="29" t="s">
        <v>289</v>
      </c>
      <c r="V145" s="29"/>
      <c r="X145" s="24">
        <v>164</v>
      </c>
      <c r="Y145" s="24">
        <v>38</v>
      </c>
    </row>
    <row r="146" spans="1:25" x14ac:dyDescent="0.2">
      <c r="A146" s="27" t="s">
        <v>525</v>
      </c>
      <c r="B146" s="27" t="s">
        <v>526</v>
      </c>
      <c r="C146" s="28" t="s">
        <v>527</v>
      </c>
      <c r="D146" s="28" t="s">
        <v>94</v>
      </c>
      <c r="E146" s="22">
        <v>10</v>
      </c>
      <c r="F146" s="22">
        <v>1</v>
      </c>
      <c r="G146" s="21">
        <v>21</v>
      </c>
      <c r="H146" s="23">
        <v>4.806</v>
      </c>
      <c r="I146" s="24">
        <v>10</v>
      </c>
      <c r="J146" s="21">
        <v>1420</v>
      </c>
      <c r="K146" s="24" t="s">
        <v>23</v>
      </c>
      <c r="L146" s="24" t="s">
        <v>1000</v>
      </c>
      <c r="M146" s="25">
        <v>55</v>
      </c>
      <c r="N146" s="26">
        <f t="shared" si="2"/>
        <v>264.33</v>
      </c>
      <c r="O146" s="26"/>
      <c r="P146" s="68" t="s">
        <v>1027</v>
      </c>
      <c r="Q146" s="76">
        <v>46260</v>
      </c>
      <c r="R146" s="68" t="s">
        <v>1027</v>
      </c>
      <c r="S146" s="68" t="s">
        <v>1030</v>
      </c>
      <c r="T146" s="68" t="s">
        <v>1027</v>
      </c>
      <c r="U146" s="29" t="s">
        <v>289</v>
      </c>
      <c r="V146" s="29"/>
      <c r="X146" s="24">
        <v>6</v>
      </c>
      <c r="Y146" s="24">
        <v>6</v>
      </c>
    </row>
    <row r="147" spans="1:25" x14ac:dyDescent="0.2">
      <c r="A147" s="1" t="s">
        <v>528</v>
      </c>
      <c r="B147" s="1" t="s">
        <v>529</v>
      </c>
      <c r="C147" s="1" t="s">
        <v>530</v>
      </c>
      <c r="D147" s="1" t="s">
        <v>358</v>
      </c>
      <c r="E147" s="22">
        <v>20</v>
      </c>
      <c r="F147" s="22">
        <v>1</v>
      </c>
      <c r="G147" s="21">
        <v>16</v>
      </c>
      <c r="H147" s="23">
        <v>13.173999999999999</v>
      </c>
      <c r="I147" s="24">
        <v>20</v>
      </c>
      <c r="J147" s="21">
        <v>1632</v>
      </c>
      <c r="K147" s="24" t="s">
        <v>23</v>
      </c>
      <c r="L147" s="24" t="s">
        <v>1000</v>
      </c>
      <c r="M147" s="21">
        <v>20</v>
      </c>
      <c r="N147" s="26">
        <f t="shared" si="2"/>
        <v>263.48</v>
      </c>
      <c r="O147" s="26"/>
      <c r="P147" s="68" t="s">
        <v>1027</v>
      </c>
      <c r="Q147" s="76">
        <v>46143</v>
      </c>
      <c r="R147" s="68" t="s">
        <v>1027</v>
      </c>
      <c r="S147" s="68" t="s">
        <v>1032</v>
      </c>
      <c r="T147" s="68" t="s">
        <v>1027</v>
      </c>
      <c r="X147" s="24">
        <v>516</v>
      </c>
      <c r="Y147" s="24">
        <v>356</v>
      </c>
    </row>
    <row r="148" spans="1:25" x14ac:dyDescent="0.2">
      <c r="A148" s="1" t="s">
        <v>531</v>
      </c>
      <c r="B148" s="1" t="s">
        <v>532</v>
      </c>
      <c r="C148" s="1" t="s">
        <v>533</v>
      </c>
      <c r="D148" s="1" t="s">
        <v>374</v>
      </c>
      <c r="E148" s="22">
        <v>40</v>
      </c>
      <c r="F148" s="22">
        <v>1000</v>
      </c>
      <c r="G148" s="21">
        <v>15</v>
      </c>
      <c r="H148" s="23">
        <v>0.40510000000000002</v>
      </c>
      <c r="I148" s="24">
        <v>40</v>
      </c>
      <c r="J148" s="21">
        <v>5437</v>
      </c>
      <c r="K148" s="24" t="s">
        <v>23</v>
      </c>
      <c r="L148" s="24" t="s">
        <v>1000</v>
      </c>
      <c r="M148" s="25">
        <v>650</v>
      </c>
      <c r="N148" s="26">
        <f t="shared" si="2"/>
        <v>263.315</v>
      </c>
      <c r="O148" s="26"/>
      <c r="P148" s="68" t="s">
        <v>1027</v>
      </c>
      <c r="Q148" s="76">
        <v>46143</v>
      </c>
      <c r="R148" s="68" t="s">
        <v>1027</v>
      </c>
      <c r="S148" s="68" t="s">
        <v>1030</v>
      </c>
      <c r="T148" s="68" t="s">
        <v>1027</v>
      </c>
      <c r="U148" s="29" t="s">
        <v>289</v>
      </c>
      <c r="V148" s="29"/>
      <c r="X148" s="24">
        <v>35</v>
      </c>
      <c r="Y148" s="24">
        <v>25</v>
      </c>
    </row>
    <row r="149" spans="1:25" x14ac:dyDescent="0.2">
      <c r="A149" s="1" t="s">
        <v>534</v>
      </c>
      <c r="B149" s="1" t="s">
        <v>535</v>
      </c>
      <c r="C149" s="1" t="s">
        <v>536</v>
      </c>
      <c r="D149" s="1" t="s">
        <v>537</v>
      </c>
      <c r="E149" s="22">
        <v>120</v>
      </c>
      <c r="F149" s="22">
        <v>1000</v>
      </c>
      <c r="G149" s="21">
        <v>23</v>
      </c>
      <c r="H149" s="23">
        <v>1.7549999999999999</v>
      </c>
      <c r="I149" s="24">
        <v>120</v>
      </c>
      <c r="J149" s="21">
        <v>7944</v>
      </c>
      <c r="K149" s="24" t="s">
        <v>23</v>
      </c>
      <c r="L149" s="24" t="s">
        <v>1000</v>
      </c>
      <c r="M149" s="25">
        <v>150</v>
      </c>
      <c r="N149" s="26">
        <f t="shared" si="2"/>
        <v>263.25</v>
      </c>
      <c r="O149" s="26"/>
      <c r="P149" s="68" t="s">
        <v>1027</v>
      </c>
      <c r="Q149" s="76">
        <v>46143</v>
      </c>
      <c r="R149" s="68" t="s">
        <v>1027</v>
      </c>
      <c r="S149" s="68" t="s">
        <v>1030</v>
      </c>
      <c r="T149" s="68" t="s">
        <v>1027</v>
      </c>
      <c r="U149" s="29" t="s">
        <v>289</v>
      </c>
      <c r="V149" s="29"/>
      <c r="X149" s="24">
        <v>85</v>
      </c>
      <c r="Y149" s="24">
        <v>63</v>
      </c>
    </row>
    <row r="150" spans="1:25" x14ac:dyDescent="0.2">
      <c r="A150" s="1" t="s">
        <v>538</v>
      </c>
      <c r="B150" s="1" t="s">
        <v>539</v>
      </c>
      <c r="C150" s="1" t="s">
        <v>540</v>
      </c>
      <c r="D150" s="1" t="s">
        <v>236</v>
      </c>
      <c r="E150" s="22">
        <v>20</v>
      </c>
      <c r="F150" s="22">
        <v>10000</v>
      </c>
      <c r="G150" s="21">
        <v>26</v>
      </c>
      <c r="H150" s="23">
        <v>0.3286</v>
      </c>
      <c r="I150" s="24">
        <v>20</v>
      </c>
      <c r="J150" s="21">
        <v>0</v>
      </c>
      <c r="K150" s="24" t="s">
        <v>184</v>
      </c>
      <c r="L150" s="24" t="s">
        <v>1000</v>
      </c>
      <c r="M150" s="25">
        <v>800</v>
      </c>
      <c r="N150" s="26">
        <f t="shared" si="2"/>
        <v>262.88</v>
      </c>
      <c r="O150" s="26"/>
      <c r="P150" s="68" t="s">
        <v>1027</v>
      </c>
      <c r="Q150" s="76">
        <v>46143</v>
      </c>
      <c r="R150" s="68" t="s">
        <v>1027</v>
      </c>
      <c r="S150" s="68" t="s">
        <v>1030</v>
      </c>
      <c r="T150" s="68" t="s">
        <v>1027</v>
      </c>
      <c r="U150" s="29" t="s">
        <v>289</v>
      </c>
      <c r="V150" s="29"/>
      <c r="X150" s="24">
        <v>0</v>
      </c>
      <c r="Y150" s="24">
        <v>0</v>
      </c>
    </row>
    <row r="151" spans="1:25" x14ac:dyDescent="0.2">
      <c r="A151" s="1" t="s">
        <v>541</v>
      </c>
      <c r="B151" s="1" t="s">
        <v>542</v>
      </c>
      <c r="C151" s="1" t="s">
        <v>543</v>
      </c>
      <c r="D151" s="1" t="s">
        <v>473</v>
      </c>
      <c r="E151" s="22">
        <v>80</v>
      </c>
      <c r="F151" s="22">
        <v>300</v>
      </c>
      <c r="G151" s="21">
        <v>26</v>
      </c>
      <c r="H151" s="23">
        <v>3.2854999999999999</v>
      </c>
      <c r="I151" s="24">
        <v>80</v>
      </c>
      <c r="J151" s="21">
        <v>1571</v>
      </c>
      <c r="K151" s="24" t="s">
        <v>23</v>
      </c>
      <c r="L151" s="24" t="s">
        <v>1000</v>
      </c>
      <c r="M151" s="21">
        <v>80</v>
      </c>
      <c r="N151" s="26">
        <f t="shared" si="2"/>
        <v>262.83999999999997</v>
      </c>
      <c r="O151" s="26"/>
      <c r="P151" s="68" t="s">
        <v>1027</v>
      </c>
      <c r="Q151" s="76">
        <v>46143</v>
      </c>
      <c r="R151" s="68" t="s">
        <v>1027</v>
      </c>
      <c r="S151" s="68" t="s">
        <v>1032</v>
      </c>
      <c r="T151" s="68" t="s">
        <v>1027</v>
      </c>
      <c r="X151" s="24">
        <v>0</v>
      </c>
      <c r="Y151" s="24">
        <v>0</v>
      </c>
    </row>
    <row r="152" spans="1:25" x14ac:dyDescent="0.2">
      <c r="A152" s="1" t="s">
        <v>544</v>
      </c>
      <c r="B152" s="1" t="s">
        <v>545</v>
      </c>
      <c r="C152" s="1" t="s">
        <v>546</v>
      </c>
      <c r="D152" s="1" t="s">
        <v>188</v>
      </c>
      <c r="E152" s="22">
        <v>20</v>
      </c>
      <c r="F152" s="22">
        <v>1</v>
      </c>
      <c r="G152" s="21">
        <v>26</v>
      </c>
      <c r="H152" s="23">
        <v>1.6419999999999999</v>
      </c>
      <c r="I152" s="24">
        <v>20</v>
      </c>
      <c r="J152" s="21">
        <v>2438</v>
      </c>
      <c r="K152" s="24" t="s">
        <v>23</v>
      </c>
      <c r="L152" s="24" t="s">
        <v>1000</v>
      </c>
      <c r="M152" s="25">
        <v>160</v>
      </c>
      <c r="N152" s="26">
        <f t="shared" si="2"/>
        <v>262.71999999999997</v>
      </c>
      <c r="O152" s="26"/>
      <c r="P152" s="68" t="s">
        <v>1027</v>
      </c>
      <c r="Q152" s="76">
        <v>46143</v>
      </c>
      <c r="R152" s="68" t="s">
        <v>1027</v>
      </c>
      <c r="S152" s="68" t="s">
        <v>1036</v>
      </c>
      <c r="T152" s="68" t="s">
        <v>1027</v>
      </c>
      <c r="U152" s="29" t="s">
        <v>289</v>
      </c>
      <c r="V152" s="29"/>
      <c r="X152" s="24">
        <v>30</v>
      </c>
      <c r="Y152" s="24">
        <v>30</v>
      </c>
    </row>
    <row r="153" spans="1:25" x14ac:dyDescent="0.2">
      <c r="A153" s="1" t="s">
        <v>547</v>
      </c>
      <c r="B153" s="1" t="s">
        <v>548</v>
      </c>
      <c r="C153" s="1" t="s">
        <v>549</v>
      </c>
      <c r="D153" s="1" t="s">
        <v>550</v>
      </c>
      <c r="E153" s="22">
        <v>10</v>
      </c>
      <c r="F153" s="22">
        <v>2000</v>
      </c>
      <c r="G153" s="21">
        <v>12</v>
      </c>
      <c r="H153" s="23">
        <v>0.35</v>
      </c>
      <c r="I153" s="24">
        <v>10</v>
      </c>
      <c r="J153" s="21" t="s">
        <v>116</v>
      </c>
      <c r="K153" s="24" t="s">
        <v>117</v>
      </c>
      <c r="L153" s="24" t="s">
        <v>1000</v>
      </c>
      <c r="M153" s="25">
        <v>750</v>
      </c>
      <c r="N153" s="26">
        <f t="shared" si="2"/>
        <v>262.5</v>
      </c>
      <c r="O153" s="26"/>
      <c r="P153" s="68" t="s">
        <v>1048</v>
      </c>
      <c r="Q153" s="76"/>
      <c r="R153" s="68"/>
      <c r="S153" s="68"/>
      <c r="T153" s="68"/>
      <c r="V153" s="1" t="s">
        <v>1050</v>
      </c>
      <c r="X153" s="24">
        <v>15</v>
      </c>
      <c r="Y153" s="24">
        <v>8</v>
      </c>
    </row>
    <row r="154" spans="1:25" x14ac:dyDescent="0.2">
      <c r="A154" s="1" t="s">
        <v>551</v>
      </c>
      <c r="B154" s="1" t="s">
        <v>552</v>
      </c>
      <c r="C154" s="1" t="s">
        <v>553</v>
      </c>
      <c r="D154" s="1" t="s">
        <v>554</v>
      </c>
      <c r="E154" s="22">
        <v>35</v>
      </c>
      <c r="F154" s="22">
        <v>1</v>
      </c>
      <c r="G154" s="21">
        <v>22</v>
      </c>
      <c r="H154" s="23">
        <v>3.0828000000000002</v>
      </c>
      <c r="I154" s="24">
        <v>35</v>
      </c>
      <c r="J154" s="21">
        <v>1000</v>
      </c>
      <c r="K154" s="24" t="s">
        <v>23</v>
      </c>
      <c r="L154" s="24" t="s">
        <v>1000</v>
      </c>
      <c r="M154" s="25">
        <v>85</v>
      </c>
      <c r="N154" s="26">
        <f t="shared" si="2"/>
        <v>262.03800000000001</v>
      </c>
      <c r="O154" s="26"/>
      <c r="P154" s="68" t="s">
        <v>1027</v>
      </c>
      <c r="Q154" s="76">
        <v>46288</v>
      </c>
      <c r="R154" s="68" t="s">
        <v>1027</v>
      </c>
      <c r="S154" s="68" t="s">
        <v>1030</v>
      </c>
      <c r="T154" s="68" t="s">
        <v>1027</v>
      </c>
      <c r="U154" s="29" t="s">
        <v>289</v>
      </c>
      <c r="V154" s="29"/>
      <c r="X154" s="24">
        <v>18</v>
      </c>
      <c r="Y154" s="24">
        <v>18</v>
      </c>
    </row>
    <row r="155" spans="1:25" x14ac:dyDescent="0.2">
      <c r="A155" s="1" t="s">
        <v>555</v>
      </c>
      <c r="B155" s="1" t="s">
        <v>556</v>
      </c>
      <c r="C155" s="1" t="s">
        <v>557</v>
      </c>
      <c r="D155" s="1" t="s">
        <v>311</v>
      </c>
      <c r="E155" s="22">
        <v>20</v>
      </c>
      <c r="F155" s="22">
        <v>1</v>
      </c>
      <c r="G155" s="21">
        <v>20</v>
      </c>
      <c r="H155" s="23">
        <v>7.4805000000000001</v>
      </c>
      <c r="I155" s="24">
        <v>20</v>
      </c>
      <c r="J155" s="21">
        <v>3173</v>
      </c>
      <c r="K155" s="24" t="s">
        <v>69</v>
      </c>
      <c r="L155" s="24" t="s">
        <v>1000</v>
      </c>
      <c r="M155" s="25">
        <v>35</v>
      </c>
      <c r="N155" s="26">
        <f t="shared" si="2"/>
        <v>261.8175</v>
      </c>
      <c r="O155" s="26"/>
      <c r="P155" s="68" t="s">
        <v>1027</v>
      </c>
      <c r="Q155" s="76">
        <v>46143</v>
      </c>
      <c r="R155" s="68" t="s">
        <v>1027</v>
      </c>
      <c r="S155" s="68" t="s">
        <v>1035</v>
      </c>
      <c r="T155" s="68" t="s">
        <v>1048</v>
      </c>
      <c r="U155" s="29" t="s">
        <v>289</v>
      </c>
      <c r="V155" s="29"/>
      <c r="X155" s="24">
        <v>33</v>
      </c>
      <c r="Y155" s="24">
        <v>8</v>
      </c>
    </row>
    <row r="156" spans="1:25" x14ac:dyDescent="0.2">
      <c r="A156" s="1" t="s">
        <v>558</v>
      </c>
      <c r="B156" s="1" t="s">
        <v>559</v>
      </c>
      <c r="C156" s="1" t="s">
        <v>560</v>
      </c>
      <c r="D156" s="1" t="s">
        <v>64</v>
      </c>
      <c r="E156" s="22">
        <v>20</v>
      </c>
      <c r="F156" s="22">
        <v>1</v>
      </c>
      <c r="G156" s="21">
        <v>16</v>
      </c>
      <c r="H156" s="23">
        <v>2.4900000000000002</v>
      </c>
      <c r="I156" s="24">
        <v>20</v>
      </c>
      <c r="J156" s="21">
        <v>1620</v>
      </c>
      <c r="K156" s="24" t="s">
        <v>23</v>
      </c>
      <c r="L156" s="24" t="s">
        <v>1000</v>
      </c>
      <c r="M156" s="25">
        <v>105</v>
      </c>
      <c r="N156" s="26">
        <f t="shared" si="2"/>
        <v>261.45000000000005</v>
      </c>
      <c r="O156" s="26"/>
      <c r="P156" s="68" t="s">
        <v>1027</v>
      </c>
      <c r="Q156" s="76">
        <v>46143</v>
      </c>
      <c r="R156" s="68" t="s">
        <v>1027</v>
      </c>
      <c r="S156" s="68" t="s">
        <v>1044</v>
      </c>
      <c r="T156" s="68" t="s">
        <v>1027</v>
      </c>
      <c r="U156" s="29" t="s">
        <v>289</v>
      </c>
      <c r="V156" s="29"/>
      <c r="X156" s="24">
        <v>13</v>
      </c>
      <c r="Y156" s="24">
        <v>0</v>
      </c>
    </row>
    <row r="157" spans="1:25" x14ac:dyDescent="0.2">
      <c r="A157" s="1" t="s">
        <v>561</v>
      </c>
      <c r="B157" s="1" t="s">
        <v>562</v>
      </c>
      <c r="C157" s="1" t="s">
        <v>563</v>
      </c>
      <c r="D157" s="1" t="s">
        <v>564</v>
      </c>
      <c r="E157" s="22">
        <v>10</v>
      </c>
      <c r="F157" s="22">
        <v>4000</v>
      </c>
      <c r="G157" s="21">
        <v>10</v>
      </c>
      <c r="H157" s="23">
        <v>0.17419999999999999</v>
      </c>
      <c r="I157" s="24">
        <v>10</v>
      </c>
      <c r="J157" s="21">
        <v>6600</v>
      </c>
      <c r="K157" s="24" t="s">
        <v>23</v>
      </c>
      <c r="L157" s="24" t="s">
        <v>1000</v>
      </c>
      <c r="M157" s="25">
        <v>1500</v>
      </c>
      <c r="N157" s="26">
        <f t="shared" si="2"/>
        <v>261.3</v>
      </c>
      <c r="O157" s="26"/>
      <c r="P157" s="68" t="s">
        <v>1027</v>
      </c>
      <c r="Q157" s="76">
        <v>46143</v>
      </c>
      <c r="R157" s="68" t="s">
        <v>1027</v>
      </c>
      <c r="S157" s="68" t="s">
        <v>1032</v>
      </c>
      <c r="T157" s="68" t="s">
        <v>1027</v>
      </c>
      <c r="U157" s="29" t="s">
        <v>289</v>
      </c>
      <c r="V157" s="29"/>
      <c r="X157" s="24">
        <v>10</v>
      </c>
      <c r="Y157" s="24">
        <v>0</v>
      </c>
    </row>
    <row r="158" spans="1:25" x14ac:dyDescent="0.2">
      <c r="A158" s="27" t="s">
        <v>565</v>
      </c>
      <c r="B158" s="27" t="s">
        <v>566</v>
      </c>
      <c r="C158" s="28" t="s">
        <v>567</v>
      </c>
      <c r="D158" s="28" t="s">
        <v>568</v>
      </c>
      <c r="E158" s="22">
        <v>15</v>
      </c>
      <c r="F158" s="22">
        <v>1</v>
      </c>
      <c r="G158" s="21">
        <v>18</v>
      </c>
      <c r="H158" s="23">
        <v>2.09</v>
      </c>
      <c r="I158" s="24">
        <v>15</v>
      </c>
      <c r="J158" s="21">
        <v>1487</v>
      </c>
      <c r="K158" s="24" t="s">
        <v>23</v>
      </c>
      <c r="L158" s="24" t="s">
        <v>1000</v>
      </c>
      <c r="M158" s="25">
        <v>125</v>
      </c>
      <c r="N158" s="26">
        <f t="shared" si="2"/>
        <v>261.25</v>
      </c>
      <c r="O158" s="26"/>
      <c r="P158" s="68" t="s">
        <v>1027</v>
      </c>
      <c r="Q158" s="76">
        <v>46143</v>
      </c>
      <c r="R158" s="68" t="s">
        <v>1027</v>
      </c>
      <c r="S158" s="68" t="s">
        <v>1032</v>
      </c>
      <c r="T158" s="68" t="s">
        <v>1027</v>
      </c>
      <c r="U158" s="29" t="s">
        <v>289</v>
      </c>
      <c r="V158" s="29"/>
      <c r="X158" s="24">
        <v>11</v>
      </c>
      <c r="Y158" s="24">
        <v>0</v>
      </c>
    </row>
    <row r="159" spans="1:25" x14ac:dyDescent="0.2">
      <c r="A159" s="1" t="s">
        <v>569</v>
      </c>
      <c r="B159" s="1" t="s">
        <v>570</v>
      </c>
      <c r="C159" s="1" t="s">
        <v>571</v>
      </c>
      <c r="D159" s="1" t="s">
        <v>572</v>
      </c>
      <c r="E159" s="22">
        <v>10</v>
      </c>
      <c r="F159" s="22">
        <v>1100</v>
      </c>
      <c r="G159" s="21">
        <v>16</v>
      </c>
      <c r="H159" s="23">
        <v>1.6245000000000001</v>
      </c>
      <c r="I159" s="24">
        <v>10</v>
      </c>
      <c r="J159" s="21">
        <v>188</v>
      </c>
      <c r="K159" s="24" t="s">
        <v>23</v>
      </c>
      <c r="L159" s="24" t="s">
        <v>1000</v>
      </c>
      <c r="M159" s="25">
        <v>160</v>
      </c>
      <c r="N159" s="26">
        <f t="shared" si="2"/>
        <v>259.92</v>
      </c>
      <c r="O159" s="26"/>
      <c r="P159" s="68" t="s">
        <v>1027</v>
      </c>
      <c r="Q159" s="76">
        <v>46143</v>
      </c>
      <c r="R159" s="68" t="s">
        <v>1027</v>
      </c>
      <c r="S159" s="68" t="s">
        <v>1032</v>
      </c>
      <c r="T159" s="68" t="s">
        <v>1027</v>
      </c>
      <c r="U159" s="29" t="s">
        <v>289</v>
      </c>
      <c r="V159" s="29"/>
      <c r="X159" s="24">
        <v>10</v>
      </c>
      <c r="Y159" s="24">
        <v>0</v>
      </c>
    </row>
    <row r="160" spans="1:25" x14ac:dyDescent="0.2">
      <c r="A160" s="1" t="s">
        <v>573</v>
      </c>
      <c r="B160" s="1" t="s">
        <v>574</v>
      </c>
      <c r="C160" s="1" t="s">
        <v>575</v>
      </c>
      <c r="D160" s="1" t="s">
        <v>576</v>
      </c>
      <c r="E160" s="22">
        <v>245</v>
      </c>
      <c r="F160" s="22">
        <v>1</v>
      </c>
      <c r="G160" s="21">
        <v>21</v>
      </c>
      <c r="H160" s="23">
        <v>1.9900000000000001E-2</v>
      </c>
      <c r="I160" s="24">
        <v>245</v>
      </c>
      <c r="J160" s="21">
        <v>6</v>
      </c>
      <c r="K160" s="24" t="s">
        <v>23</v>
      </c>
      <c r="L160" s="24" t="s">
        <v>1000</v>
      </c>
      <c r="M160" s="25">
        <v>13000</v>
      </c>
      <c r="N160" s="26">
        <f t="shared" si="2"/>
        <v>258.7</v>
      </c>
      <c r="O160" s="26"/>
      <c r="P160" s="68" t="s">
        <v>1027</v>
      </c>
      <c r="Q160" s="76">
        <v>46143</v>
      </c>
      <c r="R160" s="68" t="s">
        <v>1027</v>
      </c>
      <c r="S160" s="68" t="s">
        <v>1039</v>
      </c>
      <c r="T160" s="68" t="s">
        <v>1027</v>
      </c>
      <c r="U160" s="29" t="s">
        <v>289</v>
      </c>
      <c r="V160" s="29"/>
      <c r="X160" s="24">
        <v>250</v>
      </c>
      <c r="Y160" s="24">
        <v>210</v>
      </c>
    </row>
    <row r="161" spans="1:25" x14ac:dyDescent="0.2">
      <c r="A161" s="1" t="s">
        <v>577</v>
      </c>
      <c r="B161" s="1" t="s">
        <v>578</v>
      </c>
      <c r="C161" s="1" t="s">
        <v>579</v>
      </c>
      <c r="D161" s="1" t="s">
        <v>94</v>
      </c>
      <c r="E161" s="22">
        <v>10</v>
      </c>
      <c r="F161" s="22">
        <v>1</v>
      </c>
      <c r="G161" s="21">
        <v>23</v>
      </c>
      <c r="H161" s="23">
        <v>1.1496999999999999</v>
      </c>
      <c r="I161" s="24">
        <v>10</v>
      </c>
      <c r="J161" s="21">
        <v>1573</v>
      </c>
      <c r="K161" s="24" t="s">
        <v>23</v>
      </c>
      <c r="L161" s="24" t="s">
        <v>1000</v>
      </c>
      <c r="M161" s="25">
        <v>225</v>
      </c>
      <c r="N161" s="26">
        <f t="shared" si="2"/>
        <v>258.6825</v>
      </c>
      <c r="O161" s="26"/>
      <c r="P161" s="68" t="s">
        <v>1027</v>
      </c>
      <c r="Q161" s="76">
        <v>46143</v>
      </c>
      <c r="R161" s="68" t="s">
        <v>1027</v>
      </c>
      <c r="S161" s="68" t="s">
        <v>1032</v>
      </c>
      <c r="T161" s="68" t="s">
        <v>1027</v>
      </c>
      <c r="U161" s="29" t="s">
        <v>289</v>
      </c>
      <c r="V161" s="29"/>
      <c r="X161" s="24">
        <v>5</v>
      </c>
      <c r="Y161" s="24">
        <v>5</v>
      </c>
    </row>
    <row r="162" spans="1:25" x14ac:dyDescent="0.2">
      <c r="A162" s="1" t="s">
        <v>580</v>
      </c>
      <c r="B162" s="1" t="s">
        <v>581</v>
      </c>
      <c r="C162" s="1" t="s">
        <v>582</v>
      </c>
      <c r="D162" s="1" t="s">
        <v>583</v>
      </c>
      <c r="E162" s="22">
        <v>45</v>
      </c>
      <c r="F162" s="22">
        <v>1000</v>
      </c>
      <c r="G162" s="21">
        <v>8</v>
      </c>
      <c r="H162" s="23">
        <v>0.43009999999999998</v>
      </c>
      <c r="I162" s="24">
        <v>45</v>
      </c>
      <c r="J162" s="21">
        <v>3340</v>
      </c>
      <c r="K162" s="24" t="s">
        <v>23</v>
      </c>
      <c r="L162" s="24" t="s">
        <v>1000</v>
      </c>
      <c r="M162" s="25">
        <v>600</v>
      </c>
      <c r="N162" s="26">
        <f t="shared" si="2"/>
        <v>258.06</v>
      </c>
      <c r="O162" s="26"/>
      <c r="P162" s="68" t="s">
        <v>1027</v>
      </c>
      <c r="Q162" s="76">
        <v>46143</v>
      </c>
      <c r="R162" s="68" t="s">
        <v>1027</v>
      </c>
      <c r="S162" s="68" t="s">
        <v>1032</v>
      </c>
      <c r="T162" s="68" t="s">
        <v>1027</v>
      </c>
      <c r="U162" s="29" t="s">
        <v>289</v>
      </c>
      <c r="V162" s="29"/>
      <c r="X162" s="24">
        <v>106</v>
      </c>
      <c r="Y162" s="24">
        <v>66</v>
      </c>
    </row>
    <row r="163" spans="1:25" x14ac:dyDescent="0.2">
      <c r="A163" s="27" t="s">
        <v>584</v>
      </c>
      <c r="B163" s="27" t="s">
        <v>585</v>
      </c>
      <c r="C163" s="28" t="s">
        <v>586</v>
      </c>
      <c r="D163" s="28" t="s">
        <v>587</v>
      </c>
      <c r="E163" s="22">
        <v>10</v>
      </c>
      <c r="F163" s="22">
        <v>1</v>
      </c>
      <c r="G163" s="21">
        <v>22</v>
      </c>
      <c r="H163" s="23">
        <v>6.45</v>
      </c>
      <c r="I163" s="24">
        <v>10</v>
      </c>
      <c r="J163" s="21">
        <v>1172</v>
      </c>
      <c r="K163" s="24" t="s">
        <v>23</v>
      </c>
      <c r="L163" s="24" t="s">
        <v>1000</v>
      </c>
      <c r="M163" s="25">
        <v>40</v>
      </c>
      <c r="N163" s="26">
        <f t="shared" si="2"/>
        <v>258</v>
      </c>
      <c r="O163" s="26"/>
      <c r="P163" s="68" t="s">
        <v>1027</v>
      </c>
      <c r="Q163" s="76">
        <v>46143</v>
      </c>
      <c r="R163" s="68" t="s">
        <v>1027</v>
      </c>
      <c r="S163" s="68" t="s">
        <v>1032</v>
      </c>
      <c r="T163" s="68" t="s">
        <v>1027</v>
      </c>
      <c r="U163" s="29" t="s">
        <v>289</v>
      </c>
      <c r="V163" s="29"/>
      <c r="X163" s="24">
        <v>28</v>
      </c>
      <c r="Y163" s="24">
        <v>1</v>
      </c>
    </row>
    <row r="164" spans="1:25" x14ac:dyDescent="0.2">
      <c r="A164" s="1" t="s">
        <v>588</v>
      </c>
      <c r="B164" s="1" t="s">
        <v>589</v>
      </c>
      <c r="C164" s="1" t="s">
        <v>590</v>
      </c>
      <c r="D164" s="1" t="s">
        <v>591</v>
      </c>
      <c r="E164" s="22">
        <v>10</v>
      </c>
      <c r="F164" s="22">
        <v>1500</v>
      </c>
      <c r="G164" s="21">
        <v>24</v>
      </c>
      <c r="H164" s="23">
        <v>2.5792000000000002</v>
      </c>
      <c r="I164" s="24">
        <v>10</v>
      </c>
      <c r="J164" s="21">
        <v>4794</v>
      </c>
      <c r="K164" s="24" t="s">
        <v>23</v>
      </c>
      <c r="L164" s="24" t="s">
        <v>1000</v>
      </c>
      <c r="M164" s="25">
        <v>100</v>
      </c>
      <c r="N164" s="26">
        <f t="shared" si="2"/>
        <v>257.92</v>
      </c>
      <c r="O164" s="26"/>
      <c r="P164" s="68" t="s">
        <v>1027</v>
      </c>
      <c r="Q164" s="76">
        <v>46143</v>
      </c>
      <c r="R164" s="68" t="s">
        <v>1027</v>
      </c>
      <c r="S164" s="68" t="s">
        <v>1032</v>
      </c>
      <c r="T164" s="68" t="s">
        <v>1027</v>
      </c>
      <c r="U164" s="29" t="s">
        <v>289</v>
      </c>
      <c r="V164" s="29"/>
      <c r="X164" s="24">
        <v>10</v>
      </c>
      <c r="Y164" s="24">
        <v>0</v>
      </c>
    </row>
    <row r="165" spans="1:25" x14ac:dyDescent="0.2">
      <c r="A165" s="27" t="s">
        <v>592</v>
      </c>
      <c r="B165" s="27" t="s">
        <v>593</v>
      </c>
      <c r="C165" s="28" t="s">
        <v>594</v>
      </c>
      <c r="D165" s="28" t="s">
        <v>163</v>
      </c>
      <c r="E165" s="22">
        <v>20</v>
      </c>
      <c r="F165" s="22">
        <v>1</v>
      </c>
      <c r="G165" s="21">
        <v>10</v>
      </c>
      <c r="H165" s="23">
        <v>3.68</v>
      </c>
      <c r="I165" s="24">
        <v>20</v>
      </c>
      <c r="J165" s="21">
        <v>1569</v>
      </c>
      <c r="K165" s="24" t="s">
        <v>23</v>
      </c>
      <c r="L165" s="24" t="s">
        <v>1000</v>
      </c>
      <c r="M165" s="25">
        <v>70</v>
      </c>
      <c r="N165" s="26">
        <f t="shared" si="2"/>
        <v>257.60000000000002</v>
      </c>
      <c r="O165" s="26"/>
      <c r="P165" s="68" t="s">
        <v>1027</v>
      </c>
      <c r="Q165" s="76">
        <v>46143</v>
      </c>
      <c r="R165" s="68" t="s">
        <v>1027</v>
      </c>
      <c r="S165" s="68" t="s">
        <v>1032</v>
      </c>
      <c r="T165" s="68" t="s">
        <v>1027</v>
      </c>
      <c r="U165" s="29" t="s">
        <v>289</v>
      </c>
      <c r="V165" s="29"/>
      <c r="X165" s="24">
        <v>0</v>
      </c>
      <c r="Y165" s="24">
        <v>0</v>
      </c>
    </row>
    <row r="166" spans="1:25" x14ac:dyDescent="0.2">
      <c r="A166" s="1" t="s">
        <v>595</v>
      </c>
      <c r="B166" s="1" t="s">
        <v>596</v>
      </c>
      <c r="C166" s="1" t="s">
        <v>597</v>
      </c>
      <c r="D166" s="1" t="s">
        <v>374</v>
      </c>
      <c r="E166" s="22">
        <v>10</v>
      </c>
      <c r="F166" s="22">
        <v>5000</v>
      </c>
      <c r="G166" s="21">
        <v>15</v>
      </c>
      <c r="H166" s="23">
        <v>0.28599999999999998</v>
      </c>
      <c r="I166" s="24">
        <v>10</v>
      </c>
      <c r="J166" s="21">
        <v>0</v>
      </c>
      <c r="K166" s="24" t="s">
        <v>23</v>
      </c>
      <c r="L166" s="24" t="s">
        <v>1000</v>
      </c>
      <c r="M166" s="25">
        <v>900</v>
      </c>
      <c r="N166" s="26">
        <f t="shared" si="2"/>
        <v>257.39999999999998</v>
      </c>
      <c r="O166" s="26"/>
      <c r="P166" s="68" t="s">
        <v>1027</v>
      </c>
      <c r="Q166" s="76">
        <v>46197</v>
      </c>
      <c r="R166" s="68" t="s">
        <v>1027</v>
      </c>
      <c r="S166" s="68" t="s">
        <v>1032</v>
      </c>
      <c r="T166" s="68" t="s">
        <v>1027</v>
      </c>
      <c r="U166" s="29" t="s">
        <v>289</v>
      </c>
      <c r="V166" s="29"/>
      <c r="X166" s="24">
        <v>10</v>
      </c>
      <c r="Y166" s="24">
        <v>0</v>
      </c>
    </row>
    <row r="167" spans="1:25" x14ac:dyDescent="0.2">
      <c r="A167" s="1" t="s">
        <v>598</v>
      </c>
      <c r="B167" s="1" t="s">
        <v>599</v>
      </c>
      <c r="C167" s="1" t="s">
        <v>600</v>
      </c>
      <c r="D167" s="1" t="s">
        <v>601</v>
      </c>
      <c r="E167" s="22">
        <v>10</v>
      </c>
      <c r="F167" s="22">
        <v>2500</v>
      </c>
      <c r="G167" s="21">
        <v>58</v>
      </c>
      <c r="H167" s="23">
        <v>0.64300000000000002</v>
      </c>
      <c r="I167" s="24">
        <v>10</v>
      </c>
      <c r="J167" s="21">
        <v>1889</v>
      </c>
      <c r="K167" s="24" t="s">
        <v>23</v>
      </c>
      <c r="L167" s="24" t="s">
        <v>1000</v>
      </c>
      <c r="M167" s="25">
        <v>400</v>
      </c>
      <c r="N167" s="26">
        <f t="shared" si="2"/>
        <v>257.2</v>
      </c>
      <c r="O167" s="26"/>
      <c r="P167" s="68" t="s">
        <v>1048</v>
      </c>
      <c r="Q167" s="76" t="s">
        <v>1028</v>
      </c>
      <c r="R167" s="68"/>
      <c r="S167" s="68" t="s">
        <v>1028</v>
      </c>
      <c r="T167" s="68"/>
      <c r="U167" s="29" t="s">
        <v>289</v>
      </c>
      <c r="V167" s="29"/>
      <c r="X167" s="24">
        <v>0</v>
      </c>
      <c r="Y167" s="24">
        <v>0</v>
      </c>
    </row>
    <row r="168" spans="1:25" x14ac:dyDescent="0.2">
      <c r="A168" s="1" t="s">
        <v>602</v>
      </c>
      <c r="B168" s="1" t="s">
        <v>603</v>
      </c>
      <c r="C168" s="1" t="s">
        <v>604</v>
      </c>
      <c r="D168" s="1" t="s">
        <v>605</v>
      </c>
      <c r="E168" s="22">
        <v>40</v>
      </c>
      <c r="F168" s="22">
        <v>1000</v>
      </c>
      <c r="G168" s="21">
        <v>17</v>
      </c>
      <c r="H168" s="23">
        <v>3.2149999999999999</v>
      </c>
      <c r="I168" s="24">
        <v>40</v>
      </c>
      <c r="J168" s="21">
        <v>7754</v>
      </c>
      <c r="K168" s="24" t="s">
        <v>23</v>
      </c>
      <c r="L168" s="24" t="s">
        <v>1000</v>
      </c>
      <c r="M168" s="25">
        <v>80</v>
      </c>
      <c r="N168" s="26">
        <f t="shared" si="2"/>
        <v>257.2</v>
      </c>
      <c r="O168" s="26"/>
      <c r="P168" s="68" t="s">
        <v>1027</v>
      </c>
      <c r="Q168" s="76">
        <v>46143</v>
      </c>
      <c r="R168" s="68" t="s">
        <v>1027</v>
      </c>
      <c r="S168" s="68" t="s">
        <v>1032</v>
      </c>
      <c r="T168" s="68" t="s">
        <v>1027</v>
      </c>
      <c r="U168" s="29" t="s">
        <v>289</v>
      </c>
      <c r="V168" s="29"/>
      <c r="X168" s="24">
        <v>100</v>
      </c>
      <c r="Y168" s="24">
        <v>9</v>
      </c>
    </row>
    <row r="169" spans="1:25" x14ac:dyDescent="0.2">
      <c r="A169" s="1" t="s">
        <v>606</v>
      </c>
      <c r="B169" s="1" t="s">
        <v>607</v>
      </c>
      <c r="C169" s="1" t="s">
        <v>608</v>
      </c>
      <c r="D169" s="1" t="s">
        <v>64</v>
      </c>
      <c r="E169" s="22">
        <v>105</v>
      </c>
      <c r="F169" s="22">
        <v>1</v>
      </c>
      <c r="G169" s="21">
        <v>11</v>
      </c>
      <c r="H169" s="23">
        <v>0.3024</v>
      </c>
      <c r="I169" s="24">
        <v>105</v>
      </c>
      <c r="J169" s="21">
        <v>0</v>
      </c>
      <c r="K169" s="24" t="s">
        <v>69</v>
      </c>
      <c r="L169" s="24" t="s">
        <v>1000</v>
      </c>
      <c r="M169" s="25">
        <v>850</v>
      </c>
      <c r="N169" s="26">
        <f t="shared" si="2"/>
        <v>257.04000000000002</v>
      </c>
      <c r="O169" s="26"/>
      <c r="P169" s="68" t="s">
        <v>1027</v>
      </c>
      <c r="Q169" s="76">
        <v>46143</v>
      </c>
      <c r="R169" s="68" t="s">
        <v>1027</v>
      </c>
      <c r="S169" s="68" t="s">
        <v>1031</v>
      </c>
      <c r="T169" s="68" t="s">
        <v>1027</v>
      </c>
      <c r="U169" s="29" t="s">
        <v>289</v>
      </c>
      <c r="V169" s="29"/>
      <c r="X169" s="24">
        <v>104</v>
      </c>
      <c r="Y169" s="24">
        <v>68</v>
      </c>
    </row>
    <row r="170" spans="1:25" x14ac:dyDescent="0.2">
      <c r="A170" s="1" t="s">
        <v>609</v>
      </c>
      <c r="B170" s="1" t="s">
        <v>610</v>
      </c>
      <c r="C170" s="1" t="s">
        <v>611</v>
      </c>
      <c r="D170" s="1" t="s">
        <v>307</v>
      </c>
      <c r="E170" s="22">
        <v>125</v>
      </c>
      <c r="F170" s="22">
        <v>5000</v>
      </c>
      <c r="G170" s="21">
        <v>21</v>
      </c>
      <c r="H170" s="23">
        <v>8.5500000000000007E-2</v>
      </c>
      <c r="I170" s="24">
        <v>125</v>
      </c>
      <c r="J170" s="21">
        <v>8875</v>
      </c>
      <c r="K170" s="24" t="s">
        <v>23</v>
      </c>
      <c r="L170" s="24" t="s">
        <v>1000</v>
      </c>
      <c r="M170" s="25">
        <v>3000</v>
      </c>
      <c r="N170" s="26">
        <f t="shared" si="2"/>
        <v>256.5</v>
      </c>
      <c r="O170" s="26"/>
      <c r="P170" s="68" t="s">
        <v>1027</v>
      </c>
      <c r="Q170" s="76">
        <v>46143</v>
      </c>
      <c r="R170" s="68" t="s">
        <v>1027</v>
      </c>
      <c r="S170" s="68" t="s">
        <v>1030</v>
      </c>
      <c r="T170" s="68" t="s">
        <v>1027</v>
      </c>
      <c r="U170" s="29" t="s">
        <v>289</v>
      </c>
      <c r="V170" s="29"/>
      <c r="X170" s="24">
        <v>160</v>
      </c>
      <c r="Y170" s="24">
        <v>140</v>
      </c>
    </row>
    <row r="171" spans="1:25" x14ac:dyDescent="0.2">
      <c r="A171" s="1" t="s">
        <v>612</v>
      </c>
      <c r="B171" s="1" t="s">
        <v>613</v>
      </c>
      <c r="C171" s="1" t="s">
        <v>614</v>
      </c>
      <c r="D171" s="1" t="s">
        <v>299</v>
      </c>
      <c r="E171" s="22">
        <v>85</v>
      </c>
      <c r="F171" s="22">
        <v>1</v>
      </c>
      <c r="G171" s="21">
        <v>6</v>
      </c>
      <c r="H171" s="23">
        <v>1.71</v>
      </c>
      <c r="I171" s="24">
        <v>85</v>
      </c>
      <c r="J171" s="21">
        <v>1836</v>
      </c>
      <c r="K171" s="24" t="s">
        <v>23</v>
      </c>
      <c r="L171" s="24" t="s">
        <v>1000</v>
      </c>
      <c r="M171" s="25">
        <v>150</v>
      </c>
      <c r="N171" s="26">
        <f t="shared" si="2"/>
        <v>256.5</v>
      </c>
      <c r="O171" s="26"/>
      <c r="P171" s="68" t="s">
        <v>1027</v>
      </c>
      <c r="Q171" s="76">
        <v>46143</v>
      </c>
      <c r="R171" s="68" t="s">
        <v>1027</v>
      </c>
      <c r="S171" s="68" t="s">
        <v>1030</v>
      </c>
      <c r="T171" s="68" t="s">
        <v>1027</v>
      </c>
      <c r="U171" s="29" t="s">
        <v>289</v>
      </c>
      <c r="V171" s="29"/>
      <c r="X171" s="24">
        <v>130</v>
      </c>
      <c r="Y171" s="24">
        <v>80</v>
      </c>
    </row>
    <row r="172" spans="1:25" x14ac:dyDescent="0.2">
      <c r="A172" s="1" t="s">
        <v>615</v>
      </c>
      <c r="B172" s="1" t="s">
        <v>616</v>
      </c>
      <c r="C172" s="1" t="s">
        <v>617</v>
      </c>
      <c r="D172" s="1" t="s">
        <v>311</v>
      </c>
      <c r="E172" s="22">
        <v>10</v>
      </c>
      <c r="F172" s="22">
        <v>37</v>
      </c>
      <c r="G172" s="21">
        <v>20</v>
      </c>
      <c r="H172" s="23">
        <v>7.3281999999999998</v>
      </c>
      <c r="I172" s="24">
        <v>10</v>
      </c>
      <c r="J172" s="21">
        <v>1967</v>
      </c>
      <c r="K172" s="24" t="s">
        <v>23</v>
      </c>
      <c r="L172" s="24" t="s">
        <v>1000</v>
      </c>
      <c r="M172" s="25">
        <v>35</v>
      </c>
      <c r="N172" s="26">
        <f t="shared" si="2"/>
        <v>256.48699999999997</v>
      </c>
      <c r="O172" s="26"/>
      <c r="P172" s="68" t="s">
        <v>1027</v>
      </c>
      <c r="Q172" s="76">
        <v>46143</v>
      </c>
      <c r="R172" s="68" t="s">
        <v>1027</v>
      </c>
      <c r="S172" s="68" t="s">
        <v>1035</v>
      </c>
      <c r="T172" s="68" t="s">
        <v>1048</v>
      </c>
      <c r="U172" s="29" t="s">
        <v>289</v>
      </c>
      <c r="V172" s="29"/>
      <c r="X172" s="24">
        <v>3</v>
      </c>
      <c r="Y172" s="24">
        <v>3</v>
      </c>
    </row>
    <row r="173" spans="1:25" x14ac:dyDescent="0.2">
      <c r="A173" s="1" t="s">
        <v>618</v>
      </c>
      <c r="B173" s="1" t="s">
        <v>619</v>
      </c>
      <c r="C173" s="1" t="s">
        <v>620</v>
      </c>
      <c r="D173" s="1" t="s">
        <v>236</v>
      </c>
      <c r="E173" s="22">
        <v>40</v>
      </c>
      <c r="F173" s="22">
        <v>1</v>
      </c>
      <c r="G173" s="21">
        <v>31</v>
      </c>
      <c r="H173" s="23">
        <v>2.23</v>
      </c>
      <c r="I173" s="24">
        <v>40</v>
      </c>
      <c r="J173" s="21">
        <v>1045</v>
      </c>
      <c r="K173" s="24" t="s">
        <v>23</v>
      </c>
      <c r="L173" s="24" t="s">
        <v>1000</v>
      </c>
      <c r="M173" s="25">
        <v>115</v>
      </c>
      <c r="N173" s="26">
        <f t="shared" si="2"/>
        <v>256.45</v>
      </c>
      <c r="O173" s="26"/>
      <c r="P173" s="68" t="s">
        <v>1027</v>
      </c>
      <c r="Q173" s="76">
        <v>46197</v>
      </c>
      <c r="R173" s="68" t="s">
        <v>1027</v>
      </c>
      <c r="S173" s="68" t="s">
        <v>1034</v>
      </c>
      <c r="T173" s="68" t="s">
        <v>1027</v>
      </c>
      <c r="U173" s="29" t="s">
        <v>289</v>
      </c>
      <c r="V173" s="29"/>
      <c r="X173" s="24">
        <v>4</v>
      </c>
      <c r="Y173" s="24">
        <v>4</v>
      </c>
    </row>
    <row r="174" spans="1:25" x14ac:dyDescent="0.2">
      <c r="A174" s="1" t="s">
        <v>621</v>
      </c>
      <c r="B174" s="1" t="s">
        <v>622</v>
      </c>
      <c r="C174" s="1" t="s">
        <v>623</v>
      </c>
      <c r="D174" s="1" t="s">
        <v>307</v>
      </c>
      <c r="E174" s="22">
        <v>40</v>
      </c>
      <c r="F174" s="22">
        <v>5000</v>
      </c>
      <c r="G174" s="21">
        <v>23</v>
      </c>
      <c r="H174" s="23">
        <v>8.5400000000000004E-2</v>
      </c>
      <c r="I174" s="24">
        <v>40</v>
      </c>
      <c r="J174" s="21">
        <v>7088</v>
      </c>
      <c r="K174" s="24" t="s">
        <v>23</v>
      </c>
      <c r="L174" s="24" t="s">
        <v>1000</v>
      </c>
      <c r="M174" s="25">
        <v>3000</v>
      </c>
      <c r="N174" s="26">
        <f t="shared" si="2"/>
        <v>256.2</v>
      </c>
      <c r="O174" s="26"/>
      <c r="P174" s="68" t="s">
        <v>1027</v>
      </c>
      <c r="Q174" s="76">
        <v>46143</v>
      </c>
      <c r="R174" s="68" t="s">
        <v>1027</v>
      </c>
      <c r="S174" s="68" t="s">
        <v>1032</v>
      </c>
      <c r="T174" s="68" t="s">
        <v>1027</v>
      </c>
      <c r="U174" s="29" t="s">
        <v>289</v>
      </c>
      <c r="V174" s="29"/>
      <c r="X174" s="24">
        <v>32</v>
      </c>
      <c r="Y174" s="24">
        <v>0</v>
      </c>
    </row>
    <row r="175" spans="1:25" x14ac:dyDescent="0.2">
      <c r="A175" s="1" t="s">
        <v>624</v>
      </c>
      <c r="B175" s="1" t="s">
        <v>625</v>
      </c>
      <c r="C175" s="1" t="s">
        <v>626</v>
      </c>
      <c r="D175" s="1" t="s">
        <v>311</v>
      </c>
      <c r="E175" s="22">
        <v>20</v>
      </c>
      <c r="F175" s="22">
        <v>1</v>
      </c>
      <c r="G175" s="21">
        <v>31</v>
      </c>
      <c r="H175" s="23">
        <v>6.3993000000000002</v>
      </c>
      <c r="I175" s="24">
        <v>20</v>
      </c>
      <c r="J175" s="21">
        <v>6843</v>
      </c>
      <c r="K175" s="24" t="s">
        <v>23</v>
      </c>
      <c r="L175" s="24" t="s">
        <v>1000</v>
      </c>
      <c r="M175" s="25">
        <v>40</v>
      </c>
      <c r="N175" s="26">
        <f t="shared" si="2"/>
        <v>255.97200000000001</v>
      </c>
      <c r="O175" s="26"/>
      <c r="P175" s="68" t="s">
        <v>1027</v>
      </c>
      <c r="Q175" s="76">
        <v>46143</v>
      </c>
      <c r="R175" s="68" t="s">
        <v>1027</v>
      </c>
      <c r="S175" s="68" t="s">
        <v>1035</v>
      </c>
      <c r="T175" s="68" t="s">
        <v>1048</v>
      </c>
      <c r="U175" s="29" t="s">
        <v>289</v>
      </c>
      <c r="V175" s="29"/>
      <c r="X175" s="24">
        <v>0</v>
      </c>
      <c r="Y175" s="24">
        <v>0</v>
      </c>
    </row>
    <row r="176" spans="1:25" x14ac:dyDescent="0.2">
      <c r="A176" s="1" t="s">
        <v>627</v>
      </c>
      <c r="B176" s="1" t="s">
        <v>628</v>
      </c>
      <c r="C176" s="1" t="s">
        <v>629</v>
      </c>
      <c r="D176" s="1" t="s">
        <v>76</v>
      </c>
      <c r="E176" s="22">
        <v>30</v>
      </c>
      <c r="F176" s="22">
        <v>3000</v>
      </c>
      <c r="G176" s="21">
        <v>15</v>
      </c>
      <c r="H176" s="23">
        <v>0.63949999999999996</v>
      </c>
      <c r="I176" s="24">
        <v>30</v>
      </c>
      <c r="J176" s="21">
        <v>5562</v>
      </c>
      <c r="K176" s="24" t="s">
        <v>23</v>
      </c>
      <c r="L176" s="24" t="s">
        <v>1000</v>
      </c>
      <c r="M176" s="25">
        <v>400</v>
      </c>
      <c r="N176" s="26">
        <f t="shared" si="2"/>
        <v>255.79999999999998</v>
      </c>
      <c r="O176" s="26"/>
      <c r="P176" s="68" t="s">
        <v>1048</v>
      </c>
      <c r="Q176" s="76"/>
      <c r="R176" s="68"/>
      <c r="S176" s="68"/>
      <c r="T176" s="68"/>
      <c r="U176" s="29" t="s">
        <v>289</v>
      </c>
      <c r="V176" s="29"/>
      <c r="X176" s="24">
        <v>159</v>
      </c>
      <c r="Y176" s="24">
        <v>33</v>
      </c>
    </row>
    <row r="177" spans="1:25" x14ac:dyDescent="0.2">
      <c r="A177" s="27" t="s">
        <v>630</v>
      </c>
      <c r="B177" s="27" t="s">
        <v>631</v>
      </c>
      <c r="C177" s="28" t="s">
        <v>632</v>
      </c>
      <c r="D177" s="28" t="s">
        <v>374</v>
      </c>
      <c r="E177" s="22">
        <v>5</v>
      </c>
      <c r="F177" s="22">
        <v>5000</v>
      </c>
      <c r="G177" s="21">
        <v>14</v>
      </c>
      <c r="H177" s="23">
        <v>0.93</v>
      </c>
      <c r="I177" s="24">
        <v>0</v>
      </c>
      <c r="J177" s="21">
        <v>0</v>
      </c>
      <c r="K177" s="24" t="s">
        <v>23</v>
      </c>
      <c r="L177" s="24" t="s">
        <v>1000</v>
      </c>
      <c r="M177" s="25">
        <v>275</v>
      </c>
      <c r="N177" s="26">
        <f t="shared" si="2"/>
        <v>255.75</v>
      </c>
      <c r="O177" s="26"/>
      <c r="P177" s="68" t="s">
        <v>1027</v>
      </c>
      <c r="Q177" s="76">
        <v>46190</v>
      </c>
      <c r="R177" s="68" t="s">
        <v>1027</v>
      </c>
      <c r="S177" s="68" t="s">
        <v>1030</v>
      </c>
      <c r="T177" s="68" t="s">
        <v>1027</v>
      </c>
      <c r="U177" s="29" t="s">
        <v>289</v>
      </c>
      <c r="V177" s="29"/>
      <c r="X177" s="24">
        <v>15</v>
      </c>
      <c r="Y177" s="24">
        <v>0</v>
      </c>
    </row>
    <row r="178" spans="1:25" x14ac:dyDescent="0.2">
      <c r="A178" s="27" t="s">
        <v>633</v>
      </c>
      <c r="B178" s="27" t="s">
        <v>634</v>
      </c>
      <c r="C178" s="28" t="s">
        <v>635</v>
      </c>
      <c r="D178" s="28" t="s">
        <v>32</v>
      </c>
      <c r="E178" s="22">
        <v>20</v>
      </c>
      <c r="F178" s="22">
        <v>1</v>
      </c>
      <c r="G178" s="21">
        <v>7</v>
      </c>
      <c r="H178" s="23">
        <v>12.782</v>
      </c>
      <c r="I178" s="24">
        <v>20</v>
      </c>
      <c r="J178" s="21">
        <v>3416</v>
      </c>
      <c r="K178" s="24" t="s">
        <v>23</v>
      </c>
      <c r="L178" s="24" t="s">
        <v>1000</v>
      </c>
      <c r="M178" s="21">
        <v>20</v>
      </c>
      <c r="N178" s="26">
        <f t="shared" si="2"/>
        <v>255.64</v>
      </c>
      <c r="O178" s="26"/>
      <c r="P178" s="68" t="s">
        <v>1027</v>
      </c>
      <c r="Q178" s="76">
        <v>46143</v>
      </c>
      <c r="R178" s="68" t="s">
        <v>1027</v>
      </c>
      <c r="S178" s="68" t="s">
        <v>1031</v>
      </c>
      <c r="T178" s="68" t="s">
        <v>1027</v>
      </c>
      <c r="U178" s="27"/>
      <c r="V178" s="27"/>
      <c r="X178" s="24">
        <v>24</v>
      </c>
      <c r="Y178" s="24">
        <v>1</v>
      </c>
    </row>
    <row r="179" spans="1:25" x14ac:dyDescent="0.2">
      <c r="A179" s="1" t="s">
        <v>636</v>
      </c>
      <c r="B179" s="1" t="s">
        <v>637</v>
      </c>
      <c r="C179" s="1" t="s">
        <v>638</v>
      </c>
      <c r="D179" s="1" t="s">
        <v>276</v>
      </c>
      <c r="E179" s="22">
        <v>160</v>
      </c>
      <c r="F179" s="22">
        <v>5000</v>
      </c>
      <c r="G179" s="21">
        <v>17</v>
      </c>
      <c r="H179" s="23">
        <v>0.82299999999999995</v>
      </c>
      <c r="I179" s="24">
        <v>160</v>
      </c>
      <c r="J179" s="21">
        <v>0</v>
      </c>
      <c r="K179" s="24" t="s">
        <v>23</v>
      </c>
      <c r="L179" s="24" t="s">
        <v>1000</v>
      </c>
      <c r="M179" s="25">
        <v>310</v>
      </c>
      <c r="N179" s="26">
        <f t="shared" si="2"/>
        <v>255.13</v>
      </c>
      <c r="O179" s="26"/>
      <c r="P179" s="68" t="s">
        <v>1048</v>
      </c>
      <c r="Q179" s="76"/>
      <c r="R179" s="68"/>
      <c r="S179" s="68"/>
      <c r="T179" s="68"/>
      <c r="U179" s="29" t="s">
        <v>289</v>
      </c>
      <c r="V179" s="29"/>
      <c r="X179" s="24">
        <v>186</v>
      </c>
      <c r="Y179" s="24">
        <v>75</v>
      </c>
    </row>
    <row r="180" spans="1:25" x14ac:dyDescent="0.2">
      <c r="A180" s="1" t="s">
        <v>639</v>
      </c>
      <c r="B180" s="1" t="s">
        <v>640</v>
      </c>
      <c r="C180" s="1" t="s">
        <v>641</v>
      </c>
      <c r="D180" s="1" t="s">
        <v>307</v>
      </c>
      <c r="E180" s="22">
        <v>170</v>
      </c>
      <c r="F180" s="22">
        <v>1</v>
      </c>
      <c r="G180" s="21">
        <v>23</v>
      </c>
      <c r="H180" s="23">
        <v>8.5000000000000006E-2</v>
      </c>
      <c r="I180" s="24">
        <v>170</v>
      </c>
      <c r="J180" s="21">
        <v>0</v>
      </c>
      <c r="K180" s="24" t="s">
        <v>23</v>
      </c>
      <c r="L180" s="24" t="s">
        <v>1000</v>
      </c>
      <c r="M180" s="25">
        <v>3000</v>
      </c>
      <c r="N180" s="26">
        <f t="shared" si="2"/>
        <v>255.00000000000003</v>
      </c>
      <c r="O180" s="26"/>
      <c r="P180" s="68" t="s">
        <v>1027</v>
      </c>
      <c r="Q180" s="76">
        <v>46143</v>
      </c>
      <c r="R180" s="68" t="s">
        <v>1027</v>
      </c>
      <c r="S180" s="68" t="s">
        <v>1030</v>
      </c>
      <c r="T180" s="68" t="s">
        <v>1027</v>
      </c>
      <c r="U180" s="29" t="s">
        <v>289</v>
      </c>
      <c r="V180" s="29"/>
      <c r="X180" s="24">
        <v>120</v>
      </c>
      <c r="Y180" s="24">
        <v>0</v>
      </c>
    </row>
    <row r="181" spans="1:25" x14ac:dyDescent="0.2">
      <c r="A181" s="27" t="s">
        <v>642</v>
      </c>
      <c r="B181" s="27" t="s">
        <v>643</v>
      </c>
      <c r="C181" s="28" t="s">
        <v>644</v>
      </c>
      <c r="D181" s="28" t="s">
        <v>645</v>
      </c>
      <c r="E181" s="22">
        <v>30</v>
      </c>
      <c r="F181" s="22">
        <v>800</v>
      </c>
      <c r="G181" s="21">
        <v>18</v>
      </c>
      <c r="H181" s="23">
        <v>4.25</v>
      </c>
      <c r="I181" s="24">
        <v>30</v>
      </c>
      <c r="J181" s="21">
        <v>530</v>
      </c>
      <c r="K181" s="24" t="s">
        <v>23</v>
      </c>
      <c r="L181" s="24" t="s">
        <v>1000</v>
      </c>
      <c r="M181" s="25">
        <v>60</v>
      </c>
      <c r="N181" s="26">
        <f t="shared" si="2"/>
        <v>255</v>
      </c>
      <c r="O181" s="26"/>
      <c r="P181" s="68" t="s">
        <v>1027</v>
      </c>
      <c r="Q181" s="76">
        <v>46295</v>
      </c>
      <c r="R181" s="68" t="s">
        <v>1027</v>
      </c>
      <c r="S181" s="68" t="s">
        <v>1030</v>
      </c>
      <c r="T181" s="68" t="s">
        <v>1027</v>
      </c>
      <c r="U181" s="29" t="s">
        <v>289</v>
      </c>
      <c r="V181" s="29"/>
      <c r="X181" s="24">
        <v>45</v>
      </c>
      <c r="Y181" s="24">
        <v>11</v>
      </c>
    </row>
    <row r="182" spans="1:25" x14ac:dyDescent="0.2">
      <c r="A182" s="1" t="s">
        <v>646</v>
      </c>
      <c r="B182" s="1" t="s">
        <v>647</v>
      </c>
      <c r="C182" s="1" t="s">
        <v>648</v>
      </c>
      <c r="D182" s="1" t="s">
        <v>261</v>
      </c>
      <c r="E182" s="22">
        <v>10</v>
      </c>
      <c r="F182" s="22">
        <v>400</v>
      </c>
      <c r="G182" s="21">
        <v>28</v>
      </c>
      <c r="H182" s="23">
        <v>3.1850000000000001</v>
      </c>
      <c r="I182" s="24">
        <v>10</v>
      </c>
      <c r="J182" s="21">
        <v>2758</v>
      </c>
      <c r="K182" s="24" t="s">
        <v>23</v>
      </c>
      <c r="L182" s="24" t="s">
        <v>1000</v>
      </c>
      <c r="M182" s="25">
        <v>80</v>
      </c>
      <c r="N182" s="26">
        <f t="shared" si="2"/>
        <v>254.8</v>
      </c>
      <c r="O182" s="26"/>
      <c r="P182" s="68" t="s">
        <v>1027</v>
      </c>
      <c r="Q182" s="76">
        <v>46143</v>
      </c>
      <c r="R182" s="68" t="s">
        <v>1027</v>
      </c>
      <c r="S182" s="68" t="s">
        <v>1036</v>
      </c>
      <c r="T182" s="68" t="s">
        <v>1027</v>
      </c>
      <c r="U182" s="29" t="s">
        <v>289</v>
      </c>
      <c r="V182" s="29"/>
      <c r="X182" s="24">
        <v>0</v>
      </c>
      <c r="Y182" s="24">
        <v>0</v>
      </c>
    </row>
    <row r="183" spans="1:25" x14ac:dyDescent="0.2">
      <c r="A183" s="1" t="s">
        <v>649</v>
      </c>
      <c r="B183" s="1" t="s">
        <v>650</v>
      </c>
      <c r="C183" s="1" t="s">
        <v>651</v>
      </c>
      <c r="D183" s="1" t="s">
        <v>76</v>
      </c>
      <c r="E183" s="22">
        <v>10</v>
      </c>
      <c r="F183" s="22">
        <v>2000</v>
      </c>
      <c r="G183" s="21">
        <v>12</v>
      </c>
      <c r="H183" s="23">
        <v>7.2714999999999996</v>
      </c>
      <c r="I183" s="24">
        <v>10</v>
      </c>
      <c r="J183" s="21">
        <v>7859</v>
      </c>
      <c r="K183" s="24" t="s">
        <v>23</v>
      </c>
      <c r="L183" s="24" t="s">
        <v>1000</v>
      </c>
      <c r="M183" s="25">
        <v>35</v>
      </c>
      <c r="N183" s="26">
        <f t="shared" si="2"/>
        <v>254.5025</v>
      </c>
      <c r="O183" s="26"/>
      <c r="P183" s="68" t="s">
        <v>1027</v>
      </c>
      <c r="Q183" s="76">
        <v>46143</v>
      </c>
      <c r="R183" s="68" t="s">
        <v>1027</v>
      </c>
      <c r="S183" s="68" t="s">
        <v>1029</v>
      </c>
      <c r="T183" s="68" t="s">
        <v>1027</v>
      </c>
      <c r="U183" s="29" t="s">
        <v>289</v>
      </c>
      <c r="V183" s="29"/>
      <c r="X183" s="24">
        <v>10</v>
      </c>
      <c r="Y183" s="24">
        <v>0</v>
      </c>
    </row>
    <row r="184" spans="1:25" x14ac:dyDescent="0.2">
      <c r="A184" s="27" t="s">
        <v>652</v>
      </c>
      <c r="B184" s="27" t="s">
        <v>653</v>
      </c>
      <c r="C184" s="28" t="s">
        <v>654</v>
      </c>
      <c r="D184" s="28" t="s">
        <v>94</v>
      </c>
      <c r="E184" s="22">
        <v>10</v>
      </c>
      <c r="F184" s="22">
        <v>13</v>
      </c>
      <c r="G184" s="21">
        <v>12</v>
      </c>
      <c r="H184" s="23">
        <v>7.25</v>
      </c>
      <c r="I184" s="24">
        <v>10</v>
      </c>
      <c r="J184" s="21">
        <v>1550</v>
      </c>
      <c r="K184" s="24" t="s">
        <v>23</v>
      </c>
      <c r="L184" s="24" t="s">
        <v>1000</v>
      </c>
      <c r="M184" s="25">
        <v>35</v>
      </c>
      <c r="N184" s="26">
        <f t="shared" si="2"/>
        <v>253.75</v>
      </c>
      <c r="O184" s="26"/>
      <c r="P184" s="68" t="s">
        <v>1027</v>
      </c>
      <c r="Q184" s="76">
        <v>46143</v>
      </c>
      <c r="R184" s="68" t="s">
        <v>1027</v>
      </c>
      <c r="S184" s="68" t="s">
        <v>1032</v>
      </c>
      <c r="T184" s="68" t="s">
        <v>1027</v>
      </c>
      <c r="U184" s="29" t="s">
        <v>289</v>
      </c>
      <c r="V184" s="29"/>
      <c r="X184" s="24">
        <v>15</v>
      </c>
      <c r="Y184" s="24">
        <v>3</v>
      </c>
    </row>
    <row r="185" spans="1:25" x14ac:dyDescent="0.2">
      <c r="A185" s="1" t="s">
        <v>655</v>
      </c>
      <c r="B185" s="1" t="s">
        <v>656</v>
      </c>
      <c r="C185" s="1" t="s">
        <v>657</v>
      </c>
      <c r="D185" s="1" t="s">
        <v>102</v>
      </c>
      <c r="E185" s="22">
        <v>20</v>
      </c>
      <c r="F185" s="22">
        <v>1</v>
      </c>
      <c r="G185" s="21">
        <v>29</v>
      </c>
      <c r="H185" s="23">
        <v>1.4093</v>
      </c>
      <c r="I185" s="24">
        <v>20</v>
      </c>
      <c r="J185" s="21">
        <v>1484</v>
      </c>
      <c r="K185" s="24" t="s">
        <v>23</v>
      </c>
      <c r="L185" s="24" t="s">
        <v>1000</v>
      </c>
      <c r="M185" s="25">
        <v>180</v>
      </c>
      <c r="N185" s="26">
        <f t="shared" si="2"/>
        <v>253.67400000000001</v>
      </c>
      <c r="O185" s="26"/>
      <c r="P185" s="68" t="s">
        <v>1027</v>
      </c>
      <c r="Q185" s="76">
        <v>46143</v>
      </c>
      <c r="R185" s="68" t="s">
        <v>1027</v>
      </c>
      <c r="S185" s="68" t="s">
        <v>1032</v>
      </c>
      <c r="T185" s="68" t="s">
        <v>1027</v>
      </c>
      <c r="U185" s="29" t="s">
        <v>289</v>
      </c>
      <c r="V185" s="29"/>
      <c r="X185" s="24">
        <v>0</v>
      </c>
      <c r="Y185" s="24">
        <v>0</v>
      </c>
    </row>
    <row r="186" spans="1:25" x14ac:dyDescent="0.2">
      <c r="A186" s="1" t="s">
        <v>658</v>
      </c>
      <c r="B186" s="1" t="s">
        <v>659</v>
      </c>
      <c r="C186" s="1" t="s">
        <v>660</v>
      </c>
      <c r="D186" s="1" t="s">
        <v>661</v>
      </c>
      <c r="E186" s="22">
        <v>10</v>
      </c>
      <c r="F186" s="22">
        <v>1</v>
      </c>
      <c r="G186" s="21">
        <v>13</v>
      </c>
      <c r="H186" s="23">
        <v>1.6906000000000001</v>
      </c>
      <c r="I186" s="24">
        <v>10</v>
      </c>
      <c r="J186" s="21">
        <v>5469</v>
      </c>
      <c r="K186" s="24" t="s">
        <v>23</v>
      </c>
      <c r="L186" s="24" t="s">
        <v>1000</v>
      </c>
      <c r="M186" s="25">
        <v>150</v>
      </c>
      <c r="N186" s="26">
        <f t="shared" si="2"/>
        <v>253.59</v>
      </c>
      <c r="O186" s="26"/>
      <c r="P186" s="68" t="s">
        <v>1027</v>
      </c>
      <c r="Q186" s="76">
        <v>46143</v>
      </c>
      <c r="R186" s="68" t="s">
        <v>1027</v>
      </c>
      <c r="S186" s="68" t="s">
        <v>1031</v>
      </c>
      <c r="T186" s="68" t="s">
        <v>1027</v>
      </c>
      <c r="U186" s="29" t="s">
        <v>289</v>
      </c>
      <c r="V186" s="29"/>
      <c r="X186" s="24">
        <v>15</v>
      </c>
      <c r="Y186" s="24">
        <v>0</v>
      </c>
    </row>
    <row r="187" spans="1:25" x14ac:dyDescent="0.2">
      <c r="A187" s="1" t="s">
        <v>662</v>
      </c>
      <c r="B187" s="1" t="s">
        <v>663</v>
      </c>
      <c r="C187" s="1" t="s">
        <v>664</v>
      </c>
      <c r="D187" s="1" t="s">
        <v>473</v>
      </c>
      <c r="E187" s="22">
        <v>120</v>
      </c>
      <c r="F187" s="22">
        <v>1</v>
      </c>
      <c r="G187" s="21">
        <v>18</v>
      </c>
      <c r="H187" s="23">
        <v>0.84450000000000003</v>
      </c>
      <c r="I187" s="24">
        <v>120</v>
      </c>
      <c r="J187" s="21">
        <v>693</v>
      </c>
      <c r="K187" s="24" t="s">
        <v>23</v>
      </c>
      <c r="L187" s="24" t="s">
        <v>1000</v>
      </c>
      <c r="M187" s="25">
        <v>300</v>
      </c>
      <c r="N187" s="26">
        <f t="shared" si="2"/>
        <v>253.35000000000002</v>
      </c>
      <c r="O187" s="26"/>
      <c r="P187" s="68" t="s">
        <v>1027</v>
      </c>
      <c r="Q187" s="76">
        <v>46143</v>
      </c>
      <c r="R187" s="68" t="s">
        <v>1027</v>
      </c>
      <c r="S187" s="68" t="s">
        <v>1030</v>
      </c>
      <c r="T187" s="68" t="s">
        <v>1027</v>
      </c>
      <c r="U187" s="29" t="s">
        <v>289</v>
      </c>
      <c r="V187" s="29"/>
      <c r="X187" s="24">
        <v>0</v>
      </c>
      <c r="Y187" s="24">
        <v>0</v>
      </c>
    </row>
    <row r="188" spans="1:25" x14ac:dyDescent="0.2">
      <c r="A188" s="1" t="s">
        <v>665</v>
      </c>
      <c r="B188" s="1" t="s">
        <v>666</v>
      </c>
      <c r="C188" s="1" t="s">
        <v>667</v>
      </c>
      <c r="D188" s="1" t="s">
        <v>473</v>
      </c>
      <c r="E188" s="22">
        <v>25</v>
      </c>
      <c r="F188" s="22">
        <v>10000</v>
      </c>
      <c r="G188" s="21">
        <v>17</v>
      </c>
      <c r="H188" s="23">
        <v>0.72350000000000003</v>
      </c>
      <c r="I188" s="24">
        <v>25</v>
      </c>
      <c r="J188" s="21">
        <v>9804</v>
      </c>
      <c r="K188" s="24" t="s">
        <v>23</v>
      </c>
      <c r="L188" s="24" t="s">
        <v>1000</v>
      </c>
      <c r="M188" s="25">
        <v>350</v>
      </c>
      <c r="N188" s="26">
        <f t="shared" si="2"/>
        <v>253.22500000000002</v>
      </c>
      <c r="O188" s="26"/>
      <c r="P188" s="68" t="s">
        <v>1027</v>
      </c>
      <c r="Q188" s="76">
        <v>46143</v>
      </c>
      <c r="R188" s="68" t="s">
        <v>1027</v>
      </c>
      <c r="S188" s="68" t="s">
        <v>1032</v>
      </c>
      <c r="T188" s="68" t="s">
        <v>1027</v>
      </c>
      <c r="U188" s="29" t="s">
        <v>289</v>
      </c>
      <c r="V188" s="29"/>
      <c r="X188" s="24">
        <v>57</v>
      </c>
      <c r="Y188" s="24">
        <v>18</v>
      </c>
    </row>
    <row r="189" spans="1:25" x14ac:dyDescent="0.2">
      <c r="A189" s="1" t="s">
        <v>668</v>
      </c>
      <c r="B189" s="1" t="s">
        <v>669</v>
      </c>
      <c r="C189" s="1" t="s">
        <v>670</v>
      </c>
      <c r="D189" s="1" t="s">
        <v>671</v>
      </c>
      <c r="E189" s="22">
        <v>10</v>
      </c>
      <c r="F189" s="22">
        <v>1</v>
      </c>
      <c r="G189" s="21">
        <v>14</v>
      </c>
      <c r="H189" s="23">
        <v>0.42199999999999999</v>
      </c>
      <c r="I189" s="24">
        <v>10</v>
      </c>
      <c r="J189" s="21">
        <v>8458</v>
      </c>
      <c r="K189" s="24" t="s">
        <v>23</v>
      </c>
      <c r="L189" s="24" t="s">
        <v>1000</v>
      </c>
      <c r="M189" s="25">
        <v>600</v>
      </c>
      <c r="N189" s="26">
        <f t="shared" si="2"/>
        <v>253.2</v>
      </c>
      <c r="O189" s="26"/>
      <c r="P189" s="68" t="s">
        <v>1027</v>
      </c>
      <c r="Q189" s="76">
        <v>46143</v>
      </c>
      <c r="R189" s="68" t="s">
        <v>1027</v>
      </c>
      <c r="S189" s="68" t="s">
        <v>1032</v>
      </c>
      <c r="T189" s="68" t="s">
        <v>1027</v>
      </c>
      <c r="U189" s="29" t="s">
        <v>289</v>
      </c>
      <c r="V189" s="29"/>
      <c r="X189" s="24">
        <v>10</v>
      </c>
      <c r="Y189" s="24">
        <v>0</v>
      </c>
    </row>
    <row r="190" spans="1:25" x14ac:dyDescent="0.2">
      <c r="A190" s="27" t="s">
        <v>672</v>
      </c>
      <c r="B190" s="27" t="s">
        <v>673</v>
      </c>
      <c r="C190" s="28" t="s">
        <v>674</v>
      </c>
      <c r="D190" s="28" t="s">
        <v>374</v>
      </c>
      <c r="E190" s="22">
        <v>100</v>
      </c>
      <c r="F190" s="22">
        <v>1000</v>
      </c>
      <c r="G190" s="21">
        <v>11</v>
      </c>
      <c r="H190" s="23">
        <v>0.40500000000000003</v>
      </c>
      <c r="I190" s="24">
        <v>100</v>
      </c>
      <c r="J190" s="21">
        <v>4813</v>
      </c>
      <c r="K190" s="24" t="s">
        <v>23</v>
      </c>
      <c r="L190" s="24" t="s">
        <v>1000</v>
      </c>
      <c r="M190" s="25">
        <v>625</v>
      </c>
      <c r="N190" s="26">
        <f t="shared" si="2"/>
        <v>253.12500000000003</v>
      </c>
      <c r="O190" s="26"/>
      <c r="P190" s="68" t="s">
        <v>1027</v>
      </c>
      <c r="Q190" s="76">
        <v>46143</v>
      </c>
      <c r="R190" s="68" t="s">
        <v>1027</v>
      </c>
      <c r="S190" s="68" t="s">
        <v>1030</v>
      </c>
      <c r="T190" s="68" t="s">
        <v>1027</v>
      </c>
      <c r="U190" s="29" t="s">
        <v>289</v>
      </c>
      <c r="V190" s="29"/>
      <c r="X190" s="24">
        <v>0</v>
      </c>
      <c r="Y190" s="24">
        <v>0</v>
      </c>
    </row>
    <row r="191" spans="1:25" x14ac:dyDescent="0.2">
      <c r="A191" s="27" t="s">
        <v>675</v>
      </c>
      <c r="B191" s="27" t="s">
        <v>676</v>
      </c>
      <c r="C191" s="28" t="s">
        <v>677</v>
      </c>
      <c r="D191" s="28" t="s">
        <v>678</v>
      </c>
      <c r="E191" s="22">
        <v>20</v>
      </c>
      <c r="F191" s="22">
        <v>1</v>
      </c>
      <c r="G191" s="21">
        <v>27</v>
      </c>
      <c r="H191" s="23">
        <v>4.5986000000000002</v>
      </c>
      <c r="I191" s="24">
        <v>20</v>
      </c>
      <c r="J191" s="21">
        <v>2465</v>
      </c>
      <c r="K191" s="24" t="s">
        <v>23</v>
      </c>
      <c r="L191" s="24" t="s">
        <v>1000</v>
      </c>
      <c r="M191" s="25">
        <v>55</v>
      </c>
      <c r="N191" s="26">
        <f t="shared" si="2"/>
        <v>252.923</v>
      </c>
      <c r="O191" s="26"/>
      <c r="P191" s="68" t="s">
        <v>1027</v>
      </c>
      <c r="Q191" s="76">
        <v>46143</v>
      </c>
      <c r="R191" s="68" t="s">
        <v>1027</v>
      </c>
      <c r="S191" s="68" t="s">
        <v>1031</v>
      </c>
      <c r="T191" s="68" t="s">
        <v>1027</v>
      </c>
      <c r="U191" s="29" t="s">
        <v>289</v>
      </c>
      <c r="V191" s="29"/>
      <c r="X191" s="24">
        <v>85</v>
      </c>
      <c r="Y191" s="24">
        <v>3</v>
      </c>
    </row>
    <row r="192" spans="1:25" x14ac:dyDescent="0.2">
      <c r="A192" s="1" t="s">
        <v>679</v>
      </c>
      <c r="B192" s="1" t="s">
        <v>680</v>
      </c>
      <c r="C192" s="1" t="s">
        <v>681</v>
      </c>
      <c r="D192" s="1" t="s">
        <v>682</v>
      </c>
      <c r="E192" s="22">
        <v>120</v>
      </c>
      <c r="F192" s="22">
        <v>2000</v>
      </c>
      <c r="G192" s="21">
        <v>3</v>
      </c>
      <c r="H192" s="23">
        <v>0.20200000000000001</v>
      </c>
      <c r="I192" s="24">
        <v>0</v>
      </c>
      <c r="J192" s="21">
        <v>3665</v>
      </c>
      <c r="K192" s="24" t="s">
        <v>23</v>
      </c>
      <c r="L192" s="24" t="s">
        <v>1000</v>
      </c>
      <c r="M192" s="25">
        <v>1250</v>
      </c>
      <c r="N192" s="26">
        <f t="shared" si="2"/>
        <v>252.50000000000003</v>
      </c>
      <c r="O192" s="26"/>
      <c r="P192" s="68" t="s">
        <v>1027</v>
      </c>
      <c r="Q192" s="76">
        <v>46143</v>
      </c>
      <c r="R192" s="68" t="s">
        <v>1027</v>
      </c>
      <c r="S192" s="68" t="s">
        <v>1030</v>
      </c>
      <c r="T192" s="68" t="s">
        <v>1027</v>
      </c>
      <c r="U192" s="29" t="s">
        <v>289</v>
      </c>
      <c r="V192" s="29"/>
      <c r="X192" s="24">
        <v>2382</v>
      </c>
      <c r="Y192" s="24">
        <v>1662</v>
      </c>
    </row>
    <row r="193" spans="1:25" x14ac:dyDescent="0.2">
      <c r="A193" s="1" t="s">
        <v>683</v>
      </c>
      <c r="B193" s="1" t="s">
        <v>684</v>
      </c>
      <c r="C193" s="1" t="s">
        <v>685</v>
      </c>
      <c r="D193" s="1" t="s">
        <v>331</v>
      </c>
      <c r="E193" s="22">
        <v>25</v>
      </c>
      <c r="F193" s="22">
        <v>1</v>
      </c>
      <c r="G193" s="21">
        <v>17</v>
      </c>
      <c r="H193" s="23">
        <v>1.6821999999999999</v>
      </c>
      <c r="I193" s="24">
        <v>25</v>
      </c>
      <c r="J193" s="21">
        <v>5951</v>
      </c>
      <c r="K193" s="24" t="s">
        <v>23</v>
      </c>
      <c r="L193" s="24" t="s">
        <v>1000</v>
      </c>
      <c r="M193" s="25">
        <v>150</v>
      </c>
      <c r="N193" s="26">
        <f t="shared" si="2"/>
        <v>252.32999999999998</v>
      </c>
      <c r="O193" s="26"/>
      <c r="P193" s="68" t="s">
        <v>1048</v>
      </c>
      <c r="Q193" s="76"/>
      <c r="R193" s="68"/>
      <c r="S193" s="68"/>
      <c r="T193" s="68"/>
      <c r="U193" s="29" t="s">
        <v>289</v>
      </c>
      <c r="V193" s="29" t="s">
        <v>1049</v>
      </c>
      <c r="X193" s="24">
        <v>57</v>
      </c>
      <c r="Y193" s="24">
        <v>18</v>
      </c>
    </row>
    <row r="194" spans="1:25" x14ac:dyDescent="0.2">
      <c r="A194" s="1" t="s">
        <v>686</v>
      </c>
      <c r="B194" s="1" t="s">
        <v>687</v>
      </c>
      <c r="C194" s="1" t="s">
        <v>688</v>
      </c>
      <c r="D194" s="1" t="s">
        <v>307</v>
      </c>
      <c r="E194" s="22">
        <v>20</v>
      </c>
      <c r="F194" s="22">
        <v>1</v>
      </c>
      <c r="G194" s="21">
        <v>23</v>
      </c>
      <c r="H194" s="23">
        <v>0.18010000000000001</v>
      </c>
      <c r="I194" s="24">
        <v>20</v>
      </c>
      <c r="J194" s="21">
        <v>516</v>
      </c>
      <c r="K194" s="24" t="s">
        <v>23</v>
      </c>
      <c r="L194" s="24" t="s">
        <v>1000</v>
      </c>
      <c r="M194" s="25">
        <v>1400</v>
      </c>
      <c r="N194" s="26">
        <f t="shared" si="2"/>
        <v>252.14000000000001</v>
      </c>
      <c r="O194" s="26"/>
      <c r="P194" s="68" t="s">
        <v>1027</v>
      </c>
      <c r="Q194" s="76">
        <v>46258</v>
      </c>
      <c r="R194" s="68" t="s">
        <v>1027</v>
      </c>
      <c r="S194" s="68" t="s">
        <v>1030</v>
      </c>
      <c r="T194" s="68" t="s">
        <v>1027</v>
      </c>
      <c r="U194" s="29" t="s">
        <v>289</v>
      </c>
      <c r="V194" s="29"/>
      <c r="X194" s="24">
        <v>8</v>
      </c>
      <c r="Y194" s="24">
        <v>0</v>
      </c>
    </row>
    <row r="195" spans="1:25" x14ac:dyDescent="0.2">
      <c r="A195" s="1" t="s">
        <v>689</v>
      </c>
      <c r="B195" s="1" t="s">
        <v>690</v>
      </c>
      <c r="C195" s="1" t="s">
        <v>691</v>
      </c>
      <c r="D195" s="1" t="s">
        <v>76</v>
      </c>
      <c r="E195" s="22">
        <v>30</v>
      </c>
      <c r="F195" s="22">
        <v>1</v>
      </c>
      <c r="G195" s="21">
        <v>6</v>
      </c>
      <c r="H195" s="23">
        <v>7.1955</v>
      </c>
      <c r="I195" s="24">
        <v>30</v>
      </c>
      <c r="J195" s="21">
        <v>1630</v>
      </c>
      <c r="K195" s="24" t="s">
        <v>184</v>
      </c>
      <c r="L195" s="24" t="s">
        <v>1000</v>
      </c>
      <c r="M195" s="25">
        <v>35</v>
      </c>
      <c r="N195" s="26">
        <f t="shared" si="2"/>
        <v>251.8425</v>
      </c>
      <c r="O195" s="26"/>
      <c r="P195" s="68" t="s">
        <v>1048</v>
      </c>
      <c r="Q195" s="76"/>
      <c r="R195" s="68"/>
      <c r="S195" s="68"/>
      <c r="T195" s="68"/>
      <c r="U195" s="29" t="s">
        <v>289</v>
      </c>
      <c r="V195" s="29"/>
      <c r="X195" s="24">
        <v>888</v>
      </c>
      <c r="Y195" s="24">
        <v>17</v>
      </c>
    </row>
    <row r="196" spans="1:25" x14ac:dyDescent="0.2">
      <c r="A196" s="27" t="s">
        <v>692</v>
      </c>
      <c r="B196" s="27" t="s">
        <v>693</v>
      </c>
      <c r="C196" s="28" t="s">
        <v>694</v>
      </c>
      <c r="D196" s="28" t="s">
        <v>76</v>
      </c>
      <c r="E196" s="22">
        <v>15</v>
      </c>
      <c r="F196" s="22">
        <v>1</v>
      </c>
      <c r="G196" s="21">
        <v>17</v>
      </c>
      <c r="H196" s="23">
        <v>4.5765000000000002</v>
      </c>
      <c r="I196" s="24">
        <v>15</v>
      </c>
      <c r="J196" s="21">
        <v>566</v>
      </c>
      <c r="K196" s="24" t="s">
        <v>23</v>
      </c>
      <c r="L196" s="24" t="s">
        <v>1000</v>
      </c>
      <c r="M196" s="25">
        <v>55</v>
      </c>
      <c r="N196" s="26">
        <f t="shared" ref="N196:N259" si="3">H196*M196</f>
        <v>251.70750000000001</v>
      </c>
      <c r="O196" s="26"/>
      <c r="P196" s="68" t="s">
        <v>1027</v>
      </c>
      <c r="Q196" s="76">
        <v>46143</v>
      </c>
      <c r="R196" s="68" t="s">
        <v>1027</v>
      </c>
      <c r="S196" s="68" t="s">
        <v>1029</v>
      </c>
      <c r="T196" s="68" t="s">
        <v>1027</v>
      </c>
      <c r="U196" s="29" t="s">
        <v>289</v>
      </c>
      <c r="V196" s="29"/>
      <c r="X196" s="24">
        <v>17</v>
      </c>
      <c r="Y196" s="24">
        <v>0</v>
      </c>
    </row>
    <row r="197" spans="1:25" x14ac:dyDescent="0.2">
      <c r="A197" s="1" t="s">
        <v>695</v>
      </c>
      <c r="B197" s="1" t="s">
        <v>696</v>
      </c>
      <c r="C197" s="1" t="s">
        <v>697</v>
      </c>
      <c r="D197" s="1" t="s">
        <v>341</v>
      </c>
      <c r="E197" s="22">
        <v>20</v>
      </c>
      <c r="F197" s="22">
        <v>1</v>
      </c>
      <c r="G197" s="21">
        <v>21</v>
      </c>
      <c r="H197" s="23">
        <v>7.1837999999999997</v>
      </c>
      <c r="I197" s="24">
        <v>20</v>
      </c>
      <c r="J197" s="21">
        <v>639</v>
      </c>
      <c r="K197" s="24" t="s">
        <v>23</v>
      </c>
      <c r="L197" s="24" t="s">
        <v>1000</v>
      </c>
      <c r="M197" s="25">
        <v>35</v>
      </c>
      <c r="N197" s="26">
        <f t="shared" si="3"/>
        <v>251.43299999999999</v>
      </c>
      <c r="O197" s="26"/>
      <c r="P197" s="68" t="s">
        <v>1027</v>
      </c>
      <c r="Q197" s="76">
        <v>46143</v>
      </c>
      <c r="R197" s="68" t="s">
        <v>1027</v>
      </c>
      <c r="S197" s="68" t="s">
        <v>1032</v>
      </c>
      <c r="T197" s="68" t="s">
        <v>1027</v>
      </c>
      <c r="U197" s="29" t="s">
        <v>289</v>
      </c>
      <c r="V197" s="29"/>
      <c r="X197" s="24">
        <v>24</v>
      </c>
      <c r="Y197" s="24">
        <v>20</v>
      </c>
    </row>
    <row r="198" spans="1:25" x14ac:dyDescent="0.2">
      <c r="A198" s="1" t="s">
        <v>698</v>
      </c>
      <c r="B198" s="1" t="s">
        <v>699</v>
      </c>
      <c r="C198" s="1" t="s">
        <v>700</v>
      </c>
      <c r="D198" s="1" t="s">
        <v>41</v>
      </c>
      <c r="E198" s="22">
        <v>20</v>
      </c>
      <c r="F198" s="22">
        <v>1</v>
      </c>
      <c r="G198" s="21">
        <v>29</v>
      </c>
      <c r="H198" s="23">
        <v>2.5121000000000002</v>
      </c>
      <c r="I198" s="24">
        <v>20</v>
      </c>
      <c r="J198" s="21">
        <v>2368</v>
      </c>
      <c r="K198" s="24" t="s">
        <v>23</v>
      </c>
      <c r="L198" s="24" t="s">
        <v>1000</v>
      </c>
      <c r="M198" s="25">
        <v>100</v>
      </c>
      <c r="N198" s="26">
        <f t="shared" si="3"/>
        <v>251.21000000000004</v>
      </c>
      <c r="O198" s="26"/>
      <c r="P198" s="68" t="s">
        <v>1027</v>
      </c>
      <c r="Q198" s="76">
        <v>46143</v>
      </c>
      <c r="R198" s="68" t="s">
        <v>1027</v>
      </c>
      <c r="S198" s="68" t="s">
        <v>1032</v>
      </c>
      <c r="T198" s="68" t="s">
        <v>1027</v>
      </c>
      <c r="U198" s="29" t="s">
        <v>289</v>
      </c>
      <c r="V198" s="29"/>
      <c r="X198" s="24">
        <v>31</v>
      </c>
      <c r="Y198" s="24">
        <v>1</v>
      </c>
    </row>
    <row r="199" spans="1:25" x14ac:dyDescent="0.2">
      <c r="A199" s="1" t="s">
        <v>701</v>
      </c>
      <c r="B199" s="1" t="s">
        <v>702</v>
      </c>
      <c r="C199" s="1" t="s">
        <v>703</v>
      </c>
      <c r="D199" s="1" t="s">
        <v>374</v>
      </c>
      <c r="E199" s="22">
        <v>30</v>
      </c>
      <c r="F199" s="22">
        <v>2000</v>
      </c>
      <c r="G199" s="21">
        <v>18</v>
      </c>
      <c r="H199" s="23">
        <v>2.7888000000000002</v>
      </c>
      <c r="I199" s="24">
        <v>30</v>
      </c>
      <c r="J199" s="21">
        <v>5922</v>
      </c>
      <c r="K199" s="24" t="s">
        <v>23</v>
      </c>
      <c r="L199" s="24" t="s">
        <v>1000</v>
      </c>
      <c r="M199" s="25">
        <v>90</v>
      </c>
      <c r="N199" s="26">
        <f t="shared" si="3"/>
        <v>250.99200000000002</v>
      </c>
      <c r="O199" s="26"/>
      <c r="P199" s="68" t="s">
        <v>1027</v>
      </c>
      <c r="Q199" s="76">
        <v>46143</v>
      </c>
      <c r="R199" s="68" t="s">
        <v>1027</v>
      </c>
      <c r="S199" s="68" t="s">
        <v>1032</v>
      </c>
      <c r="T199" s="68" t="s">
        <v>1027</v>
      </c>
      <c r="U199" s="29" t="s">
        <v>289</v>
      </c>
      <c r="V199" s="29"/>
      <c r="X199" s="24">
        <v>0</v>
      </c>
      <c r="Y199" s="24">
        <v>0</v>
      </c>
    </row>
    <row r="200" spans="1:25" x14ac:dyDescent="0.2">
      <c r="A200" s="1" t="s">
        <v>704</v>
      </c>
      <c r="B200" s="1" t="s">
        <v>705</v>
      </c>
      <c r="C200" s="1" t="s">
        <v>706</v>
      </c>
      <c r="D200" s="1" t="s">
        <v>473</v>
      </c>
      <c r="E200" s="22">
        <v>30</v>
      </c>
      <c r="F200" s="22">
        <v>4000</v>
      </c>
      <c r="G200" s="21">
        <v>56</v>
      </c>
      <c r="H200" s="23">
        <v>0.62729999999999997</v>
      </c>
      <c r="I200" s="24">
        <v>30</v>
      </c>
      <c r="J200" s="21">
        <v>3405</v>
      </c>
      <c r="K200" s="24" t="s">
        <v>23</v>
      </c>
      <c r="L200" s="24" t="s">
        <v>1000</v>
      </c>
      <c r="M200" s="25">
        <v>400</v>
      </c>
      <c r="N200" s="26">
        <f t="shared" si="3"/>
        <v>250.92</v>
      </c>
      <c r="O200" s="26"/>
      <c r="P200" s="68" t="s">
        <v>1027</v>
      </c>
      <c r="Q200" s="76">
        <v>46143</v>
      </c>
      <c r="R200" s="68" t="s">
        <v>1027</v>
      </c>
      <c r="S200" s="68" t="s">
        <v>1032</v>
      </c>
      <c r="T200" s="68" t="s">
        <v>1027</v>
      </c>
      <c r="U200" s="29" t="s">
        <v>289</v>
      </c>
      <c r="V200" s="29"/>
      <c r="X200" s="24">
        <v>19</v>
      </c>
      <c r="Y200" s="24">
        <v>19</v>
      </c>
    </row>
    <row r="201" spans="1:25" x14ac:dyDescent="0.2">
      <c r="A201" s="1" t="s">
        <v>707</v>
      </c>
      <c r="B201" s="1" t="s">
        <v>708</v>
      </c>
      <c r="C201" s="1" t="s">
        <v>709</v>
      </c>
      <c r="D201" s="1" t="s">
        <v>141</v>
      </c>
      <c r="E201" s="22">
        <v>120</v>
      </c>
      <c r="F201" s="22">
        <v>5000</v>
      </c>
      <c r="G201" s="21">
        <v>28</v>
      </c>
      <c r="H201" s="23">
        <v>1.5205</v>
      </c>
      <c r="I201" s="24">
        <v>120</v>
      </c>
      <c r="J201" s="21">
        <v>2489</v>
      </c>
      <c r="K201" s="24" t="s">
        <v>23</v>
      </c>
      <c r="L201" s="24" t="s">
        <v>1000</v>
      </c>
      <c r="M201" s="25">
        <v>165</v>
      </c>
      <c r="N201" s="26">
        <f t="shared" si="3"/>
        <v>250.88249999999999</v>
      </c>
      <c r="O201" s="26"/>
      <c r="P201" s="68" t="s">
        <v>1027</v>
      </c>
      <c r="Q201" s="76">
        <v>46143</v>
      </c>
      <c r="R201" s="68" t="s">
        <v>1027</v>
      </c>
      <c r="S201" s="68" t="s">
        <v>1030</v>
      </c>
      <c r="T201" s="68" t="s">
        <v>1027</v>
      </c>
      <c r="U201" s="29" t="s">
        <v>289</v>
      </c>
      <c r="V201" s="29"/>
      <c r="X201" s="24">
        <v>15</v>
      </c>
      <c r="Y201" s="24">
        <v>15</v>
      </c>
    </row>
    <row r="202" spans="1:25" x14ac:dyDescent="0.2">
      <c r="A202" s="1" t="s">
        <v>710</v>
      </c>
      <c r="B202" s="1" t="s">
        <v>711</v>
      </c>
      <c r="C202" s="1" t="s">
        <v>712</v>
      </c>
      <c r="D202" s="1" t="s">
        <v>32</v>
      </c>
      <c r="E202" s="22">
        <v>80</v>
      </c>
      <c r="F202" s="22">
        <v>1</v>
      </c>
      <c r="G202" s="21">
        <v>7</v>
      </c>
      <c r="H202" s="23">
        <v>3.1345000000000001</v>
      </c>
      <c r="I202" s="24">
        <v>80</v>
      </c>
      <c r="J202" s="21">
        <v>5764</v>
      </c>
      <c r="K202" s="24" t="s">
        <v>23</v>
      </c>
      <c r="L202" s="24" t="s">
        <v>1000</v>
      </c>
      <c r="M202" s="21">
        <v>80</v>
      </c>
      <c r="N202" s="26">
        <f t="shared" si="3"/>
        <v>250.76</v>
      </c>
      <c r="O202" s="26"/>
      <c r="P202" s="68" t="s">
        <v>1027</v>
      </c>
      <c r="Q202" s="76">
        <v>46143</v>
      </c>
      <c r="R202" s="68" t="s">
        <v>1027</v>
      </c>
      <c r="S202" s="68" t="s">
        <v>1034</v>
      </c>
      <c r="T202" s="68" t="s">
        <v>1027</v>
      </c>
      <c r="X202" s="24">
        <v>120</v>
      </c>
      <c r="Y202" s="24">
        <v>0</v>
      </c>
    </row>
    <row r="203" spans="1:25" x14ac:dyDescent="0.2">
      <c r="A203" s="1" t="s">
        <v>713</v>
      </c>
      <c r="B203" s="1" t="s">
        <v>714</v>
      </c>
      <c r="C203" s="1" t="s">
        <v>715</v>
      </c>
      <c r="D203" s="1" t="s">
        <v>299</v>
      </c>
      <c r="E203" s="22">
        <v>40</v>
      </c>
      <c r="F203" s="22">
        <v>1</v>
      </c>
      <c r="G203" s="21">
        <v>20</v>
      </c>
      <c r="H203" s="23">
        <v>2.9476</v>
      </c>
      <c r="I203" s="24">
        <v>40</v>
      </c>
      <c r="J203" s="21">
        <v>1229</v>
      </c>
      <c r="K203" s="24" t="s">
        <v>23</v>
      </c>
      <c r="L203" s="24" t="s">
        <v>1000</v>
      </c>
      <c r="M203" s="25">
        <v>85</v>
      </c>
      <c r="N203" s="26">
        <f t="shared" si="3"/>
        <v>250.54599999999999</v>
      </c>
      <c r="O203" s="26"/>
      <c r="P203" s="68" t="s">
        <v>1027</v>
      </c>
      <c r="Q203" s="76">
        <v>46143</v>
      </c>
      <c r="R203" s="68" t="s">
        <v>1027</v>
      </c>
      <c r="S203" s="68" t="s">
        <v>1030</v>
      </c>
      <c r="T203" s="68" t="s">
        <v>1027</v>
      </c>
      <c r="U203" s="29" t="s">
        <v>289</v>
      </c>
      <c r="V203" s="29"/>
      <c r="X203" s="24">
        <v>91</v>
      </c>
      <c r="Y203" s="24">
        <v>4</v>
      </c>
    </row>
    <row r="204" spans="1:25" x14ac:dyDescent="0.2">
      <c r="A204" s="1" t="s">
        <v>716</v>
      </c>
      <c r="B204" s="1" t="s">
        <v>717</v>
      </c>
      <c r="C204" s="1" t="s">
        <v>718</v>
      </c>
      <c r="D204" s="1" t="s">
        <v>64</v>
      </c>
      <c r="E204" s="22">
        <v>170</v>
      </c>
      <c r="F204" s="22">
        <v>1</v>
      </c>
      <c r="G204" s="21">
        <v>100</v>
      </c>
      <c r="H204" s="23">
        <v>1.2523</v>
      </c>
      <c r="I204" s="24">
        <v>170</v>
      </c>
      <c r="J204" s="21">
        <v>0</v>
      </c>
      <c r="K204" s="24" t="s">
        <v>23</v>
      </c>
      <c r="L204" s="24" t="s">
        <v>1000</v>
      </c>
      <c r="M204" s="25">
        <v>200</v>
      </c>
      <c r="N204" s="26">
        <f t="shared" si="3"/>
        <v>250.45999999999998</v>
      </c>
      <c r="O204" s="26"/>
      <c r="P204" s="68" t="s">
        <v>1027</v>
      </c>
      <c r="Q204" s="76">
        <v>46143</v>
      </c>
      <c r="R204" s="68" t="s">
        <v>1027</v>
      </c>
      <c r="S204" s="68" t="s">
        <v>1044</v>
      </c>
      <c r="T204" s="68" t="s">
        <v>1027</v>
      </c>
      <c r="U204" s="29" t="s">
        <v>289</v>
      </c>
      <c r="V204" s="29"/>
      <c r="X204" s="24">
        <v>0</v>
      </c>
      <c r="Y204" s="24">
        <v>0</v>
      </c>
    </row>
    <row r="205" spans="1:25" x14ac:dyDescent="0.2">
      <c r="A205" s="1" t="s">
        <v>719</v>
      </c>
      <c r="B205" s="1" t="s">
        <v>720</v>
      </c>
      <c r="C205" s="1" t="s">
        <v>721</v>
      </c>
      <c r="D205" s="1" t="s">
        <v>722</v>
      </c>
      <c r="E205" s="22">
        <v>180</v>
      </c>
      <c r="F205" s="22">
        <v>3000</v>
      </c>
      <c r="G205" s="21">
        <v>18</v>
      </c>
      <c r="H205" s="23">
        <v>0.39750000000000002</v>
      </c>
      <c r="I205" s="24">
        <v>180</v>
      </c>
      <c r="J205" s="21">
        <v>6156</v>
      </c>
      <c r="K205" s="24" t="s">
        <v>23</v>
      </c>
      <c r="L205" s="24" t="s">
        <v>1000</v>
      </c>
      <c r="M205" s="25">
        <v>630</v>
      </c>
      <c r="N205" s="26">
        <f t="shared" si="3"/>
        <v>250.42500000000001</v>
      </c>
      <c r="O205" s="26"/>
      <c r="P205" s="68" t="s">
        <v>1027</v>
      </c>
      <c r="Q205" s="76">
        <v>46143</v>
      </c>
      <c r="R205" s="68" t="s">
        <v>1027</v>
      </c>
      <c r="S205" s="68" t="s">
        <v>1030</v>
      </c>
      <c r="T205" s="68" t="s">
        <v>1027</v>
      </c>
      <c r="U205" s="29" t="s">
        <v>289</v>
      </c>
      <c r="V205" s="29"/>
      <c r="X205" s="24">
        <v>234</v>
      </c>
      <c r="Y205" s="24">
        <v>54</v>
      </c>
    </row>
    <row r="206" spans="1:25" x14ac:dyDescent="0.2">
      <c r="A206" s="1" t="s">
        <v>723</v>
      </c>
      <c r="B206" s="1" t="s">
        <v>724</v>
      </c>
      <c r="C206" s="1" t="s">
        <v>725</v>
      </c>
      <c r="D206" s="1" t="s">
        <v>374</v>
      </c>
      <c r="E206" s="22">
        <v>40</v>
      </c>
      <c r="F206" s="22">
        <v>500</v>
      </c>
      <c r="G206" s="21">
        <v>25</v>
      </c>
      <c r="H206" s="23">
        <v>2.3849999999999998</v>
      </c>
      <c r="I206" s="24">
        <v>40</v>
      </c>
      <c r="J206" s="21">
        <v>0</v>
      </c>
      <c r="K206" s="24" t="s">
        <v>23</v>
      </c>
      <c r="L206" s="24" t="s">
        <v>1000</v>
      </c>
      <c r="M206" s="25">
        <v>105</v>
      </c>
      <c r="N206" s="26">
        <f t="shared" si="3"/>
        <v>250.42499999999998</v>
      </c>
      <c r="O206" s="26"/>
      <c r="P206" s="68" t="s">
        <v>1027</v>
      </c>
      <c r="Q206" s="76">
        <v>46143</v>
      </c>
      <c r="R206" s="68" t="s">
        <v>1027</v>
      </c>
      <c r="S206" s="68" t="s">
        <v>1038</v>
      </c>
      <c r="T206" s="68" t="s">
        <v>1027</v>
      </c>
      <c r="U206" s="29" t="s">
        <v>289</v>
      </c>
      <c r="V206" s="29"/>
      <c r="X206" s="24">
        <v>12</v>
      </c>
      <c r="Y206" s="24">
        <v>0</v>
      </c>
    </row>
    <row r="207" spans="1:25" x14ac:dyDescent="0.2">
      <c r="A207" s="1" t="s">
        <v>726</v>
      </c>
      <c r="B207" s="1" t="s">
        <v>727</v>
      </c>
      <c r="C207" s="1" t="s">
        <v>728</v>
      </c>
      <c r="D207" s="1" t="s">
        <v>473</v>
      </c>
      <c r="E207" s="22">
        <v>140</v>
      </c>
      <c r="F207" s="22">
        <v>2000</v>
      </c>
      <c r="G207" s="21">
        <v>57</v>
      </c>
      <c r="H207" s="23">
        <v>0.31290000000000001</v>
      </c>
      <c r="I207" s="24">
        <v>140</v>
      </c>
      <c r="J207" s="21">
        <v>165</v>
      </c>
      <c r="K207" s="24" t="s">
        <v>23</v>
      </c>
      <c r="L207" s="24" t="s">
        <v>1000</v>
      </c>
      <c r="M207" s="25">
        <v>800</v>
      </c>
      <c r="N207" s="26">
        <f t="shared" si="3"/>
        <v>250.32000000000002</v>
      </c>
      <c r="O207" s="26"/>
      <c r="P207" s="68" t="s">
        <v>1027</v>
      </c>
      <c r="Q207" s="76">
        <v>46143</v>
      </c>
      <c r="R207" s="68" t="s">
        <v>1027</v>
      </c>
      <c r="S207" s="68" t="s">
        <v>1039</v>
      </c>
      <c r="T207" s="68" t="s">
        <v>1027</v>
      </c>
      <c r="U207" s="29" t="s">
        <v>289</v>
      </c>
      <c r="V207" s="29"/>
      <c r="X207" s="24">
        <v>226</v>
      </c>
      <c r="Y207" s="24">
        <v>16</v>
      </c>
    </row>
    <row r="208" spans="1:25" x14ac:dyDescent="0.2">
      <c r="A208" s="1" t="s">
        <v>729</v>
      </c>
      <c r="B208" s="1" t="s">
        <v>730</v>
      </c>
      <c r="C208" s="1" t="s">
        <v>731</v>
      </c>
      <c r="D208" s="1" t="s">
        <v>374</v>
      </c>
      <c r="E208" s="22">
        <v>160</v>
      </c>
      <c r="F208" s="22">
        <v>1</v>
      </c>
      <c r="G208" s="21">
        <v>27</v>
      </c>
      <c r="H208" s="23">
        <v>1.5256000000000001</v>
      </c>
      <c r="I208" s="24">
        <v>160</v>
      </c>
      <c r="J208" s="21">
        <v>5143</v>
      </c>
      <c r="K208" s="24" t="s">
        <v>23</v>
      </c>
      <c r="L208" s="24" t="s">
        <v>1000</v>
      </c>
      <c r="M208" s="21">
        <v>160</v>
      </c>
      <c r="N208" s="26">
        <f t="shared" si="3"/>
        <v>244.096</v>
      </c>
      <c r="O208" s="26"/>
      <c r="P208" s="68" t="s">
        <v>1027</v>
      </c>
      <c r="Q208" s="76">
        <v>46143</v>
      </c>
      <c r="R208" s="68" t="s">
        <v>1027</v>
      </c>
      <c r="S208" s="68" t="s">
        <v>1036</v>
      </c>
      <c r="T208" s="68" t="s">
        <v>1027</v>
      </c>
      <c r="X208" s="24">
        <v>78</v>
      </c>
      <c r="Y208" s="24">
        <v>68</v>
      </c>
    </row>
    <row r="209" spans="1:25" x14ac:dyDescent="0.2">
      <c r="A209" s="1" t="s">
        <v>732</v>
      </c>
      <c r="B209" s="1" t="s">
        <v>733</v>
      </c>
      <c r="C209" s="1" t="s">
        <v>734</v>
      </c>
      <c r="D209" s="1" t="s">
        <v>735</v>
      </c>
      <c r="E209" s="22">
        <v>105</v>
      </c>
      <c r="F209" s="22">
        <v>2000</v>
      </c>
      <c r="G209" s="21">
        <v>27</v>
      </c>
      <c r="H209" s="23">
        <v>2.36</v>
      </c>
      <c r="I209" s="24">
        <v>105</v>
      </c>
      <c r="J209" s="21">
        <v>1782</v>
      </c>
      <c r="K209" s="24" t="s">
        <v>23</v>
      </c>
      <c r="L209" s="24" t="s">
        <v>1000</v>
      </c>
      <c r="M209" s="21">
        <v>105</v>
      </c>
      <c r="N209" s="26">
        <f t="shared" si="3"/>
        <v>247.79999999999998</v>
      </c>
      <c r="O209" s="26"/>
      <c r="P209" s="68" t="s">
        <v>1027</v>
      </c>
      <c r="Q209" s="76">
        <v>46143</v>
      </c>
      <c r="R209" s="68" t="s">
        <v>1027</v>
      </c>
      <c r="S209" s="68" t="s">
        <v>1032</v>
      </c>
      <c r="T209" s="68" t="s">
        <v>1027</v>
      </c>
      <c r="X209" s="24">
        <v>138</v>
      </c>
      <c r="Y209" s="24">
        <v>138</v>
      </c>
    </row>
    <row r="210" spans="1:25" x14ac:dyDescent="0.2">
      <c r="A210" s="1" t="s">
        <v>847</v>
      </c>
      <c r="B210" s="1" t="s">
        <v>848</v>
      </c>
      <c r="C210" s="1" t="s">
        <v>849</v>
      </c>
      <c r="D210" s="1" t="s">
        <v>840</v>
      </c>
      <c r="E210" s="22">
        <v>20</v>
      </c>
      <c r="F210" s="22">
        <v>0</v>
      </c>
      <c r="G210" s="21">
        <v>10</v>
      </c>
      <c r="H210" s="26">
        <v>90.12</v>
      </c>
      <c r="I210" s="21">
        <v>50</v>
      </c>
      <c r="J210" s="21">
        <v>0</v>
      </c>
      <c r="K210" s="21" t="s">
        <v>23</v>
      </c>
      <c r="L210" s="24" t="s">
        <v>1001</v>
      </c>
      <c r="M210" s="21">
        <v>20</v>
      </c>
      <c r="N210" s="26">
        <f t="shared" si="3"/>
        <v>1802.4</v>
      </c>
      <c r="O210" s="21"/>
      <c r="P210" s="26"/>
      <c r="R210" s="26"/>
      <c r="S210" s="26"/>
      <c r="T210" s="26"/>
      <c r="U210" s="29"/>
      <c r="V210" s="54" t="s">
        <v>988</v>
      </c>
      <c r="X210" s="24">
        <v>0</v>
      </c>
      <c r="Y210" s="24">
        <v>0</v>
      </c>
    </row>
    <row r="211" spans="1:25" x14ac:dyDescent="0.2">
      <c r="A211" s="1" t="s">
        <v>746</v>
      </c>
      <c r="B211" s="1" t="s">
        <v>747</v>
      </c>
      <c r="C211" s="1" t="s">
        <v>748</v>
      </c>
      <c r="D211" s="1" t="s">
        <v>64</v>
      </c>
      <c r="E211" s="22">
        <v>60</v>
      </c>
      <c r="F211" s="22">
        <v>1</v>
      </c>
      <c r="G211" s="21">
        <v>15</v>
      </c>
      <c r="H211" s="23">
        <v>60</v>
      </c>
      <c r="I211" s="24">
        <v>60</v>
      </c>
      <c r="J211" s="21">
        <v>8150</v>
      </c>
      <c r="K211" s="24" t="s">
        <v>23</v>
      </c>
      <c r="L211" s="24" t="s">
        <v>1001</v>
      </c>
      <c r="M211" s="25">
        <v>30</v>
      </c>
      <c r="N211" s="26">
        <f t="shared" si="3"/>
        <v>1800</v>
      </c>
      <c r="O211" s="26"/>
      <c r="P211" s="26"/>
      <c r="R211" s="26"/>
      <c r="S211" s="26"/>
      <c r="T211" s="26"/>
      <c r="U211" s="27" t="s">
        <v>749</v>
      </c>
      <c r="V211" s="1" t="s">
        <v>988</v>
      </c>
      <c r="X211" s="24">
        <v>0</v>
      </c>
      <c r="Y211" s="24">
        <v>0</v>
      </c>
    </row>
    <row r="212" spans="1:25" x14ac:dyDescent="0.2">
      <c r="A212" s="1" t="s">
        <v>878</v>
      </c>
      <c r="B212" s="1" t="s">
        <v>879</v>
      </c>
      <c r="C212" s="1" t="s">
        <v>880</v>
      </c>
      <c r="D212" s="1" t="s">
        <v>881</v>
      </c>
      <c r="E212" s="22">
        <v>5</v>
      </c>
      <c r="F212" s="22">
        <v>0</v>
      </c>
      <c r="G212" s="21">
        <v>16</v>
      </c>
      <c r="H212" s="26">
        <v>343</v>
      </c>
      <c r="I212" s="21">
        <v>5</v>
      </c>
      <c r="J212" s="21" t="s">
        <v>116</v>
      </c>
      <c r="K212" s="21" t="s">
        <v>117</v>
      </c>
      <c r="L212" s="24" t="s">
        <v>1001</v>
      </c>
      <c r="M212" s="21">
        <v>5</v>
      </c>
      <c r="N212" s="26">
        <f t="shared" si="3"/>
        <v>1715</v>
      </c>
      <c r="O212" s="21"/>
      <c r="P212" s="26"/>
      <c r="R212" s="26"/>
      <c r="S212" s="26"/>
      <c r="T212" s="26"/>
      <c r="V212" s="54" t="s">
        <v>988</v>
      </c>
      <c r="X212" s="24">
        <v>7</v>
      </c>
      <c r="Y212" s="24">
        <v>0</v>
      </c>
    </row>
    <row r="213" spans="1:25" x14ac:dyDescent="0.2">
      <c r="A213" s="1" t="s">
        <v>931</v>
      </c>
      <c r="B213" s="1" t="s">
        <v>932</v>
      </c>
      <c r="C213" s="1" t="s">
        <v>933</v>
      </c>
      <c r="D213" s="1" t="s">
        <v>348</v>
      </c>
      <c r="E213" s="22">
        <v>425</v>
      </c>
      <c r="F213" s="22">
        <v>0</v>
      </c>
      <c r="G213" s="21">
        <v>14</v>
      </c>
      <c r="H213" s="26">
        <v>2.09</v>
      </c>
      <c r="I213" s="21">
        <v>354</v>
      </c>
      <c r="J213" s="21" t="s">
        <v>116</v>
      </c>
      <c r="K213" s="21" t="s">
        <v>117</v>
      </c>
      <c r="L213" s="24" t="s">
        <v>1001</v>
      </c>
      <c r="M213" s="21">
        <v>425</v>
      </c>
      <c r="N213" s="26">
        <f t="shared" si="3"/>
        <v>888.24999999999989</v>
      </c>
      <c r="O213" s="21"/>
      <c r="P213" s="26"/>
      <c r="R213" s="26"/>
      <c r="S213" s="26"/>
      <c r="T213" s="26"/>
      <c r="V213" s="54" t="s">
        <v>988</v>
      </c>
      <c r="X213" s="24">
        <v>923</v>
      </c>
      <c r="Y213" s="24">
        <v>438</v>
      </c>
    </row>
    <row r="214" spans="1:25" x14ac:dyDescent="0.2">
      <c r="A214" s="1" t="s">
        <v>889</v>
      </c>
      <c r="B214" s="1" t="s">
        <v>890</v>
      </c>
      <c r="C214" s="1" t="s">
        <v>891</v>
      </c>
      <c r="D214" s="1" t="s">
        <v>892</v>
      </c>
      <c r="E214" s="22">
        <v>10</v>
      </c>
      <c r="F214" s="22">
        <v>0</v>
      </c>
      <c r="G214" s="21">
        <v>15</v>
      </c>
      <c r="H214" s="26">
        <v>57.95</v>
      </c>
      <c r="I214" s="21">
        <v>25</v>
      </c>
      <c r="J214" s="21" t="s">
        <v>116</v>
      </c>
      <c r="K214" s="21" t="s">
        <v>117</v>
      </c>
      <c r="L214" s="24" t="s">
        <v>1001</v>
      </c>
      <c r="M214" s="21">
        <v>10</v>
      </c>
      <c r="N214" s="26">
        <f t="shared" si="3"/>
        <v>579.5</v>
      </c>
      <c r="O214" s="21"/>
      <c r="P214" s="26"/>
      <c r="R214" s="26"/>
      <c r="S214" s="26"/>
      <c r="T214" s="26"/>
      <c r="V214" s="54" t="s">
        <v>988</v>
      </c>
      <c r="X214" s="24">
        <v>0</v>
      </c>
      <c r="Y214" s="24">
        <v>0</v>
      </c>
    </row>
    <row r="215" spans="1:25" x14ac:dyDescent="0.2">
      <c r="A215" s="1" t="s">
        <v>909</v>
      </c>
      <c r="B215" s="1" t="s">
        <v>910</v>
      </c>
      <c r="C215" s="1" t="s">
        <v>911</v>
      </c>
      <c r="D215" s="1" t="s">
        <v>341</v>
      </c>
      <c r="E215" s="22">
        <v>40</v>
      </c>
      <c r="F215" s="22">
        <v>0</v>
      </c>
      <c r="G215" s="21">
        <v>12</v>
      </c>
      <c r="H215" s="26">
        <v>12.77</v>
      </c>
      <c r="I215" s="21">
        <v>100</v>
      </c>
      <c r="J215" s="21" t="s">
        <v>116</v>
      </c>
      <c r="K215" s="21" t="s">
        <v>117</v>
      </c>
      <c r="L215" s="24" t="s">
        <v>1001</v>
      </c>
      <c r="M215" s="21">
        <v>40</v>
      </c>
      <c r="N215" s="26">
        <f t="shared" si="3"/>
        <v>510.79999999999995</v>
      </c>
      <c r="O215" s="21"/>
      <c r="P215" s="26"/>
      <c r="R215" s="26"/>
      <c r="S215" s="26"/>
      <c r="T215" s="26"/>
      <c r="V215" s="54" t="s">
        <v>988</v>
      </c>
      <c r="X215" s="24">
        <v>20</v>
      </c>
      <c r="Y215" s="24">
        <v>20</v>
      </c>
    </row>
    <row r="216" spans="1:25" x14ac:dyDescent="0.2">
      <c r="A216" s="1" t="s">
        <v>830</v>
      </c>
      <c r="B216" s="1" t="s">
        <v>831</v>
      </c>
      <c r="C216" s="1" t="s">
        <v>832</v>
      </c>
      <c r="D216" s="1" t="s">
        <v>358</v>
      </c>
      <c r="E216" s="22">
        <v>15</v>
      </c>
      <c r="F216" s="22">
        <v>0</v>
      </c>
      <c r="G216" s="21">
        <v>21</v>
      </c>
      <c r="H216" s="26">
        <v>29.86</v>
      </c>
      <c r="I216" s="21">
        <v>250</v>
      </c>
      <c r="J216" s="21" t="s">
        <v>116</v>
      </c>
      <c r="K216" s="21" t="s">
        <v>991</v>
      </c>
      <c r="L216" s="24" t="s">
        <v>1001</v>
      </c>
      <c r="M216" s="21">
        <v>15</v>
      </c>
      <c r="N216" s="26">
        <f t="shared" si="3"/>
        <v>447.9</v>
      </c>
      <c r="O216" s="21"/>
      <c r="P216" s="26"/>
      <c r="R216" s="26"/>
      <c r="S216" s="26"/>
      <c r="T216" s="26"/>
      <c r="V216" s="54" t="s">
        <v>988</v>
      </c>
      <c r="X216" s="24">
        <v>0</v>
      </c>
      <c r="Y216" s="24">
        <v>0</v>
      </c>
    </row>
    <row r="217" spans="1:25" x14ac:dyDescent="0.2">
      <c r="A217" s="1" t="s">
        <v>937</v>
      </c>
      <c r="B217" s="1" t="s">
        <v>938</v>
      </c>
      <c r="C217" s="1" t="s">
        <v>939</v>
      </c>
      <c r="D217" s="1" t="s">
        <v>443</v>
      </c>
      <c r="E217" s="22">
        <v>140</v>
      </c>
      <c r="F217" s="22">
        <v>0</v>
      </c>
      <c r="G217" s="21">
        <v>0</v>
      </c>
      <c r="H217" s="26">
        <v>2.94</v>
      </c>
      <c r="I217" s="21">
        <v>5000</v>
      </c>
      <c r="J217" s="21" t="s">
        <v>116</v>
      </c>
      <c r="K217" s="21" t="s">
        <v>117</v>
      </c>
      <c r="L217" s="24" t="s">
        <v>1001</v>
      </c>
      <c r="M217" s="21">
        <v>140</v>
      </c>
      <c r="N217" s="26">
        <f t="shared" si="3"/>
        <v>411.59999999999997</v>
      </c>
      <c r="O217" s="21"/>
      <c r="P217" s="26"/>
      <c r="R217" s="26"/>
      <c r="S217" s="26"/>
      <c r="T217" s="26"/>
      <c r="V217" s="54" t="s">
        <v>988</v>
      </c>
      <c r="X217" s="24">
        <v>0</v>
      </c>
      <c r="Y217" s="24">
        <v>0</v>
      </c>
    </row>
    <row r="218" spans="1:25" x14ac:dyDescent="0.2">
      <c r="A218" s="1" t="s">
        <v>821</v>
      </c>
      <c r="B218" s="1" t="s">
        <v>822</v>
      </c>
      <c r="C218" s="1" t="s">
        <v>823</v>
      </c>
      <c r="D218" s="1" t="s">
        <v>358</v>
      </c>
      <c r="E218" s="22">
        <v>15</v>
      </c>
      <c r="F218" s="22">
        <v>0</v>
      </c>
      <c r="G218" s="21">
        <v>21</v>
      </c>
      <c r="H218" s="26">
        <v>26.34</v>
      </c>
      <c r="I218" s="21">
        <v>1</v>
      </c>
      <c r="J218" s="21" t="s">
        <v>116</v>
      </c>
      <c r="K218" s="21" t="s">
        <v>991</v>
      </c>
      <c r="L218" s="24" t="s">
        <v>1001</v>
      </c>
      <c r="M218" s="21">
        <v>15</v>
      </c>
      <c r="N218" s="26">
        <f t="shared" si="3"/>
        <v>395.1</v>
      </c>
      <c r="O218" s="21"/>
      <c r="P218" s="26"/>
      <c r="R218" s="26"/>
      <c r="S218" s="26"/>
      <c r="T218" s="26"/>
      <c r="V218" s="54" t="s">
        <v>988</v>
      </c>
      <c r="X218" s="24">
        <v>0</v>
      </c>
      <c r="Y218" s="24">
        <v>0</v>
      </c>
    </row>
    <row r="219" spans="1:25" x14ac:dyDescent="0.2">
      <c r="A219" s="1" t="s">
        <v>837</v>
      </c>
      <c r="B219" s="1" t="s">
        <v>838</v>
      </c>
      <c r="C219" s="1" t="s">
        <v>839</v>
      </c>
      <c r="D219" s="1" t="s">
        <v>840</v>
      </c>
      <c r="E219" s="22">
        <v>50</v>
      </c>
      <c r="F219" s="22">
        <v>0</v>
      </c>
      <c r="G219" s="21">
        <v>10</v>
      </c>
      <c r="H219" s="26">
        <v>7.06</v>
      </c>
      <c r="I219" s="21">
        <v>50</v>
      </c>
      <c r="J219" s="21">
        <v>0</v>
      </c>
      <c r="K219" s="21" t="s">
        <v>23</v>
      </c>
      <c r="L219" s="24" t="s">
        <v>1001</v>
      </c>
      <c r="M219" s="21">
        <v>50</v>
      </c>
      <c r="N219" s="26">
        <f t="shared" si="3"/>
        <v>353</v>
      </c>
      <c r="O219" s="21"/>
      <c r="P219" s="26"/>
      <c r="R219" s="26"/>
      <c r="S219" s="26"/>
      <c r="T219" s="26"/>
      <c r="U219" s="29"/>
      <c r="V219" s="54" t="s">
        <v>988</v>
      </c>
      <c r="X219" s="24">
        <v>0</v>
      </c>
      <c r="Y219" s="24">
        <v>0</v>
      </c>
    </row>
    <row r="220" spans="1:25" x14ac:dyDescent="0.2">
      <c r="A220" s="1" t="s">
        <v>896</v>
      </c>
      <c r="B220" s="1" t="s">
        <v>897</v>
      </c>
      <c r="C220" s="1" t="s">
        <v>898</v>
      </c>
      <c r="D220" s="1" t="s">
        <v>899</v>
      </c>
      <c r="E220" s="22">
        <v>15</v>
      </c>
      <c r="F220" s="22">
        <v>100</v>
      </c>
      <c r="G220" s="21">
        <v>18</v>
      </c>
      <c r="H220" s="26">
        <v>20.95</v>
      </c>
      <c r="I220" s="21">
        <v>100</v>
      </c>
      <c r="J220" s="21" t="s">
        <v>116</v>
      </c>
      <c r="K220" s="21" t="s">
        <v>23</v>
      </c>
      <c r="L220" s="24" t="s">
        <v>1001</v>
      </c>
      <c r="M220" s="21">
        <v>15</v>
      </c>
      <c r="N220" s="26">
        <f t="shared" si="3"/>
        <v>314.25</v>
      </c>
      <c r="O220" s="21"/>
      <c r="P220" s="26"/>
      <c r="R220" s="26"/>
      <c r="S220" s="26"/>
      <c r="T220" s="26"/>
      <c r="V220" s="54" t="s">
        <v>992</v>
      </c>
      <c r="X220" s="24">
        <v>12</v>
      </c>
      <c r="Y220" s="24">
        <v>12</v>
      </c>
    </row>
    <row r="221" spans="1:25" x14ac:dyDescent="0.2">
      <c r="A221" s="1" t="s">
        <v>900</v>
      </c>
      <c r="B221" s="1" t="s">
        <v>901</v>
      </c>
      <c r="C221" s="1" t="s">
        <v>902</v>
      </c>
      <c r="D221" s="1" t="s">
        <v>341</v>
      </c>
      <c r="E221" s="22">
        <v>15</v>
      </c>
      <c r="F221" s="22">
        <v>0</v>
      </c>
      <c r="G221" s="21">
        <v>12</v>
      </c>
      <c r="H221" s="26">
        <v>9.7100000000000009</v>
      </c>
      <c r="I221" s="21">
        <v>100</v>
      </c>
      <c r="J221" s="21" t="s">
        <v>116</v>
      </c>
      <c r="K221" s="21" t="s">
        <v>117</v>
      </c>
      <c r="L221" s="24" t="s">
        <v>1001</v>
      </c>
      <c r="M221" s="21">
        <v>15</v>
      </c>
      <c r="N221" s="26">
        <f t="shared" si="3"/>
        <v>145.65</v>
      </c>
      <c r="O221" s="21"/>
      <c r="P221" s="26"/>
      <c r="R221" s="26"/>
      <c r="S221" s="26"/>
      <c r="T221" s="26"/>
      <c r="V221" s="54" t="s">
        <v>988</v>
      </c>
      <c r="X221" s="24">
        <v>85</v>
      </c>
      <c r="Y221" s="24">
        <v>3</v>
      </c>
    </row>
    <row r="222" spans="1:25" x14ac:dyDescent="0.2">
      <c r="A222" s="1" t="s">
        <v>806</v>
      </c>
      <c r="B222" s="1" t="s">
        <v>807</v>
      </c>
      <c r="C222" s="1" t="s">
        <v>808</v>
      </c>
      <c r="D222" s="1" t="s">
        <v>358</v>
      </c>
      <c r="E222" s="22">
        <v>10</v>
      </c>
      <c r="F222" s="22">
        <v>0</v>
      </c>
      <c r="G222" s="21">
        <v>15</v>
      </c>
      <c r="H222" s="26">
        <v>14.27</v>
      </c>
      <c r="I222" s="21">
        <v>100</v>
      </c>
      <c r="J222" s="21" t="s">
        <v>116</v>
      </c>
      <c r="K222" s="21" t="s">
        <v>991</v>
      </c>
      <c r="L222" s="24" t="s">
        <v>1001</v>
      </c>
      <c r="M222" s="21">
        <v>10</v>
      </c>
      <c r="N222" s="26">
        <f t="shared" si="3"/>
        <v>142.69999999999999</v>
      </c>
      <c r="O222" s="21"/>
      <c r="P222" s="26"/>
      <c r="R222" s="26"/>
      <c r="S222" s="26"/>
      <c r="T222" s="26"/>
      <c r="V222" s="54" t="s">
        <v>988</v>
      </c>
      <c r="X222" s="24">
        <v>516</v>
      </c>
      <c r="Y222" s="24">
        <v>356</v>
      </c>
    </row>
    <row r="223" spans="1:25" x14ac:dyDescent="0.2">
      <c r="A223" s="1" t="s">
        <v>815</v>
      </c>
      <c r="B223" s="1" t="s">
        <v>816</v>
      </c>
      <c r="C223" s="1" t="s">
        <v>817</v>
      </c>
      <c r="D223" s="1" t="s">
        <v>358</v>
      </c>
      <c r="E223" s="22">
        <v>10</v>
      </c>
      <c r="F223" s="22">
        <v>0</v>
      </c>
      <c r="G223" s="21">
        <v>15</v>
      </c>
      <c r="H223" s="26">
        <v>12.72</v>
      </c>
      <c r="I223" s="21">
        <v>250</v>
      </c>
      <c r="J223" s="21" t="s">
        <v>116</v>
      </c>
      <c r="K223" s="21" t="s">
        <v>991</v>
      </c>
      <c r="L223" s="24" t="s">
        <v>1001</v>
      </c>
      <c r="M223" s="21">
        <v>10</v>
      </c>
      <c r="N223" s="26">
        <f t="shared" si="3"/>
        <v>127.2</v>
      </c>
      <c r="O223" s="21"/>
      <c r="P223" s="26"/>
      <c r="R223" s="26"/>
      <c r="S223" s="26"/>
      <c r="T223" s="26"/>
      <c r="V223" s="54" t="s">
        <v>988</v>
      </c>
      <c r="X223" s="24">
        <v>516</v>
      </c>
      <c r="Y223" s="24">
        <v>356</v>
      </c>
    </row>
    <row r="224" spans="1:25" x14ac:dyDescent="0.2">
      <c r="A224" s="1" t="s">
        <v>818</v>
      </c>
      <c r="B224" s="1" t="s">
        <v>819</v>
      </c>
      <c r="C224" s="1" t="s">
        <v>820</v>
      </c>
      <c r="D224" s="1" t="s">
        <v>358</v>
      </c>
      <c r="E224" s="22">
        <v>10</v>
      </c>
      <c r="F224" s="22">
        <v>0</v>
      </c>
      <c r="G224" s="21">
        <v>15</v>
      </c>
      <c r="H224" s="26">
        <v>12.72</v>
      </c>
      <c r="I224" s="21">
        <v>250</v>
      </c>
      <c r="J224" s="21" t="s">
        <v>116</v>
      </c>
      <c r="K224" s="21" t="s">
        <v>991</v>
      </c>
      <c r="L224" s="24" t="s">
        <v>1001</v>
      </c>
      <c r="M224" s="21">
        <v>10</v>
      </c>
      <c r="N224" s="26">
        <f t="shared" si="3"/>
        <v>127.2</v>
      </c>
      <c r="O224" s="21"/>
      <c r="P224" s="26"/>
      <c r="R224" s="26"/>
      <c r="S224" s="26"/>
      <c r="T224" s="26"/>
      <c r="V224" s="54" t="s">
        <v>988</v>
      </c>
      <c r="X224" s="24">
        <v>516</v>
      </c>
      <c r="Y224" s="24">
        <v>356</v>
      </c>
    </row>
    <row r="225" spans="1:25" x14ac:dyDescent="0.2">
      <c r="A225" s="1" t="s">
        <v>893</v>
      </c>
      <c r="B225" s="1" t="s">
        <v>894</v>
      </c>
      <c r="C225" s="1" t="s">
        <v>895</v>
      </c>
      <c r="D225" s="1" t="s">
        <v>341</v>
      </c>
      <c r="E225" s="22">
        <v>5</v>
      </c>
      <c r="F225" s="22">
        <v>0</v>
      </c>
      <c r="G225" s="21">
        <v>12</v>
      </c>
      <c r="H225" s="26">
        <v>18.579999999999998</v>
      </c>
      <c r="I225" s="21">
        <v>100</v>
      </c>
      <c r="J225" s="21" t="s">
        <v>116</v>
      </c>
      <c r="K225" s="21" t="s">
        <v>117</v>
      </c>
      <c r="L225" s="24" t="s">
        <v>1001</v>
      </c>
      <c r="M225" s="21">
        <v>5</v>
      </c>
      <c r="N225" s="26">
        <f t="shared" si="3"/>
        <v>92.899999999999991</v>
      </c>
      <c r="O225" s="21"/>
      <c r="P225" s="26"/>
      <c r="R225" s="26"/>
      <c r="S225" s="26"/>
      <c r="T225" s="26"/>
      <c r="V225" s="54" t="s">
        <v>988</v>
      </c>
      <c r="X225" s="24">
        <v>13</v>
      </c>
      <c r="Y225" s="24">
        <v>0</v>
      </c>
    </row>
    <row r="226" spans="1:25" x14ac:dyDescent="0.2">
      <c r="A226" s="1" t="s">
        <v>850</v>
      </c>
      <c r="B226" s="1" t="s">
        <v>851</v>
      </c>
      <c r="C226" s="1" t="s">
        <v>852</v>
      </c>
      <c r="D226" s="1" t="s">
        <v>853</v>
      </c>
      <c r="E226" s="22">
        <v>5</v>
      </c>
      <c r="F226" s="22">
        <v>0</v>
      </c>
      <c r="G226" s="21">
        <v>10</v>
      </c>
      <c r="H226" s="26">
        <v>14.77</v>
      </c>
      <c r="I226" s="21">
        <v>50</v>
      </c>
      <c r="J226" s="21" t="s">
        <v>116</v>
      </c>
      <c r="K226" s="21" t="s">
        <v>23</v>
      </c>
      <c r="L226" s="24" t="s">
        <v>1001</v>
      </c>
      <c r="M226" s="21">
        <v>5</v>
      </c>
      <c r="N226" s="26">
        <f t="shared" si="3"/>
        <v>73.849999999999994</v>
      </c>
      <c r="O226" s="26"/>
      <c r="P226" s="26"/>
      <c r="R226" s="26"/>
      <c r="S226" s="26"/>
      <c r="T226" s="26"/>
      <c r="V226" s="54" t="s">
        <v>990</v>
      </c>
      <c r="X226" s="24">
        <v>0</v>
      </c>
      <c r="Y226" s="24">
        <v>0</v>
      </c>
    </row>
    <row r="227" spans="1:25" x14ac:dyDescent="0.2">
      <c r="A227" s="1" t="s">
        <v>934</v>
      </c>
      <c r="B227" s="1" t="s">
        <v>935</v>
      </c>
      <c r="C227" s="1" t="s">
        <v>936</v>
      </c>
      <c r="D227" s="1" t="s">
        <v>348</v>
      </c>
      <c r="E227" s="22">
        <v>10</v>
      </c>
      <c r="F227" s="22">
        <v>0</v>
      </c>
      <c r="G227" s="21">
        <v>14</v>
      </c>
      <c r="H227" s="26">
        <v>1.83</v>
      </c>
      <c r="I227" s="21">
        <v>436</v>
      </c>
      <c r="J227" s="21" t="s">
        <v>116</v>
      </c>
      <c r="K227" s="21" t="s">
        <v>117</v>
      </c>
      <c r="L227" s="24" t="s">
        <v>1001</v>
      </c>
      <c r="M227" s="21">
        <v>10</v>
      </c>
      <c r="N227" s="26">
        <f t="shared" si="3"/>
        <v>18.3</v>
      </c>
      <c r="O227" s="21"/>
      <c r="P227" s="26"/>
      <c r="R227" s="26"/>
      <c r="S227" s="26"/>
      <c r="T227" s="26"/>
      <c r="V227" s="54" t="s">
        <v>988</v>
      </c>
      <c r="X227" s="24">
        <v>12</v>
      </c>
      <c r="Y227" s="24">
        <v>12</v>
      </c>
    </row>
    <row r="228" spans="1:25" x14ac:dyDescent="0.2">
      <c r="A228" s="27" t="s">
        <v>924</v>
      </c>
      <c r="B228" s="27" t="s">
        <v>925</v>
      </c>
      <c r="C228" s="31" t="s">
        <v>926</v>
      </c>
      <c r="D228" s="31" t="s">
        <v>926</v>
      </c>
      <c r="E228" s="22">
        <v>4</v>
      </c>
      <c r="F228" s="22">
        <v>0</v>
      </c>
      <c r="G228" s="21">
        <v>0</v>
      </c>
      <c r="H228" s="26">
        <v>0</v>
      </c>
      <c r="I228" s="21">
        <v>0</v>
      </c>
      <c r="J228" s="21" t="s">
        <v>116</v>
      </c>
      <c r="K228" s="21" t="s">
        <v>117</v>
      </c>
      <c r="L228" s="24" t="s">
        <v>789</v>
      </c>
      <c r="M228" s="21">
        <v>16</v>
      </c>
      <c r="N228" s="26">
        <f t="shared" si="3"/>
        <v>0</v>
      </c>
      <c r="O228" s="26"/>
      <c r="P228" s="26"/>
      <c r="R228" s="26"/>
      <c r="S228" s="26"/>
      <c r="T228" s="26"/>
      <c r="U228" s="27" t="s">
        <v>927</v>
      </c>
      <c r="V228" s="54" t="s">
        <v>990</v>
      </c>
      <c r="X228" s="24">
        <v>40</v>
      </c>
      <c r="Y228" s="24">
        <v>0</v>
      </c>
    </row>
    <row r="229" spans="1:25" x14ac:dyDescent="0.2">
      <c r="A229" s="1" t="s">
        <v>799</v>
      </c>
      <c r="B229" s="1" t="s">
        <v>800</v>
      </c>
      <c r="C229" s="1" t="s">
        <v>801</v>
      </c>
      <c r="D229" s="1" t="s">
        <v>802</v>
      </c>
      <c r="E229" s="22">
        <v>15</v>
      </c>
      <c r="F229" s="22">
        <v>0</v>
      </c>
      <c r="G229" s="21">
        <v>0</v>
      </c>
      <c r="H229" s="26">
        <v>0</v>
      </c>
      <c r="I229" s="21">
        <v>0</v>
      </c>
      <c r="J229" s="21" t="s">
        <v>116</v>
      </c>
      <c r="K229" s="21" t="s">
        <v>117</v>
      </c>
      <c r="L229" s="24" t="s">
        <v>789</v>
      </c>
      <c r="M229" s="21">
        <v>15</v>
      </c>
      <c r="N229" s="26">
        <f t="shared" si="3"/>
        <v>0</v>
      </c>
      <c r="O229" s="26"/>
      <c r="P229" s="26"/>
      <c r="R229" s="26"/>
      <c r="S229" s="26"/>
      <c r="T229" s="26"/>
      <c r="V229" s="54" t="s">
        <v>990</v>
      </c>
      <c r="X229" s="24">
        <v>0</v>
      </c>
      <c r="Y229" s="24">
        <v>0</v>
      </c>
    </row>
    <row r="230" spans="1:25" x14ac:dyDescent="0.2">
      <c r="A230" s="1" t="s">
        <v>844</v>
      </c>
      <c r="B230" s="1" t="s">
        <v>845</v>
      </c>
      <c r="C230" s="1" t="s">
        <v>846</v>
      </c>
      <c r="D230" s="1" t="s">
        <v>98</v>
      </c>
      <c r="E230" s="22">
        <v>375</v>
      </c>
      <c r="F230" s="22">
        <v>0</v>
      </c>
      <c r="G230" s="21">
        <v>0</v>
      </c>
      <c r="H230" s="26">
        <v>0</v>
      </c>
      <c r="I230" s="21">
        <v>0</v>
      </c>
      <c r="J230" s="21" t="s">
        <v>116</v>
      </c>
      <c r="K230" s="21" t="s">
        <v>117</v>
      </c>
      <c r="L230" s="24" t="s">
        <v>789</v>
      </c>
      <c r="M230" s="21">
        <v>375</v>
      </c>
      <c r="N230" s="26">
        <f t="shared" si="3"/>
        <v>0</v>
      </c>
      <c r="O230" s="26"/>
      <c r="P230" s="26"/>
      <c r="R230" s="26"/>
      <c r="S230" s="26"/>
      <c r="T230" s="26"/>
      <c r="V230" s="54" t="s">
        <v>990</v>
      </c>
      <c r="X230" s="24">
        <v>436</v>
      </c>
      <c r="Y230" s="24">
        <v>120</v>
      </c>
    </row>
    <row r="231" spans="1:25" x14ac:dyDescent="0.2">
      <c r="A231" s="27" t="s">
        <v>920</v>
      </c>
      <c r="B231" s="27" t="s">
        <v>921</v>
      </c>
      <c r="C231" s="28" t="s">
        <v>922</v>
      </c>
      <c r="D231" s="28" t="s">
        <v>922</v>
      </c>
      <c r="E231" s="22">
        <v>60</v>
      </c>
      <c r="F231" s="22">
        <v>0</v>
      </c>
      <c r="G231" s="21">
        <v>0</v>
      </c>
      <c r="H231" s="26">
        <v>0</v>
      </c>
      <c r="I231" s="21">
        <v>0</v>
      </c>
      <c r="J231" s="21" t="s">
        <v>116</v>
      </c>
      <c r="K231" s="21" t="s">
        <v>117</v>
      </c>
      <c r="L231" s="24" t="s">
        <v>789</v>
      </c>
      <c r="M231" s="21">
        <v>60</v>
      </c>
      <c r="N231" s="26">
        <f t="shared" si="3"/>
        <v>0</v>
      </c>
      <c r="O231" s="26"/>
      <c r="P231" s="26"/>
      <c r="R231" s="26"/>
      <c r="S231" s="26"/>
      <c r="T231" s="26"/>
      <c r="U231" s="27" t="s">
        <v>923</v>
      </c>
      <c r="V231" s="54" t="s">
        <v>990</v>
      </c>
      <c r="X231" s="24">
        <v>12</v>
      </c>
      <c r="Y231" s="24">
        <v>7</v>
      </c>
    </row>
    <row r="232" spans="1:25" x14ac:dyDescent="0.2">
      <c r="A232" s="27" t="s">
        <v>928</v>
      </c>
      <c r="B232" s="27" t="s">
        <v>929</v>
      </c>
      <c r="C232" s="28" t="s">
        <v>930</v>
      </c>
      <c r="D232" s="28" t="s">
        <v>930</v>
      </c>
      <c r="E232" s="22">
        <v>20</v>
      </c>
      <c r="F232" s="22">
        <v>0</v>
      </c>
      <c r="G232" s="21">
        <v>0</v>
      </c>
      <c r="H232" s="26">
        <v>0</v>
      </c>
      <c r="I232" s="21">
        <v>0</v>
      </c>
      <c r="J232" s="21" t="s">
        <v>116</v>
      </c>
      <c r="K232" s="21" t="s">
        <v>117</v>
      </c>
      <c r="L232" s="24" t="s">
        <v>789</v>
      </c>
      <c r="M232" s="21">
        <v>20</v>
      </c>
      <c r="N232" s="26">
        <f t="shared" si="3"/>
        <v>0</v>
      </c>
      <c r="O232" s="26"/>
      <c r="P232" s="26"/>
      <c r="R232" s="26"/>
      <c r="S232" s="26"/>
      <c r="T232" s="26"/>
      <c r="U232" s="27" t="s">
        <v>927</v>
      </c>
      <c r="V232" s="54" t="s">
        <v>990</v>
      </c>
      <c r="X232" s="24">
        <v>40</v>
      </c>
      <c r="Y232" s="24">
        <v>0</v>
      </c>
    </row>
    <row r="233" spans="1:25" x14ac:dyDescent="0.2">
      <c r="A233" s="1" t="s">
        <v>824</v>
      </c>
      <c r="B233" s="1" t="s">
        <v>825</v>
      </c>
      <c r="C233" s="1" t="s">
        <v>826</v>
      </c>
      <c r="D233" s="1" t="s">
        <v>374</v>
      </c>
      <c r="E233" s="22">
        <v>10</v>
      </c>
      <c r="F233" s="22">
        <v>0</v>
      </c>
      <c r="G233" s="21">
        <v>0</v>
      </c>
      <c r="H233" s="26">
        <v>0</v>
      </c>
      <c r="I233" s="21">
        <v>0</v>
      </c>
      <c r="J233" s="21" t="s">
        <v>116</v>
      </c>
      <c r="K233" s="21" t="s">
        <v>117</v>
      </c>
      <c r="L233" s="24" t="s">
        <v>789</v>
      </c>
      <c r="M233" s="21">
        <v>10</v>
      </c>
      <c r="N233" s="26">
        <f t="shared" si="3"/>
        <v>0</v>
      </c>
      <c r="O233" s="26"/>
      <c r="P233" s="26"/>
      <c r="R233" s="26"/>
      <c r="S233" s="26"/>
      <c r="T233" s="26"/>
      <c r="V233" s="54" t="s">
        <v>990</v>
      </c>
      <c r="X233" s="24">
        <v>0</v>
      </c>
      <c r="Y233" s="24">
        <v>0</v>
      </c>
    </row>
    <row r="234" spans="1:25" x14ac:dyDescent="0.2">
      <c r="A234" s="1" t="s">
        <v>833</v>
      </c>
      <c r="B234" s="1" t="s">
        <v>834</v>
      </c>
      <c r="C234" s="1" t="s">
        <v>835</v>
      </c>
      <c r="D234" s="1" t="s">
        <v>836</v>
      </c>
      <c r="E234" s="22">
        <v>5</v>
      </c>
      <c r="F234" s="22">
        <v>0</v>
      </c>
      <c r="G234" s="21">
        <v>0</v>
      </c>
      <c r="H234" s="26">
        <v>0</v>
      </c>
      <c r="I234" s="21">
        <v>0</v>
      </c>
      <c r="J234" s="21" t="s">
        <v>116</v>
      </c>
      <c r="K234" s="21" t="s">
        <v>117</v>
      </c>
      <c r="L234" s="24" t="s">
        <v>789</v>
      </c>
      <c r="M234" s="21">
        <v>5</v>
      </c>
      <c r="N234" s="26">
        <f t="shared" si="3"/>
        <v>0</v>
      </c>
      <c r="O234" s="26"/>
      <c r="P234" s="26"/>
      <c r="R234" s="26"/>
      <c r="S234" s="26"/>
      <c r="T234" s="26"/>
      <c r="V234" s="54" t="s">
        <v>990</v>
      </c>
      <c r="X234" s="24">
        <v>10</v>
      </c>
      <c r="Y234" s="24">
        <v>0</v>
      </c>
    </row>
    <row r="235" spans="1:25" x14ac:dyDescent="0.2">
      <c r="A235" s="1" t="s">
        <v>916</v>
      </c>
      <c r="B235" s="1" t="s">
        <v>917</v>
      </c>
      <c r="C235" s="1" t="s">
        <v>918</v>
      </c>
      <c r="D235" s="1" t="s">
        <v>919</v>
      </c>
      <c r="E235" s="22">
        <v>150</v>
      </c>
      <c r="F235" s="22">
        <v>0</v>
      </c>
      <c r="G235" s="21">
        <v>0</v>
      </c>
      <c r="H235" s="26">
        <v>0</v>
      </c>
      <c r="I235" s="21">
        <v>0</v>
      </c>
      <c r="J235" s="21" t="s">
        <v>116</v>
      </c>
      <c r="K235" s="21" t="s">
        <v>117</v>
      </c>
      <c r="L235" s="24" t="s">
        <v>789</v>
      </c>
      <c r="M235" s="21">
        <v>150</v>
      </c>
      <c r="N235" s="26">
        <f t="shared" si="3"/>
        <v>0</v>
      </c>
      <c r="O235" s="26"/>
      <c r="P235" s="26"/>
      <c r="R235" s="26"/>
      <c r="S235" s="26"/>
      <c r="T235" s="26"/>
      <c r="V235" s="54" t="s">
        <v>990</v>
      </c>
      <c r="X235" s="24">
        <v>828</v>
      </c>
      <c r="Y235" s="24">
        <v>46</v>
      </c>
    </row>
    <row r="236" spans="1:25" x14ac:dyDescent="0.2">
      <c r="A236" s="1" t="s">
        <v>786</v>
      </c>
      <c r="B236" s="1" t="s">
        <v>787</v>
      </c>
      <c r="C236" s="1" t="s">
        <v>788</v>
      </c>
      <c r="D236" s="1" t="s">
        <v>188</v>
      </c>
      <c r="E236" s="22">
        <v>35</v>
      </c>
      <c r="F236" s="22">
        <v>0</v>
      </c>
      <c r="G236" s="21">
        <v>0</v>
      </c>
      <c r="H236" s="26">
        <v>0</v>
      </c>
      <c r="I236" s="21">
        <v>0</v>
      </c>
      <c r="J236" s="21" t="s">
        <v>116</v>
      </c>
      <c r="K236" s="21" t="s">
        <v>117</v>
      </c>
      <c r="L236" s="24" t="s">
        <v>789</v>
      </c>
      <c r="M236" s="21">
        <v>35</v>
      </c>
      <c r="N236" s="26">
        <f t="shared" si="3"/>
        <v>0</v>
      </c>
      <c r="O236" s="26"/>
      <c r="P236" s="26"/>
      <c r="R236" s="26"/>
      <c r="S236" s="26"/>
      <c r="T236" s="26"/>
      <c r="V236" s="54" t="s">
        <v>990</v>
      </c>
      <c r="X236" s="24">
        <v>19</v>
      </c>
      <c r="Y236" s="24">
        <v>7</v>
      </c>
    </row>
    <row r="237" spans="1:25" x14ac:dyDescent="0.2">
      <c r="A237" s="1" t="s">
        <v>790</v>
      </c>
      <c r="B237" s="1" t="s">
        <v>791</v>
      </c>
      <c r="C237" s="1" t="s">
        <v>792</v>
      </c>
      <c r="D237" s="1" t="s">
        <v>188</v>
      </c>
      <c r="E237" s="22">
        <v>10</v>
      </c>
      <c r="F237" s="22">
        <v>0</v>
      </c>
      <c r="G237" s="21">
        <v>0</v>
      </c>
      <c r="H237" s="26">
        <v>0</v>
      </c>
      <c r="I237" s="21">
        <v>0</v>
      </c>
      <c r="J237" s="21" t="s">
        <v>116</v>
      </c>
      <c r="K237" s="21" t="s">
        <v>117</v>
      </c>
      <c r="L237" s="24" t="s">
        <v>789</v>
      </c>
      <c r="M237" s="21">
        <v>10</v>
      </c>
      <c r="N237" s="26">
        <f t="shared" si="3"/>
        <v>0</v>
      </c>
      <c r="O237" s="26"/>
      <c r="P237" s="26"/>
      <c r="R237" s="26"/>
      <c r="S237" s="26"/>
      <c r="T237" s="26"/>
      <c r="V237" s="54" t="s">
        <v>990</v>
      </c>
      <c r="X237" s="24">
        <v>13</v>
      </c>
      <c r="Y237" s="24">
        <v>1</v>
      </c>
    </row>
    <row r="238" spans="1:25" x14ac:dyDescent="0.2">
      <c r="A238" s="1" t="s">
        <v>796</v>
      </c>
      <c r="B238" s="1" t="s">
        <v>797</v>
      </c>
      <c r="C238" s="1" t="s">
        <v>798</v>
      </c>
      <c r="D238" s="1" t="s">
        <v>188</v>
      </c>
      <c r="E238" s="22">
        <v>930</v>
      </c>
      <c r="F238" s="22">
        <v>0</v>
      </c>
      <c r="G238" s="21">
        <v>0</v>
      </c>
      <c r="H238" s="26">
        <v>0</v>
      </c>
      <c r="I238" s="21">
        <v>0</v>
      </c>
      <c r="J238" s="21" t="s">
        <v>116</v>
      </c>
      <c r="K238" s="21" t="s">
        <v>117</v>
      </c>
      <c r="L238" s="24" t="s">
        <v>789</v>
      </c>
      <c r="M238" s="21">
        <v>930</v>
      </c>
      <c r="N238" s="26">
        <f t="shared" si="3"/>
        <v>0</v>
      </c>
      <c r="O238" s="26"/>
      <c r="P238" s="26"/>
      <c r="R238" s="26"/>
      <c r="S238" s="26"/>
      <c r="T238" s="26"/>
      <c r="V238" s="54" t="s">
        <v>990</v>
      </c>
      <c r="X238" s="24">
        <v>1090</v>
      </c>
      <c r="Y238" s="24">
        <v>300</v>
      </c>
    </row>
    <row r="239" spans="1:25" x14ac:dyDescent="0.2">
      <c r="A239" s="1" t="s">
        <v>803</v>
      </c>
      <c r="B239" s="1" t="s">
        <v>804</v>
      </c>
      <c r="C239" s="1" t="s">
        <v>805</v>
      </c>
      <c r="D239" s="1" t="s">
        <v>188</v>
      </c>
      <c r="E239" s="22">
        <v>235</v>
      </c>
      <c r="F239" s="22">
        <v>0</v>
      </c>
      <c r="G239" s="21">
        <v>0</v>
      </c>
      <c r="H239" s="26">
        <v>0</v>
      </c>
      <c r="I239" s="21">
        <v>0</v>
      </c>
      <c r="J239" s="21" t="s">
        <v>116</v>
      </c>
      <c r="K239" s="21" t="s">
        <v>117</v>
      </c>
      <c r="L239" s="24" t="s">
        <v>789</v>
      </c>
      <c r="M239" s="21">
        <v>235</v>
      </c>
      <c r="N239" s="26">
        <f t="shared" si="3"/>
        <v>0</v>
      </c>
      <c r="O239" s="26"/>
      <c r="P239" s="26"/>
      <c r="R239" s="26"/>
      <c r="S239" s="26"/>
      <c r="T239" s="26"/>
      <c r="V239" s="54" t="s">
        <v>990</v>
      </c>
      <c r="X239" s="24">
        <v>304</v>
      </c>
      <c r="Y239" s="24">
        <v>126</v>
      </c>
    </row>
    <row r="240" spans="1:25" x14ac:dyDescent="0.2">
      <c r="A240" s="1" t="s">
        <v>827</v>
      </c>
      <c r="B240" s="1" t="s">
        <v>828</v>
      </c>
      <c r="C240" s="1" t="s">
        <v>829</v>
      </c>
      <c r="D240" s="1" t="s">
        <v>188</v>
      </c>
      <c r="E240" s="22">
        <v>15</v>
      </c>
      <c r="F240" s="22">
        <v>0</v>
      </c>
      <c r="G240" s="21">
        <v>0</v>
      </c>
      <c r="H240" s="26">
        <v>0</v>
      </c>
      <c r="I240" s="21">
        <v>0</v>
      </c>
      <c r="J240" s="21" t="s">
        <v>116</v>
      </c>
      <c r="K240" s="21" t="s">
        <v>117</v>
      </c>
      <c r="L240" s="24" t="s">
        <v>789</v>
      </c>
      <c r="M240" s="21">
        <v>15</v>
      </c>
      <c r="N240" s="26">
        <f t="shared" si="3"/>
        <v>0</v>
      </c>
      <c r="O240" s="26"/>
      <c r="P240" s="26"/>
      <c r="R240" s="26"/>
      <c r="S240" s="26"/>
      <c r="T240" s="26"/>
      <c r="V240" s="54" t="s">
        <v>990</v>
      </c>
      <c r="X240" s="24">
        <v>3</v>
      </c>
      <c r="Y240" s="24">
        <v>3</v>
      </c>
    </row>
    <row r="241" spans="1:25" x14ac:dyDescent="0.2">
      <c r="A241" s="1" t="s">
        <v>750</v>
      </c>
      <c r="B241" s="1" t="s">
        <v>751</v>
      </c>
      <c r="C241" s="1" t="s">
        <v>752</v>
      </c>
      <c r="D241" s="1" t="s">
        <v>188</v>
      </c>
      <c r="E241" s="22">
        <v>445</v>
      </c>
      <c r="F241" s="22">
        <v>1</v>
      </c>
      <c r="G241" s="21">
        <v>24</v>
      </c>
      <c r="H241" s="23">
        <v>7.92</v>
      </c>
      <c r="I241" s="24">
        <v>445</v>
      </c>
      <c r="J241" s="21" t="s">
        <v>116</v>
      </c>
      <c r="K241" s="24" t="s">
        <v>117</v>
      </c>
      <c r="L241" s="24" t="s">
        <v>740</v>
      </c>
      <c r="M241" s="25">
        <v>200</v>
      </c>
      <c r="N241" s="26">
        <f t="shared" si="3"/>
        <v>1584</v>
      </c>
      <c r="O241" s="26"/>
      <c r="P241" s="26"/>
      <c r="R241" s="26"/>
      <c r="S241" s="26"/>
      <c r="T241" s="26"/>
      <c r="U241" s="1" t="s">
        <v>753</v>
      </c>
      <c r="V241" s="37" t="s">
        <v>989</v>
      </c>
      <c r="X241" s="24">
        <v>106</v>
      </c>
      <c r="Y241" s="24">
        <v>54</v>
      </c>
    </row>
    <row r="242" spans="1:25" x14ac:dyDescent="0.2">
      <c r="A242" s="1" t="s">
        <v>754</v>
      </c>
      <c r="B242" s="1" t="s">
        <v>755</v>
      </c>
      <c r="C242" s="1" t="s">
        <v>756</v>
      </c>
      <c r="D242" s="1" t="s">
        <v>188</v>
      </c>
      <c r="E242" s="22">
        <v>445</v>
      </c>
      <c r="F242" s="22">
        <v>1</v>
      </c>
      <c r="G242" s="21">
        <v>24</v>
      </c>
      <c r="H242" s="23">
        <v>7.92</v>
      </c>
      <c r="I242" s="24">
        <v>445</v>
      </c>
      <c r="J242" s="21" t="s">
        <v>116</v>
      </c>
      <c r="K242" s="24" t="s">
        <v>117</v>
      </c>
      <c r="L242" s="24" t="s">
        <v>740</v>
      </c>
      <c r="M242" s="25">
        <v>200</v>
      </c>
      <c r="N242" s="26">
        <f t="shared" si="3"/>
        <v>1584</v>
      </c>
      <c r="O242" s="26"/>
      <c r="P242" s="26"/>
      <c r="R242" s="26"/>
      <c r="S242" s="26"/>
      <c r="T242" s="26"/>
      <c r="U242" s="1" t="s">
        <v>753</v>
      </c>
      <c r="V242" s="37" t="s">
        <v>989</v>
      </c>
      <c r="X242" s="24">
        <v>106</v>
      </c>
      <c r="Y242" s="24">
        <v>54</v>
      </c>
    </row>
    <row r="243" spans="1:25" x14ac:dyDescent="0.2">
      <c r="A243" s="1" t="s">
        <v>757</v>
      </c>
      <c r="B243" s="1" t="s">
        <v>758</v>
      </c>
      <c r="C243" s="1" t="s">
        <v>759</v>
      </c>
      <c r="D243" s="1" t="s">
        <v>188</v>
      </c>
      <c r="E243" s="22">
        <v>445</v>
      </c>
      <c r="F243" s="22">
        <v>1</v>
      </c>
      <c r="G243" s="21">
        <v>24</v>
      </c>
      <c r="H243" s="23">
        <v>7.92</v>
      </c>
      <c r="I243" s="24">
        <v>445</v>
      </c>
      <c r="J243" s="21" t="s">
        <v>116</v>
      </c>
      <c r="K243" s="24" t="s">
        <v>117</v>
      </c>
      <c r="L243" s="24" t="s">
        <v>740</v>
      </c>
      <c r="M243" s="25">
        <v>200</v>
      </c>
      <c r="N243" s="26">
        <f t="shared" si="3"/>
        <v>1584</v>
      </c>
      <c r="O243" s="26"/>
      <c r="P243" s="26"/>
      <c r="R243" s="26"/>
      <c r="S243" s="26"/>
      <c r="T243" s="26"/>
      <c r="U243" s="1" t="s">
        <v>753</v>
      </c>
      <c r="V243" s="37" t="s">
        <v>989</v>
      </c>
      <c r="X243" s="24">
        <v>106</v>
      </c>
      <c r="Y243" s="24">
        <v>54</v>
      </c>
    </row>
    <row r="244" spans="1:25" x14ac:dyDescent="0.2">
      <c r="A244" s="1" t="s">
        <v>760</v>
      </c>
      <c r="B244" s="1" t="s">
        <v>761</v>
      </c>
      <c r="C244" s="1" t="s">
        <v>762</v>
      </c>
      <c r="D244" s="1" t="s">
        <v>188</v>
      </c>
      <c r="E244" s="22">
        <v>445</v>
      </c>
      <c r="F244" s="22">
        <v>1</v>
      </c>
      <c r="G244" s="21">
        <v>24</v>
      </c>
      <c r="H244" s="23">
        <v>7.92</v>
      </c>
      <c r="I244" s="24">
        <v>445</v>
      </c>
      <c r="J244" s="21" t="s">
        <v>116</v>
      </c>
      <c r="K244" s="24" t="s">
        <v>117</v>
      </c>
      <c r="L244" s="24" t="s">
        <v>740</v>
      </c>
      <c r="M244" s="25">
        <v>200</v>
      </c>
      <c r="N244" s="26">
        <f t="shared" si="3"/>
        <v>1584</v>
      </c>
      <c r="O244" s="26"/>
      <c r="P244" s="26"/>
      <c r="R244" s="26"/>
      <c r="S244" s="26"/>
      <c r="T244" s="26"/>
      <c r="U244" s="1" t="s">
        <v>753</v>
      </c>
      <c r="V244" s="37" t="s">
        <v>989</v>
      </c>
      <c r="X244" s="24">
        <v>106</v>
      </c>
      <c r="Y244" s="24">
        <v>54</v>
      </c>
    </row>
    <row r="245" spans="1:25" x14ac:dyDescent="0.2">
      <c r="A245" s="1" t="s">
        <v>763</v>
      </c>
      <c r="B245" s="1" t="s">
        <v>764</v>
      </c>
      <c r="C245" s="1" t="s">
        <v>765</v>
      </c>
      <c r="D245" s="1" t="s">
        <v>188</v>
      </c>
      <c r="E245" s="22">
        <v>445</v>
      </c>
      <c r="F245" s="22">
        <v>1</v>
      </c>
      <c r="G245" s="21">
        <v>24</v>
      </c>
      <c r="H245" s="23">
        <v>7.92</v>
      </c>
      <c r="I245" s="24">
        <v>445</v>
      </c>
      <c r="J245" s="21" t="s">
        <v>116</v>
      </c>
      <c r="K245" s="24" t="s">
        <v>117</v>
      </c>
      <c r="L245" s="24" t="s">
        <v>740</v>
      </c>
      <c r="M245" s="25">
        <v>200</v>
      </c>
      <c r="N245" s="26">
        <f t="shared" si="3"/>
        <v>1584</v>
      </c>
      <c r="O245" s="26"/>
      <c r="P245" s="26"/>
      <c r="R245" s="26"/>
      <c r="S245" s="26"/>
      <c r="T245" s="26"/>
      <c r="U245" s="1" t="s">
        <v>753</v>
      </c>
      <c r="V245" s="37" t="s">
        <v>989</v>
      </c>
      <c r="X245" s="24">
        <v>106</v>
      </c>
      <c r="Y245" s="24">
        <v>54</v>
      </c>
    </row>
    <row r="246" spans="1:25" x14ac:dyDescent="0.2">
      <c r="A246" s="1" t="s">
        <v>766</v>
      </c>
      <c r="B246" s="1" t="s">
        <v>767</v>
      </c>
      <c r="C246" s="1" t="s">
        <v>768</v>
      </c>
      <c r="D246" s="1" t="s">
        <v>188</v>
      </c>
      <c r="E246" s="22">
        <v>445</v>
      </c>
      <c r="F246" s="22">
        <v>1</v>
      </c>
      <c r="G246" s="21">
        <v>24</v>
      </c>
      <c r="H246" s="23">
        <v>7.92</v>
      </c>
      <c r="I246" s="24">
        <v>445</v>
      </c>
      <c r="J246" s="21" t="s">
        <v>116</v>
      </c>
      <c r="K246" s="24" t="s">
        <v>117</v>
      </c>
      <c r="L246" s="24" t="s">
        <v>740</v>
      </c>
      <c r="M246" s="25">
        <v>200</v>
      </c>
      <c r="N246" s="26">
        <f t="shared" si="3"/>
        <v>1584</v>
      </c>
      <c r="O246" s="26"/>
      <c r="P246" s="26"/>
      <c r="R246" s="26"/>
      <c r="S246" s="26"/>
      <c r="T246" s="26"/>
      <c r="U246" s="1" t="s">
        <v>753</v>
      </c>
      <c r="V246" s="37" t="s">
        <v>989</v>
      </c>
      <c r="X246" s="24">
        <v>106</v>
      </c>
      <c r="Y246" s="24">
        <v>54</v>
      </c>
    </row>
    <row r="247" spans="1:25" x14ac:dyDescent="0.2">
      <c r="A247" s="1" t="s">
        <v>769</v>
      </c>
      <c r="B247" s="1" t="s">
        <v>770</v>
      </c>
      <c r="C247" s="1" t="s">
        <v>771</v>
      </c>
      <c r="D247" s="1" t="s">
        <v>188</v>
      </c>
      <c r="E247" s="22">
        <v>445</v>
      </c>
      <c r="F247" s="22">
        <v>1</v>
      </c>
      <c r="G247" s="21">
        <v>24</v>
      </c>
      <c r="H247" s="23">
        <v>7.92</v>
      </c>
      <c r="I247" s="24">
        <v>445</v>
      </c>
      <c r="J247" s="21" t="s">
        <v>116</v>
      </c>
      <c r="K247" s="24" t="s">
        <v>117</v>
      </c>
      <c r="L247" s="24" t="s">
        <v>740</v>
      </c>
      <c r="M247" s="25">
        <v>200</v>
      </c>
      <c r="N247" s="26">
        <f t="shared" si="3"/>
        <v>1584</v>
      </c>
      <c r="O247" s="26"/>
      <c r="P247" s="26"/>
      <c r="R247" s="26"/>
      <c r="S247" s="26"/>
      <c r="T247" s="26"/>
      <c r="U247" s="1" t="s">
        <v>753</v>
      </c>
      <c r="V247" s="37" t="s">
        <v>989</v>
      </c>
      <c r="X247" s="24">
        <v>106</v>
      </c>
      <c r="Y247" s="24">
        <v>54</v>
      </c>
    </row>
    <row r="248" spans="1:25" x14ac:dyDescent="0.2">
      <c r="A248" s="1" t="s">
        <v>866</v>
      </c>
      <c r="B248" s="1" t="s">
        <v>867</v>
      </c>
      <c r="C248" s="1" t="s">
        <v>868</v>
      </c>
      <c r="D248" s="1" t="s">
        <v>840</v>
      </c>
      <c r="E248" s="22">
        <v>230</v>
      </c>
      <c r="F248" s="22">
        <v>0</v>
      </c>
      <c r="G248" s="21">
        <v>10</v>
      </c>
      <c r="H248" s="26">
        <v>47.874999999999993</v>
      </c>
      <c r="I248" s="21">
        <v>230</v>
      </c>
      <c r="J248" s="21" t="s">
        <v>116</v>
      </c>
      <c r="K248" s="21" t="s">
        <v>23</v>
      </c>
      <c r="L248" s="24" t="s">
        <v>1016</v>
      </c>
      <c r="M248" s="25">
        <v>100</v>
      </c>
      <c r="N248" s="26">
        <f t="shared" si="3"/>
        <v>4787.4999999999991</v>
      </c>
      <c r="O248" s="21"/>
      <c r="P248" s="26"/>
      <c r="R248" s="26"/>
      <c r="S248" s="26"/>
      <c r="T248" s="26"/>
      <c r="U248" s="1" t="s">
        <v>1015</v>
      </c>
      <c r="V248" s="54" t="s">
        <v>1056</v>
      </c>
      <c r="X248" s="24">
        <v>184</v>
      </c>
      <c r="Y248" s="24">
        <v>104</v>
      </c>
    </row>
    <row r="249" spans="1:25" x14ac:dyDescent="0.2">
      <c r="A249" s="1" t="s">
        <v>841</v>
      </c>
      <c r="B249" s="1" t="s">
        <v>842</v>
      </c>
      <c r="C249" s="1" t="s">
        <v>843</v>
      </c>
      <c r="D249" s="1" t="s">
        <v>840</v>
      </c>
      <c r="E249" s="22">
        <v>235</v>
      </c>
      <c r="F249" s="22">
        <v>0</v>
      </c>
      <c r="G249" s="21">
        <v>10</v>
      </c>
      <c r="H249" s="26">
        <v>51.987499999999997</v>
      </c>
      <c r="I249" s="21">
        <v>235</v>
      </c>
      <c r="J249" s="21">
        <v>0</v>
      </c>
      <c r="K249" s="21" t="s">
        <v>23</v>
      </c>
      <c r="L249" s="24" t="s">
        <v>1016</v>
      </c>
      <c r="M249" s="25">
        <v>100</v>
      </c>
      <c r="N249" s="26">
        <f t="shared" si="3"/>
        <v>5198.75</v>
      </c>
      <c r="O249" s="21"/>
      <c r="P249" s="26"/>
      <c r="R249" s="26"/>
      <c r="S249" s="26"/>
      <c r="T249" s="26"/>
      <c r="U249" s="1" t="s">
        <v>1021</v>
      </c>
      <c r="V249" s="54" t="s">
        <v>1056</v>
      </c>
      <c r="X249" s="24">
        <v>304</v>
      </c>
      <c r="Y249" s="24">
        <v>126</v>
      </c>
    </row>
    <row r="250" spans="1:25" x14ac:dyDescent="0.2">
      <c r="A250" s="1" t="s">
        <v>857</v>
      </c>
      <c r="B250" s="1" t="s">
        <v>858</v>
      </c>
      <c r="C250" s="1" t="s">
        <v>859</v>
      </c>
      <c r="D250" s="1" t="s">
        <v>840</v>
      </c>
      <c r="E250" s="22">
        <v>205</v>
      </c>
      <c r="F250" s="22">
        <v>0</v>
      </c>
      <c r="G250" s="21">
        <v>12</v>
      </c>
      <c r="H250" s="26">
        <v>241.9</v>
      </c>
      <c r="I250" s="21">
        <v>205</v>
      </c>
      <c r="J250" s="21" t="s">
        <v>116</v>
      </c>
      <c r="K250" s="21" t="s">
        <v>23</v>
      </c>
      <c r="L250" s="24" t="s">
        <v>1016</v>
      </c>
      <c r="M250" s="25">
        <v>20</v>
      </c>
      <c r="N250" s="26">
        <f t="shared" si="3"/>
        <v>4838</v>
      </c>
      <c r="O250" s="21"/>
      <c r="P250" s="26"/>
      <c r="R250" s="26"/>
      <c r="S250" s="26"/>
      <c r="T250" s="26"/>
      <c r="U250" s="1" t="s">
        <v>1014</v>
      </c>
      <c r="V250" s="54" t="s">
        <v>1056</v>
      </c>
      <c r="X250" s="24">
        <v>0</v>
      </c>
      <c r="Y250" s="24">
        <v>0</v>
      </c>
    </row>
    <row r="251" spans="1:25" x14ac:dyDescent="0.2">
      <c r="A251" s="1" t="s">
        <v>863</v>
      </c>
      <c r="B251" s="1" t="s">
        <v>864</v>
      </c>
      <c r="C251" s="1" t="s">
        <v>865</v>
      </c>
      <c r="D251" s="1" t="s">
        <v>840</v>
      </c>
      <c r="E251" s="22">
        <v>230</v>
      </c>
      <c r="F251" s="22">
        <v>0</v>
      </c>
      <c r="G251" s="21">
        <v>10</v>
      </c>
      <c r="H251" s="26">
        <v>39.880000000000003</v>
      </c>
      <c r="I251" s="21">
        <v>230</v>
      </c>
      <c r="J251" s="21" t="s">
        <v>116</v>
      </c>
      <c r="K251" s="21" t="s">
        <v>23</v>
      </c>
      <c r="L251" s="24" t="s">
        <v>1016</v>
      </c>
      <c r="M251" s="25">
        <v>100</v>
      </c>
      <c r="N251" s="26">
        <f t="shared" si="3"/>
        <v>3988.0000000000005</v>
      </c>
      <c r="O251" s="21"/>
      <c r="P251" s="26"/>
      <c r="R251" s="26"/>
      <c r="S251" s="26"/>
      <c r="T251" s="26"/>
      <c r="U251" s="1" t="s">
        <v>1015</v>
      </c>
      <c r="V251" s="54" t="s">
        <v>1056</v>
      </c>
      <c r="X251" s="24">
        <v>184</v>
      </c>
      <c r="Y251" s="24">
        <v>104</v>
      </c>
    </row>
    <row r="252" spans="1:25" x14ac:dyDescent="0.2">
      <c r="A252" s="1" t="s">
        <v>872</v>
      </c>
      <c r="B252" s="1" t="s">
        <v>873</v>
      </c>
      <c r="C252" s="1" t="s">
        <v>874</v>
      </c>
      <c r="D252" s="1" t="s">
        <v>840</v>
      </c>
      <c r="E252" s="22">
        <v>230</v>
      </c>
      <c r="F252" s="22">
        <v>0</v>
      </c>
      <c r="G252" s="21">
        <v>10</v>
      </c>
      <c r="H252" s="26">
        <v>35.43</v>
      </c>
      <c r="I252" s="21">
        <v>230</v>
      </c>
      <c r="J252" s="21" t="s">
        <v>116</v>
      </c>
      <c r="K252" s="21" t="s">
        <v>23</v>
      </c>
      <c r="L252" s="24" t="s">
        <v>1016</v>
      </c>
      <c r="M252" s="25">
        <v>100</v>
      </c>
      <c r="N252" s="26">
        <f t="shared" si="3"/>
        <v>3543</v>
      </c>
      <c r="O252" s="21"/>
      <c r="P252" s="26"/>
      <c r="R252" s="26"/>
      <c r="S252" s="26"/>
      <c r="T252" s="26"/>
      <c r="U252" s="1" t="s">
        <v>1015</v>
      </c>
      <c r="V252" s="54" t="s">
        <v>1056</v>
      </c>
      <c r="X252" s="24">
        <v>184</v>
      </c>
      <c r="Y252" s="24">
        <v>104</v>
      </c>
    </row>
    <row r="253" spans="1:25" x14ac:dyDescent="0.2">
      <c r="A253" s="1" t="s">
        <v>875</v>
      </c>
      <c r="B253" s="1" t="s">
        <v>876</v>
      </c>
      <c r="C253" s="1" t="s">
        <v>877</v>
      </c>
      <c r="D253" s="1" t="s">
        <v>840</v>
      </c>
      <c r="E253" s="22">
        <v>230</v>
      </c>
      <c r="F253" s="22">
        <v>0</v>
      </c>
      <c r="G253" s="21">
        <v>10</v>
      </c>
      <c r="H253" s="26">
        <v>32.74</v>
      </c>
      <c r="I253" s="21">
        <v>230</v>
      </c>
      <c r="J253" s="21" t="s">
        <v>116</v>
      </c>
      <c r="K253" s="21" t="s">
        <v>23</v>
      </c>
      <c r="L253" s="24" t="s">
        <v>1016</v>
      </c>
      <c r="M253" s="25">
        <v>100</v>
      </c>
      <c r="N253" s="26">
        <f t="shared" si="3"/>
        <v>3274</v>
      </c>
      <c r="O253" s="21"/>
      <c r="P253" s="26"/>
      <c r="R253" s="26"/>
      <c r="S253" s="26"/>
      <c r="T253" s="26"/>
      <c r="U253" s="1" t="s">
        <v>1015</v>
      </c>
      <c r="V253" s="54" t="s">
        <v>1056</v>
      </c>
      <c r="X253" s="24">
        <v>184</v>
      </c>
      <c r="Y253" s="24">
        <v>104</v>
      </c>
    </row>
    <row r="254" spans="1:25" x14ac:dyDescent="0.2">
      <c r="A254" s="1" t="s">
        <v>860</v>
      </c>
      <c r="B254" s="1" t="s">
        <v>861</v>
      </c>
      <c r="C254" s="1" t="s">
        <v>862</v>
      </c>
      <c r="D254" s="1" t="s">
        <v>840</v>
      </c>
      <c r="E254" s="22">
        <v>230</v>
      </c>
      <c r="F254" s="22">
        <v>0</v>
      </c>
      <c r="G254" s="21">
        <v>10</v>
      </c>
      <c r="H254" s="26">
        <v>28.75</v>
      </c>
      <c r="I254" s="21">
        <v>230</v>
      </c>
      <c r="J254" s="21" t="s">
        <v>116</v>
      </c>
      <c r="K254" s="21" t="s">
        <v>23</v>
      </c>
      <c r="L254" s="24" t="s">
        <v>1016</v>
      </c>
      <c r="M254" s="25">
        <v>100</v>
      </c>
      <c r="N254" s="26">
        <f t="shared" si="3"/>
        <v>2875</v>
      </c>
      <c r="O254" s="21"/>
      <c r="P254" s="26"/>
      <c r="R254" s="26"/>
      <c r="S254" s="26"/>
      <c r="T254" s="26"/>
      <c r="U254" s="1" t="s">
        <v>1015</v>
      </c>
      <c r="V254" s="54" t="s">
        <v>1056</v>
      </c>
      <c r="X254" s="24">
        <v>184</v>
      </c>
      <c r="Y254" s="24">
        <v>104</v>
      </c>
    </row>
    <row r="255" spans="1:25" x14ac:dyDescent="0.2">
      <c r="A255" s="1" t="s">
        <v>869</v>
      </c>
      <c r="B255" s="1" t="s">
        <v>870</v>
      </c>
      <c r="C255" s="1" t="s">
        <v>871</v>
      </c>
      <c r="D255" s="1" t="s">
        <v>840</v>
      </c>
      <c r="E255" s="22">
        <v>230</v>
      </c>
      <c r="F255" s="22">
        <v>0</v>
      </c>
      <c r="G255" s="21">
        <v>10</v>
      </c>
      <c r="H255" s="26">
        <v>25.4</v>
      </c>
      <c r="I255" s="21">
        <v>230</v>
      </c>
      <c r="J255" s="21" t="s">
        <v>116</v>
      </c>
      <c r="K255" s="21" t="s">
        <v>23</v>
      </c>
      <c r="L255" s="24" t="s">
        <v>1016</v>
      </c>
      <c r="M255" s="25">
        <v>100</v>
      </c>
      <c r="N255" s="26">
        <f t="shared" si="3"/>
        <v>2540</v>
      </c>
      <c r="O255" s="21"/>
      <c r="P255" s="26"/>
      <c r="R255" s="26"/>
      <c r="S255" s="26"/>
      <c r="T255" s="26"/>
      <c r="U255" s="1" t="s">
        <v>1015</v>
      </c>
      <c r="V255" s="54" t="s">
        <v>1056</v>
      </c>
      <c r="X255" s="24">
        <v>184</v>
      </c>
      <c r="Y255" s="24">
        <v>104</v>
      </c>
    </row>
    <row r="256" spans="1:25" x14ac:dyDescent="0.2">
      <c r="A256" s="1" t="s">
        <v>854</v>
      </c>
      <c r="B256" s="1" t="s">
        <v>855</v>
      </c>
      <c r="C256" s="1" t="s">
        <v>856</v>
      </c>
      <c r="D256" s="1" t="s">
        <v>840</v>
      </c>
      <c r="E256" s="22">
        <v>180</v>
      </c>
      <c r="F256" s="22">
        <v>0</v>
      </c>
      <c r="G256" s="21">
        <v>10</v>
      </c>
      <c r="H256" s="26">
        <v>22.850000000000005</v>
      </c>
      <c r="I256" s="21">
        <v>180</v>
      </c>
      <c r="J256" s="21" t="s">
        <v>116</v>
      </c>
      <c r="K256" s="21" t="s">
        <v>23</v>
      </c>
      <c r="L256" s="24" t="s">
        <v>1016</v>
      </c>
      <c r="M256" s="25">
        <v>30</v>
      </c>
      <c r="N256" s="26">
        <f t="shared" si="3"/>
        <v>685.50000000000011</v>
      </c>
      <c r="O256" s="21"/>
      <c r="P256" s="26"/>
      <c r="R256" s="26"/>
      <c r="S256" s="26"/>
      <c r="T256" s="26"/>
      <c r="U256" s="1" t="s">
        <v>1022</v>
      </c>
      <c r="V256" s="54" t="s">
        <v>1056</v>
      </c>
      <c r="X256" s="24">
        <v>32</v>
      </c>
      <c r="Y256" s="24">
        <v>32</v>
      </c>
    </row>
    <row r="257" spans="1:25" x14ac:dyDescent="0.2">
      <c r="A257" s="27" t="s">
        <v>942</v>
      </c>
      <c r="B257" s="27" t="s">
        <v>943</v>
      </c>
      <c r="C257" s="31" t="s">
        <v>926</v>
      </c>
      <c r="D257" s="31" t="s">
        <v>926</v>
      </c>
      <c r="E257" s="22">
        <v>4</v>
      </c>
      <c r="F257" s="22">
        <v>0</v>
      </c>
      <c r="G257" s="21">
        <v>5</v>
      </c>
      <c r="H257" s="23">
        <v>43.62</v>
      </c>
      <c r="I257" s="24">
        <v>0</v>
      </c>
      <c r="J257" s="21" t="s">
        <v>116</v>
      </c>
      <c r="K257" s="24" t="s">
        <v>117</v>
      </c>
      <c r="L257" s="24" t="s">
        <v>944</v>
      </c>
      <c r="M257" s="21">
        <v>24</v>
      </c>
      <c r="N257" s="26">
        <f t="shared" si="3"/>
        <v>1046.8799999999999</v>
      </c>
      <c r="O257" s="26"/>
      <c r="P257" s="26"/>
      <c r="R257" s="26"/>
      <c r="S257" s="26"/>
      <c r="T257" s="26"/>
      <c r="U257" s="27" t="s">
        <v>945</v>
      </c>
      <c r="V257" s="27"/>
      <c r="X257" s="24">
        <v>48</v>
      </c>
      <c r="Y257" s="24">
        <v>16</v>
      </c>
    </row>
    <row r="258" spans="1:25" x14ac:dyDescent="0.2">
      <c r="A258" s="27" t="s">
        <v>946</v>
      </c>
      <c r="B258" s="27" t="s">
        <v>943</v>
      </c>
      <c r="C258" s="31" t="s">
        <v>926</v>
      </c>
      <c r="D258" s="31" t="s">
        <v>926</v>
      </c>
      <c r="E258" s="22">
        <v>4</v>
      </c>
      <c r="F258" s="22">
        <v>0</v>
      </c>
      <c r="G258" s="21">
        <v>5</v>
      </c>
      <c r="H258" s="23">
        <v>43.62</v>
      </c>
      <c r="I258" s="24">
        <v>0</v>
      </c>
      <c r="J258" s="21" t="s">
        <v>116</v>
      </c>
      <c r="K258" s="24" t="s">
        <v>117</v>
      </c>
      <c r="L258" s="24" t="s">
        <v>944</v>
      </c>
      <c r="M258" s="21">
        <v>24</v>
      </c>
      <c r="N258" s="26">
        <f t="shared" si="3"/>
        <v>1046.8799999999999</v>
      </c>
      <c r="O258" s="26"/>
      <c r="P258" s="26"/>
      <c r="R258" s="26"/>
      <c r="S258" s="26"/>
      <c r="T258" s="26"/>
      <c r="U258" s="27" t="s">
        <v>945</v>
      </c>
      <c r="V258" s="27"/>
      <c r="X258" s="24">
        <v>104</v>
      </c>
      <c r="Y258" s="24">
        <v>0</v>
      </c>
    </row>
    <row r="259" spans="1:25" x14ac:dyDescent="0.2">
      <c r="A259" s="27" t="s">
        <v>947</v>
      </c>
      <c r="B259" s="27" t="s">
        <v>943</v>
      </c>
      <c r="C259" s="31" t="s">
        <v>926</v>
      </c>
      <c r="D259" s="31" t="s">
        <v>926</v>
      </c>
      <c r="E259" s="22">
        <v>4</v>
      </c>
      <c r="F259" s="22">
        <v>0</v>
      </c>
      <c r="G259" s="21">
        <v>5</v>
      </c>
      <c r="H259" s="23">
        <v>106.41</v>
      </c>
      <c r="I259" s="24">
        <v>0</v>
      </c>
      <c r="J259" s="21" t="s">
        <v>116</v>
      </c>
      <c r="K259" s="24" t="s">
        <v>117</v>
      </c>
      <c r="L259" s="24" t="s">
        <v>944</v>
      </c>
      <c r="M259" s="21">
        <v>6</v>
      </c>
      <c r="N259" s="26">
        <f t="shared" si="3"/>
        <v>638.46</v>
      </c>
      <c r="O259" s="26"/>
      <c r="P259" s="26"/>
      <c r="R259" s="26"/>
      <c r="S259" s="26"/>
      <c r="T259" s="26"/>
      <c r="U259" s="27" t="s">
        <v>945</v>
      </c>
      <c r="V259" s="27"/>
      <c r="X259" s="24">
        <v>0</v>
      </c>
      <c r="Y259" s="24">
        <v>0</v>
      </c>
    </row>
    <row r="260" spans="1:25" x14ac:dyDescent="0.2">
      <c r="A260" s="27" t="s">
        <v>948</v>
      </c>
      <c r="B260" s="27" t="s">
        <v>943</v>
      </c>
      <c r="C260" s="31" t="s">
        <v>926</v>
      </c>
      <c r="D260" s="31" t="s">
        <v>926</v>
      </c>
      <c r="E260" s="22">
        <v>4</v>
      </c>
      <c r="F260" s="22">
        <v>0</v>
      </c>
      <c r="G260" s="21">
        <v>5</v>
      </c>
      <c r="H260" s="23">
        <v>172.99</v>
      </c>
      <c r="I260" s="24">
        <v>0</v>
      </c>
      <c r="J260" s="21" t="s">
        <v>116</v>
      </c>
      <c r="K260" s="24" t="s">
        <v>117</v>
      </c>
      <c r="L260" s="24" t="s">
        <v>944</v>
      </c>
      <c r="M260" s="21">
        <v>3</v>
      </c>
      <c r="N260" s="26">
        <f t="shared" ref="N260:N292" si="4">H260*M260</f>
        <v>518.97</v>
      </c>
      <c r="O260" s="26"/>
      <c r="P260" s="26"/>
      <c r="R260" s="26"/>
      <c r="S260" s="26"/>
      <c r="T260" s="26"/>
      <c r="U260" s="27" t="s">
        <v>945</v>
      </c>
      <c r="V260" s="27"/>
      <c r="X260" s="24">
        <v>0</v>
      </c>
      <c r="Y260" s="24">
        <v>0</v>
      </c>
    </row>
    <row r="261" spans="1:25" x14ac:dyDescent="0.2">
      <c r="A261" s="27" t="s">
        <v>949</v>
      </c>
      <c r="B261" s="27" t="s">
        <v>943</v>
      </c>
      <c r="C261" s="31" t="s">
        <v>926</v>
      </c>
      <c r="D261" s="31" t="s">
        <v>926</v>
      </c>
      <c r="E261" s="22">
        <v>4</v>
      </c>
      <c r="F261" s="22">
        <v>0</v>
      </c>
      <c r="G261" s="21">
        <v>5</v>
      </c>
      <c r="H261" s="23">
        <v>165.76</v>
      </c>
      <c r="I261" s="24">
        <v>0</v>
      </c>
      <c r="J261" s="21" t="s">
        <v>116</v>
      </c>
      <c r="K261" s="24" t="s">
        <v>117</v>
      </c>
      <c r="L261" s="24" t="s">
        <v>944</v>
      </c>
      <c r="M261" s="21">
        <v>3</v>
      </c>
      <c r="N261" s="26">
        <f t="shared" si="4"/>
        <v>497.28</v>
      </c>
      <c r="O261" s="26"/>
      <c r="P261" s="26"/>
      <c r="R261" s="26"/>
      <c r="S261" s="26"/>
      <c r="T261" s="26"/>
      <c r="U261" s="27" t="s">
        <v>945</v>
      </c>
      <c r="V261" s="27"/>
      <c r="X261" s="24">
        <v>0</v>
      </c>
      <c r="Y261" s="24">
        <v>0</v>
      </c>
    </row>
    <row r="262" spans="1:25" x14ac:dyDescent="0.2">
      <c r="A262" s="27" t="s">
        <v>950</v>
      </c>
      <c r="B262" s="27" t="s">
        <v>943</v>
      </c>
      <c r="C262" s="31" t="s">
        <v>926</v>
      </c>
      <c r="D262" s="31" t="s">
        <v>926</v>
      </c>
      <c r="E262" s="22">
        <v>4</v>
      </c>
      <c r="F262" s="22">
        <v>0</v>
      </c>
      <c r="G262" s="21">
        <v>5</v>
      </c>
      <c r="H262" s="23">
        <v>38.1</v>
      </c>
      <c r="I262" s="24">
        <v>0</v>
      </c>
      <c r="J262" s="21" t="s">
        <v>116</v>
      </c>
      <c r="K262" s="24" t="s">
        <v>117</v>
      </c>
      <c r="L262" s="24" t="s">
        <v>944</v>
      </c>
      <c r="M262" s="21">
        <v>12</v>
      </c>
      <c r="N262" s="26">
        <f t="shared" si="4"/>
        <v>457.20000000000005</v>
      </c>
      <c r="O262" s="26"/>
      <c r="P262" s="26"/>
      <c r="R262" s="26"/>
      <c r="S262" s="26"/>
      <c r="T262" s="26"/>
      <c r="U262" s="27" t="s">
        <v>945</v>
      </c>
      <c r="V262" s="27"/>
      <c r="X262" s="24">
        <v>0</v>
      </c>
      <c r="Y262" s="24">
        <v>0</v>
      </c>
    </row>
    <row r="263" spans="1:25" x14ac:dyDescent="0.2">
      <c r="A263" s="27" t="s">
        <v>1024</v>
      </c>
      <c r="B263" s="27" t="s">
        <v>1025</v>
      </c>
      <c r="C263" s="31" t="s">
        <v>926</v>
      </c>
      <c r="D263" s="31" t="s">
        <v>926</v>
      </c>
      <c r="E263" s="22">
        <v>5</v>
      </c>
      <c r="F263" s="22">
        <v>0</v>
      </c>
      <c r="G263" s="21"/>
      <c r="H263" s="23">
        <v>252</v>
      </c>
      <c r="I263" s="24">
        <v>0</v>
      </c>
      <c r="J263" s="21" t="s">
        <v>116</v>
      </c>
      <c r="K263" s="24" t="s">
        <v>117</v>
      </c>
      <c r="L263" s="24" t="s">
        <v>944</v>
      </c>
      <c r="M263" s="21"/>
      <c r="N263" s="26">
        <f t="shared" si="4"/>
        <v>0</v>
      </c>
      <c r="O263" s="26"/>
      <c r="P263" s="26"/>
      <c r="R263" s="26"/>
      <c r="S263" s="26"/>
      <c r="T263" s="26"/>
      <c r="U263" s="27" t="s">
        <v>1026</v>
      </c>
      <c r="V263" s="27"/>
      <c r="X263" s="24">
        <v>0</v>
      </c>
      <c r="Y263" s="24">
        <v>10</v>
      </c>
    </row>
    <row r="264" spans="1:25" x14ac:dyDescent="0.2">
      <c r="A264" s="1" t="s">
        <v>809</v>
      </c>
      <c r="B264" s="1" t="s">
        <v>810</v>
      </c>
      <c r="C264" s="1" t="s">
        <v>811</v>
      </c>
      <c r="D264" s="1" t="s">
        <v>358</v>
      </c>
      <c r="E264" s="22">
        <v>230</v>
      </c>
      <c r="F264" s="22">
        <v>0</v>
      </c>
      <c r="G264" s="21">
        <v>20</v>
      </c>
      <c r="H264" s="26">
        <v>20.36</v>
      </c>
      <c r="I264" s="21">
        <v>100</v>
      </c>
      <c r="J264" s="21" t="s">
        <v>116</v>
      </c>
      <c r="K264" s="21" t="s">
        <v>991</v>
      </c>
      <c r="L264" s="24" t="s">
        <v>955</v>
      </c>
      <c r="M264" s="21"/>
      <c r="N264" s="26">
        <f t="shared" si="4"/>
        <v>0</v>
      </c>
      <c r="O264" s="21">
        <v>132</v>
      </c>
      <c r="P264" s="26"/>
      <c r="R264" s="26"/>
      <c r="S264" s="26"/>
      <c r="T264" s="26"/>
      <c r="V264" s="54" t="s">
        <v>988</v>
      </c>
      <c r="X264" s="24">
        <v>184</v>
      </c>
      <c r="Y264" s="24">
        <v>104</v>
      </c>
    </row>
    <row r="265" spans="1:25" x14ac:dyDescent="0.2">
      <c r="A265" s="1" t="s">
        <v>882</v>
      </c>
      <c r="B265" s="1" t="s">
        <v>883</v>
      </c>
      <c r="C265" s="1" t="s">
        <v>884</v>
      </c>
      <c r="D265" s="1" t="s">
        <v>881</v>
      </c>
      <c r="E265" s="22">
        <v>5</v>
      </c>
      <c r="F265" s="22">
        <v>0</v>
      </c>
      <c r="G265" s="21">
        <v>16</v>
      </c>
      <c r="H265" s="26">
        <v>829</v>
      </c>
      <c r="I265" s="21">
        <v>5</v>
      </c>
      <c r="J265" s="21" t="s">
        <v>116</v>
      </c>
      <c r="K265" s="21" t="s">
        <v>117</v>
      </c>
      <c r="L265" s="24" t="s">
        <v>955</v>
      </c>
      <c r="M265" s="21"/>
      <c r="N265" s="26">
        <f t="shared" si="4"/>
        <v>0</v>
      </c>
      <c r="O265" s="21">
        <v>5</v>
      </c>
      <c r="P265" s="26"/>
      <c r="R265" s="26"/>
      <c r="S265" s="26"/>
      <c r="T265" s="26"/>
      <c r="V265" s="54" t="s">
        <v>988</v>
      </c>
      <c r="X265" s="24">
        <v>1</v>
      </c>
      <c r="Y265" s="24">
        <v>1</v>
      </c>
    </row>
    <row r="266" spans="1:25" x14ac:dyDescent="0.2">
      <c r="A266" s="1" t="s">
        <v>812</v>
      </c>
      <c r="B266" s="1" t="s">
        <v>813</v>
      </c>
      <c r="C266" s="1" t="s">
        <v>814</v>
      </c>
      <c r="D266" s="1" t="s">
        <v>358</v>
      </c>
      <c r="E266" s="22">
        <v>230</v>
      </c>
      <c r="F266" s="22">
        <v>0</v>
      </c>
      <c r="G266" s="21">
        <v>20</v>
      </c>
      <c r="H266" s="26">
        <v>12.86</v>
      </c>
      <c r="I266" s="21">
        <v>100</v>
      </c>
      <c r="J266" s="21" t="s">
        <v>116</v>
      </c>
      <c r="K266" s="21" t="s">
        <v>991</v>
      </c>
      <c r="L266" s="24" t="s">
        <v>955</v>
      </c>
      <c r="M266" s="21"/>
      <c r="N266" s="26">
        <f t="shared" si="4"/>
        <v>0</v>
      </c>
      <c r="O266" s="21">
        <v>212</v>
      </c>
      <c r="P266" s="26"/>
      <c r="R266" s="26"/>
      <c r="S266" s="26"/>
      <c r="T266" s="26"/>
      <c r="V266" s="54" t="s">
        <v>988</v>
      </c>
      <c r="X266" s="24">
        <v>184</v>
      </c>
      <c r="Y266" s="24">
        <v>104</v>
      </c>
    </row>
    <row r="267" spans="1:25" x14ac:dyDescent="0.2">
      <c r="A267" s="1" t="s">
        <v>906</v>
      </c>
      <c r="B267" s="1" t="s">
        <v>907</v>
      </c>
      <c r="C267" s="1" t="s">
        <v>908</v>
      </c>
      <c r="D267" s="1" t="s">
        <v>892</v>
      </c>
      <c r="E267" s="22">
        <v>15</v>
      </c>
      <c r="F267" s="22">
        <v>0</v>
      </c>
      <c r="G267" s="21">
        <v>15</v>
      </c>
      <c r="H267" s="26">
        <v>68.97</v>
      </c>
      <c r="I267" s="21">
        <v>25</v>
      </c>
      <c r="J267" s="21" t="s">
        <v>116</v>
      </c>
      <c r="K267" s="21" t="s">
        <v>117</v>
      </c>
      <c r="L267" s="24" t="s">
        <v>955</v>
      </c>
      <c r="M267" s="21"/>
      <c r="N267" s="26">
        <f t="shared" si="4"/>
        <v>0</v>
      </c>
      <c r="O267" s="21">
        <v>5</v>
      </c>
      <c r="P267" s="26"/>
      <c r="R267" s="26"/>
      <c r="S267" s="26"/>
      <c r="T267" s="26"/>
      <c r="V267" s="54" t="s">
        <v>988</v>
      </c>
      <c r="X267" s="24">
        <v>16</v>
      </c>
      <c r="Y267" s="24">
        <v>9</v>
      </c>
    </row>
    <row r="268" spans="1:25" x14ac:dyDescent="0.2">
      <c r="A268" s="1" t="s">
        <v>903</v>
      </c>
      <c r="B268" s="1" t="s">
        <v>904</v>
      </c>
      <c r="C268" s="1" t="s">
        <v>905</v>
      </c>
      <c r="D268" s="1" t="s">
        <v>341</v>
      </c>
      <c r="E268" s="22">
        <v>85</v>
      </c>
      <c r="F268" s="22">
        <v>0</v>
      </c>
      <c r="G268" s="21">
        <v>12</v>
      </c>
      <c r="H268" s="26">
        <v>9.09</v>
      </c>
      <c r="I268" s="21">
        <v>100</v>
      </c>
      <c r="J268" s="21" t="s">
        <v>116</v>
      </c>
      <c r="K268" s="21" t="s">
        <v>117</v>
      </c>
      <c r="L268" s="24" t="s">
        <v>955</v>
      </c>
      <c r="M268" s="21"/>
      <c r="N268" s="26">
        <f t="shared" si="4"/>
        <v>0</v>
      </c>
      <c r="O268" s="21">
        <v>85</v>
      </c>
      <c r="P268" s="26"/>
      <c r="R268" s="26"/>
      <c r="S268" s="26"/>
      <c r="T268" s="26"/>
      <c r="V268" s="54" t="s">
        <v>988</v>
      </c>
      <c r="X268" s="24">
        <v>54</v>
      </c>
      <c r="Y268" s="24">
        <v>54</v>
      </c>
    </row>
    <row r="269" spans="1:25" x14ac:dyDescent="0.2">
      <c r="A269" s="27" t="s">
        <v>736</v>
      </c>
      <c r="B269" s="27" t="s">
        <v>737</v>
      </c>
      <c r="C269" s="28" t="s">
        <v>738</v>
      </c>
      <c r="D269" s="28" t="s">
        <v>739</v>
      </c>
      <c r="E269" s="22">
        <v>100</v>
      </c>
      <c r="F269" s="22">
        <v>100</v>
      </c>
      <c r="G269" s="21">
        <v>14</v>
      </c>
      <c r="H269" s="23">
        <v>1.1499999999999999</v>
      </c>
      <c r="I269" s="24">
        <v>100</v>
      </c>
      <c r="J269" s="21">
        <v>123</v>
      </c>
      <c r="K269" s="24" t="s">
        <v>23</v>
      </c>
      <c r="L269" s="24" t="s">
        <v>955</v>
      </c>
      <c r="M269" s="25"/>
      <c r="N269" s="26">
        <f t="shared" si="4"/>
        <v>0</v>
      </c>
      <c r="O269" s="21">
        <v>400</v>
      </c>
      <c r="P269" s="26"/>
      <c r="R269" s="26"/>
      <c r="S269" s="26"/>
      <c r="T269" s="26"/>
      <c r="U269" s="27" t="s">
        <v>741</v>
      </c>
      <c r="V269" s="1" t="s">
        <v>988</v>
      </c>
      <c r="X269" s="24">
        <v>1181</v>
      </c>
      <c r="Y269" s="24">
        <v>990</v>
      </c>
    </row>
    <row r="270" spans="1:25" x14ac:dyDescent="0.2">
      <c r="A270" s="1" t="s">
        <v>912</v>
      </c>
      <c r="B270" s="1" t="s">
        <v>913</v>
      </c>
      <c r="C270" s="1" t="s">
        <v>914</v>
      </c>
      <c r="D270" s="1" t="s">
        <v>915</v>
      </c>
      <c r="E270" s="22">
        <v>5</v>
      </c>
      <c r="F270" s="22">
        <v>0</v>
      </c>
      <c r="G270" s="21">
        <v>12</v>
      </c>
      <c r="H270" s="26">
        <v>16.73</v>
      </c>
      <c r="I270" s="21">
        <v>100</v>
      </c>
      <c r="J270" s="21" t="s">
        <v>116</v>
      </c>
      <c r="K270" s="21" t="s">
        <v>117</v>
      </c>
      <c r="L270" s="24" t="s">
        <v>955</v>
      </c>
      <c r="M270" s="21"/>
      <c r="N270" s="26">
        <f t="shared" si="4"/>
        <v>0</v>
      </c>
      <c r="O270" s="21">
        <v>25</v>
      </c>
      <c r="P270" s="26"/>
      <c r="R270" s="26"/>
      <c r="S270" s="26"/>
      <c r="T270" s="26"/>
      <c r="V270" s="54" t="s">
        <v>988</v>
      </c>
      <c r="X270" s="24">
        <v>0</v>
      </c>
      <c r="Y270" s="24">
        <v>0</v>
      </c>
    </row>
    <row r="271" spans="1:25" x14ac:dyDescent="0.2">
      <c r="A271" s="1" t="s">
        <v>793</v>
      </c>
      <c r="B271" s="1" t="s">
        <v>794</v>
      </c>
      <c r="C271" s="1" t="s">
        <v>795</v>
      </c>
      <c r="D271" s="1" t="s">
        <v>188</v>
      </c>
      <c r="E271" s="22">
        <v>10</v>
      </c>
      <c r="F271" s="22">
        <v>0</v>
      </c>
      <c r="G271" s="21">
        <v>0</v>
      </c>
      <c r="H271" s="26">
        <v>0</v>
      </c>
      <c r="I271" s="21">
        <v>0</v>
      </c>
      <c r="J271" s="21" t="s">
        <v>116</v>
      </c>
      <c r="K271" s="21" t="s">
        <v>117</v>
      </c>
      <c r="L271" s="24" t="s">
        <v>955</v>
      </c>
      <c r="M271" s="25"/>
      <c r="N271" s="26">
        <f t="shared" si="4"/>
        <v>0</v>
      </c>
      <c r="O271" s="21">
        <v>20</v>
      </c>
      <c r="P271" s="26"/>
      <c r="R271" s="26"/>
      <c r="S271" s="26"/>
      <c r="T271" s="26"/>
      <c r="V271" s="54" t="s">
        <v>990</v>
      </c>
      <c r="X271" s="24">
        <v>30</v>
      </c>
      <c r="Y271" s="24">
        <v>16</v>
      </c>
    </row>
    <row r="272" spans="1:25" x14ac:dyDescent="0.2">
      <c r="A272" s="1" t="s">
        <v>885</v>
      </c>
      <c r="B272" s="1" t="s">
        <v>886</v>
      </c>
      <c r="C272" s="1" t="s">
        <v>887</v>
      </c>
      <c r="D272" s="1" t="s">
        <v>888</v>
      </c>
      <c r="E272" s="22">
        <v>5</v>
      </c>
      <c r="F272" s="22">
        <v>0</v>
      </c>
      <c r="G272" s="21">
        <v>0</v>
      </c>
      <c r="H272" s="26">
        <v>0</v>
      </c>
      <c r="I272" s="21">
        <v>0</v>
      </c>
      <c r="J272" s="21" t="s">
        <v>116</v>
      </c>
      <c r="K272" s="21" t="s">
        <v>117</v>
      </c>
      <c r="L272" s="24" t="s">
        <v>955</v>
      </c>
      <c r="M272" s="30"/>
      <c r="N272" s="26">
        <f t="shared" si="4"/>
        <v>0</v>
      </c>
      <c r="O272" s="21">
        <v>10</v>
      </c>
      <c r="P272" s="26"/>
      <c r="R272" s="26"/>
      <c r="S272" s="26"/>
      <c r="T272" s="26"/>
      <c r="V272" s="54" t="s">
        <v>990</v>
      </c>
      <c r="X272" s="24">
        <v>6</v>
      </c>
      <c r="Y272" s="24">
        <v>0</v>
      </c>
    </row>
    <row r="273" spans="1:25" x14ac:dyDescent="0.2">
      <c r="A273" s="1" t="s">
        <v>940</v>
      </c>
      <c r="B273" s="1" t="s">
        <v>941</v>
      </c>
      <c r="C273" s="1" t="s">
        <v>930</v>
      </c>
      <c r="D273" s="1" t="s">
        <v>930</v>
      </c>
      <c r="E273" s="22">
        <v>20</v>
      </c>
      <c r="F273" s="22">
        <v>0</v>
      </c>
      <c r="G273" s="21">
        <v>0</v>
      </c>
      <c r="H273" s="26">
        <v>0</v>
      </c>
      <c r="I273" s="21">
        <v>0</v>
      </c>
      <c r="J273" s="21" t="s">
        <v>116</v>
      </c>
      <c r="K273" s="21" t="s">
        <v>117</v>
      </c>
      <c r="L273" s="24" t="s">
        <v>955</v>
      </c>
      <c r="M273" s="21"/>
      <c r="N273" s="26">
        <f t="shared" si="4"/>
        <v>0</v>
      </c>
      <c r="O273" s="21">
        <v>450</v>
      </c>
      <c r="P273" s="26"/>
      <c r="R273" s="26"/>
      <c r="S273" s="26"/>
      <c r="T273" s="26"/>
      <c r="U273" s="27" t="s">
        <v>927</v>
      </c>
      <c r="V273" s="54" t="s">
        <v>990</v>
      </c>
      <c r="X273" s="24">
        <v>58</v>
      </c>
      <c r="Y273" s="24">
        <v>58</v>
      </c>
    </row>
    <row r="274" spans="1:25" x14ac:dyDescent="0.2">
      <c r="A274" s="1" t="s">
        <v>951</v>
      </c>
      <c r="B274" s="1" t="s">
        <v>952</v>
      </c>
      <c r="C274" s="1" t="s">
        <v>953</v>
      </c>
      <c r="D274" s="1" t="s">
        <v>954</v>
      </c>
      <c r="E274" s="22">
        <v>40</v>
      </c>
      <c r="F274" s="22">
        <v>1</v>
      </c>
      <c r="G274" s="21">
        <v>18</v>
      </c>
      <c r="H274" s="23">
        <v>125</v>
      </c>
      <c r="I274" s="24">
        <v>40</v>
      </c>
      <c r="J274" s="21" t="s">
        <v>116</v>
      </c>
      <c r="K274" s="24" t="s">
        <v>117</v>
      </c>
      <c r="L274" s="24" t="s">
        <v>955</v>
      </c>
      <c r="M274" s="21"/>
      <c r="N274" s="26">
        <f t="shared" si="4"/>
        <v>0</v>
      </c>
      <c r="O274" s="21">
        <v>10</v>
      </c>
      <c r="P274" s="21"/>
      <c r="R274" s="21"/>
      <c r="S274" s="21"/>
      <c r="T274" s="21"/>
      <c r="U274" s="1" t="s">
        <v>956</v>
      </c>
      <c r="X274" s="24">
        <v>0</v>
      </c>
      <c r="Y274" s="24">
        <v>0</v>
      </c>
    </row>
    <row r="275" spans="1:25" x14ac:dyDescent="0.2">
      <c r="A275" s="27" t="s">
        <v>957</v>
      </c>
      <c r="B275" s="27" t="s">
        <v>958</v>
      </c>
      <c r="C275" s="28" t="s">
        <v>930</v>
      </c>
      <c r="D275" s="28" t="s">
        <v>930</v>
      </c>
      <c r="E275" s="22">
        <v>20</v>
      </c>
      <c r="F275" s="22">
        <v>0</v>
      </c>
      <c r="G275" s="21">
        <v>0</v>
      </c>
      <c r="H275" s="23">
        <v>0</v>
      </c>
      <c r="I275" s="24">
        <v>0</v>
      </c>
      <c r="J275" s="21" t="s">
        <v>116</v>
      </c>
      <c r="K275" s="24" t="s">
        <v>117</v>
      </c>
      <c r="L275" s="24" t="s">
        <v>955</v>
      </c>
      <c r="M275" s="21"/>
      <c r="N275" s="26">
        <f t="shared" si="4"/>
        <v>0</v>
      </c>
      <c r="O275" s="21">
        <v>92</v>
      </c>
      <c r="P275" s="21"/>
      <c r="R275" s="21"/>
      <c r="S275" s="21"/>
      <c r="T275" s="21"/>
      <c r="U275" s="1" t="s">
        <v>956</v>
      </c>
      <c r="X275" s="24">
        <v>868.45</v>
      </c>
      <c r="Y275" s="24">
        <v>811.2</v>
      </c>
    </row>
    <row r="276" spans="1:25" x14ac:dyDescent="0.2">
      <c r="A276" s="27" t="s">
        <v>959</v>
      </c>
      <c r="B276" s="27" t="s">
        <v>960</v>
      </c>
      <c r="C276" s="28" t="s">
        <v>930</v>
      </c>
      <c r="D276" s="28" t="s">
        <v>930</v>
      </c>
      <c r="E276" s="22">
        <v>20</v>
      </c>
      <c r="F276" s="22">
        <v>0</v>
      </c>
      <c r="G276" s="21">
        <v>0</v>
      </c>
      <c r="H276" s="23">
        <v>0</v>
      </c>
      <c r="I276" s="24">
        <v>0</v>
      </c>
      <c r="J276" s="21" t="s">
        <v>116</v>
      </c>
      <c r="K276" s="24" t="s">
        <v>117</v>
      </c>
      <c r="L276" s="24" t="s">
        <v>955</v>
      </c>
      <c r="M276" s="21"/>
      <c r="N276" s="26">
        <f t="shared" si="4"/>
        <v>0</v>
      </c>
      <c r="O276" s="21">
        <v>5000</v>
      </c>
      <c r="P276" s="21"/>
      <c r="R276" s="21"/>
      <c r="S276" s="21"/>
      <c r="T276" s="21"/>
      <c r="U276" s="1" t="s">
        <v>956</v>
      </c>
      <c r="X276" s="24">
        <v>6166.0030000000006</v>
      </c>
      <c r="Y276" s="24">
        <v>5338.0030000000006</v>
      </c>
    </row>
    <row r="277" spans="1:25" x14ac:dyDescent="0.2">
      <c r="A277" s="27" t="s">
        <v>961</v>
      </c>
      <c r="B277" s="27" t="s">
        <v>962</v>
      </c>
      <c r="C277" s="31" t="s">
        <v>926</v>
      </c>
      <c r="D277" s="31" t="s">
        <v>926</v>
      </c>
      <c r="E277" s="22">
        <v>4</v>
      </c>
      <c r="F277" s="22">
        <v>0</v>
      </c>
      <c r="G277" s="21">
        <v>0</v>
      </c>
      <c r="H277" s="23">
        <v>0</v>
      </c>
      <c r="I277" s="24">
        <v>0</v>
      </c>
      <c r="J277" s="21" t="s">
        <v>116</v>
      </c>
      <c r="K277" s="24" t="s">
        <v>117</v>
      </c>
      <c r="L277" s="24" t="s">
        <v>955</v>
      </c>
      <c r="M277" s="21"/>
      <c r="N277" s="26">
        <f t="shared" si="4"/>
        <v>0</v>
      </c>
      <c r="O277" s="21">
        <v>100</v>
      </c>
      <c r="P277" s="21"/>
      <c r="R277" s="21"/>
      <c r="S277" s="21"/>
      <c r="T277" s="21"/>
      <c r="U277" s="1" t="s">
        <v>956</v>
      </c>
      <c r="X277" s="24">
        <v>16</v>
      </c>
      <c r="Y277" s="24">
        <v>0</v>
      </c>
    </row>
    <row r="278" spans="1:25" x14ac:dyDescent="0.2">
      <c r="A278" s="27" t="s">
        <v>963</v>
      </c>
      <c r="B278" s="27" t="s">
        <v>964</v>
      </c>
      <c r="C278" s="28" t="s">
        <v>930</v>
      </c>
      <c r="D278" s="28" t="s">
        <v>930</v>
      </c>
      <c r="E278" s="22">
        <v>20</v>
      </c>
      <c r="F278" s="22">
        <v>0</v>
      </c>
      <c r="G278" s="21">
        <v>0</v>
      </c>
      <c r="H278" s="23">
        <v>0</v>
      </c>
      <c r="I278" s="24">
        <v>0</v>
      </c>
      <c r="J278" s="21" t="s">
        <v>116</v>
      </c>
      <c r="K278" s="24" t="s">
        <v>117</v>
      </c>
      <c r="L278" s="24" t="s">
        <v>955</v>
      </c>
      <c r="M278" s="21"/>
      <c r="N278" s="26">
        <f t="shared" si="4"/>
        <v>0</v>
      </c>
      <c r="O278" s="21">
        <v>250</v>
      </c>
      <c r="P278" s="21"/>
      <c r="R278" s="21"/>
      <c r="S278" s="21"/>
      <c r="T278" s="21"/>
      <c r="U278" s="1" t="s">
        <v>956</v>
      </c>
      <c r="X278" s="24">
        <v>295</v>
      </c>
      <c r="Y278" s="24">
        <v>19</v>
      </c>
    </row>
    <row r="279" spans="1:25" x14ac:dyDescent="0.2">
      <c r="A279" s="27" t="s">
        <v>965</v>
      </c>
      <c r="B279" s="27" t="s">
        <v>966</v>
      </c>
      <c r="C279" s="28" t="s">
        <v>930</v>
      </c>
      <c r="D279" s="28" t="s">
        <v>930</v>
      </c>
      <c r="E279" s="22">
        <v>20</v>
      </c>
      <c r="F279" s="22">
        <v>0</v>
      </c>
      <c r="G279" s="21">
        <v>0</v>
      </c>
      <c r="H279" s="23">
        <v>0</v>
      </c>
      <c r="I279" s="24">
        <v>0</v>
      </c>
      <c r="J279" s="21" t="s">
        <v>116</v>
      </c>
      <c r="K279" s="24" t="s">
        <v>117</v>
      </c>
      <c r="L279" s="24" t="s">
        <v>955</v>
      </c>
      <c r="M279" s="21"/>
      <c r="N279" s="26">
        <f t="shared" si="4"/>
        <v>0</v>
      </c>
      <c r="O279" s="21">
        <v>500</v>
      </c>
      <c r="P279" s="21"/>
      <c r="R279" s="21"/>
      <c r="S279" s="21"/>
      <c r="T279" s="21"/>
      <c r="U279" s="1" t="s">
        <v>956</v>
      </c>
      <c r="X279" s="24">
        <v>816</v>
      </c>
      <c r="Y279" s="24">
        <v>0</v>
      </c>
    </row>
    <row r="280" spans="1:25" x14ac:dyDescent="0.2">
      <c r="A280" s="27" t="s">
        <v>967</v>
      </c>
      <c r="B280" s="27" t="s">
        <v>968</v>
      </c>
      <c r="C280" s="28" t="s">
        <v>930</v>
      </c>
      <c r="D280" s="28" t="s">
        <v>930</v>
      </c>
      <c r="E280" s="22">
        <v>20</v>
      </c>
      <c r="F280" s="22">
        <v>0</v>
      </c>
      <c r="G280" s="21">
        <v>0</v>
      </c>
      <c r="H280" s="23">
        <v>0</v>
      </c>
      <c r="I280" s="24">
        <v>0</v>
      </c>
      <c r="J280" s="21" t="s">
        <v>116</v>
      </c>
      <c r="K280" s="24" t="s">
        <v>117</v>
      </c>
      <c r="L280" s="24" t="s">
        <v>955</v>
      </c>
      <c r="M280" s="21"/>
      <c r="N280" s="26">
        <f t="shared" si="4"/>
        <v>0</v>
      </c>
      <c r="O280" s="21">
        <v>100</v>
      </c>
      <c r="P280" s="21"/>
      <c r="R280" s="21"/>
      <c r="S280" s="21"/>
      <c r="T280" s="21"/>
      <c r="U280" s="1" t="s">
        <v>956</v>
      </c>
      <c r="X280" s="24">
        <v>304</v>
      </c>
      <c r="Y280" s="24">
        <v>32</v>
      </c>
    </row>
    <row r="281" spans="1:25" x14ac:dyDescent="0.2">
      <c r="A281" s="27" t="s">
        <v>969</v>
      </c>
      <c r="B281" s="27" t="s">
        <v>970</v>
      </c>
      <c r="C281" s="31" t="s">
        <v>926</v>
      </c>
      <c r="D281" s="31" t="s">
        <v>926</v>
      </c>
      <c r="E281" s="22">
        <v>4</v>
      </c>
      <c r="F281" s="22">
        <v>0</v>
      </c>
      <c r="G281" s="21">
        <v>0</v>
      </c>
      <c r="H281" s="23">
        <v>0</v>
      </c>
      <c r="I281" s="24">
        <v>0</v>
      </c>
      <c r="J281" s="21" t="s">
        <v>116</v>
      </c>
      <c r="K281" s="24" t="s">
        <v>117</v>
      </c>
      <c r="L281" s="24" t="s">
        <v>955</v>
      </c>
      <c r="M281" s="21"/>
      <c r="N281" s="26">
        <f t="shared" si="4"/>
        <v>0</v>
      </c>
      <c r="O281" s="21">
        <v>100</v>
      </c>
      <c r="P281" s="21"/>
      <c r="R281" s="21"/>
      <c r="S281" s="21"/>
      <c r="T281" s="21"/>
      <c r="U281" s="1" t="s">
        <v>956</v>
      </c>
      <c r="X281" s="24">
        <v>1230</v>
      </c>
      <c r="Y281" s="24">
        <v>26</v>
      </c>
    </row>
    <row r="282" spans="1:25" x14ac:dyDescent="0.2">
      <c r="A282" s="1" t="s">
        <v>971</v>
      </c>
      <c r="B282" s="1" t="s">
        <v>972</v>
      </c>
      <c r="C282" s="1" t="s">
        <v>930</v>
      </c>
      <c r="D282" s="1" t="s">
        <v>930</v>
      </c>
      <c r="E282" s="22">
        <v>20</v>
      </c>
      <c r="F282" s="22">
        <v>0</v>
      </c>
      <c r="G282" s="21">
        <v>0</v>
      </c>
      <c r="H282" s="23">
        <v>0</v>
      </c>
      <c r="I282" s="24">
        <v>0</v>
      </c>
      <c r="J282" s="21" t="s">
        <v>116</v>
      </c>
      <c r="K282" s="24" t="s">
        <v>117</v>
      </c>
      <c r="L282" s="24" t="s">
        <v>955</v>
      </c>
      <c r="M282" s="21"/>
      <c r="N282" s="26">
        <f t="shared" si="4"/>
        <v>0</v>
      </c>
      <c r="O282" s="21">
        <v>500</v>
      </c>
      <c r="P282" s="21"/>
      <c r="R282" s="21"/>
      <c r="S282" s="21"/>
      <c r="T282" s="21"/>
      <c r="U282" s="1" t="s">
        <v>956</v>
      </c>
      <c r="X282" s="24">
        <v>660</v>
      </c>
      <c r="Y282" s="24">
        <v>124</v>
      </c>
    </row>
    <row r="283" spans="1:25" x14ac:dyDescent="0.2">
      <c r="A283" s="1" t="s">
        <v>973</v>
      </c>
      <c r="B283" s="1" t="s">
        <v>974</v>
      </c>
      <c r="C283" s="1" t="s">
        <v>930</v>
      </c>
      <c r="D283" s="1" t="s">
        <v>930</v>
      </c>
      <c r="E283" s="22">
        <v>20</v>
      </c>
      <c r="F283" s="22">
        <v>0</v>
      </c>
      <c r="G283" s="21">
        <v>0</v>
      </c>
      <c r="H283" s="23">
        <v>0</v>
      </c>
      <c r="I283" s="24">
        <v>0</v>
      </c>
      <c r="J283" s="21" t="s">
        <v>116</v>
      </c>
      <c r="K283" s="24" t="s">
        <v>117</v>
      </c>
      <c r="L283" s="24" t="s">
        <v>955</v>
      </c>
      <c r="M283" s="21"/>
      <c r="N283" s="26">
        <f t="shared" si="4"/>
        <v>0</v>
      </c>
      <c r="O283" s="21">
        <v>500</v>
      </c>
      <c r="P283" s="21"/>
      <c r="R283" s="21"/>
      <c r="S283" s="21"/>
      <c r="T283" s="21"/>
      <c r="U283" s="1" t="s">
        <v>956</v>
      </c>
      <c r="X283" s="24">
        <v>3103</v>
      </c>
      <c r="Y283" s="24">
        <v>208</v>
      </c>
    </row>
    <row r="284" spans="1:25" x14ac:dyDescent="0.2">
      <c r="A284" s="27" t="s">
        <v>975</v>
      </c>
      <c r="B284" s="27" t="s">
        <v>976</v>
      </c>
      <c r="C284" s="28" t="s">
        <v>930</v>
      </c>
      <c r="D284" s="28" t="s">
        <v>930</v>
      </c>
      <c r="E284" s="22">
        <v>20</v>
      </c>
      <c r="F284" s="22">
        <v>0</v>
      </c>
      <c r="G284" s="21">
        <v>0</v>
      </c>
      <c r="H284" s="23">
        <v>0</v>
      </c>
      <c r="I284" s="24">
        <v>0</v>
      </c>
      <c r="J284" s="21" t="s">
        <v>116</v>
      </c>
      <c r="K284" s="24" t="s">
        <v>117</v>
      </c>
      <c r="L284" s="24" t="s">
        <v>955</v>
      </c>
      <c r="M284" s="21"/>
      <c r="N284" s="26">
        <f t="shared" si="4"/>
        <v>0</v>
      </c>
      <c r="O284" s="21">
        <v>300</v>
      </c>
      <c r="P284" s="21"/>
      <c r="R284" s="21"/>
      <c r="S284" s="21"/>
      <c r="T284" s="21"/>
      <c r="U284" s="1" t="s">
        <v>956</v>
      </c>
      <c r="X284" s="24">
        <v>58</v>
      </c>
      <c r="Y284" s="24">
        <v>58</v>
      </c>
    </row>
    <row r="285" spans="1:25" x14ac:dyDescent="0.2">
      <c r="A285" s="1" t="s">
        <v>977</v>
      </c>
      <c r="B285" s="1" t="s">
        <v>978</v>
      </c>
      <c r="C285" s="1" t="s">
        <v>930</v>
      </c>
      <c r="D285" s="1" t="s">
        <v>930</v>
      </c>
      <c r="E285" s="22">
        <v>20</v>
      </c>
      <c r="F285" s="22">
        <v>0</v>
      </c>
      <c r="G285" s="21">
        <v>0</v>
      </c>
      <c r="H285" s="23">
        <v>0</v>
      </c>
      <c r="I285" s="24">
        <v>0</v>
      </c>
      <c r="J285" s="21" t="s">
        <v>116</v>
      </c>
      <c r="K285" s="24" t="s">
        <v>117</v>
      </c>
      <c r="L285" s="24" t="s">
        <v>955</v>
      </c>
      <c r="M285" s="21"/>
      <c r="N285" s="26">
        <f t="shared" si="4"/>
        <v>0</v>
      </c>
      <c r="O285" s="21">
        <v>50</v>
      </c>
      <c r="P285" s="21"/>
      <c r="R285" s="21"/>
      <c r="S285" s="21"/>
      <c r="T285" s="21"/>
      <c r="U285" s="1" t="s">
        <v>956</v>
      </c>
      <c r="X285" s="24">
        <v>12</v>
      </c>
      <c r="Y285" s="24">
        <v>12</v>
      </c>
    </row>
    <row r="286" spans="1:25" x14ac:dyDescent="0.2">
      <c r="A286" s="27" t="s">
        <v>979</v>
      </c>
      <c r="B286" s="27" t="s">
        <v>980</v>
      </c>
      <c r="C286" s="28" t="s">
        <v>930</v>
      </c>
      <c r="D286" s="28" t="s">
        <v>930</v>
      </c>
      <c r="E286" s="22">
        <v>20</v>
      </c>
      <c r="F286" s="22">
        <v>0</v>
      </c>
      <c r="G286" s="21">
        <v>0</v>
      </c>
      <c r="H286" s="23">
        <v>0</v>
      </c>
      <c r="I286" s="24">
        <v>0</v>
      </c>
      <c r="J286" s="21" t="s">
        <v>116</v>
      </c>
      <c r="K286" s="24" t="s">
        <v>117</v>
      </c>
      <c r="L286" s="24" t="s">
        <v>955</v>
      </c>
      <c r="M286" s="21"/>
      <c r="N286" s="26">
        <f t="shared" si="4"/>
        <v>0</v>
      </c>
      <c r="O286" s="21">
        <v>500</v>
      </c>
      <c r="P286" s="21"/>
      <c r="R286" s="21"/>
      <c r="S286" s="21"/>
      <c r="T286" s="21"/>
      <c r="U286" s="1" t="s">
        <v>956</v>
      </c>
      <c r="X286" s="24">
        <v>610</v>
      </c>
      <c r="Y286" s="24">
        <v>156</v>
      </c>
    </row>
    <row r="287" spans="1:25" x14ac:dyDescent="0.2">
      <c r="A287" s="27" t="s">
        <v>981</v>
      </c>
      <c r="B287" s="27" t="s">
        <v>982</v>
      </c>
      <c r="C287" s="28" t="s">
        <v>930</v>
      </c>
      <c r="D287" s="28" t="s">
        <v>930</v>
      </c>
      <c r="E287" s="22">
        <v>20</v>
      </c>
      <c r="F287" s="22">
        <v>0</v>
      </c>
      <c r="G287" s="21">
        <v>0</v>
      </c>
      <c r="H287" s="23">
        <v>0</v>
      </c>
      <c r="I287" s="24">
        <v>0</v>
      </c>
      <c r="J287" s="21" t="s">
        <v>116</v>
      </c>
      <c r="K287" s="24" t="s">
        <v>117</v>
      </c>
      <c r="L287" s="24" t="s">
        <v>955</v>
      </c>
      <c r="M287" s="21"/>
      <c r="N287" s="26">
        <f t="shared" si="4"/>
        <v>0</v>
      </c>
      <c r="O287" s="21">
        <v>500</v>
      </c>
      <c r="P287" s="21"/>
      <c r="R287" s="21"/>
      <c r="S287" s="21"/>
      <c r="T287" s="21"/>
      <c r="U287" s="1" t="s">
        <v>956</v>
      </c>
      <c r="X287" s="24">
        <v>447</v>
      </c>
      <c r="Y287" s="24">
        <v>106</v>
      </c>
    </row>
    <row r="288" spans="1:25" x14ac:dyDescent="0.2">
      <c r="A288" s="27" t="s">
        <v>777</v>
      </c>
      <c r="B288" s="27" t="s">
        <v>778</v>
      </c>
      <c r="C288" s="27" t="s">
        <v>779</v>
      </c>
      <c r="D288" s="27" t="s">
        <v>236</v>
      </c>
      <c r="E288" s="22" t="e">
        <v>#N/A</v>
      </c>
      <c r="F288" s="39">
        <v>5000</v>
      </c>
      <c r="G288" s="40">
        <v>12</v>
      </c>
      <c r="H288" s="53">
        <v>4.0079999999999998E-2</v>
      </c>
      <c r="I288" s="41">
        <v>5000</v>
      </c>
      <c r="J288" s="21">
        <v>206000</v>
      </c>
      <c r="K288" s="41" t="s">
        <v>23</v>
      </c>
      <c r="L288" s="24" t="s">
        <v>998</v>
      </c>
      <c r="M288" s="21"/>
      <c r="N288" s="26">
        <f t="shared" si="4"/>
        <v>0</v>
      </c>
      <c r="O288" s="26"/>
      <c r="P288" s="26"/>
      <c r="R288" s="26"/>
      <c r="S288" s="26"/>
      <c r="T288" s="26"/>
      <c r="U288" s="1" t="s">
        <v>776</v>
      </c>
      <c r="X288" s="24">
        <v>0</v>
      </c>
      <c r="Y288" s="24">
        <v>0</v>
      </c>
    </row>
    <row r="289" spans="1:25" x14ac:dyDescent="0.2">
      <c r="A289" s="27" t="s">
        <v>780</v>
      </c>
      <c r="B289" s="27" t="s">
        <v>781</v>
      </c>
      <c r="C289" s="27" t="s">
        <v>782</v>
      </c>
      <c r="D289" s="27" t="s">
        <v>236</v>
      </c>
      <c r="E289" s="22" t="e">
        <v>#N/A</v>
      </c>
      <c r="F289" s="39">
        <v>5000</v>
      </c>
      <c r="G289" s="40">
        <v>12</v>
      </c>
      <c r="H289" s="53">
        <v>0.04</v>
      </c>
      <c r="I289" s="41">
        <v>5000</v>
      </c>
      <c r="J289" s="21">
        <v>219843</v>
      </c>
      <c r="K289" s="41" t="s">
        <v>23</v>
      </c>
      <c r="L289" s="24" t="s">
        <v>998</v>
      </c>
      <c r="M289" s="21"/>
      <c r="N289" s="26">
        <f t="shared" si="4"/>
        <v>0</v>
      </c>
      <c r="O289" s="26"/>
      <c r="P289" s="26"/>
      <c r="R289" s="26"/>
      <c r="S289" s="26"/>
      <c r="T289" s="26"/>
      <c r="U289" s="1" t="s">
        <v>776</v>
      </c>
      <c r="X289" s="24">
        <v>69</v>
      </c>
      <c r="Y289" s="24">
        <v>69</v>
      </c>
    </row>
    <row r="290" spans="1:25" x14ac:dyDescent="0.2">
      <c r="A290" s="27" t="s">
        <v>783</v>
      </c>
      <c r="B290" s="27" t="s">
        <v>784</v>
      </c>
      <c r="C290" s="27" t="s">
        <v>785</v>
      </c>
      <c r="D290" s="27" t="s">
        <v>236</v>
      </c>
      <c r="E290" s="22" t="e">
        <v>#N/A</v>
      </c>
      <c r="F290" s="39">
        <v>5000</v>
      </c>
      <c r="G290" s="40">
        <v>11</v>
      </c>
      <c r="H290" s="53">
        <v>0.04</v>
      </c>
      <c r="I290" s="41">
        <v>5000</v>
      </c>
      <c r="J290" s="21">
        <v>110928</v>
      </c>
      <c r="K290" s="41" t="s">
        <v>23</v>
      </c>
      <c r="L290" s="24" t="s">
        <v>998</v>
      </c>
      <c r="M290" s="21"/>
      <c r="N290" s="26">
        <f t="shared" si="4"/>
        <v>0</v>
      </c>
      <c r="O290" s="26"/>
      <c r="P290" s="26"/>
      <c r="R290" s="26"/>
      <c r="S290" s="26"/>
      <c r="T290" s="26"/>
      <c r="U290" s="1" t="s">
        <v>776</v>
      </c>
      <c r="X290" s="24">
        <v>3</v>
      </c>
      <c r="Y290" s="24">
        <v>3</v>
      </c>
    </row>
    <row r="291" spans="1:25" x14ac:dyDescent="0.2">
      <c r="A291" s="27" t="s">
        <v>772</v>
      </c>
      <c r="B291" s="27" t="s">
        <v>773</v>
      </c>
      <c r="C291" s="27" t="s">
        <v>774</v>
      </c>
      <c r="D291" s="27" t="s">
        <v>236</v>
      </c>
      <c r="E291" s="22" t="e">
        <v>#N/A</v>
      </c>
      <c r="F291" s="39">
        <v>5000</v>
      </c>
      <c r="G291" s="40">
        <v>5</v>
      </c>
      <c r="H291" s="53">
        <v>3.9539999999999999E-2</v>
      </c>
      <c r="I291" s="41">
        <v>5000</v>
      </c>
      <c r="J291" s="21">
        <v>180000</v>
      </c>
      <c r="K291" s="41" t="s">
        <v>23</v>
      </c>
      <c r="L291" s="24" t="s">
        <v>998</v>
      </c>
      <c r="M291" s="21"/>
      <c r="N291" s="26">
        <f t="shared" si="4"/>
        <v>0</v>
      </c>
      <c r="O291" s="26"/>
      <c r="P291" s="26"/>
      <c r="R291" s="26"/>
      <c r="S291" s="26"/>
      <c r="T291" s="26"/>
      <c r="U291" s="1" t="s">
        <v>776</v>
      </c>
      <c r="X291" s="24">
        <v>0</v>
      </c>
      <c r="Y291" s="24">
        <v>0</v>
      </c>
    </row>
    <row r="292" spans="1:25" x14ac:dyDescent="0.2">
      <c r="A292" s="27" t="s">
        <v>742</v>
      </c>
      <c r="B292" s="27" t="s">
        <v>743</v>
      </c>
      <c r="C292" s="28" t="s">
        <v>744</v>
      </c>
      <c r="D292" s="28" t="s">
        <v>236</v>
      </c>
      <c r="E292" s="22">
        <v>10985</v>
      </c>
      <c r="F292" s="22">
        <v>1800</v>
      </c>
      <c r="G292" s="21">
        <v>17</v>
      </c>
      <c r="H292" s="26">
        <v>1.25</v>
      </c>
      <c r="I292" s="24">
        <v>10985</v>
      </c>
      <c r="J292" s="21">
        <v>72583</v>
      </c>
      <c r="K292" s="24" t="s">
        <v>23</v>
      </c>
      <c r="L292" s="24" t="s">
        <v>998</v>
      </c>
      <c r="M292" s="25"/>
      <c r="N292" s="26">
        <f t="shared" si="4"/>
        <v>0</v>
      </c>
      <c r="O292" s="26"/>
      <c r="P292" s="26"/>
      <c r="R292" s="26"/>
      <c r="S292" s="26"/>
      <c r="T292" s="26"/>
      <c r="U292" s="27" t="s">
        <v>745</v>
      </c>
      <c r="V292" s="1" t="s">
        <v>988</v>
      </c>
      <c r="X292" s="24">
        <v>12032</v>
      </c>
      <c r="Y292" s="24">
        <v>6855</v>
      </c>
    </row>
  </sheetData>
  <autoFilter ref="A2:V292" xr:uid="{78324C4C-5633-4BB6-A399-DD18EAFE958C}"/>
  <sortState xmlns:xlrd2="http://schemas.microsoft.com/office/spreadsheetml/2017/richdata2" ref="A3:Y292">
    <sortCondition ref="L257:L292"/>
    <sortCondition descending="1" ref="N257:N292"/>
  </sortState>
  <mergeCells count="3">
    <mergeCell ref="E1:H1"/>
    <mergeCell ref="I1:K1"/>
    <mergeCell ref="P1:T1"/>
  </mergeCells>
  <conditionalFormatting sqref="A83:A86">
    <cfRule type="duplicateValues" dxfId="98" priority="242" stopIfTrue="1"/>
    <cfRule type="expression" dxfId="97" priority="243" stopIfTrue="1">
      <formula>AND(COUNTIF($C$1:$C$8517, A83)+COUNTIF($C$8519:$C$64184, A83)+COUNTIF($D$8518:$D$8518, A83)&gt;1,NOT(ISBLANK(A83)))</formula>
    </cfRule>
  </conditionalFormatting>
  <conditionalFormatting sqref="A87:A203 A1 A208:A1048576 A3:A82">
    <cfRule type="duplicateValues" dxfId="96" priority="146"/>
  </conditionalFormatting>
  <conditionalFormatting sqref="A87:A1048576 A1:A82">
    <cfRule type="duplicateValues" dxfId="95" priority="223"/>
    <cfRule type="duplicateValues" dxfId="94" priority="224"/>
  </conditionalFormatting>
  <conditionalFormatting sqref="A87:A1048576 A3:A82 A1">
    <cfRule type="duplicateValues" dxfId="93" priority="218"/>
  </conditionalFormatting>
  <conditionalFormatting sqref="G3:G28 G77:G1048576">
    <cfRule type="cellIs" dxfId="92" priority="3" operator="lessThan">
      <formula>13</formula>
    </cfRule>
    <cfRule type="cellIs" dxfId="91" priority="4" operator="between">
      <formula>13</formula>
      <formula>26</formula>
    </cfRule>
    <cfRule type="cellIs" dxfId="90" priority="5" operator="greaterThan">
      <formula>26</formula>
    </cfRule>
  </conditionalFormatting>
  <conditionalFormatting sqref="I2:I82 I132:I292">
    <cfRule type="cellIs" dxfId="89" priority="13" operator="lessThan">
      <formula>10000</formula>
    </cfRule>
  </conditionalFormatting>
  <conditionalFormatting sqref="J2:J1048576">
    <cfRule type="containsText" dxfId="88" priority="7" operator="containsText" text="Order">
      <formula>NOT(ISERROR(SEARCH("Order",J2)))</formula>
    </cfRule>
    <cfRule type="containsText" dxfId="87" priority="8" operator="containsText" text="Build">
      <formula>NOT(ISERROR(SEARCH("Build",J2)))</formula>
    </cfRule>
  </conditionalFormatting>
  <conditionalFormatting sqref="J3:J1048576">
    <cfRule type="cellIs" dxfId="86" priority="9" operator="greaterThan">
      <formula>500000</formula>
    </cfRule>
    <cfRule type="cellIs" dxfId="85" priority="10" operator="between">
      <formula>100001</formula>
      <formula>500000</formula>
    </cfRule>
    <cfRule type="cellIs" dxfId="84" priority="11" operator="between">
      <formula>10001</formula>
      <formula>100000</formula>
    </cfRule>
    <cfRule type="cellIs" dxfId="83" priority="12" operator="lessThan">
      <formula>10000</formula>
    </cfRule>
  </conditionalFormatting>
  <conditionalFormatting sqref="L1:L1048576">
    <cfRule type="containsText" dxfId="82" priority="1" operator="containsText" text="Place PO- Phase 2">
      <formula>NOT(ISERROR(SEARCH("Place PO- Phase 2",L1)))</formula>
    </cfRule>
    <cfRule type="containsText" dxfId="81" priority="2" operator="containsText" text="Place PO-Phase 2">
      <formula>NOT(ISERROR(SEARCH("Place PO-Phase 2",L1)))</formula>
    </cfRule>
    <cfRule type="containsText" dxfId="80" priority="6" operator="containsText" text="Place PO">
      <formula>NOT(ISERROR(SEARCH("Place PO",L1)))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B2E88-AF76-4807-943F-DE4361B04A60}">
  <sheetPr filterMode="1">
    <pageSetUpPr autoPageBreaks="0"/>
  </sheetPr>
  <dimension ref="A1:Q291"/>
  <sheetViews>
    <sheetView zoomScaleNormal="100" workbookViewId="0">
      <pane xSplit="2" ySplit="2" topLeftCell="C176" activePane="bottomRight" state="frozen"/>
      <selection pane="topRight" activeCell="C1" sqref="C1"/>
      <selection pane="bottomLeft" activeCell="A4" sqref="A4"/>
      <selection pane="bottomRight" activeCell="D14" sqref="D14"/>
    </sheetView>
  </sheetViews>
  <sheetFormatPr defaultColWidth="9.140625" defaultRowHeight="12.75" x14ac:dyDescent="0.2"/>
  <cols>
    <col min="1" max="1" width="16.28515625" style="1" bestFit="1" customWidth="1"/>
    <col min="2" max="2" width="32" style="1" customWidth="1"/>
    <col min="3" max="3" width="16" style="1" customWidth="1"/>
    <col min="4" max="4" width="18" style="1" customWidth="1"/>
    <col min="5" max="6" width="15.7109375" style="1" customWidth="1"/>
    <col min="7" max="7" width="15.7109375" style="32" customWidth="1"/>
    <col min="8" max="8" width="15.7109375" style="33" customWidth="1"/>
    <col min="9" max="9" width="15.7109375" style="24" customWidth="1"/>
    <col min="10" max="10" width="15.7109375" style="21" customWidth="1"/>
    <col min="11" max="11" width="18.42578125" style="24" customWidth="1"/>
    <col min="12" max="12" width="22.5703125" style="24" customWidth="1"/>
    <col min="13" max="13" width="32.140625" style="32" customWidth="1" collapsed="1"/>
    <col min="14" max="14" width="16.28515625" style="1" customWidth="1"/>
    <col min="15" max="15" width="16.28515625" style="32" customWidth="1"/>
    <col min="16" max="16" width="41.7109375" style="1" customWidth="1"/>
    <col min="17" max="17" width="44" style="1" customWidth="1"/>
    <col min="18" max="16384" width="9.140625" style="1"/>
  </cols>
  <sheetData>
    <row r="1" spans="1:17" ht="24" customHeight="1" x14ac:dyDescent="0.2">
      <c r="E1" s="70" t="s">
        <v>0</v>
      </c>
      <c r="F1" s="71"/>
      <c r="G1" s="71"/>
      <c r="H1" s="72"/>
      <c r="I1" s="73" t="s">
        <v>1</v>
      </c>
      <c r="J1" s="74"/>
      <c r="K1" s="75"/>
      <c r="L1" s="2" t="s">
        <v>2</v>
      </c>
      <c r="M1" s="3">
        <f>SUBTOTAL(9,M4:M292)</f>
        <v>72510</v>
      </c>
      <c r="N1" s="34">
        <f>SUBTOTAL(9,N3:N291)</f>
        <v>222207.03375000015</v>
      </c>
      <c r="O1" s="4"/>
    </row>
    <row r="2" spans="1:17" s="20" customFormat="1" ht="80.25" customHeight="1" thickBot="1" x14ac:dyDescent="0.3">
      <c r="A2" s="5" t="s">
        <v>3</v>
      </c>
      <c r="B2" s="5" t="s">
        <v>4</v>
      </c>
      <c r="C2" s="5" t="s">
        <v>5</v>
      </c>
      <c r="D2" s="6" t="s">
        <v>6</v>
      </c>
      <c r="E2" s="7" t="s">
        <v>7</v>
      </c>
      <c r="F2" s="8" t="s">
        <v>8</v>
      </c>
      <c r="G2" s="9" t="s">
        <v>9</v>
      </c>
      <c r="H2" s="10" t="s">
        <v>10</v>
      </c>
      <c r="I2" s="11" t="s">
        <v>11</v>
      </c>
      <c r="J2" s="12" t="s">
        <v>12</v>
      </c>
      <c r="K2" s="13" t="s">
        <v>13</v>
      </c>
      <c r="L2" s="14" t="s">
        <v>14</v>
      </c>
      <c r="M2" s="15" t="s">
        <v>986</v>
      </c>
      <c r="N2" s="16" t="s">
        <v>15</v>
      </c>
      <c r="O2" s="17" t="s">
        <v>16</v>
      </c>
      <c r="P2" s="18" t="s">
        <v>17</v>
      </c>
      <c r="Q2" s="19" t="s">
        <v>987</v>
      </c>
    </row>
    <row r="3" spans="1:17" x14ac:dyDescent="0.2">
      <c r="A3" s="1" t="s">
        <v>19</v>
      </c>
      <c r="B3" s="1" t="s">
        <v>20</v>
      </c>
      <c r="C3" s="1" t="s">
        <v>21</v>
      </c>
      <c r="D3" s="1" t="s">
        <v>22</v>
      </c>
      <c r="E3" s="22">
        <v>1775</v>
      </c>
      <c r="F3" s="22">
        <v>1</v>
      </c>
      <c r="G3" s="21">
        <v>36</v>
      </c>
      <c r="H3" s="23">
        <v>45.155999999999999</v>
      </c>
      <c r="I3" s="24">
        <v>1775</v>
      </c>
      <c r="J3" s="21">
        <v>382</v>
      </c>
      <c r="K3" s="24" t="s">
        <v>23</v>
      </c>
      <c r="L3" s="24" t="s">
        <v>24</v>
      </c>
      <c r="M3" s="25">
        <v>800</v>
      </c>
      <c r="N3" s="26">
        <f t="shared" ref="N3:N66" si="0">H3*M3</f>
        <v>36124.799999999996</v>
      </c>
      <c r="O3" s="26"/>
    </row>
    <row r="4" spans="1:17" x14ac:dyDescent="0.2">
      <c r="A4" s="1" t="s">
        <v>25</v>
      </c>
      <c r="B4" s="1" t="s">
        <v>26</v>
      </c>
      <c r="C4" s="1" t="s">
        <v>27</v>
      </c>
      <c r="D4" s="1" t="s">
        <v>28</v>
      </c>
      <c r="E4" s="22">
        <v>25</v>
      </c>
      <c r="F4" s="22">
        <v>1</v>
      </c>
      <c r="G4" s="21">
        <v>26</v>
      </c>
      <c r="H4" s="23">
        <v>1532.595</v>
      </c>
      <c r="I4" s="24">
        <v>25</v>
      </c>
      <c r="J4" s="21">
        <v>5</v>
      </c>
      <c r="K4" s="24" t="s">
        <v>23</v>
      </c>
      <c r="L4" s="24" t="s">
        <v>24</v>
      </c>
      <c r="M4" s="25">
        <v>15</v>
      </c>
      <c r="N4" s="26">
        <f t="shared" si="0"/>
        <v>22988.924999999999</v>
      </c>
      <c r="O4" s="26"/>
    </row>
    <row r="5" spans="1:17" x14ac:dyDescent="0.2">
      <c r="A5" s="1" t="s">
        <v>29</v>
      </c>
      <c r="B5" s="1" t="s">
        <v>30</v>
      </c>
      <c r="C5" s="1" t="s">
        <v>31</v>
      </c>
      <c r="D5" s="1" t="s">
        <v>32</v>
      </c>
      <c r="E5" s="22">
        <v>850</v>
      </c>
      <c r="F5" s="22">
        <v>1</v>
      </c>
      <c r="G5" s="21">
        <v>9</v>
      </c>
      <c r="H5" s="23">
        <v>21.697500000000002</v>
      </c>
      <c r="I5" s="24">
        <v>850</v>
      </c>
      <c r="J5" s="21">
        <v>932</v>
      </c>
      <c r="K5" s="24" t="s">
        <v>23</v>
      </c>
      <c r="L5" s="24" t="s">
        <v>24</v>
      </c>
      <c r="M5" s="25">
        <v>500</v>
      </c>
      <c r="N5" s="26">
        <f t="shared" si="0"/>
        <v>10848.75</v>
      </c>
      <c r="O5" s="26"/>
    </row>
    <row r="6" spans="1:17" x14ac:dyDescent="0.2">
      <c r="A6" s="1" t="s">
        <v>33</v>
      </c>
      <c r="B6" s="1" t="s">
        <v>34</v>
      </c>
      <c r="C6" s="1" t="s">
        <v>35</v>
      </c>
      <c r="D6" s="1" t="s">
        <v>36</v>
      </c>
      <c r="E6" s="22">
        <v>2190</v>
      </c>
      <c r="F6" s="22">
        <v>1</v>
      </c>
      <c r="G6" s="21">
        <v>21</v>
      </c>
      <c r="H6" s="23">
        <v>9.6300000000000008</v>
      </c>
      <c r="I6" s="24">
        <v>2190</v>
      </c>
      <c r="J6" s="21">
        <v>1908</v>
      </c>
      <c r="K6" s="24" t="s">
        <v>23</v>
      </c>
      <c r="L6" s="24" t="s">
        <v>24</v>
      </c>
      <c r="M6" s="25">
        <v>1000</v>
      </c>
      <c r="N6" s="26">
        <f t="shared" si="0"/>
        <v>9630</v>
      </c>
      <c r="O6" s="26"/>
      <c r="P6" s="1" t="s">
        <v>37</v>
      </c>
    </row>
    <row r="7" spans="1:17" x14ac:dyDescent="0.2">
      <c r="A7" s="1" t="s">
        <v>38</v>
      </c>
      <c r="B7" s="1" t="s">
        <v>39</v>
      </c>
      <c r="C7" s="1" t="s">
        <v>40</v>
      </c>
      <c r="D7" s="1" t="s">
        <v>41</v>
      </c>
      <c r="E7" s="22">
        <v>2310</v>
      </c>
      <c r="F7" s="22">
        <v>50</v>
      </c>
      <c r="G7" s="21">
        <v>26</v>
      </c>
      <c r="H7" s="23">
        <v>3.5449999999999999</v>
      </c>
      <c r="I7" s="24">
        <v>2310</v>
      </c>
      <c r="J7" s="21">
        <v>4422</v>
      </c>
      <c r="K7" s="24" t="s">
        <v>23</v>
      </c>
      <c r="L7" s="24" t="s">
        <v>24</v>
      </c>
      <c r="M7" s="25">
        <v>2000</v>
      </c>
      <c r="N7" s="26">
        <f t="shared" si="0"/>
        <v>7090</v>
      </c>
      <c r="O7" s="26"/>
    </row>
    <row r="8" spans="1:17" x14ac:dyDescent="0.2">
      <c r="A8" s="1" t="s">
        <v>42</v>
      </c>
      <c r="B8" s="1" t="s">
        <v>43</v>
      </c>
      <c r="C8" s="1" t="s">
        <v>44</v>
      </c>
      <c r="D8" s="1" t="s">
        <v>28</v>
      </c>
      <c r="E8" s="22">
        <v>5</v>
      </c>
      <c r="F8" s="22">
        <v>1</v>
      </c>
      <c r="G8" s="21">
        <v>26</v>
      </c>
      <c r="H8" s="23">
        <v>1354</v>
      </c>
      <c r="I8" s="24">
        <v>5</v>
      </c>
      <c r="J8" s="21">
        <v>1356</v>
      </c>
      <c r="K8" s="24" t="s">
        <v>23</v>
      </c>
      <c r="L8" s="24" t="s">
        <v>24</v>
      </c>
      <c r="M8" s="21">
        <v>5</v>
      </c>
      <c r="N8" s="26">
        <f t="shared" si="0"/>
        <v>6770</v>
      </c>
      <c r="O8" s="26"/>
    </row>
    <row r="9" spans="1:17" x14ac:dyDescent="0.2">
      <c r="A9" s="1" t="s">
        <v>45</v>
      </c>
      <c r="B9" s="1" t="s">
        <v>46</v>
      </c>
      <c r="C9" s="1" t="s">
        <v>47</v>
      </c>
      <c r="D9" s="1" t="s">
        <v>48</v>
      </c>
      <c r="E9" s="22">
        <v>235</v>
      </c>
      <c r="F9" s="22">
        <v>250</v>
      </c>
      <c r="G9" s="21">
        <v>20</v>
      </c>
      <c r="H9" s="23">
        <v>29.696200000000001</v>
      </c>
      <c r="I9" s="24">
        <v>235</v>
      </c>
      <c r="J9" s="21">
        <v>4554</v>
      </c>
      <c r="K9" s="24" t="s">
        <v>23</v>
      </c>
      <c r="L9" s="24" t="s">
        <v>24</v>
      </c>
      <c r="M9" s="25">
        <v>200</v>
      </c>
      <c r="N9" s="26">
        <f t="shared" si="0"/>
        <v>5939.24</v>
      </c>
      <c r="O9" s="26"/>
    </row>
    <row r="10" spans="1:17" x14ac:dyDescent="0.2">
      <c r="A10" s="27" t="s">
        <v>49</v>
      </c>
      <c r="B10" s="27" t="s">
        <v>50</v>
      </c>
      <c r="C10" s="28" t="s">
        <v>51</v>
      </c>
      <c r="D10" s="28" t="s">
        <v>52</v>
      </c>
      <c r="E10" s="22">
        <v>25</v>
      </c>
      <c r="F10" s="22">
        <v>30</v>
      </c>
      <c r="G10" s="21">
        <v>21</v>
      </c>
      <c r="H10" s="23">
        <v>162.91</v>
      </c>
      <c r="I10" s="24">
        <v>25</v>
      </c>
      <c r="J10" s="21">
        <v>174</v>
      </c>
      <c r="K10" s="24" t="s">
        <v>23</v>
      </c>
      <c r="L10" s="24" t="s">
        <v>24</v>
      </c>
      <c r="M10" s="21">
        <v>25</v>
      </c>
      <c r="N10" s="26">
        <f t="shared" si="0"/>
        <v>4072.75</v>
      </c>
      <c r="O10" s="26"/>
      <c r="P10" s="27"/>
      <c r="Q10" s="27"/>
    </row>
    <row r="11" spans="1:17" x14ac:dyDescent="0.2">
      <c r="A11" s="1" t="s">
        <v>53</v>
      </c>
      <c r="B11" s="1" t="s">
        <v>54</v>
      </c>
      <c r="C11" s="1" t="s">
        <v>55</v>
      </c>
      <c r="D11" s="1" t="s">
        <v>56</v>
      </c>
      <c r="E11" s="22">
        <v>310</v>
      </c>
      <c r="F11" s="22">
        <v>1</v>
      </c>
      <c r="G11" s="21">
        <v>16</v>
      </c>
      <c r="H11" s="23">
        <v>25.290099999999999</v>
      </c>
      <c r="I11" s="24">
        <v>310</v>
      </c>
      <c r="J11" s="21">
        <v>220</v>
      </c>
      <c r="K11" s="24" t="s">
        <v>23</v>
      </c>
      <c r="L11" s="24" t="s">
        <v>24</v>
      </c>
      <c r="M11" s="25">
        <v>150</v>
      </c>
      <c r="N11" s="26">
        <f t="shared" si="0"/>
        <v>3793.5149999999999</v>
      </c>
      <c r="O11" s="26"/>
    </row>
    <row r="12" spans="1:17" x14ac:dyDescent="0.2">
      <c r="A12" s="1" t="s">
        <v>57</v>
      </c>
      <c r="B12" s="1" t="s">
        <v>58</v>
      </c>
      <c r="C12" s="1" t="s">
        <v>59</v>
      </c>
      <c r="D12" s="1" t="s">
        <v>60</v>
      </c>
      <c r="E12" s="22">
        <v>630</v>
      </c>
      <c r="F12" s="22">
        <v>1</v>
      </c>
      <c r="G12" s="21">
        <v>19</v>
      </c>
      <c r="H12" s="23">
        <v>6.173</v>
      </c>
      <c r="I12" s="24">
        <v>630</v>
      </c>
      <c r="J12" s="21">
        <v>5881</v>
      </c>
      <c r="K12" s="24" t="s">
        <v>23</v>
      </c>
      <c r="L12" s="24" t="s">
        <v>24</v>
      </c>
      <c r="M12" s="25">
        <v>500</v>
      </c>
      <c r="N12" s="26">
        <f t="shared" si="0"/>
        <v>3086.5</v>
      </c>
      <c r="O12" s="26"/>
    </row>
    <row r="13" spans="1:17" x14ac:dyDescent="0.2">
      <c r="A13" s="1" t="s">
        <v>61</v>
      </c>
      <c r="B13" s="1" t="s">
        <v>62</v>
      </c>
      <c r="C13" s="1" t="s">
        <v>63</v>
      </c>
      <c r="D13" s="1" t="s">
        <v>64</v>
      </c>
      <c r="E13" s="22">
        <v>90</v>
      </c>
      <c r="F13" s="22">
        <v>1</v>
      </c>
      <c r="G13" s="21">
        <v>31</v>
      </c>
      <c r="H13" s="23">
        <v>60.614600000000003</v>
      </c>
      <c r="I13" s="24">
        <v>90</v>
      </c>
      <c r="J13" s="21">
        <v>1032</v>
      </c>
      <c r="K13" s="24" t="s">
        <v>23</v>
      </c>
      <c r="L13" s="24" t="s">
        <v>24</v>
      </c>
      <c r="M13" s="25">
        <v>50</v>
      </c>
      <c r="N13" s="26">
        <f t="shared" si="0"/>
        <v>3030.73</v>
      </c>
      <c r="O13" s="26"/>
    </row>
    <row r="14" spans="1:17" x14ac:dyDescent="0.2">
      <c r="A14" s="1" t="s">
        <v>65</v>
      </c>
      <c r="B14" s="1" t="s">
        <v>66</v>
      </c>
      <c r="C14" s="1" t="s">
        <v>67</v>
      </c>
      <c r="D14" s="1" t="s">
        <v>68</v>
      </c>
      <c r="E14" s="22">
        <v>50</v>
      </c>
      <c r="F14" s="22">
        <v>1</v>
      </c>
      <c r="G14" s="21">
        <v>14</v>
      </c>
      <c r="H14" s="26">
        <v>59.534199999999998</v>
      </c>
      <c r="I14" s="24">
        <v>50</v>
      </c>
      <c r="J14" s="21">
        <v>6949</v>
      </c>
      <c r="K14" s="24" t="s">
        <v>69</v>
      </c>
      <c r="L14" s="24" t="s">
        <v>24</v>
      </c>
      <c r="M14" s="21">
        <v>50</v>
      </c>
      <c r="N14" s="26">
        <f t="shared" si="0"/>
        <v>2976.71</v>
      </c>
      <c r="O14" s="26"/>
      <c r="P14" s="29"/>
    </row>
    <row r="15" spans="1:17" x14ac:dyDescent="0.2">
      <c r="A15" s="1" t="s">
        <v>70</v>
      </c>
      <c r="B15" s="1" t="s">
        <v>71</v>
      </c>
      <c r="C15" s="1" t="s">
        <v>72</v>
      </c>
      <c r="D15" s="1" t="s">
        <v>41</v>
      </c>
      <c r="E15" s="22">
        <v>1660</v>
      </c>
      <c r="F15" s="22">
        <v>50</v>
      </c>
      <c r="G15" s="21">
        <v>26</v>
      </c>
      <c r="H15" s="23">
        <v>2.8250000000000002</v>
      </c>
      <c r="I15" s="24">
        <v>1660</v>
      </c>
      <c r="J15" s="21">
        <v>3718</v>
      </c>
      <c r="K15" s="24" t="s">
        <v>23</v>
      </c>
      <c r="L15" s="24" t="s">
        <v>24</v>
      </c>
      <c r="M15" s="21">
        <v>1000</v>
      </c>
      <c r="N15" s="26">
        <f t="shared" si="0"/>
        <v>2825</v>
      </c>
      <c r="O15" s="26"/>
    </row>
    <row r="16" spans="1:17" x14ac:dyDescent="0.2">
      <c r="A16" s="1" t="s">
        <v>73</v>
      </c>
      <c r="B16" s="1" t="s">
        <v>74</v>
      </c>
      <c r="C16" s="1" t="s">
        <v>75</v>
      </c>
      <c r="D16" s="1" t="s">
        <v>76</v>
      </c>
      <c r="E16" s="22">
        <v>255</v>
      </c>
      <c r="F16" s="22">
        <v>1</v>
      </c>
      <c r="G16" s="21">
        <v>10</v>
      </c>
      <c r="H16" s="23">
        <v>13.566890000000001</v>
      </c>
      <c r="I16" s="24">
        <v>255</v>
      </c>
      <c r="J16" s="21">
        <v>1431</v>
      </c>
      <c r="K16" s="24" t="s">
        <v>23</v>
      </c>
      <c r="L16" s="24" t="s">
        <v>24</v>
      </c>
      <c r="M16" s="30">
        <v>200</v>
      </c>
      <c r="N16" s="26">
        <f t="shared" si="0"/>
        <v>2713.3780000000002</v>
      </c>
      <c r="O16" s="26"/>
    </row>
    <row r="17" spans="1:17" x14ac:dyDescent="0.2">
      <c r="A17" s="1" t="s">
        <v>77</v>
      </c>
      <c r="B17" s="1" t="s">
        <v>78</v>
      </c>
      <c r="C17" s="1" t="s">
        <v>79</v>
      </c>
      <c r="D17" s="1" t="s">
        <v>28</v>
      </c>
      <c r="E17" s="22">
        <v>10</v>
      </c>
      <c r="F17" s="22">
        <v>1</v>
      </c>
      <c r="G17" s="21">
        <v>20</v>
      </c>
      <c r="H17" s="23">
        <v>256.09500000000003</v>
      </c>
      <c r="I17" s="24">
        <v>10</v>
      </c>
      <c r="J17" s="21">
        <v>181</v>
      </c>
      <c r="K17" s="24" t="s">
        <v>23</v>
      </c>
      <c r="L17" s="24" t="s">
        <v>24</v>
      </c>
      <c r="M17" s="21">
        <v>10</v>
      </c>
      <c r="N17" s="26">
        <f t="shared" si="0"/>
        <v>2560.9500000000003</v>
      </c>
      <c r="O17" s="26"/>
    </row>
    <row r="18" spans="1:17" x14ac:dyDescent="0.2">
      <c r="A18" s="1" t="s">
        <v>80</v>
      </c>
      <c r="B18" s="1" t="s">
        <v>81</v>
      </c>
      <c r="C18" s="1" t="s">
        <v>82</v>
      </c>
      <c r="D18" s="1" t="s">
        <v>83</v>
      </c>
      <c r="E18" s="22">
        <v>100</v>
      </c>
      <c r="F18" s="22">
        <v>1</v>
      </c>
      <c r="G18" s="21">
        <v>42</v>
      </c>
      <c r="H18" s="23">
        <v>49.875700000000002</v>
      </c>
      <c r="I18" s="24">
        <v>100</v>
      </c>
      <c r="J18" s="21">
        <v>455</v>
      </c>
      <c r="K18" s="24" t="s">
        <v>23</v>
      </c>
      <c r="L18" s="24" t="s">
        <v>24</v>
      </c>
      <c r="M18" s="25">
        <v>50</v>
      </c>
      <c r="N18" s="26">
        <f t="shared" si="0"/>
        <v>2493.7850000000003</v>
      </c>
      <c r="O18" s="26"/>
    </row>
    <row r="19" spans="1:17" x14ac:dyDescent="0.2">
      <c r="A19" s="27" t="s">
        <v>84</v>
      </c>
      <c r="B19" s="27" t="s">
        <v>85</v>
      </c>
      <c r="C19" s="28" t="s">
        <v>86</v>
      </c>
      <c r="D19" s="28" t="s">
        <v>41</v>
      </c>
      <c r="E19" s="22">
        <v>470</v>
      </c>
      <c r="F19" s="22">
        <v>50</v>
      </c>
      <c r="G19" s="21">
        <v>25</v>
      </c>
      <c r="H19" s="23">
        <v>9.59</v>
      </c>
      <c r="I19" s="24">
        <v>470</v>
      </c>
      <c r="J19" s="21">
        <v>2366</v>
      </c>
      <c r="K19" s="24" t="s">
        <v>23</v>
      </c>
      <c r="L19" s="24" t="s">
        <v>24</v>
      </c>
      <c r="M19" s="25">
        <v>250</v>
      </c>
      <c r="N19" s="26">
        <f t="shared" si="0"/>
        <v>2397.5</v>
      </c>
      <c r="O19" s="26"/>
      <c r="P19" s="27"/>
      <c r="Q19" s="27"/>
    </row>
    <row r="20" spans="1:17" x14ac:dyDescent="0.2">
      <c r="A20" s="1" t="s">
        <v>87</v>
      </c>
      <c r="B20" s="1" t="s">
        <v>88</v>
      </c>
      <c r="C20" s="1" t="s">
        <v>89</v>
      </c>
      <c r="D20" s="1" t="s">
        <v>90</v>
      </c>
      <c r="E20" s="22">
        <v>235</v>
      </c>
      <c r="F20" s="22">
        <v>2500</v>
      </c>
      <c r="G20" s="21">
        <v>20</v>
      </c>
      <c r="H20" s="23">
        <v>8.8840000000000003</v>
      </c>
      <c r="I20" s="24">
        <v>235</v>
      </c>
      <c r="J20" s="21">
        <v>8707</v>
      </c>
      <c r="K20" s="24" t="s">
        <v>23</v>
      </c>
      <c r="L20" s="24" t="s">
        <v>24</v>
      </c>
      <c r="M20" s="25">
        <v>250</v>
      </c>
      <c r="N20" s="26">
        <f t="shared" si="0"/>
        <v>2221</v>
      </c>
      <c r="O20" s="26"/>
    </row>
    <row r="21" spans="1:17" x14ac:dyDescent="0.2">
      <c r="A21" s="1" t="s">
        <v>91</v>
      </c>
      <c r="B21" s="1" t="s">
        <v>92</v>
      </c>
      <c r="C21" s="1" t="s">
        <v>93</v>
      </c>
      <c r="D21" s="1" t="s">
        <v>94</v>
      </c>
      <c r="E21" s="22">
        <v>310</v>
      </c>
      <c r="F21" s="22">
        <v>84</v>
      </c>
      <c r="G21" s="21">
        <v>26</v>
      </c>
      <c r="H21" s="23">
        <v>10.8241</v>
      </c>
      <c r="I21" s="24">
        <v>310</v>
      </c>
      <c r="J21" s="21">
        <v>4813</v>
      </c>
      <c r="K21" s="24" t="s">
        <v>23</v>
      </c>
      <c r="L21" s="24" t="s">
        <v>24</v>
      </c>
      <c r="M21" s="30">
        <v>200</v>
      </c>
      <c r="N21" s="26">
        <f t="shared" si="0"/>
        <v>2164.8199999999997</v>
      </c>
      <c r="O21" s="26"/>
    </row>
    <row r="22" spans="1:17" x14ac:dyDescent="0.2">
      <c r="A22" s="1" t="s">
        <v>95</v>
      </c>
      <c r="B22" s="1" t="s">
        <v>96</v>
      </c>
      <c r="C22" s="1" t="s">
        <v>97</v>
      </c>
      <c r="D22" s="1" t="s">
        <v>98</v>
      </c>
      <c r="E22" s="22">
        <v>60</v>
      </c>
      <c r="F22" s="22">
        <v>500</v>
      </c>
      <c r="G22" s="21">
        <v>20</v>
      </c>
      <c r="H22" s="26">
        <v>36.069000000000003</v>
      </c>
      <c r="I22" s="24">
        <v>60</v>
      </c>
      <c r="J22" s="21">
        <v>0</v>
      </c>
      <c r="K22" s="24" t="s">
        <v>69</v>
      </c>
      <c r="L22" s="24" t="s">
        <v>24</v>
      </c>
      <c r="M22" s="21">
        <v>60</v>
      </c>
      <c r="N22" s="26">
        <f t="shared" si="0"/>
        <v>2164.1400000000003</v>
      </c>
      <c r="O22" s="26"/>
      <c r="P22" s="29"/>
    </row>
    <row r="23" spans="1:17" x14ac:dyDescent="0.2">
      <c r="A23" s="1" t="s">
        <v>99</v>
      </c>
      <c r="B23" s="1" t="s">
        <v>100</v>
      </c>
      <c r="C23" s="1" t="s">
        <v>101</v>
      </c>
      <c r="D23" s="1" t="s">
        <v>102</v>
      </c>
      <c r="E23" s="22">
        <v>80</v>
      </c>
      <c r="F23" s="22">
        <v>1</v>
      </c>
      <c r="G23" s="21">
        <v>13</v>
      </c>
      <c r="H23" s="23">
        <v>25.715</v>
      </c>
      <c r="I23" s="24">
        <v>80</v>
      </c>
      <c r="J23" s="21">
        <v>38</v>
      </c>
      <c r="K23" s="24" t="s">
        <v>23</v>
      </c>
      <c r="L23" s="24" t="s">
        <v>24</v>
      </c>
      <c r="M23" s="21">
        <v>80</v>
      </c>
      <c r="N23" s="26">
        <f t="shared" si="0"/>
        <v>2057.1999999999998</v>
      </c>
      <c r="O23" s="26"/>
    </row>
    <row r="24" spans="1:17" x14ac:dyDescent="0.2">
      <c r="A24" s="1" t="s">
        <v>103</v>
      </c>
      <c r="B24" s="1" t="s">
        <v>104</v>
      </c>
      <c r="C24" s="1" t="s">
        <v>105</v>
      </c>
      <c r="D24" s="1" t="s">
        <v>106</v>
      </c>
      <c r="E24" s="22">
        <v>30</v>
      </c>
      <c r="F24" s="22">
        <v>1</v>
      </c>
      <c r="G24" s="21">
        <v>33</v>
      </c>
      <c r="H24" s="26">
        <v>65.38</v>
      </c>
      <c r="I24" s="24">
        <v>30</v>
      </c>
      <c r="J24" s="21">
        <v>1790</v>
      </c>
      <c r="K24" s="24" t="s">
        <v>107</v>
      </c>
      <c r="L24" s="24" t="s">
        <v>24</v>
      </c>
      <c r="M24" s="21">
        <v>30</v>
      </c>
      <c r="N24" s="26">
        <f t="shared" si="0"/>
        <v>1961.3999999999999</v>
      </c>
      <c r="O24" s="26"/>
      <c r="P24" s="29"/>
    </row>
    <row r="25" spans="1:17" x14ac:dyDescent="0.2">
      <c r="A25" s="1" t="s">
        <v>108</v>
      </c>
      <c r="B25" s="1" t="s">
        <v>109</v>
      </c>
      <c r="C25" s="1" t="s">
        <v>110</v>
      </c>
      <c r="D25" s="1" t="s">
        <v>111</v>
      </c>
      <c r="E25" s="22">
        <v>160</v>
      </c>
      <c r="F25" s="22">
        <v>500</v>
      </c>
      <c r="G25" s="21">
        <v>18</v>
      </c>
      <c r="H25" s="23">
        <v>18.4892</v>
      </c>
      <c r="I25" s="24">
        <v>160</v>
      </c>
      <c r="J25" s="21">
        <v>2494</v>
      </c>
      <c r="K25" s="24" t="s">
        <v>23</v>
      </c>
      <c r="L25" s="24" t="s">
        <v>24</v>
      </c>
      <c r="M25" s="30">
        <v>100</v>
      </c>
      <c r="N25" s="26">
        <f t="shared" si="0"/>
        <v>1848.92</v>
      </c>
      <c r="O25" s="26"/>
    </row>
    <row r="26" spans="1:17" x14ac:dyDescent="0.2">
      <c r="A26" s="27" t="s">
        <v>112</v>
      </c>
      <c r="B26" s="27" t="s">
        <v>113</v>
      </c>
      <c r="C26" s="28" t="s">
        <v>114</v>
      </c>
      <c r="D26" s="28" t="s">
        <v>115</v>
      </c>
      <c r="E26" s="22">
        <v>105</v>
      </c>
      <c r="F26" s="22">
        <v>1</v>
      </c>
      <c r="G26" s="21">
        <v>0</v>
      </c>
      <c r="H26" s="26">
        <v>17.5</v>
      </c>
      <c r="I26" s="24">
        <v>35</v>
      </c>
      <c r="J26" s="21" t="s">
        <v>116</v>
      </c>
      <c r="K26" s="24" t="s">
        <v>117</v>
      </c>
      <c r="L26" s="24" t="s">
        <v>24</v>
      </c>
      <c r="M26" s="21">
        <v>105</v>
      </c>
      <c r="N26" s="26">
        <f t="shared" si="0"/>
        <v>1837.5</v>
      </c>
      <c r="O26" s="26"/>
      <c r="P26" s="27" t="s">
        <v>118</v>
      </c>
      <c r="Q26" s="27"/>
    </row>
    <row r="27" spans="1:17" x14ac:dyDescent="0.2">
      <c r="A27" s="27" t="s">
        <v>119</v>
      </c>
      <c r="B27" s="27" t="s">
        <v>120</v>
      </c>
      <c r="C27" s="28" t="s">
        <v>121</v>
      </c>
      <c r="D27" s="28" t="s">
        <v>115</v>
      </c>
      <c r="E27" s="22">
        <v>50</v>
      </c>
      <c r="F27" s="22">
        <v>1</v>
      </c>
      <c r="G27" s="21">
        <v>10</v>
      </c>
      <c r="H27" s="26">
        <v>34.799999999999997</v>
      </c>
      <c r="I27" s="24">
        <v>15</v>
      </c>
      <c r="J27" s="21" t="s">
        <v>116</v>
      </c>
      <c r="K27" s="24" t="s">
        <v>117</v>
      </c>
      <c r="L27" s="24" t="s">
        <v>24</v>
      </c>
      <c r="M27" s="21">
        <v>50</v>
      </c>
      <c r="N27" s="26">
        <f t="shared" si="0"/>
        <v>1739.9999999999998</v>
      </c>
      <c r="O27" s="26"/>
      <c r="P27" s="27" t="s">
        <v>118</v>
      </c>
      <c r="Q27" s="27"/>
    </row>
    <row r="28" spans="1:17" x14ac:dyDescent="0.2">
      <c r="A28" s="1" t="s">
        <v>122</v>
      </c>
      <c r="B28" s="1" t="s">
        <v>123</v>
      </c>
      <c r="C28" s="1" t="s">
        <v>124</v>
      </c>
      <c r="D28" s="1" t="s">
        <v>41</v>
      </c>
      <c r="E28" s="22">
        <v>945</v>
      </c>
      <c r="F28" s="22">
        <v>50</v>
      </c>
      <c r="G28" s="21">
        <v>5</v>
      </c>
      <c r="H28" s="23">
        <v>5.62</v>
      </c>
      <c r="I28" s="24">
        <v>0</v>
      </c>
      <c r="J28" s="21">
        <v>5465</v>
      </c>
      <c r="K28" s="24" t="s">
        <v>23</v>
      </c>
      <c r="L28" s="24" t="s">
        <v>24</v>
      </c>
      <c r="M28" s="25">
        <v>300</v>
      </c>
      <c r="N28" s="26">
        <f t="shared" si="0"/>
        <v>1686</v>
      </c>
      <c r="O28" s="26"/>
    </row>
    <row r="29" spans="1:17" ht="13.5" customHeight="1" x14ac:dyDescent="0.2">
      <c r="A29" s="27" t="s">
        <v>125</v>
      </c>
      <c r="B29" s="27" t="s">
        <v>126</v>
      </c>
      <c r="C29" s="28" t="s">
        <v>127</v>
      </c>
      <c r="D29" s="28" t="s">
        <v>115</v>
      </c>
      <c r="E29" s="22">
        <v>85</v>
      </c>
      <c r="F29" s="22">
        <v>1</v>
      </c>
      <c r="G29" s="21">
        <v>0</v>
      </c>
      <c r="H29" s="26">
        <v>19.75</v>
      </c>
      <c r="I29" s="24">
        <v>30</v>
      </c>
      <c r="J29" s="21" t="s">
        <v>116</v>
      </c>
      <c r="K29" s="24" t="s">
        <v>117</v>
      </c>
      <c r="L29" s="24" t="s">
        <v>24</v>
      </c>
      <c r="M29" s="21">
        <v>85</v>
      </c>
      <c r="N29" s="26">
        <f t="shared" si="0"/>
        <v>1678.75</v>
      </c>
      <c r="O29" s="26"/>
      <c r="P29" s="27" t="s">
        <v>118</v>
      </c>
      <c r="Q29" s="27"/>
    </row>
    <row r="30" spans="1:17" x14ac:dyDescent="0.2">
      <c r="A30" s="1" t="s">
        <v>128</v>
      </c>
      <c r="B30" s="1" t="s">
        <v>129</v>
      </c>
      <c r="C30" s="1" t="s">
        <v>130</v>
      </c>
      <c r="D30" s="1" t="s">
        <v>41</v>
      </c>
      <c r="E30" s="22">
        <v>235</v>
      </c>
      <c r="F30" s="22">
        <v>50</v>
      </c>
      <c r="G30" s="21">
        <v>22</v>
      </c>
      <c r="H30" s="23">
        <v>8</v>
      </c>
      <c r="I30" s="24">
        <v>235</v>
      </c>
      <c r="J30" s="21">
        <v>4827</v>
      </c>
      <c r="K30" s="24" t="s">
        <v>23</v>
      </c>
      <c r="L30" s="24" t="s">
        <v>24</v>
      </c>
      <c r="M30" s="25">
        <v>200</v>
      </c>
      <c r="N30" s="26">
        <f t="shared" si="0"/>
        <v>1600</v>
      </c>
      <c r="O30" s="26"/>
    </row>
    <row r="31" spans="1:17" x14ac:dyDescent="0.2">
      <c r="A31" s="1" t="s">
        <v>131</v>
      </c>
      <c r="B31" s="1" t="s">
        <v>132</v>
      </c>
      <c r="C31" s="1" t="s">
        <v>133</v>
      </c>
      <c r="D31" s="1" t="s">
        <v>68</v>
      </c>
      <c r="E31" s="22">
        <v>50</v>
      </c>
      <c r="F31" s="22">
        <v>1</v>
      </c>
      <c r="G31" s="21">
        <v>17</v>
      </c>
      <c r="H31" s="26">
        <v>63.3</v>
      </c>
      <c r="I31" s="24">
        <v>50</v>
      </c>
      <c r="J31" s="21">
        <v>648</v>
      </c>
      <c r="K31" s="24" t="s">
        <v>69</v>
      </c>
      <c r="L31" s="24" t="s">
        <v>24</v>
      </c>
      <c r="M31" s="25">
        <v>25</v>
      </c>
      <c r="N31" s="26">
        <f t="shared" si="0"/>
        <v>1582.5</v>
      </c>
      <c r="O31" s="26"/>
      <c r="P31" s="29"/>
    </row>
    <row r="32" spans="1:17" x14ac:dyDescent="0.2">
      <c r="A32" s="27" t="s">
        <v>134</v>
      </c>
      <c r="B32" s="27" t="s">
        <v>135</v>
      </c>
      <c r="C32" s="28" t="s">
        <v>136</v>
      </c>
      <c r="D32" s="28" t="s">
        <v>137</v>
      </c>
      <c r="E32" s="22">
        <v>40</v>
      </c>
      <c r="F32" s="22">
        <v>1</v>
      </c>
      <c r="G32" s="21">
        <v>16</v>
      </c>
      <c r="H32" s="23">
        <v>37.92</v>
      </c>
      <c r="I32" s="24">
        <v>40</v>
      </c>
      <c r="J32" s="21">
        <v>0</v>
      </c>
      <c r="K32" s="24" t="s">
        <v>23</v>
      </c>
      <c r="L32" s="24" t="s">
        <v>24</v>
      </c>
      <c r="M32" s="21">
        <v>40</v>
      </c>
      <c r="N32" s="26">
        <f t="shared" si="0"/>
        <v>1516.8000000000002</v>
      </c>
      <c r="O32" s="26"/>
      <c r="P32" s="27"/>
      <c r="Q32" s="27"/>
    </row>
    <row r="33" spans="1:17" x14ac:dyDescent="0.2">
      <c r="A33" s="1" t="s">
        <v>138</v>
      </c>
      <c r="B33" s="1" t="s">
        <v>139</v>
      </c>
      <c r="C33" s="1" t="s">
        <v>140</v>
      </c>
      <c r="D33" s="1" t="s">
        <v>141</v>
      </c>
      <c r="E33" s="22">
        <v>120</v>
      </c>
      <c r="F33" s="22">
        <v>42</v>
      </c>
      <c r="G33" s="21">
        <v>47</v>
      </c>
      <c r="H33" s="23">
        <v>12.43</v>
      </c>
      <c r="I33" s="24">
        <v>120</v>
      </c>
      <c r="J33" s="21">
        <v>104</v>
      </c>
      <c r="K33" s="24" t="s">
        <v>23</v>
      </c>
      <c r="L33" s="24" t="s">
        <v>24</v>
      </c>
      <c r="M33" s="21">
        <v>120</v>
      </c>
      <c r="N33" s="26">
        <f t="shared" si="0"/>
        <v>1491.6</v>
      </c>
      <c r="O33" s="26"/>
    </row>
    <row r="34" spans="1:17" ht="13.5" customHeight="1" x14ac:dyDescent="0.2">
      <c r="A34" s="1" t="s">
        <v>142</v>
      </c>
      <c r="B34" s="1" t="s">
        <v>143</v>
      </c>
      <c r="C34" s="1" t="s">
        <v>144</v>
      </c>
      <c r="D34" s="1" t="s">
        <v>22</v>
      </c>
      <c r="E34" s="22">
        <v>585</v>
      </c>
      <c r="F34" s="22">
        <v>1</v>
      </c>
      <c r="G34" s="21">
        <v>19</v>
      </c>
      <c r="H34" s="23">
        <v>4.95</v>
      </c>
      <c r="I34" s="24">
        <v>585</v>
      </c>
      <c r="J34" s="21">
        <v>3224</v>
      </c>
      <c r="K34" s="24" t="s">
        <v>23</v>
      </c>
      <c r="L34" s="24" t="s">
        <v>24</v>
      </c>
      <c r="M34" s="25">
        <v>300</v>
      </c>
      <c r="N34" s="26">
        <f t="shared" si="0"/>
        <v>1485</v>
      </c>
      <c r="O34" s="26"/>
    </row>
    <row r="35" spans="1:17" x14ac:dyDescent="0.2">
      <c r="A35" s="1" t="s">
        <v>145</v>
      </c>
      <c r="B35" s="1" t="s">
        <v>146</v>
      </c>
      <c r="C35" s="1" t="s">
        <v>147</v>
      </c>
      <c r="D35" s="1" t="s">
        <v>148</v>
      </c>
      <c r="E35" s="22">
        <v>100</v>
      </c>
      <c r="F35" s="22">
        <v>1</v>
      </c>
      <c r="G35" s="21">
        <v>21</v>
      </c>
      <c r="H35" s="23">
        <v>13.908200000000001</v>
      </c>
      <c r="I35" s="24">
        <v>100</v>
      </c>
      <c r="J35" s="21">
        <v>190</v>
      </c>
      <c r="K35" s="24" t="s">
        <v>23</v>
      </c>
      <c r="L35" s="24" t="s">
        <v>24</v>
      </c>
      <c r="M35" s="21">
        <v>100</v>
      </c>
      <c r="N35" s="26">
        <f t="shared" si="0"/>
        <v>1390.8200000000002</v>
      </c>
      <c r="O35" s="26"/>
    </row>
    <row r="36" spans="1:17" x14ac:dyDescent="0.2">
      <c r="A36" s="1" t="s">
        <v>149</v>
      </c>
      <c r="B36" s="1" t="s">
        <v>150</v>
      </c>
      <c r="C36" s="1" t="s">
        <v>151</v>
      </c>
      <c r="D36" s="1" t="s">
        <v>152</v>
      </c>
      <c r="E36" s="22">
        <v>585</v>
      </c>
      <c r="F36" s="22">
        <v>1</v>
      </c>
      <c r="G36" s="21">
        <v>16</v>
      </c>
      <c r="H36" s="23">
        <v>1.7897000000000001</v>
      </c>
      <c r="I36" s="24">
        <v>585</v>
      </c>
      <c r="J36" s="21">
        <v>208</v>
      </c>
      <c r="K36" s="24" t="s">
        <v>23</v>
      </c>
      <c r="L36" s="24" t="s">
        <v>24</v>
      </c>
      <c r="M36" s="25">
        <v>750</v>
      </c>
      <c r="N36" s="26">
        <f t="shared" si="0"/>
        <v>1342.2750000000001</v>
      </c>
      <c r="O36" s="26"/>
    </row>
    <row r="37" spans="1:17" x14ac:dyDescent="0.2">
      <c r="A37" s="1" t="s">
        <v>153</v>
      </c>
      <c r="B37" s="1" t="s">
        <v>154</v>
      </c>
      <c r="C37" s="1" t="s">
        <v>155</v>
      </c>
      <c r="D37" s="1" t="s">
        <v>156</v>
      </c>
      <c r="E37" s="22">
        <v>985</v>
      </c>
      <c r="F37" s="22">
        <v>1</v>
      </c>
      <c r="G37" s="21">
        <v>17</v>
      </c>
      <c r="H37" s="23">
        <v>1.0391999999999999</v>
      </c>
      <c r="I37" s="24">
        <v>985</v>
      </c>
      <c r="J37" s="21">
        <v>3093</v>
      </c>
      <c r="K37" s="24" t="s">
        <v>23</v>
      </c>
      <c r="L37" s="24" t="s">
        <v>24</v>
      </c>
      <c r="M37" s="21">
        <v>1000</v>
      </c>
      <c r="N37" s="26">
        <f t="shared" si="0"/>
        <v>1039.1999999999998</v>
      </c>
      <c r="O37" s="26"/>
    </row>
    <row r="38" spans="1:17" x14ac:dyDescent="0.2">
      <c r="A38" s="1" t="s">
        <v>157</v>
      </c>
      <c r="B38" s="1" t="s">
        <v>158</v>
      </c>
      <c r="C38" s="1" t="s">
        <v>159</v>
      </c>
      <c r="D38" s="1" t="s">
        <v>102</v>
      </c>
      <c r="E38" s="22">
        <v>40</v>
      </c>
      <c r="F38" s="22">
        <v>1</v>
      </c>
      <c r="G38" s="21">
        <v>18</v>
      </c>
      <c r="H38" s="23">
        <v>25.66</v>
      </c>
      <c r="I38" s="24">
        <v>40</v>
      </c>
      <c r="J38" s="21">
        <v>373</v>
      </c>
      <c r="K38" s="24" t="s">
        <v>23</v>
      </c>
      <c r="L38" s="24" t="s">
        <v>24</v>
      </c>
      <c r="M38" s="21">
        <v>40</v>
      </c>
      <c r="N38" s="26">
        <f t="shared" si="0"/>
        <v>1026.4000000000001</v>
      </c>
      <c r="O38" s="26"/>
    </row>
    <row r="39" spans="1:17" x14ac:dyDescent="0.2">
      <c r="A39" s="1" t="s">
        <v>160</v>
      </c>
      <c r="B39" s="1" t="s">
        <v>161</v>
      </c>
      <c r="C39" s="1" t="s">
        <v>162</v>
      </c>
      <c r="D39" s="1" t="s">
        <v>163</v>
      </c>
      <c r="E39" s="22">
        <v>80</v>
      </c>
      <c r="F39" s="22">
        <v>1</v>
      </c>
      <c r="G39" s="21">
        <v>27</v>
      </c>
      <c r="H39" s="26">
        <v>12.565200000000001</v>
      </c>
      <c r="I39" s="24">
        <v>80</v>
      </c>
      <c r="J39" s="21">
        <v>1683</v>
      </c>
      <c r="K39" s="24" t="s">
        <v>69</v>
      </c>
      <c r="L39" s="24" t="s">
        <v>24</v>
      </c>
      <c r="M39" s="21">
        <v>80</v>
      </c>
      <c r="N39" s="26">
        <f t="shared" si="0"/>
        <v>1005.2160000000001</v>
      </c>
      <c r="O39" s="26"/>
      <c r="P39" s="29"/>
    </row>
    <row r="40" spans="1:17" x14ac:dyDescent="0.2">
      <c r="A40" s="27" t="s">
        <v>164</v>
      </c>
      <c r="B40" s="27" t="s">
        <v>165</v>
      </c>
      <c r="C40" s="28" t="s">
        <v>166</v>
      </c>
      <c r="D40" s="28" t="s">
        <v>32</v>
      </c>
      <c r="E40" s="22">
        <v>20</v>
      </c>
      <c r="F40" s="22">
        <v>1</v>
      </c>
      <c r="G40" s="21">
        <v>4</v>
      </c>
      <c r="H40" s="23">
        <v>49.707999999999998</v>
      </c>
      <c r="I40" s="24">
        <v>20</v>
      </c>
      <c r="J40" s="21">
        <v>805</v>
      </c>
      <c r="K40" s="24" t="s">
        <v>23</v>
      </c>
      <c r="L40" s="24" t="s">
        <v>24</v>
      </c>
      <c r="M40" s="21">
        <v>20</v>
      </c>
      <c r="N40" s="26">
        <f t="shared" si="0"/>
        <v>994.16</v>
      </c>
      <c r="O40" s="26"/>
      <c r="P40" s="27"/>
      <c r="Q40" s="27"/>
    </row>
    <row r="41" spans="1:17" x14ac:dyDescent="0.2">
      <c r="A41" s="1" t="s">
        <v>167</v>
      </c>
      <c r="B41" s="1" t="s">
        <v>168</v>
      </c>
      <c r="C41" s="1" t="s">
        <v>169</v>
      </c>
      <c r="D41" s="1" t="s">
        <v>170</v>
      </c>
      <c r="E41" s="22">
        <v>105</v>
      </c>
      <c r="F41" s="22">
        <v>1</v>
      </c>
      <c r="G41" s="21">
        <v>13</v>
      </c>
      <c r="H41" s="23">
        <v>9.17</v>
      </c>
      <c r="I41" s="24">
        <v>105</v>
      </c>
      <c r="J41" s="21">
        <v>0</v>
      </c>
      <c r="K41" s="24" t="s">
        <v>23</v>
      </c>
      <c r="L41" s="24" t="s">
        <v>24</v>
      </c>
      <c r="M41" s="21">
        <v>105</v>
      </c>
      <c r="N41" s="26">
        <f t="shared" si="0"/>
        <v>962.85</v>
      </c>
      <c r="O41" s="26"/>
    </row>
    <row r="42" spans="1:17" x14ac:dyDescent="0.2">
      <c r="A42" s="1" t="s">
        <v>171</v>
      </c>
      <c r="B42" s="1" t="s">
        <v>172</v>
      </c>
      <c r="C42" s="1" t="s">
        <v>173</v>
      </c>
      <c r="D42" s="1" t="s">
        <v>90</v>
      </c>
      <c r="E42" s="22">
        <v>425</v>
      </c>
      <c r="F42" s="22">
        <v>2500</v>
      </c>
      <c r="G42" s="21">
        <v>14</v>
      </c>
      <c r="H42" s="23">
        <v>4.7610000000000001</v>
      </c>
      <c r="I42" s="24">
        <v>425</v>
      </c>
      <c r="J42" s="21">
        <v>9800</v>
      </c>
      <c r="K42" s="24" t="s">
        <v>23</v>
      </c>
      <c r="L42" s="24" t="s">
        <v>24</v>
      </c>
      <c r="M42" s="25">
        <v>200</v>
      </c>
      <c r="N42" s="26">
        <f t="shared" si="0"/>
        <v>952.2</v>
      </c>
      <c r="O42" s="26"/>
    </row>
    <row r="43" spans="1:17" x14ac:dyDescent="0.2">
      <c r="A43" s="27" t="s">
        <v>174</v>
      </c>
      <c r="B43" s="27" t="s">
        <v>175</v>
      </c>
      <c r="C43" s="28" t="s">
        <v>176</v>
      </c>
      <c r="D43" s="28" t="s">
        <v>148</v>
      </c>
      <c r="E43" s="22">
        <v>20</v>
      </c>
      <c r="F43" s="22">
        <v>1</v>
      </c>
      <c r="G43" s="21">
        <v>24</v>
      </c>
      <c r="H43" s="23">
        <v>43.33</v>
      </c>
      <c r="I43" s="24">
        <v>20</v>
      </c>
      <c r="J43" s="21">
        <v>1481</v>
      </c>
      <c r="K43" s="24" t="s">
        <v>23</v>
      </c>
      <c r="L43" s="24" t="s">
        <v>24</v>
      </c>
      <c r="M43" s="21">
        <v>20</v>
      </c>
      <c r="N43" s="26">
        <f t="shared" si="0"/>
        <v>866.59999999999991</v>
      </c>
      <c r="O43" s="26"/>
      <c r="P43" s="27"/>
      <c r="Q43" s="27"/>
    </row>
    <row r="44" spans="1:17" x14ac:dyDescent="0.2">
      <c r="A44" s="1" t="s">
        <v>177</v>
      </c>
      <c r="B44" s="1" t="s">
        <v>178</v>
      </c>
      <c r="C44" s="1" t="s">
        <v>179</v>
      </c>
      <c r="D44" s="1" t="s">
        <v>141</v>
      </c>
      <c r="E44" s="22">
        <v>120</v>
      </c>
      <c r="F44" s="22">
        <v>1</v>
      </c>
      <c r="G44" s="21">
        <v>0</v>
      </c>
      <c r="H44" s="23">
        <v>7.2</v>
      </c>
      <c r="I44" s="24">
        <v>120</v>
      </c>
      <c r="J44" s="21">
        <v>0</v>
      </c>
      <c r="K44" s="24" t="s">
        <v>23</v>
      </c>
      <c r="L44" s="24" t="s">
        <v>24</v>
      </c>
      <c r="M44" s="21">
        <v>120</v>
      </c>
      <c r="N44" s="26">
        <f t="shared" si="0"/>
        <v>864</v>
      </c>
      <c r="O44" s="26"/>
    </row>
    <row r="45" spans="1:17" x14ac:dyDescent="0.2">
      <c r="A45" s="27" t="s">
        <v>180</v>
      </c>
      <c r="B45" s="27" t="s">
        <v>181</v>
      </c>
      <c r="C45" s="28" t="s">
        <v>182</v>
      </c>
      <c r="D45" s="28" t="s">
        <v>183</v>
      </c>
      <c r="E45" s="22">
        <v>20</v>
      </c>
      <c r="F45" s="22">
        <v>1</v>
      </c>
      <c r="G45" s="21">
        <v>17</v>
      </c>
      <c r="H45" s="26">
        <v>85.83</v>
      </c>
      <c r="I45" s="24">
        <v>20</v>
      </c>
      <c r="J45" s="21">
        <v>1701</v>
      </c>
      <c r="K45" s="24" t="s">
        <v>184</v>
      </c>
      <c r="L45" s="24" t="s">
        <v>24</v>
      </c>
      <c r="M45" s="25">
        <v>10</v>
      </c>
      <c r="N45" s="26">
        <f t="shared" si="0"/>
        <v>858.3</v>
      </c>
      <c r="O45" s="26"/>
      <c r="P45" s="29"/>
      <c r="Q45" s="27"/>
    </row>
    <row r="46" spans="1:17" x14ac:dyDescent="0.2">
      <c r="A46" s="1" t="s">
        <v>185</v>
      </c>
      <c r="B46" s="1" t="s">
        <v>186</v>
      </c>
      <c r="C46" s="1" t="s">
        <v>187</v>
      </c>
      <c r="D46" s="1" t="s">
        <v>188</v>
      </c>
      <c r="E46" s="22">
        <v>40</v>
      </c>
      <c r="F46" s="22">
        <v>1</v>
      </c>
      <c r="G46" s="21">
        <v>35</v>
      </c>
      <c r="H46" s="23">
        <v>21.1782</v>
      </c>
      <c r="I46" s="24">
        <v>40</v>
      </c>
      <c r="J46" s="21">
        <v>24</v>
      </c>
      <c r="K46" s="24" t="s">
        <v>23</v>
      </c>
      <c r="L46" s="24" t="s">
        <v>24</v>
      </c>
      <c r="M46" s="21">
        <v>40</v>
      </c>
      <c r="N46" s="26">
        <f t="shared" si="0"/>
        <v>847.12800000000004</v>
      </c>
      <c r="O46" s="26"/>
    </row>
    <row r="47" spans="1:17" x14ac:dyDescent="0.2">
      <c r="A47" s="1" t="s">
        <v>189</v>
      </c>
      <c r="B47" s="1" t="s">
        <v>190</v>
      </c>
      <c r="C47" s="1" t="s">
        <v>191</v>
      </c>
      <c r="D47" s="1" t="s">
        <v>192</v>
      </c>
      <c r="E47" s="22">
        <v>105</v>
      </c>
      <c r="F47" s="22">
        <v>400</v>
      </c>
      <c r="G47" s="21">
        <v>16</v>
      </c>
      <c r="H47" s="23">
        <v>7.8357999999999999</v>
      </c>
      <c r="I47" s="24">
        <v>105</v>
      </c>
      <c r="J47" s="21">
        <v>7364</v>
      </c>
      <c r="K47" s="24" t="s">
        <v>23</v>
      </c>
      <c r="L47" s="24" t="s">
        <v>24</v>
      </c>
      <c r="M47" s="21">
        <v>105</v>
      </c>
      <c r="N47" s="26">
        <f t="shared" si="0"/>
        <v>822.75900000000001</v>
      </c>
      <c r="O47" s="26"/>
    </row>
    <row r="48" spans="1:17" x14ac:dyDescent="0.2">
      <c r="A48" s="1" t="s">
        <v>193</v>
      </c>
      <c r="B48" s="1" t="s">
        <v>194</v>
      </c>
      <c r="C48" s="1" t="s">
        <v>195</v>
      </c>
      <c r="D48" s="1" t="s">
        <v>32</v>
      </c>
      <c r="E48" s="22">
        <v>100</v>
      </c>
      <c r="F48" s="22">
        <v>1</v>
      </c>
      <c r="G48" s="21">
        <v>8</v>
      </c>
      <c r="H48" s="23">
        <v>16.4438</v>
      </c>
      <c r="I48" s="24">
        <v>100</v>
      </c>
      <c r="J48" s="21">
        <v>969</v>
      </c>
      <c r="K48" s="24" t="s">
        <v>23</v>
      </c>
      <c r="L48" s="24" t="s">
        <v>24</v>
      </c>
      <c r="M48" s="25">
        <v>50</v>
      </c>
      <c r="N48" s="26">
        <f t="shared" si="0"/>
        <v>822.18999999999994</v>
      </c>
      <c r="O48" s="26"/>
    </row>
    <row r="49" spans="1:17" x14ac:dyDescent="0.2">
      <c r="A49" s="1" t="s">
        <v>196</v>
      </c>
      <c r="B49" s="1" t="s">
        <v>197</v>
      </c>
      <c r="C49" s="1" t="s">
        <v>198</v>
      </c>
      <c r="D49" s="1" t="s">
        <v>141</v>
      </c>
      <c r="E49" s="22">
        <v>90</v>
      </c>
      <c r="F49" s="22">
        <v>1</v>
      </c>
      <c r="G49" s="21">
        <v>14</v>
      </c>
      <c r="H49" s="23">
        <v>9.0679999999999996</v>
      </c>
      <c r="I49" s="24">
        <v>90</v>
      </c>
      <c r="J49" s="21">
        <v>5267</v>
      </c>
      <c r="K49" s="24" t="s">
        <v>23</v>
      </c>
      <c r="L49" s="24" t="s">
        <v>24</v>
      </c>
      <c r="M49" s="21">
        <v>90</v>
      </c>
      <c r="N49" s="26">
        <f t="shared" si="0"/>
        <v>816.12</v>
      </c>
      <c r="O49" s="26"/>
    </row>
    <row r="50" spans="1:17" x14ac:dyDescent="0.2">
      <c r="A50" s="27" t="s">
        <v>199</v>
      </c>
      <c r="B50" s="27" t="s">
        <v>200</v>
      </c>
      <c r="C50" s="28" t="s">
        <v>201</v>
      </c>
      <c r="D50" s="28" t="s">
        <v>111</v>
      </c>
      <c r="E50" s="22">
        <v>80</v>
      </c>
      <c r="F50" s="22">
        <v>55</v>
      </c>
      <c r="G50" s="21">
        <v>25</v>
      </c>
      <c r="H50" s="23">
        <v>15.576599999999999</v>
      </c>
      <c r="I50" s="24">
        <v>80</v>
      </c>
      <c r="J50" s="21">
        <v>2544</v>
      </c>
      <c r="K50" s="24" t="s">
        <v>23</v>
      </c>
      <c r="L50" s="24" t="s">
        <v>24</v>
      </c>
      <c r="M50" s="25">
        <v>50</v>
      </c>
      <c r="N50" s="26">
        <f t="shared" si="0"/>
        <v>778.82999999999993</v>
      </c>
      <c r="O50" s="26"/>
      <c r="P50" s="27"/>
      <c r="Q50" s="27"/>
    </row>
    <row r="51" spans="1:17" x14ac:dyDescent="0.2">
      <c r="A51" s="1" t="s">
        <v>202</v>
      </c>
      <c r="B51" s="1" t="s">
        <v>203</v>
      </c>
      <c r="C51" s="1" t="s">
        <v>204</v>
      </c>
      <c r="D51" s="1" t="s">
        <v>32</v>
      </c>
      <c r="E51" s="22">
        <v>40</v>
      </c>
      <c r="F51" s="22">
        <v>150</v>
      </c>
      <c r="G51" s="21">
        <v>13</v>
      </c>
      <c r="H51" s="23">
        <v>19.206499999999998</v>
      </c>
      <c r="I51" s="24">
        <v>40</v>
      </c>
      <c r="J51" s="21">
        <v>410</v>
      </c>
      <c r="K51" s="24" t="s">
        <v>23</v>
      </c>
      <c r="L51" s="24" t="s">
        <v>24</v>
      </c>
      <c r="M51" s="21">
        <v>40</v>
      </c>
      <c r="N51" s="26">
        <f t="shared" si="0"/>
        <v>768.26</v>
      </c>
      <c r="O51" s="26"/>
    </row>
    <row r="52" spans="1:17" x14ac:dyDescent="0.2">
      <c r="A52" s="1" t="s">
        <v>205</v>
      </c>
      <c r="B52" s="1" t="s">
        <v>206</v>
      </c>
      <c r="C52" s="1" t="s">
        <v>207</v>
      </c>
      <c r="D52" s="1" t="s">
        <v>208</v>
      </c>
      <c r="E52" s="22">
        <v>45</v>
      </c>
      <c r="F52" s="22">
        <v>1</v>
      </c>
      <c r="G52" s="21">
        <v>18</v>
      </c>
      <c r="H52" s="23">
        <v>17.024999999999999</v>
      </c>
      <c r="I52" s="24">
        <v>45</v>
      </c>
      <c r="J52" s="21">
        <v>4086</v>
      </c>
      <c r="K52" s="24" t="s">
        <v>23</v>
      </c>
      <c r="L52" s="24" t="s">
        <v>24</v>
      </c>
      <c r="M52" s="21">
        <v>45</v>
      </c>
      <c r="N52" s="26">
        <f t="shared" si="0"/>
        <v>766.12499999999989</v>
      </c>
      <c r="O52" s="26"/>
    </row>
    <row r="53" spans="1:17" x14ac:dyDescent="0.2">
      <c r="A53" s="1" t="s">
        <v>209</v>
      </c>
      <c r="B53" s="1" t="s">
        <v>210</v>
      </c>
      <c r="C53" s="1" t="s">
        <v>211</v>
      </c>
      <c r="D53" s="1" t="s">
        <v>152</v>
      </c>
      <c r="E53" s="22">
        <v>355</v>
      </c>
      <c r="F53" s="22">
        <v>1</v>
      </c>
      <c r="G53" s="21">
        <v>16</v>
      </c>
      <c r="H53" s="23">
        <v>2.1</v>
      </c>
      <c r="I53" s="24">
        <v>355</v>
      </c>
      <c r="J53" s="21">
        <v>179</v>
      </c>
      <c r="K53" s="24" t="s">
        <v>23</v>
      </c>
      <c r="L53" s="24" t="s">
        <v>24</v>
      </c>
      <c r="M53" s="21">
        <v>355</v>
      </c>
      <c r="N53" s="26">
        <f t="shared" si="0"/>
        <v>745.5</v>
      </c>
      <c r="O53" s="26"/>
    </row>
    <row r="54" spans="1:17" x14ac:dyDescent="0.2">
      <c r="A54" s="1" t="s">
        <v>212</v>
      </c>
      <c r="B54" s="1" t="s">
        <v>213</v>
      </c>
      <c r="C54" s="1" t="s">
        <v>214</v>
      </c>
      <c r="D54" s="1" t="s">
        <v>215</v>
      </c>
      <c r="E54" s="22">
        <v>360</v>
      </c>
      <c r="F54" s="22">
        <v>1</v>
      </c>
      <c r="G54" s="21">
        <v>20</v>
      </c>
      <c r="H54" s="26">
        <v>4.9476000000000004</v>
      </c>
      <c r="I54" s="24">
        <v>360</v>
      </c>
      <c r="J54" s="21">
        <v>834</v>
      </c>
      <c r="K54" s="24" t="s">
        <v>69</v>
      </c>
      <c r="L54" s="24" t="s">
        <v>24</v>
      </c>
      <c r="M54" s="25">
        <v>150</v>
      </c>
      <c r="N54" s="26">
        <f t="shared" si="0"/>
        <v>742.1400000000001</v>
      </c>
      <c r="O54" s="26"/>
      <c r="P54" s="29"/>
    </row>
    <row r="55" spans="1:17" x14ac:dyDescent="0.2">
      <c r="A55" s="1" t="s">
        <v>216</v>
      </c>
      <c r="B55" s="1" t="s">
        <v>217</v>
      </c>
      <c r="C55" s="1" t="s">
        <v>218</v>
      </c>
      <c r="D55" s="1" t="s">
        <v>219</v>
      </c>
      <c r="E55" s="22">
        <v>50</v>
      </c>
      <c r="F55" s="22">
        <v>1</v>
      </c>
      <c r="G55" s="21">
        <v>6</v>
      </c>
      <c r="H55" s="26">
        <v>13.87</v>
      </c>
      <c r="I55" s="24">
        <v>50</v>
      </c>
      <c r="J55" s="21" t="s">
        <v>116</v>
      </c>
      <c r="K55" s="24" t="s">
        <v>117</v>
      </c>
      <c r="L55" s="24" t="s">
        <v>24</v>
      </c>
      <c r="M55" s="21">
        <v>50</v>
      </c>
      <c r="N55" s="26">
        <f t="shared" si="0"/>
        <v>693.5</v>
      </c>
      <c r="O55" s="26"/>
    </row>
    <row r="56" spans="1:17" x14ac:dyDescent="0.2">
      <c r="A56" s="1" t="s">
        <v>220</v>
      </c>
      <c r="B56" s="1" t="s">
        <v>221</v>
      </c>
      <c r="C56" s="1" t="s">
        <v>222</v>
      </c>
      <c r="D56" s="1" t="s">
        <v>32</v>
      </c>
      <c r="E56" s="22">
        <v>155</v>
      </c>
      <c r="F56" s="22">
        <v>575</v>
      </c>
      <c r="G56" s="21">
        <v>13</v>
      </c>
      <c r="H56" s="23">
        <v>4.4623999999999997</v>
      </c>
      <c r="I56" s="24">
        <v>155</v>
      </c>
      <c r="J56" s="21">
        <v>3322</v>
      </c>
      <c r="K56" s="24" t="s">
        <v>23</v>
      </c>
      <c r="L56" s="24" t="s">
        <v>24</v>
      </c>
      <c r="M56" s="21">
        <v>155</v>
      </c>
      <c r="N56" s="26">
        <f t="shared" si="0"/>
        <v>691.67199999999991</v>
      </c>
      <c r="O56" s="26"/>
    </row>
    <row r="57" spans="1:17" x14ac:dyDescent="0.2">
      <c r="A57" s="1" t="s">
        <v>223</v>
      </c>
      <c r="B57" s="1" t="s">
        <v>224</v>
      </c>
      <c r="C57" s="1" t="s">
        <v>225</v>
      </c>
      <c r="D57" s="1" t="s">
        <v>188</v>
      </c>
      <c r="E57" s="22">
        <v>150</v>
      </c>
      <c r="F57" s="22">
        <v>1</v>
      </c>
      <c r="G57" s="21">
        <v>19</v>
      </c>
      <c r="H57" s="23">
        <v>4.5617999999999999</v>
      </c>
      <c r="I57" s="24">
        <v>150</v>
      </c>
      <c r="J57" s="21">
        <v>9775</v>
      </c>
      <c r="K57" s="24" t="s">
        <v>23</v>
      </c>
      <c r="L57" s="24" t="s">
        <v>24</v>
      </c>
      <c r="M57" s="21">
        <v>150</v>
      </c>
      <c r="N57" s="26">
        <f t="shared" si="0"/>
        <v>684.27</v>
      </c>
      <c r="O57" s="26"/>
    </row>
    <row r="58" spans="1:17" x14ac:dyDescent="0.2">
      <c r="A58" s="1" t="s">
        <v>226</v>
      </c>
      <c r="B58" s="1" t="s">
        <v>227</v>
      </c>
      <c r="C58" s="1" t="s">
        <v>228</v>
      </c>
      <c r="D58" s="1" t="s">
        <v>102</v>
      </c>
      <c r="E58" s="22">
        <v>160</v>
      </c>
      <c r="F58" s="22">
        <v>1</v>
      </c>
      <c r="G58" s="21">
        <v>20</v>
      </c>
      <c r="H58" s="23">
        <v>4.1962000000000002</v>
      </c>
      <c r="I58" s="24">
        <v>160</v>
      </c>
      <c r="J58" s="21">
        <v>3280</v>
      </c>
      <c r="K58" s="24" t="s">
        <v>23</v>
      </c>
      <c r="L58" s="24" t="s">
        <v>24</v>
      </c>
      <c r="M58" s="21">
        <v>160</v>
      </c>
      <c r="N58" s="26">
        <f t="shared" si="0"/>
        <v>671.39200000000005</v>
      </c>
      <c r="O58" s="26"/>
    </row>
    <row r="59" spans="1:17" x14ac:dyDescent="0.2">
      <c r="A59" s="1" t="s">
        <v>229</v>
      </c>
      <c r="B59" s="1" t="s">
        <v>230</v>
      </c>
      <c r="C59" s="1" t="s">
        <v>231</v>
      </c>
      <c r="D59" s="1" t="s">
        <v>232</v>
      </c>
      <c r="E59" s="22">
        <v>60</v>
      </c>
      <c r="F59" s="22">
        <v>1</v>
      </c>
      <c r="G59" s="21">
        <v>5</v>
      </c>
      <c r="H59" s="23">
        <v>10.8491</v>
      </c>
      <c r="I59" s="24">
        <v>60</v>
      </c>
      <c r="J59" s="21">
        <v>393</v>
      </c>
      <c r="K59" s="24" t="s">
        <v>23</v>
      </c>
      <c r="L59" s="24" t="s">
        <v>24</v>
      </c>
      <c r="M59" s="21">
        <v>60</v>
      </c>
      <c r="N59" s="26">
        <f t="shared" si="0"/>
        <v>650.94600000000003</v>
      </c>
      <c r="O59" s="26"/>
    </row>
    <row r="60" spans="1:17" x14ac:dyDescent="0.2">
      <c r="A60" s="1" t="s">
        <v>233</v>
      </c>
      <c r="B60" s="1" t="s">
        <v>234</v>
      </c>
      <c r="C60" s="1" t="s">
        <v>235</v>
      </c>
      <c r="D60" s="1" t="s">
        <v>236</v>
      </c>
      <c r="E60" s="22">
        <v>220</v>
      </c>
      <c r="F60" s="22">
        <v>1</v>
      </c>
      <c r="G60" s="21">
        <v>25</v>
      </c>
      <c r="H60" s="23">
        <v>2.8149999999999999</v>
      </c>
      <c r="I60" s="24">
        <v>220</v>
      </c>
      <c r="J60" s="21">
        <v>3151</v>
      </c>
      <c r="K60" s="24" t="s">
        <v>23</v>
      </c>
      <c r="L60" s="24" t="s">
        <v>24</v>
      </c>
      <c r="M60" s="21">
        <v>220</v>
      </c>
      <c r="N60" s="26">
        <f t="shared" si="0"/>
        <v>619.29999999999995</v>
      </c>
      <c r="O60" s="26"/>
    </row>
    <row r="61" spans="1:17" x14ac:dyDescent="0.2">
      <c r="A61" s="1" t="s">
        <v>237</v>
      </c>
      <c r="B61" s="1" t="s">
        <v>238</v>
      </c>
      <c r="C61" s="1" t="s">
        <v>239</v>
      </c>
      <c r="D61" s="1" t="s">
        <v>232</v>
      </c>
      <c r="E61" s="22">
        <v>60</v>
      </c>
      <c r="F61" s="22">
        <v>1</v>
      </c>
      <c r="G61" s="21">
        <v>5</v>
      </c>
      <c r="H61" s="23">
        <v>9.5105000000000004</v>
      </c>
      <c r="I61" s="24">
        <v>60</v>
      </c>
      <c r="J61" s="21">
        <v>123</v>
      </c>
      <c r="K61" s="24" t="s">
        <v>23</v>
      </c>
      <c r="L61" s="24" t="s">
        <v>24</v>
      </c>
      <c r="M61" s="21">
        <v>60</v>
      </c>
      <c r="N61" s="26">
        <f t="shared" si="0"/>
        <v>570.63</v>
      </c>
      <c r="O61" s="26"/>
    </row>
    <row r="62" spans="1:17" x14ac:dyDescent="0.2">
      <c r="A62" s="1" t="s">
        <v>240</v>
      </c>
      <c r="B62" s="1" t="s">
        <v>241</v>
      </c>
      <c r="C62" s="1" t="s">
        <v>242</v>
      </c>
      <c r="D62" s="1" t="s">
        <v>243</v>
      </c>
      <c r="E62" s="22">
        <v>40</v>
      </c>
      <c r="F62" s="22">
        <v>1</v>
      </c>
      <c r="G62" s="21">
        <v>29</v>
      </c>
      <c r="H62" s="23">
        <v>13.223000000000001</v>
      </c>
      <c r="I62" s="24">
        <v>40</v>
      </c>
      <c r="J62" s="21">
        <v>3036</v>
      </c>
      <c r="K62" s="24" t="s">
        <v>23</v>
      </c>
      <c r="L62" s="24" t="s">
        <v>24</v>
      </c>
      <c r="M62" s="21">
        <v>40</v>
      </c>
      <c r="N62" s="26">
        <f t="shared" si="0"/>
        <v>528.92000000000007</v>
      </c>
      <c r="O62" s="26"/>
    </row>
    <row r="63" spans="1:17" x14ac:dyDescent="0.2">
      <c r="A63" s="1" t="s">
        <v>244</v>
      </c>
      <c r="B63" s="1" t="s">
        <v>245</v>
      </c>
      <c r="C63" s="1" t="s">
        <v>246</v>
      </c>
      <c r="D63" s="1" t="s">
        <v>247</v>
      </c>
      <c r="E63" s="22">
        <v>40</v>
      </c>
      <c r="F63" s="22">
        <v>1</v>
      </c>
      <c r="G63" s="21">
        <v>24</v>
      </c>
      <c r="H63" s="26">
        <v>13.2</v>
      </c>
      <c r="I63" s="24">
        <v>40</v>
      </c>
      <c r="J63" s="21">
        <v>0</v>
      </c>
      <c r="K63" s="24" t="s">
        <v>69</v>
      </c>
      <c r="L63" s="24" t="s">
        <v>24</v>
      </c>
      <c r="M63" s="21">
        <v>40</v>
      </c>
      <c r="N63" s="26">
        <f t="shared" si="0"/>
        <v>528</v>
      </c>
      <c r="O63" s="26"/>
      <c r="P63" s="29"/>
    </row>
    <row r="64" spans="1:17" x14ac:dyDescent="0.2">
      <c r="A64" s="1" t="s">
        <v>248</v>
      </c>
      <c r="B64" s="1" t="s">
        <v>249</v>
      </c>
      <c r="C64" s="1" t="s">
        <v>250</v>
      </c>
      <c r="D64" s="1" t="s">
        <v>76</v>
      </c>
      <c r="E64" s="22">
        <v>20</v>
      </c>
      <c r="F64" s="22">
        <v>1</v>
      </c>
      <c r="G64" s="21">
        <v>6</v>
      </c>
      <c r="H64" s="23">
        <v>25.78</v>
      </c>
      <c r="I64" s="24">
        <v>20</v>
      </c>
      <c r="J64" s="21">
        <v>3552</v>
      </c>
      <c r="K64" s="24" t="s">
        <v>23</v>
      </c>
      <c r="L64" s="24" t="s">
        <v>24</v>
      </c>
      <c r="M64" s="21">
        <v>20</v>
      </c>
      <c r="N64" s="26">
        <f t="shared" si="0"/>
        <v>515.6</v>
      </c>
      <c r="O64" s="26"/>
    </row>
    <row r="65" spans="1:17" x14ac:dyDescent="0.2">
      <c r="A65" s="1" t="s">
        <v>251</v>
      </c>
      <c r="B65" s="1" t="s">
        <v>252</v>
      </c>
      <c r="C65" s="1" t="s">
        <v>253</v>
      </c>
      <c r="D65" s="1" t="s">
        <v>254</v>
      </c>
      <c r="E65" s="22">
        <v>10</v>
      </c>
      <c r="F65" s="22">
        <v>1</v>
      </c>
      <c r="G65" s="21">
        <v>28</v>
      </c>
      <c r="H65" s="23">
        <v>47.51</v>
      </c>
      <c r="I65" s="24">
        <v>0</v>
      </c>
      <c r="J65" s="21">
        <v>0</v>
      </c>
      <c r="K65" s="24" t="s">
        <v>23</v>
      </c>
      <c r="L65" s="24" t="s">
        <v>24</v>
      </c>
      <c r="M65" s="21">
        <v>10</v>
      </c>
      <c r="N65" s="26">
        <f t="shared" si="0"/>
        <v>475.09999999999997</v>
      </c>
      <c r="O65" s="26"/>
    </row>
    <row r="66" spans="1:17" x14ac:dyDescent="0.2">
      <c r="A66" s="1" t="s">
        <v>255</v>
      </c>
      <c r="B66" s="1" t="s">
        <v>256</v>
      </c>
      <c r="C66" s="1" t="s">
        <v>257</v>
      </c>
      <c r="D66" s="1" t="s">
        <v>76</v>
      </c>
      <c r="E66" s="22">
        <v>155</v>
      </c>
      <c r="F66" s="22">
        <v>1</v>
      </c>
      <c r="G66" s="21">
        <v>17</v>
      </c>
      <c r="H66" s="23">
        <v>3.0150000000000001</v>
      </c>
      <c r="I66" s="24">
        <v>155</v>
      </c>
      <c r="J66" s="21">
        <v>0</v>
      </c>
      <c r="K66" s="24" t="s">
        <v>23</v>
      </c>
      <c r="L66" s="24" t="s">
        <v>24</v>
      </c>
      <c r="M66" s="21">
        <v>155</v>
      </c>
      <c r="N66" s="26">
        <f t="shared" si="0"/>
        <v>467.32500000000005</v>
      </c>
      <c r="O66" s="26"/>
    </row>
    <row r="67" spans="1:17" x14ac:dyDescent="0.2">
      <c r="A67" s="1" t="s">
        <v>258</v>
      </c>
      <c r="B67" s="1" t="s">
        <v>259</v>
      </c>
      <c r="C67" s="1" t="s">
        <v>260</v>
      </c>
      <c r="D67" s="1" t="s">
        <v>261</v>
      </c>
      <c r="E67" s="22">
        <v>120</v>
      </c>
      <c r="F67" s="22">
        <v>43</v>
      </c>
      <c r="G67" s="21">
        <v>24</v>
      </c>
      <c r="H67" s="23">
        <v>3.76</v>
      </c>
      <c r="I67" s="24">
        <v>120</v>
      </c>
      <c r="J67" s="21">
        <v>846</v>
      </c>
      <c r="K67" s="24" t="s">
        <v>23</v>
      </c>
      <c r="L67" s="24" t="s">
        <v>24</v>
      </c>
      <c r="M67" s="21">
        <v>120</v>
      </c>
      <c r="N67" s="26">
        <f t="shared" ref="N67:N130" si="1">H67*M67</f>
        <v>451.2</v>
      </c>
      <c r="O67" s="26"/>
    </row>
    <row r="68" spans="1:17" x14ac:dyDescent="0.2">
      <c r="A68" s="27" t="s">
        <v>262</v>
      </c>
      <c r="B68" s="27" t="s">
        <v>263</v>
      </c>
      <c r="C68" s="28" t="s">
        <v>264</v>
      </c>
      <c r="D68" s="28" t="s">
        <v>183</v>
      </c>
      <c r="E68" s="22">
        <v>20</v>
      </c>
      <c r="F68" s="22">
        <v>1</v>
      </c>
      <c r="G68" s="21">
        <v>14</v>
      </c>
      <c r="H68" s="26">
        <v>22.39</v>
      </c>
      <c r="I68" s="24">
        <v>20</v>
      </c>
      <c r="J68" s="21">
        <v>390</v>
      </c>
      <c r="K68" s="24" t="s">
        <v>184</v>
      </c>
      <c r="L68" s="24" t="s">
        <v>24</v>
      </c>
      <c r="M68" s="21">
        <v>20</v>
      </c>
      <c r="N68" s="26">
        <f t="shared" si="1"/>
        <v>447.8</v>
      </c>
      <c r="O68" s="26"/>
      <c r="P68" s="29"/>
      <c r="Q68" s="27"/>
    </row>
    <row r="69" spans="1:17" x14ac:dyDescent="0.2">
      <c r="A69" s="1" t="s">
        <v>265</v>
      </c>
      <c r="B69" s="1" t="s">
        <v>266</v>
      </c>
      <c r="C69" s="1" t="s">
        <v>267</v>
      </c>
      <c r="D69" s="1" t="s">
        <v>268</v>
      </c>
      <c r="E69" s="22">
        <v>2950</v>
      </c>
      <c r="F69" s="22">
        <v>1</v>
      </c>
      <c r="G69" s="21">
        <v>0</v>
      </c>
      <c r="H69" s="23">
        <v>0.15</v>
      </c>
      <c r="I69" s="24">
        <v>2950</v>
      </c>
      <c r="J69" s="21">
        <v>0</v>
      </c>
      <c r="K69" s="24" t="s">
        <v>23</v>
      </c>
      <c r="L69" s="24" t="s">
        <v>24</v>
      </c>
      <c r="M69" s="21">
        <v>2950</v>
      </c>
      <c r="N69" s="26">
        <f t="shared" si="1"/>
        <v>442.5</v>
      </c>
      <c r="O69" s="26"/>
    </row>
    <row r="70" spans="1:17" x14ac:dyDescent="0.2">
      <c r="A70" s="1" t="s">
        <v>269</v>
      </c>
      <c r="B70" s="1" t="s">
        <v>270</v>
      </c>
      <c r="C70" s="1" t="s">
        <v>271</v>
      </c>
      <c r="D70" s="1" t="s">
        <v>272</v>
      </c>
      <c r="E70" s="22">
        <v>40</v>
      </c>
      <c r="F70" s="22">
        <v>1</v>
      </c>
      <c r="G70" s="21">
        <v>12</v>
      </c>
      <c r="H70" s="23">
        <v>10.935</v>
      </c>
      <c r="I70" s="24">
        <v>40</v>
      </c>
      <c r="J70" s="21">
        <v>704</v>
      </c>
      <c r="K70" s="24" t="s">
        <v>23</v>
      </c>
      <c r="L70" s="24" t="s">
        <v>24</v>
      </c>
      <c r="M70" s="21">
        <v>40</v>
      </c>
      <c r="N70" s="26">
        <f t="shared" si="1"/>
        <v>437.40000000000003</v>
      </c>
      <c r="O70" s="26"/>
    </row>
    <row r="71" spans="1:17" x14ac:dyDescent="0.2">
      <c r="A71" s="1" t="s">
        <v>273</v>
      </c>
      <c r="B71" s="1" t="s">
        <v>274</v>
      </c>
      <c r="C71" s="1" t="s">
        <v>275</v>
      </c>
      <c r="D71" s="1" t="s">
        <v>276</v>
      </c>
      <c r="E71" s="22">
        <v>530</v>
      </c>
      <c r="F71" s="22">
        <v>5000</v>
      </c>
      <c r="G71" s="21">
        <v>17</v>
      </c>
      <c r="H71" s="23">
        <v>0.81399999999999995</v>
      </c>
      <c r="I71" s="24">
        <v>530</v>
      </c>
      <c r="J71" s="21">
        <v>0</v>
      </c>
      <c r="K71" s="24" t="s">
        <v>23</v>
      </c>
      <c r="L71" s="24" t="s">
        <v>24</v>
      </c>
      <c r="M71" s="21">
        <v>530</v>
      </c>
      <c r="N71" s="26">
        <f t="shared" si="1"/>
        <v>431.41999999999996</v>
      </c>
      <c r="O71" s="26"/>
    </row>
    <row r="72" spans="1:17" x14ac:dyDescent="0.2">
      <c r="A72" s="1" t="s">
        <v>277</v>
      </c>
      <c r="B72" s="1" t="s">
        <v>278</v>
      </c>
      <c r="C72" s="1" t="s">
        <v>279</v>
      </c>
      <c r="D72" s="1" t="s">
        <v>141</v>
      </c>
      <c r="E72" s="22">
        <v>55</v>
      </c>
      <c r="F72" s="22">
        <v>1</v>
      </c>
      <c r="G72" s="21">
        <v>0</v>
      </c>
      <c r="H72" s="26">
        <v>7.2</v>
      </c>
      <c r="I72" s="24">
        <v>55</v>
      </c>
      <c r="J72" s="21">
        <v>0</v>
      </c>
      <c r="K72" s="24" t="s">
        <v>184</v>
      </c>
      <c r="L72" s="24" t="s">
        <v>24</v>
      </c>
      <c r="M72" s="21">
        <v>55</v>
      </c>
      <c r="N72" s="26">
        <f t="shared" si="1"/>
        <v>396</v>
      </c>
      <c r="O72" s="26"/>
      <c r="P72" s="29"/>
    </row>
    <row r="73" spans="1:17" x14ac:dyDescent="0.2">
      <c r="A73" s="1" t="s">
        <v>280</v>
      </c>
      <c r="B73" s="1" t="s">
        <v>281</v>
      </c>
      <c r="C73" s="1" t="s">
        <v>282</v>
      </c>
      <c r="D73" s="1" t="s">
        <v>141</v>
      </c>
      <c r="E73" s="22">
        <v>80</v>
      </c>
      <c r="F73" s="22">
        <v>1</v>
      </c>
      <c r="G73" s="21">
        <v>22</v>
      </c>
      <c r="H73" s="23">
        <v>4.8137999999999996</v>
      </c>
      <c r="I73" s="24">
        <v>80</v>
      </c>
      <c r="J73" s="21">
        <v>2015</v>
      </c>
      <c r="K73" s="24" t="s">
        <v>23</v>
      </c>
      <c r="L73" s="24" t="s">
        <v>24</v>
      </c>
      <c r="M73" s="21">
        <v>80</v>
      </c>
      <c r="N73" s="26">
        <f t="shared" si="1"/>
        <v>385.10399999999998</v>
      </c>
      <c r="O73" s="26"/>
    </row>
    <row r="74" spans="1:17" x14ac:dyDescent="0.2">
      <c r="A74" s="1" t="s">
        <v>283</v>
      </c>
      <c r="B74" s="1" t="s">
        <v>284</v>
      </c>
      <c r="C74" s="1" t="s">
        <v>285</v>
      </c>
      <c r="D74" s="1" t="s">
        <v>41</v>
      </c>
      <c r="E74" s="22">
        <v>85</v>
      </c>
      <c r="F74" s="22">
        <v>1</v>
      </c>
      <c r="G74" s="21">
        <v>26</v>
      </c>
      <c r="H74" s="23">
        <v>4.3359500000000004</v>
      </c>
      <c r="I74" s="24">
        <v>85</v>
      </c>
      <c r="J74" s="21">
        <v>1723</v>
      </c>
      <c r="K74" s="24" t="s">
        <v>23</v>
      </c>
      <c r="L74" s="24" t="s">
        <v>24</v>
      </c>
      <c r="M74" s="21">
        <v>85</v>
      </c>
      <c r="N74" s="26">
        <f t="shared" si="1"/>
        <v>368.55575000000005</v>
      </c>
      <c r="O74" s="26"/>
    </row>
    <row r="75" spans="1:17" x14ac:dyDescent="0.2">
      <c r="A75" s="1" t="s">
        <v>286</v>
      </c>
      <c r="B75" s="1" t="s">
        <v>287</v>
      </c>
      <c r="C75" s="1" t="s">
        <v>288</v>
      </c>
      <c r="D75" s="1" t="s">
        <v>90</v>
      </c>
      <c r="E75" s="22">
        <v>10</v>
      </c>
      <c r="F75" s="22">
        <v>75</v>
      </c>
      <c r="G75" s="21">
        <v>14</v>
      </c>
      <c r="H75" s="23">
        <v>2.38</v>
      </c>
      <c r="I75" s="24">
        <v>10</v>
      </c>
      <c r="J75" s="21">
        <v>3024</v>
      </c>
      <c r="K75" s="24" t="s">
        <v>23</v>
      </c>
      <c r="L75" s="24" t="s">
        <v>24</v>
      </c>
      <c r="M75" s="25">
        <v>150</v>
      </c>
      <c r="N75" s="26">
        <f t="shared" si="1"/>
        <v>357</v>
      </c>
      <c r="O75" s="26"/>
      <c r="P75" s="29" t="s">
        <v>289</v>
      </c>
    </row>
    <row r="76" spans="1:17" x14ac:dyDescent="0.2">
      <c r="A76" s="1" t="s">
        <v>290</v>
      </c>
      <c r="B76" s="1" t="s">
        <v>291</v>
      </c>
      <c r="C76" s="1" t="s">
        <v>292</v>
      </c>
      <c r="D76" s="1" t="s">
        <v>94</v>
      </c>
      <c r="E76" s="22">
        <v>120</v>
      </c>
      <c r="F76" s="22">
        <v>45</v>
      </c>
      <c r="G76" s="21">
        <v>32</v>
      </c>
      <c r="H76" s="23">
        <v>2.964</v>
      </c>
      <c r="I76" s="24">
        <v>120</v>
      </c>
      <c r="J76" s="21">
        <v>2769</v>
      </c>
      <c r="K76" s="24" t="s">
        <v>23</v>
      </c>
      <c r="L76" s="24" t="s">
        <v>24</v>
      </c>
      <c r="M76" s="21">
        <v>120</v>
      </c>
      <c r="N76" s="26">
        <f t="shared" si="1"/>
        <v>355.68</v>
      </c>
      <c r="O76" s="26"/>
    </row>
    <row r="77" spans="1:17" x14ac:dyDescent="0.2">
      <c r="A77" s="1" t="s">
        <v>293</v>
      </c>
      <c r="B77" s="1" t="s">
        <v>294</v>
      </c>
      <c r="C77" s="1" t="s">
        <v>295</v>
      </c>
      <c r="D77" s="1" t="s">
        <v>141</v>
      </c>
      <c r="E77" s="22">
        <v>40</v>
      </c>
      <c r="F77" s="22">
        <v>1</v>
      </c>
      <c r="G77" s="21">
        <v>24</v>
      </c>
      <c r="H77" s="23">
        <v>8.7850000000000001</v>
      </c>
      <c r="I77" s="24">
        <v>40</v>
      </c>
      <c r="J77" s="21">
        <v>1410</v>
      </c>
      <c r="K77" s="24" t="s">
        <v>23</v>
      </c>
      <c r="L77" s="24" t="s">
        <v>24</v>
      </c>
      <c r="M77" s="21">
        <v>40</v>
      </c>
      <c r="N77" s="26">
        <f t="shared" si="1"/>
        <v>351.4</v>
      </c>
      <c r="O77" s="26"/>
    </row>
    <row r="78" spans="1:17" x14ac:dyDescent="0.2">
      <c r="A78" s="1" t="s">
        <v>296</v>
      </c>
      <c r="B78" s="1" t="s">
        <v>297</v>
      </c>
      <c r="C78" s="1" t="s">
        <v>298</v>
      </c>
      <c r="D78" s="1" t="s">
        <v>299</v>
      </c>
      <c r="E78" s="22">
        <v>230</v>
      </c>
      <c r="F78" s="22">
        <v>1</v>
      </c>
      <c r="G78" s="21">
        <v>8</v>
      </c>
      <c r="H78" s="23">
        <v>1.51</v>
      </c>
      <c r="I78" s="24">
        <v>230</v>
      </c>
      <c r="J78" s="21">
        <v>1114</v>
      </c>
      <c r="K78" s="24" t="s">
        <v>23</v>
      </c>
      <c r="L78" s="24" t="s">
        <v>24</v>
      </c>
      <c r="M78" s="21">
        <v>230</v>
      </c>
      <c r="N78" s="26">
        <f t="shared" si="1"/>
        <v>347.3</v>
      </c>
      <c r="O78" s="26"/>
    </row>
    <row r="79" spans="1:17" x14ac:dyDescent="0.2">
      <c r="A79" s="27" t="s">
        <v>300</v>
      </c>
      <c r="B79" s="27" t="s">
        <v>301</v>
      </c>
      <c r="C79" s="28" t="s">
        <v>302</v>
      </c>
      <c r="D79" s="28" t="s">
        <v>303</v>
      </c>
      <c r="E79" s="22">
        <v>10</v>
      </c>
      <c r="F79" s="22">
        <v>1</v>
      </c>
      <c r="G79" s="21">
        <v>22</v>
      </c>
      <c r="H79" s="23">
        <v>33.337200000000003</v>
      </c>
      <c r="I79" s="24">
        <v>10</v>
      </c>
      <c r="J79" s="21">
        <v>7043</v>
      </c>
      <c r="K79" s="24" t="s">
        <v>23</v>
      </c>
      <c r="L79" s="24" t="s">
        <v>24</v>
      </c>
      <c r="M79" s="21">
        <v>10</v>
      </c>
      <c r="N79" s="26">
        <f t="shared" si="1"/>
        <v>333.37200000000001</v>
      </c>
      <c r="O79" s="26"/>
      <c r="P79" s="27"/>
      <c r="Q79" s="27"/>
    </row>
    <row r="80" spans="1:17" x14ac:dyDescent="0.2">
      <c r="A80" s="1" t="s">
        <v>304</v>
      </c>
      <c r="B80" s="1" t="s">
        <v>305</v>
      </c>
      <c r="C80" s="1" t="s">
        <v>306</v>
      </c>
      <c r="D80" s="1" t="s">
        <v>307</v>
      </c>
      <c r="E80" s="22">
        <v>60</v>
      </c>
      <c r="F80" s="22">
        <v>1</v>
      </c>
      <c r="G80" s="21">
        <v>23</v>
      </c>
      <c r="H80" s="23">
        <v>0.16070000000000001</v>
      </c>
      <c r="I80" s="24">
        <v>60</v>
      </c>
      <c r="J80" s="21">
        <v>0</v>
      </c>
      <c r="K80" s="24" t="s">
        <v>23</v>
      </c>
      <c r="L80" s="24" t="s">
        <v>24</v>
      </c>
      <c r="M80" s="25">
        <v>2000</v>
      </c>
      <c r="N80" s="26">
        <f t="shared" si="1"/>
        <v>321.40000000000003</v>
      </c>
      <c r="O80" s="26"/>
      <c r="P80" s="29" t="s">
        <v>289</v>
      </c>
    </row>
    <row r="81" spans="1:17" x14ac:dyDescent="0.2">
      <c r="A81" s="27" t="s">
        <v>308</v>
      </c>
      <c r="B81" s="27" t="s">
        <v>309</v>
      </c>
      <c r="C81" s="28" t="s">
        <v>310</v>
      </c>
      <c r="D81" s="28" t="s">
        <v>311</v>
      </c>
      <c r="E81" s="22">
        <v>30</v>
      </c>
      <c r="F81" s="22">
        <v>1</v>
      </c>
      <c r="G81" s="21">
        <v>22</v>
      </c>
      <c r="H81" s="23">
        <v>10.67</v>
      </c>
      <c r="I81" s="24">
        <v>30</v>
      </c>
      <c r="J81" s="21">
        <v>155</v>
      </c>
      <c r="K81" s="24" t="s">
        <v>23</v>
      </c>
      <c r="L81" s="24" t="s">
        <v>24</v>
      </c>
      <c r="M81" s="21">
        <v>30</v>
      </c>
      <c r="N81" s="26">
        <f t="shared" si="1"/>
        <v>320.10000000000002</v>
      </c>
      <c r="O81" s="26"/>
      <c r="P81" s="27"/>
      <c r="Q81" s="27"/>
    </row>
    <row r="82" spans="1:17" x14ac:dyDescent="0.2">
      <c r="A82" s="1" t="s">
        <v>312</v>
      </c>
      <c r="B82" s="1" t="s">
        <v>313</v>
      </c>
      <c r="C82" s="1" t="s">
        <v>314</v>
      </c>
      <c r="D82" s="1" t="s">
        <v>76</v>
      </c>
      <c r="E82" s="22">
        <v>100</v>
      </c>
      <c r="F82" s="22">
        <v>2500</v>
      </c>
      <c r="G82" s="21">
        <v>6</v>
      </c>
      <c r="H82" s="23">
        <v>3.1385000000000001</v>
      </c>
      <c r="I82" s="24">
        <v>100</v>
      </c>
      <c r="J82" s="21">
        <v>8598</v>
      </c>
      <c r="K82" s="24" t="s">
        <v>23</v>
      </c>
      <c r="L82" s="24" t="s">
        <v>24</v>
      </c>
      <c r="M82" s="21">
        <v>100</v>
      </c>
      <c r="N82" s="26">
        <f t="shared" si="1"/>
        <v>313.85000000000002</v>
      </c>
      <c r="O82" s="26"/>
    </row>
    <row r="83" spans="1:17" x14ac:dyDescent="0.2">
      <c r="A83" s="1" t="s">
        <v>315</v>
      </c>
      <c r="B83" s="1" t="s">
        <v>316</v>
      </c>
      <c r="C83" s="1" t="s">
        <v>317</v>
      </c>
      <c r="D83" s="1" t="s">
        <v>318</v>
      </c>
      <c r="E83" s="22">
        <v>50</v>
      </c>
      <c r="F83" s="22">
        <v>300</v>
      </c>
      <c r="G83" s="21">
        <v>12</v>
      </c>
      <c r="H83" s="26">
        <v>6.2312000000000003</v>
      </c>
      <c r="I83" s="24">
        <v>50</v>
      </c>
      <c r="J83" s="21">
        <v>3574</v>
      </c>
      <c r="K83" s="24" t="s">
        <v>69</v>
      </c>
      <c r="L83" s="24" t="s">
        <v>24</v>
      </c>
      <c r="M83" s="21">
        <v>50</v>
      </c>
      <c r="N83" s="26">
        <f t="shared" si="1"/>
        <v>311.56</v>
      </c>
      <c r="O83" s="26"/>
      <c r="P83" s="29"/>
    </row>
    <row r="84" spans="1:17" x14ac:dyDescent="0.2">
      <c r="A84" s="1" t="s">
        <v>319</v>
      </c>
      <c r="B84" s="1" t="s">
        <v>320</v>
      </c>
      <c r="C84" s="1" t="s">
        <v>321</v>
      </c>
      <c r="D84" s="1" t="s">
        <v>94</v>
      </c>
      <c r="E84" s="22">
        <v>60</v>
      </c>
      <c r="F84" s="22">
        <v>140</v>
      </c>
      <c r="G84" s="21">
        <v>22</v>
      </c>
      <c r="H84" s="23">
        <v>5.1532</v>
      </c>
      <c r="I84" s="24">
        <v>60</v>
      </c>
      <c r="J84" s="21">
        <v>7047</v>
      </c>
      <c r="K84" s="24" t="s">
        <v>23</v>
      </c>
      <c r="L84" s="24" t="s">
        <v>24</v>
      </c>
      <c r="M84" s="21">
        <v>60</v>
      </c>
      <c r="N84" s="26">
        <f t="shared" si="1"/>
        <v>309.19200000000001</v>
      </c>
      <c r="O84" s="26"/>
    </row>
    <row r="85" spans="1:17" x14ac:dyDescent="0.2">
      <c r="A85" s="1" t="s">
        <v>322</v>
      </c>
      <c r="B85" s="1" t="s">
        <v>323</v>
      </c>
      <c r="C85" s="1" t="s">
        <v>324</v>
      </c>
      <c r="D85" s="1" t="s">
        <v>41</v>
      </c>
      <c r="E85" s="22">
        <v>55</v>
      </c>
      <c r="F85" s="22">
        <v>50</v>
      </c>
      <c r="G85" s="21">
        <v>5</v>
      </c>
      <c r="H85" s="23">
        <v>5.62</v>
      </c>
      <c r="I85" s="24">
        <v>0</v>
      </c>
      <c r="J85" s="21">
        <v>2203</v>
      </c>
      <c r="K85" s="24" t="s">
        <v>23</v>
      </c>
      <c r="L85" s="24" t="s">
        <v>24</v>
      </c>
      <c r="M85" s="21">
        <v>55</v>
      </c>
      <c r="N85" s="26">
        <f t="shared" si="1"/>
        <v>309.10000000000002</v>
      </c>
      <c r="O85" s="26"/>
    </row>
    <row r="86" spans="1:17" x14ac:dyDescent="0.2">
      <c r="A86" s="1" t="s">
        <v>325</v>
      </c>
      <c r="B86" s="1" t="s">
        <v>326</v>
      </c>
      <c r="C86" s="1" t="s">
        <v>327</v>
      </c>
      <c r="D86" s="1" t="s">
        <v>276</v>
      </c>
      <c r="E86" s="22">
        <v>265</v>
      </c>
      <c r="F86" s="22">
        <v>1000</v>
      </c>
      <c r="G86" s="21">
        <v>13</v>
      </c>
      <c r="H86" s="26">
        <v>1.2284999999999999</v>
      </c>
      <c r="I86" s="24">
        <v>265</v>
      </c>
      <c r="J86" s="21">
        <v>21838</v>
      </c>
      <c r="K86" s="24" t="s">
        <v>23</v>
      </c>
      <c r="L86" s="24" t="s">
        <v>24</v>
      </c>
      <c r="M86" s="21">
        <v>250</v>
      </c>
      <c r="N86" s="26">
        <f t="shared" si="1"/>
        <v>307.125</v>
      </c>
      <c r="O86" s="26"/>
    </row>
    <row r="87" spans="1:17" x14ac:dyDescent="0.2">
      <c r="A87" s="1" t="s">
        <v>328</v>
      </c>
      <c r="B87" s="1" t="s">
        <v>329</v>
      </c>
      <c r="C87" s="1" t="s">
        <v>330</v>
      </c>
      <c r="D87" s="1" t="s">
        <v>331</v>
      </c>
      <c r="E87" s="22">
        <v>25</v>
      </c>
      <c r="F87" s="22">
        <v>1</v>
      </c>
      <c r="G87" s="21">
        <v>22</v>
      </c>
      <c r="H87" s="23">
        <v>2.04</v>
      </c>
      <c r="I87" s="24">
        <v>25</v>
      </c>
      <c r="J87" s="21">
        <v>3938</v>
      </c>
      <c r="K87" s="24" t="s">
        <v>23</v>
      </c>
      <c r="L87" s="24" t="s">
        <v>24</v>
      </c>
      <c r="M87" s="25">
        <v>150</v>
      </c>
      <c r="N87" s="26">
        <f t="shared" si="1"/>
        <v>306</v>
      </c>
      <c r="O87" s="26"/>
      <c r="P87" s="29" t="s">
        <v>289</v>
      </c>
    </row>
    <row r="88" spans="1:17" x14ac:dyDescent="0.2">
      <c r="A88" s="27" t="s">
        <v>332</v>
      </c>
      <c r="B88" s="27" t="s">
        <v>333</v>
      </c>
      <c r="C88" s="28" t="s">
        <v>334</v>
      </c>
      <c r="D88" s="28" t="s">
        <v>141</v>
      </c>
      <c r="E88" s="22">
        <v>10</v>
      </c>
      <c r="F88" s="22">
        <v>23</v>
      </c>
      <c r="G88" s="21">
        <v>21</v>
      </c>
      <c r="H88" s="26">
        <v>4.07</v>
      </c>
      <c r="I88" s="24">
        <v>10</v>
      </c>
      <c r="J88" s="21">
        <v>5618</v>
      </c>
      <c r="K88" s="24" t="s">
        <v>184</v>
      </c>
      <c r="L88" s="24" t="s">
        <v>24</v>
      </c>
      <c r="M88" s="25">
        <v>75</v>
      </c>
      <c r="N88" s="26">
        <f t="shared" si="1"/>
        <v>305.25</v>
      </c>
      <c r="O88" s="26"/>
      <c r="P88" s="29"/>
      <c r="Q88" s="27"/>
    </row>
    <row r="89" spans="1:17" x14ac:dyDescent="0.2">
      <c r="A89" s="1" t="s">
        <v>335</v>
      </c>
      <c r="B89" s="1" t="s">
        <v>336</v>
      </c>
      <c r="C89" s="1" t="s">
        <v>337</v>
      </c>
      <c r="D89" s="1" t="s">
        <v>141</v>
      </c>
      <c r="E89" s="22">
        <v>55</v>
      </c>
      <c r="F89" s="22">
        <v>1</v>
      </c>
      <c r="G89" s="21">
        <v>0</v>
      </c>
      <c r="H89" s="26">
        <v>5.5</v>
      </c>
      <c r="I89" s="24">
        <v>55</v>
      </c>
      <c r="J89" s="21">
        <v>0</v>
      </c>
      <c r="K89" s="24" t="s">
        <v>184</v>
      </c>
      <c r="L89" s="24" t="s">
        <v>24</v>
      </c>
      <c r="M89" s="21">
        <v>55</v>
      </c>
      <c r="N89" s="26">
        <f t="shared" si="1"/>
        <v>302.5</v>
      </c>
      <c r="O89" s="26"/>
      <c r="P89" s="29"/>
    </row>
    <row r="90" spans="1:17" x14ac:dyDescent="0.2">
      <c r="A90" s="1" t="s">
        <v>338</v>
      </c>
      <c r="B90" s="1" t="s">
        <v>339</v>
      </c>
      <c r="C90" s="1" t="s">
        <v>340</v>
      </c>
      <c r="D90" s="1" t="s">
        <v>341</v>
      </c>
      <c r="E90" s="22">
        <v>10</v>
      </c>
      <c r="F90" s="22">
        <v>1</v>
      </c>
      <c r="G90" s="21">
        <v>19</v>
      </c>
      <c r="H90" s="23">
        <v>12.098599999999999</v>
      </c>
      <c r="I90" s="24">
        <v>10</v>
      </c>
      <c r="J90" s="21">
        <v>414</v>
      </c>
      <c r="K90" s="24" t="s">
        <v>23</v>
      </c>
      <c r="L90" s="24" t="s">
        <v>24</v>
      </c>
      <c r="M90" s="25">
        <v>25</v>
      </c>
      <c r="N90" s="26">
        <f t="shared" si="1"/>
        <v>302.46499999999997</v>
      </c>
      <c r="O90" s="26"/>
      <c r="P90" s="29" t="s">
        <v>289</v>
      </c>
    </row>
    <row r="91" spans="1:17" x14ac:dyDescent="0.2">
      <c r="A91" s="1" t="s">
        <v>342</v>
      </c>
      <c r="B91" s="1" t="s">
        <v>343</v>
      </c>
      <c r="C91" s="1" t="s">
        <v>344</v>
      </c>
      <c r="D91" s="1" t="s">
        <v>341</v>
      </c>
      <c r="E91" s="22">
        <v>10</v>
      </c>
      <c r="F91" s="22">
        <v>1</v>
      </c>
      <c r="G91" s="21">
        <v>12</v>
      </c>
      <c r="H91" s="26">
        <v>15.06</v>
      </c>
      <c r="I91" s="24">
        <v>10</v>
      </c>
      <c r="J91" s="21">
        <v>605</v>
      </c>
      <c r="K91" s="24" t="s">
        <v>69</v>
      </c>
      <c r="L91" s="24" t="s">
        <v>24</v>
      </c>
      <c r="M91" s="21">
        <v>20</v>
      </c>
      <c r="N91" s="26">
        <f t="shared" si="1"/>
        <v>301.2</v>
      </c>
      <c r="O91" s="26"/>
      <c r="P91" s="29"/>
    </row>
    <row r="92" spans="1:17" x14ac:dyDescent="0.2">
      <c r="A92" s="1" t="s">
        <v>345</v>
      </c>
      <c r="B92" s="1" t="s">
        <v>346</v>
      </c>
      <c r="C92" s="1" t="s">
        <v>347</v>
      </c>
      <c r="D92" s="1" t="s">
        <v>348</v>
      </c>
      <c r="E92" s="22">
        <v>20</v>
      </c>
      <c r="F92" s="22">
        <v>1</v>
      </c>
      <c r="G92" s="21">
        <v>4</v>
      </c>
      <c r="H92" s="23">
        <v>15.028</v>
      </c>
      <c r="I92" s="24">
        <v>20</v>
      </c>
      <c r="J92" s="21">
        <v>526</v>
      </c>
      <c r="K92" s="24" t="s">
        <v>23</v>
      </c>
      <c r="L92" s="24" t="s">
        <v>24</v>
      </c>
      <c r="M92" s="21">
        <v>20</v>
      </c>
      <c r="N92" s="26">
        <f t="shared" si="1"/>
        <v>300.56</v>
      </c>
      <c r="O92" s="26"/>
    </row>
    <row r="93" spans="1:17" x14ac:dyDescent="0.2">
      <c r="A93" s="1" t="s">
        <v>349</v>
      </c>
      <c r="B93" s="1" t="s">
        <v>350</v>
      </c>
      <c r="C93" s="1" t="s">
        <v>351</v>
      </c>
      <c r="D93" s="1" t="s">
        <v>141</v>
      </c>
      <c r="E93" s="22">
        <v>40</v>
      </c>
      <c r="F93" s="22">
        <v>94</v>
      </c>
      <c r="G93" s="21">
        <v>25</v>
      </c>
      <c r="H93" s="23">
        <v>5.9989999999999997</v>
      </c>
      <c r="I93" s="24">
        <v>40</v>
      </c>
      <c r="J93" s="21">
        <v>4749</v>
      </c>
      <c r="K93" s="24" t="s">
        <v>23</v>
      </c>
      <c r="L93" s="24" t="s">
        <v>24</v>
      </c>
      <c r="M93" s="25">
        <v>50</v>
      </c>
      <c r="N93" s="26">
        <f t="shared" si="1"/>
        <v>299.95</v>
      </c>
      <c r="O93" s="26"/>
      <c r="P93" s="29" t="s">
        <v>289</v>
      </c>
    </row>
    <row r="94" spans="1:17" x14ac:dyDescent="0.2">
      <c r="A94" s="1" t="s">
        <v>352</v>
      </c>
      <c r="B94" s="1" t="s">
        <v>353</v>
      </c>
      <c r="C94" s="1" t="s">
        <v>354</v>
      </c>
      <c r="D94" s="1" t="s">
        <v>311</v>
      </c>
      <c r="E94" s="22">
        <v>120</v>
      </c>
      <c r="F94" s="22">
        <v>2500</v>
      </c>
      <c r="G94" s="21">
        <v>19</v>
      </c>
      <c r="H94" s="23">
        <v>2.4971999999999999</v>
      </c>
      <c r="I94" s="24">
        <v>120</v>
      </c>
      <c r="J94" s="21">
        <v>4068</v>
      </c>
      <c r="K94" s="24" t="s">
        <v>23</v>
      </c>
      <c r="L94" s="24" t="s">
        <v>24</v>
      </c>
      <c r="M94" s="21">
        <v>120</v>
      </c>
      <c r="N94" s="26">
        <f t="shared" si="1"/>
        <v>299.66399999999999</v>
      </c>
      <c r="O94" s="26"/>
    </row>
    <row r="95" spans="1:17" x14ac:dyDescent="0.2">
      <c r="A95" s="1" t="s">
        <v>355</v>
      </c>
      <c r="B95" s="1" t="s">
        <v>356</v>
      </c>
      <c r="C95" s="1" t="s">
        <v>357</v>
      </c>
      <c r="D95" s="1" t="s">
        <v>358</v>
      </c>
      <c r="E95" s="22">
        <v>20</v>
      </c>
      <c r="F95" s="22">
        <v>1</v>
      </c>
      <c r="G95" s="21">
        <v>16</v>
      </c>
      <c r="H95" s="23">
        <v>9.92</v>
      </c>
      <c r="I95" s="24">
        <v>20</v>
      </c>
      <c r="J95" s="21">
        <v>468</v>
      </c>
      <c r="K95" s="24" t="s">
        <v>23</v>
      </c>
      <c r="L95" s="24" t="s">
        <v>24</v>
      </c>
      <c r="M95" s="25">
        <v>30</v>
      </c>
      <c r="N95" s="26">
        <f t="shared" si="1"/>
        <v>297.60000000000002</v>
      </c>
      <c r="O95" s="26"/>
      <c r="P95" s="29" t="s">
        <v>289</v>
      </c>
    </row>
    <row r="96" spans="1:17" x14ac:dyDescent="0.2">
      <c r="A96" s="1" t="s">
        <v>359</v>
      </c>
      <c r="B96" s="1" t="s">
        <v>360</v>
      </c>
      <c r="C96" s="1" t="s">
        <v>361</v>
      </c>
      <c r="D96" s="1" t="s">
        <v>341</v>
      </c>
      <c r="E96" s="22">
        <v>10</v>
      </c>
      <c r="F96" s="22">
        <v>1</v>
      </c>
      <c r="G96" s="21">
        <v>17</v>
      </c>
      <c r="H96" s="23">
        <v>11.83</v>
      </c>
      <c r="I96" s="24">
        <v>10</v>
      </c>
      <c r="J96" s="21">
        <v>68</v>
      </c>
      <c r="K96" s="24" t="s">
        <v>23</v>
      </c>
      <c r="L96" s="24" t="s">
        <v>24</v>
      </c>
      <c r="M96" s="25">
        <v>25</v>
      </c>
      <c r="N96" s="26">
        <f t="shared" si="1"/>
        <v>295.75</v>
      </c>
      <c r="O96" s="26"/>
      <c r="P96" s="29" t="s">
        <v>289</v>
      </c>
    </row>
    <row r="97" spans="1:17" x14ac:dyDescent="0.2">
      <c r="A97" s="1" t="s">
        <v>362</v>
      </c>
      <c r="B97" s="1" t="s">
        <v>363</v>
      </c>
      <c r="C97" s="1" t="s">
        <v>364</v>
      </c>
      <c r="D97" s="1" t="s">
        <v>106</v>
      </c>
      <c r="E97" s="22">
        <v>10</v>
      </c>
      <c r="F97" s="22">
        <v>2000</v>
      </c>
      <c r="G97" s="21">
        <v>7</v>
      </c>
      <c r="H97" s="26">
        <v>14.779199999999999</v>
      </c>
      <c r="I97" s="24">
        <v>2000</v>
      </c>
      <c r="J97" s="21">
        <v>2472</v>
      </c>
      <c r="K97" s="24" t="s">
        <v>107</v>
      </c>
      <c r="L97" s="24" t="s">
        <v>24</v>
      </c>
      <c r="M97" s="25">
        <v>20</v>
      </c>
      <c r="N97" s="26">
        <f t="shared" si="1"/>
        <v>295.584</v>
      </c>
      <c r="O97" s="26"/>
      <c r="P97" s="29" t="s">
        <v>289</v>
      </c>
    </row>
    <row r="98" spans="1:17" x14ac:dyDescent="0.2">
      <c r="A98" s="1" t="s">
        <v>365</v>
      </c>
      <c r="B98" s="1" t="s">
        <v>366</v>
      </c>
      <c r="C98" s="1" t="s">
        <v>367</v>
      </c>
      <c r="D98" s="1" t="s">
        <v>111</v>
      </c>
      <c r="E98" s="22">
        <v>20</v>
      </c>
      <c r="F98" s="22">
        <v>1</v>
      </c>
      <c r="G98" s="21">
        <v>24</v>
      </c>
      <c r="H98" s="23">
        <v>11.798</v>
      </c>
      <c r="I98" s="24">
        <v>20</v>
      </c>
      <c r="J98" s="21">
        <v>208</v>
      </c>
      <c r="K98" s="24" t="s">
        <v>23</v>
      </c>
      <c r="L98" s="24" t="s">
        <v>24</v>
      </c>
      <c r="M98" s="25">
        <v>25</v>
      </c>
      <c r="N98" s="26">
        <f t="shared" si="1"/>
        <v>294.95</v>
      </c>
      <c r="O98" s="26"/>
      <c r="P98" s="29" t="s">
        <v>289</v>
      </c>
    </row>
    <row r="99" spans="1:17" x14ac:dyDescent="0.2">
      <c r="A99" s="1" t="s">
        <v>368</v>
      </c>
      <c r="B99" s="1" t="s">
        <v>369</v>
      </c>
      <c r="C99" s="1" t="s">
        <v>370</v>
      </c>
      <c r="D99" s="1" t="s">
        <v>32</v>
      </c>
      <c r="E99" s="22">
        <v>10</v>
      </c>
      <c r="F99" s="22">
        <v>1</v>
      </c>
      <c r="G99" s="21">
        <v>7</v>
      </c>
      <c r="H99" s="23">
        <v>3.9310999999999998</v>
      </c>
      <c r="I99" s="24">
        <v>10</v>
      </c>
      <c r="J99" s="21">
        <v>4897</v>
      </c>
      <c r="K99" s="24" t="s">
        <v>23</v>
      </c>
      <c r="L99" s="24" t="s">
        <v>24</v>
      </c>
      <c r="M99" s="25">
        <v>75</v>
      </c>
      <c r="N99" s="26">
        <f t="shared" si="1"/>
        <v>294.83249999999998</v>
      </c>
      <c r="O99" s="26"/>
      <c r="P99" s="29" t="s">
        <v>289</v>
      </c>
    </row>
    <row r="100" spans="1:17" x14ac:dyDescent="0.2">
      <c r="A100" s="1" t="s">
        <v>371</v>
      </c>
      <c r="B100" s="1" t="s">
        <v>372</v>
      </c>
      <c r="C100" s="1" t="s">
        <v>373</v>
      </c>
      <c r="D100" s="1" t="s">
        <v>374</v>
      </c>
      <c r="E100" s="22">
        <v>70</v>
      </c>
      <c r="F100" s="22">
        <v>2000</v>
      </c>
      <c r="G100" s="21">
        <v>17</v>
      </c>
      <c r="H100" s="23">
        <v>0.1472</v>
      </c>
      <c r="I100" s="24">
        <v>70</v>
      </c>
      <c r="J100" s="21">
        <v>8459</v>
      </c>
      <c r="K100" s="24" t="s">
        <v>23</v>
      </c>
      <c r="L100" s="24" t="s">
        <v>24</v>
      </c>
      <c r="M100" s="25">
        <v>2000</v>
      </c>
      <c r="N100" s="26">
        <f t="shared" si="1"/>
        <v>294.39999999999998</v>
      </c>
      <c r="O100" s="26"/>
      <c r="P100" s="29" t="s">
        <v>289</v>
      </c>
    </row>
    <row r="101" spans="1:17" x14ac:dyDescent="0.2">
      <c r="A101" s="1" t="s">
        <v>375</v>
      </c>
      <c r="B101" s="1" t="s">
        <v>376</v>
      </c>
      <c r="C101" s="1" t="s">
        <v>377</v>
      </c>
      <c r="D101" s="1" t="s">
        <v>32</v>
      </c>
      <c r="E101" s="22">
        <v>10</v>
      </c>
      <c r="F101" s="22">
        <v>1</v>
      </c>
      <c r="G101" s="21">
        <v>8</v>
      </c>
      <c r="H101" s="23">
        <v>1.9616</v>
      </c>
      <c r="I101" s="24">
        <v>10</v>
      </c>
      <c r="J101" s="21">
        <v>6653</v>
      </c>
      <c r="K101" s="24" t="s">
        <v>23</v>
      </c>
      <c r="L101" s="24" t="s">
        <v>24</v>
      </c>
      <c r="M101" s="25">
        <v>150</v>
      </c>
      <c r="N101" s="26">
        <f t="shared" si="1"/>
        <v>294.24</v>
      </c>
      <c r="O101" s="26"/>
      <c r="P101" s="29" t="s">
        <v>289</v>
      </c>
    </row>
    <row r="102" spans="1:17" x14ac:dyDescent="0.2">
      <c r="A102" s="1" t="s">
        <v>378</v>
      </c>
      <c r="B102" s="1" t="s">
        <v>379</v>
      </c>
      <c r="C102" s="1" t="s">
        <v>380</v>
      </c>
      <c r="D102" s="1" t="s">
        <v>311</v>
      </c>
      <c r="E102" s="22">
        <v>10</v>
      </c>
      <c r="F102" s="22">
        <v>1</v>
      </c>
      <c r="G102" s="21">
        <v>20</v>
      </c>
      <c r="H102" s="23">
        <v>19.532</v>
      </c>
      <c r="I102" s="24">
        <v>10</v>
      </c>
      <c r="J102" s="21">
        <v>5213</v>
      </c>
      <c r="K102" s="24" t="s">
        <v>23</v>
      </c>
      <c r="L102" s="24" t="s">
        <v>24</v>
      </c>
      <c r="M102" s="25">
        <v>15</v>
      </c>
      <c r="N102" s="26">
        <f t="shared" si="1"/>
        <v>292.98</v>
      </c>
      <c r="O102" s="26"/>
      <c r="P102" s="29" t="s">
        <v>289</v>
      </c>
    </row>
    <row r="103" spans="1:17" x14ac:dyDescent="0.2">
      <c r="A103" s="1" t="s">
        <v>381</v>
      </c>
      <c r="B103" s="1" t="s">
        <v>382</v>
      </c>
      <c r="C103" s="1" t="s">
        <v>383</v>
      </c>
      <c r="D103" s="1" t="s">
        <v>358</v>
      </c>
      <c r="E103" s="22">
        <v>20</v>
      </c>
      <c r="F103" s="22">
        <v>1</v>
      </c>
      <c r="G103" s="21">
        <v>20</v>
      </c>
      <c r="H103" s="23">
        <v>14.6318</v>
      </c>
      <c r="I103" s="24">
        <v>20</v>
      </c>
      <c r="J103" s="21">
        <v>5862</v>
      </c>
      <c r="K103" s="24" t="s">
        <v>23</v>
      </c>
      <c r="L103" s="24" t="s">
        <v>24</v>
      </c>
      <c r="M103" s="21">
        <v>20</v>
      </c>
      <c r="N103" s="26">
        <f t="shared" si="1"/>
        <v>292.63600000000002</v>
      </c>
      <c r="O103" s="26"/>
    </row>
    <row r="104" spans="1:17" x14ac:dyDescent="0.2">
      <c r="A104" s="1" t="s">
        <v>384</v>
      </c>
      <c r="B104" s="1" t="s">
        <v>385</v>
      </c>
      <c r="C104" s="1" t="s">
        <v>386</v>
      </c>
      <c r="D104" s="1" t="s">
        <v>387</v>
      </c>
      <c r="E104" s="22">
        <v>10</v>
      </c>
      <c r="F104" s="22">
        <v>1</v>
      </c>
      <c r="G104" s="21">
        <v>14</v>
      </c>
      <c r="H104" s="23">
        <v>1.6598999999999999</v>
      </c>
      <c r="I104" s="24">
        <v>10</v>
      </c>
      <c r="J104" s="21">
        <v>6413</v>
      </c>
      <c r="K104" s="24" t="s">
        <v>23</v>
      </c>
      <c r="L104" s="24" t="s">
        <v>24</v>
      </c>
      <c r="M104" s="25">
        <v>175</v>
      </c>
      <c r="N104" s="26">
        <f t="shared" si="1"/>
        <v>290.48250000000002</v>
      </c>
      <c r="O104" s="26"/>
      <c r="P104" s="29" t="s">
        <v>289</v>
      </c>
    </row>
    <row r="105" spans="1:17" x14ac:dyDescent="0.2">
      <c r="A105" s="1" t="s">
        <v>388</v>
      </c>
      <c r="B105" s="1" t="s">
        <v>389</v>
      </c>
      <c r="C105" s="1" t="s">
        <v>390</v>
      </c>
      <c r="D105" s="1" t="s">
        <v>32</v>
      </c>
      <c r="E105" s="22">
        <v>20</v>
      </c>
      <c r="F105" s="22">
        <v>200</v>
      </c>
      <c r="G105" s="21">
        <v>10</v>
      </c>
      <c r="H105" s="23">
        <v>2.8997999999999999</v>
      </c>
      <c r="I105" s="24">
        <v>20</v>
      </c>
      <c r="J105" s="21">
        <v>3065</v>
      </c>
      <c r="K105" s="24" t="s">
        <v>23</v>
      </c>
      <c r="L105" s="24" t="s">
        <v>24</v>
      </c>
      <c r="M105" s="25">
        <v>100</v>
      </c>
      <c r="N105" s="26">
        <f t="shared" si="1"/>
        <v>289.98</v>
      </c>
      <c r="O105" s="26"/>
      <c r="P105" s="29" t="s">
        <v>289</v>
      </c>
    </row>
    <row r="106" spans="1:17" x14ac:dyDescent="0.2">
      <c r="A106" s="1" t="s">
        <v>391</v>
      </c>
      <c r="B106" s="1" t="s">
        <v>392</v>
      </c>
      <c r="C106" s="1" t="s">
        <v>393</v>
      </c>
      <c r="D106" s="1" t="s">
        <v>102</v>
      </c>
      <c r="E106" s="22">
        <v>40</v>
      </c>
      <c r="F106" s="22">
        <v>1</v>
      </c>
      <c r="G106" s="21">
        <v>25</v>
      </c>
      <c r="H106" s="23">
        <v>1.1535</v>
      </c>
      <c r="I106" s="24">
        <v>40</v>
      </c>
      <c r="J106" s="21">
        <v>7622</v>
      </c>
      <c r="K106" s="24" t="s">
        <v>23</v>
      </c>
      <c r="L106" s="24" t="s">
        <v>24</v>
      </c>
      <c r="M106" s="25">
        <v>250</v>
      </c>
      <c r="N106" s="26">
        <f t="shared" si="1"/>
        <v>288.375</v>
      </c>
      <c r="O106" s="26"/>
      <c r="P106" s="29" t="s">
        <v>289</v>
      </c>
    </row>
    <row r="107" spans="1:17" x14ac:dyDescent="0.2">
      <c r="A107" s="1" t="s">
        <v>394</v>
      </c>
      <c r="B107" s="1" t="s">
        <v>395</v>
      </c>
      <c r="C107" s="1" t="s">
        <v>396</v>
      </c>
      <c r="D107" s="1" t="s">
        <v>397</v>
      </c>
      <c r="E107" s="22">
        <v>85</v>
      </c>
      <c r="F107" s="22">
        <v>1</v>
      </c>
      <c r="G107" s="21">
        <v>15</v>
      </c>
      <c r="H107" s="23">
        <v>3.3820000000000001</v>
      </c>
      <c r="I107" s="24">
        <v>85</v>
      </c>
      <c r="J107" s="21">
        <v>5664</v>
      </c>
      <c r="K107" s="24" t="s">
        <v>23</v>
      </c>
      <c r="L107" s="24" t="s">
        <v>24</v>
      </c>
      <c r="M107" s="21">
        <v>85</v>
      </c>
      <c r="N107" s="26">
        <f t="shared" si="1"/>
        <v>287.47000000000003</v>
      </c>
      <c r="O107" s="26"/>
    </row>
    <row r="108" spans="1:17" x14ac:dyDescent="0.2">
      <c r="A108" s="1" t="s">
        <v>398</v>
      </c>
      <c r="B108" s="1" t="s">
        <v>399</v>
      </c>
      <c r="C108" s="1" t="s">
        <v>400</v>
      </c>
      <c r="D108" s="1" t="s">
        <v>94</v>
      </c>
      <c r="E108" s="22">
        <v>10</v>
      </c>
      <c r="F108" s="22">
        <v>300</v>
      </c>
      <c r="G108" s="21">
        <v>5</v>
      </c>
      <c r="H108" s="23">
        <v>3.8</v>
      </c>
      <c r="I108" s="24">
        <v>0</v>
      </c>
      <c r="J108" s="21">
        <v>7284</v>
      </c>
      <c r="K108" s="24" t="s">
        <v>23</v>
      </c>
      <c r="L108" s="24" t="s">
        <v>24</v>
      </c>
      <c r="M108" s="25">
        <v>75</v>
      </c>
      <c r="N108" s="26">
        <f t="shared" si="1"/>
        <v>285</v>
      </c>
      <c r="O108" s="26"/>
      <c r="P108" s="29" t="s">
        <v>289</v>
      </c>
    </row>
    <row r="109" spans="1:17" x14ac:dyDescent="0.2">
      <c r="A109" s="1" t="s">
        <v>401</v>
      </c>
      <c r="B109" s="1" t="s">
        <v>402</v>
      </c>
      <c r="C109" s="1" t="s">
        <v>403</v>
      </c>
      <c r="D109" s="1" t="s">
        <v>94</v>
      </c>
      <c r="E109" s="22">
        <v>10</v>
      </c>
      <c r="F109" s="22">
        <v>180</v>
      </c>
      <c r="G109" s="21">
        <v>16</v>
      </c>
      <c r="H109" s="23">
        <v>11.396000000000001</v>
      </c>
      <c r="I109" s="24">
        <v>10</v>
      </c>
      <c r="J109" s="21">
        <v>2169</v>
      </c>
      <c r="K109" s="24" t="s">
        <v>23</v>
      </c>
      <c r="L109" s="24" t="s">
        <v>24</v>
      </c>
      <c r="M109" s="25">
        <v>25</v>
      </c>
      <c r="N109" s="26">
        <f t="shared" si="1"/>
        <v>284.90000000000003</v>
      </c>
      <c r="O109" s="26"/>
      <c r="P109" s="29" t="s">
        <v>289</v>
      </c>
    </row>
    <row r="110" spans="1:17" x14ac:dyDescent="0.2">
      <c r="A110" s="1" t="s">
        <v>404</v>
      </c>
      <c r="B110" s="1" t="s">
        <v>405</v>
      </c>
      <c r="C110" s="1" t="s">
        <v>406</v>
      </c>
      <c r="D110" s="1" t="s">
        <v>276</v>
      </c>
      <c r="E110" s="22">
        <v>20</v>
      </c>
      <c r="F110" s="22">
        <v>5000</v>
      </c>
      <c r="G110" s="21">
        <v>17</v>
      </c>
      <c r="H110" s="23">
        <v>0.81399999999999995</v>
      </c>
      <c r="I110" s="24">
        <v>20</v>
      </c>
      <c r="J110" s="21">
        <v>0</v>
      </c>
      <c r="K110" s="24" t="s">
        <v>23</v>
      </c>
      <c r="L110" s="24" t="s">
        <v>24</v>
      </c>
      <c r="M110" s="25">
        <v>350</v>
      </c>
      <c r="N110" s="26">
        <f t="shared" si="1"/>
        <v>284.89999999999998</v>
      </c>
      <c r="O110" s="26"/>
      <c r="P110" s="29" t="s">
        <v>289</v>
      </c>
    </row>
    <row r="111" spans="1:17" x14ac:dyDescent="0.2">
      <c r="A111" s="1" t="s">
        <v>407</v>
      </c>
      <c r="B111" s="1" t="s">
        <v>408</v>
      </c>
      <c r="C111" s="1" t="s">
        <v>409</v>
      </c>
      <c r="D111" s="1" t="s">
        <v>76</v>
      </c>
      <c r="E111" s="22">
        <v>10</v>
      </c>
      <c r="F111" s="22">
        <v>1</v>
      </c>
      <c r="G111" s="21">
        <v>6</v>
      </c>
      <c r="H111" s="23">
        <v>7.08</v>
      </c>
      <c r="I111" s="24">
        <v>10</v>
      </c>
      <c r="J111" s="21">
        <v>551</v>
      </c>
      <c r="K111" s="24" t="s">
        <v>23</v>
      </c>
      <c r="L111" s="24" t="s">
        <v>24</v>
      </c>
      <c r="M111" s="25">
        <v>40</v>
      </c>
      <c r="N111" s="26">
        <f t="shared" si="1"/>
        <v>283.2</v>
      </c>
      <c r="O111" s="26"/>
      <c r="P111" s="29" t="s">
        <v>289</v>
      </c>
    </row>
    <row r="112" spans="1:17" x14ac:dyDescent="0.2">
      <c r="A112" s="27" t="s">
        <v>410</v>
      </c>
      <c r="B112" s="27" t="s">
        <v>411</v>
      </c>
      <c r="C112" s="28" t="s">
        <v>412</v>
      </c>
      <c r="D112" s="28" t="s">
        <v>111</v>
      </c>
      <c r="E112" s="22">
        <v>20</v>
      </c>
      <c r="F112" s="22">
        <v>1</v>
      </c>
      <c r="G112" s="21">
        <v>20</v>
      </c>
      <c r="H112" s="23">
        <v>14.11</v>
      </c>
      <c r="I112" s="24">
        <v>20</v>
      </c>
      <c r="J112" s="21">
        <v>1086</v>
      </c>
      <c r="K112" s="24" t="s">
        <v>23</v>
      </c>
      <c r="L112" s="24" t="s">
        <v>24</v>
      </c>
      <c r="M112" s="21">
        <v>20</v>
      </c>
      <c r="N112" s="26">
        <f t="shared" si="1"/>
        <v>282.2</v>
      </c>
      <c r="O112" s="26"/>
      <c r="P112" s="27"/>
      <c r="Q112" s="27"/>
    </row>
    <row r="113" spans="1:17" x14ac:dyDescent="0.2">
      <c r="A113" s="1" t="s">
        <v>413</v>
      </c>
      <c r="B113" s="1" t="s">
        <v>414</v>
      </c>
      <c r="C113" s="1" t="s">
        <v>415</v>
      </c>
      <c r="D113" s="1" t="s">
        <v>311</v>
      </c>
      <c r="E113" s="22">
        <v>10</v>
      </c>
      <c r="F113" s="22">
        <v>1</v>
      </c>
      <c r="G113" s="21">
        <v>20</v>
      </c>
      <c r="H113" s="23">
        <v>11.2578</v>
      </c>
      <c r="I113" s="24">
        <v>10</v>
      </c>
      <c r="J113" s="21">
        <v>716</v>
      </c>
      <c r="K113" s="24" t="s">
        <v>23</v>
      </c>
      <c r="L113" s="24" t="s">
        <v>24</v>
      </c>
      <c r="M113" s="25">
        <v>25</v>
      </c>
      <c r="N113" s="26">
        <f t="shared" si="1"/>
        <v>281.44499999999999</v>
      </c>
      <c r="O113" s="26"/>
      <c r="P113" s="29" t="s">
        <v>289</v>
      </c>
    </row>
    <row r="114" spans="1:17" x14ac:dyDescent="0.2">
      <c r="A114" s="1" t="s">
        <v>416</v>
      </c>
      <c r="B114" s="1" t="s">
        <v>417</v>
      </c>
      <c r="C114" s="1" t="s">
        <v>418</v>
      </c>
      <c r="D114" s="1" t="s">
        <v>374</v>
      </c>
      <c r="E114" s="22">
        <v>10</v>
      </c>
      <c r="F114" s="22">
        <v>1000</v>
      </c>
      <c r="G114" s="21">
        <v>24</v>
      </c>
      <c r="H114" s="23">
        <v>0.80379999999999996</v>
      </c>
      <c r="I114" s="24">
        <v>10</v>
      </c>
      <c r="J114" s="21">
        <v>3804</v>
      </c>
      <c r="K114" s="24" t="s">
        <v>23</v>
      </c>
      <c r="L114" s="24" t="s">
        <v>24</v>
      </c>
      <c r="M114" s="25">
        <v>350</v>
      </c>
      <c r="N114" s="26">
        <f t="shared" si="1"/>
        <v>281.33</v>
      </c>
      <c r="O114" s="26"/>
      <c r="P114" s="29" t="s">
        <v>289</v>
      </c>
    </row>
    <row r="115" spans="1:17" x14ac:dyDescent="0.2">
      <c r="A115" s="1" t="s">
        <v>419</v>
      </c>
      <c r="B115" s="1" t="s">
        <v>420</v>
      </c>
      <c r="C115" s="1" t="s">
        <v>421</v>
      </c>
      <c r="D115" s="1" t="s">
        <v>422</v>
      </c>
      <c r="E115" s="22">
        <v>45</v>
      </c>
      <c r="F115" s="22">
        <v>5000</v>
      </c>
      <c r="G115" s="21">
        <v>30</v>
      </c>
      <c r="H115" s="23">
        <v>2.2502</v>
      </c>
      <c r="I115" s="24">
        <v>45</v>
      </c>
      <c r="J115" s="21">
        <v>2570</v>
      </c>
      <c r="K115" s="24" t="s">
        <v>23</v>
      </c>
      <c r="L115" s="24" t="s">
        <v>24</v>
      </c>
      <c r="M115" s="25">
        <v>125</v>
      </c>
      <c r="N115" s="26">
        <f t="shared" si="1"/>
        <v>281.27499999999998</v>
      </c>
      <c r="O115" s="26"/>
      <c r="P115" s="29" t="s">
        <v>289</v>
      </c>
    </row>
    <row r="116" spans="1:17" x14ac:dyDescent="0.2">
      <c r="A116" s="1" t="s">
        <v>423</v>
      </c>
      <c r="B116" s="1" t="s">
        <v>424</v>
      </c>
      <c r="C116" s="1" t="s">
        <v>425</v>
      </c>
      <c r="D116" s="1" t="s">
        <v>41</v>
      </c>
      <c r="E116" s="22">
        <v>25</v>
      </c>
      <c r="F116" s="22">
        <v>50</v>
      </c>
      <c r="G116" s="21">
        <v>5</v>
      </c>
      <c r="H116" s="23">
        <v>5.62</v>
      </c>
      <c r="I116" s="24">
        <v>0</v>
      </c>
      <c r="J116" s="21">
        <v>126</v>
      </c>
      <c r="K116" s="24" t="s">
        <v>23</v>
      </c>
      <c r="L116" s="24" t="s">
        <v>24</v>
      </c>
      <c r="M116" s="25">
        <v>50</v>
      </c>
      <c r="N116" s="26">
        <f t="shared" si="1"/>
        <v>281</v>
      </c>
      <c r="O116" s="26"/>
      <c r="P116" s="29" t="s">
        <v>289</v>
      </c>
    </row>
    <row r="117" spans="1:17" x14ac:dyDescent="0.2">
      <c r="A117" s="1" t="s">
        <v>426</v>
      </c>
      <c r="B117" s="1" t="s">
        <v>427</v>
      </c>
      <c r="C117" s="1" t="s">
        <v>428</v>
      </c>
      <c r="D117" s="1" t="s">
        <v>429</v>
      </c>
      <c r="E117" s="22">
        <v>130</v>
      </c>
      <c r="F117" s="22">
        <v>1</v>
      </c>
      <c r="G117" s="21">
        <v>22</v>
      </c>
      <c r="H117" s="23">
        <v>2.1596000000000002</v>
      </c>
      <c r="I117" s="24">
        <v>130</v>
      </c>
      <c r="J117" s="21">
        <v>7824</v>
      </c>
      <c r="K117" s="24" t="s">
        <v>23</v>
      </c>
      <c r="L117" s="24" t="s">
        <v>24</v>
      </c>
      <c r="M117" s="21">
        <v>130</v>
      </c>
      <c r="N117" s="26">
        <f t="shared" si="1"/>
        <v>280.74800000000005</v>
      </c>
      <c r="O117" s="26"/>
    </row>
    <row r="118" spans="1:17" x14ac:dyDescent="0.2">
      <c r="A118" s="1" t="s">
        <v>430</v>
      </c>
      <c r="B118" s="1" t="s">
        <v>431</v>
      </c>
      <c r="C118" s="1" t="s">
        <v>432</v>
      </c>
      <c r="D118" s="1" t="s">
        <v>433</v>
      </c>
      <c r="E118" s="22">
        <v>30</v>
      </c>
      <c r="F118" s="22">
        <v>4000</v>
      </c>
      <c r="G118" s="21">
        <v>0</v>
      </c>
      <c r="H118" s="26">
        <v>0.1598</v>
      </c>
      <c r="I118" s="24">
        <v>0</v>
      </c>
      <c r="J118" s="21" t="s">
        <v>116</v>
      </c>
      <c r="K118" s="24" t="s">
        <v>117</v>
      </c>
      <c r="L118" s="24" t="s">
        <v>24</v>
      </c>
      <c r="M118" s="25">
        <v>1750</v>
      </c>
      <c r="N118" s="26">
        <f t="shared" si="1"/>
        <v>279.64999999999998</v>
      </c>
      <c r="O118" s="26"/>
    </row>
    <row r="119" spans="1:17" x14ac:dyDescent="0.2">
      <c r="A119" s="27" t="s">
        <v>434</v>
      </c>
      <c r="B119" s="27" t="s">
        <v>435</v>
      </c>
      <c r="C119" s="28" t="s">
        <v>436</v>
      </c>
      <c r="D119" s="28" t="s">
        <v>76</v>
      </c>
      <c r="E119" s="22">
        <v>10</v>
      </c>
      <c r="F119" s="22">
        <v>2500</v>
      </c>
      <c r="G119" s="21">
        <v>6</v>
      </c>
      <c r="H119" s="23">
        <v>5.59</v>
      </c>
      <c r="I119" s="24">
        <v>10</v>
      </c>
      <c r="J119" s="21">
        <v>2034</v>
      </c>
      <c r="K119" s="24" t="s">
        <v>23</v>
      </c>
      <c r="L119" s="24" t="s">
        <v>24</v>
      </c>
      <c r="M119" s="25">
        <v>50</v>
      </c>
      <c r="N119" s="26">
        <f t="shared" si="1"/>
        <v>279.5</v>
      </c>
      <c r="O119" s="26"/>
      <c r="P119" s="29" t="s">
        <v>289</v>
      </c>
      <c r="Q119" s="27"/>
    </row>
    <row r="120" spans="1:17" x14ac:dyDescent="0.2">
      <c r="A120" s="1" t="s">
        <v>437</v>
      </c>
      <c r="B120" s="1" t="s">
        <v>438</v>
      </c>
      <c r="C120" s="1" t="s">
        <v>439</v>
      </c>
      <c r="D120" s="1" t="s">
        <v>307</v>
      </c>
      <c r="E120" s="22">
        <v>20</v>
      </c>
      <c r="F120" s="22">
        <v>5000</v>
      </c>
      <c r="G120" s="21">
        <v>23</v>
      </c>
      <c r="H120" s="23">
        <v>0.223</v>
      </c>
      <c r="I120" s="24">
        <v>20</v>
      </c>
      <c r="J120" s="21">
        <v>2223</v>
      </c>
      <c r="K120" s="24" t="s">
        <v>23</v>
      </c>
      <c r="L120" s="24" t="s">
        <v>24</v>
      </c>
      <c r="M120" s="25">
        <v>1250</v>
      </c>
      <c r="N120" s="26">
        <f t="shared" si="1"/>
        <v>278.75</v>
      </c>
      <c r="O120" s="26"/>
      <c r="P120" s="29" t="s">
        <v>289</v>
      </c>
    </row>
    <row r="121" spans="1:17" x14ac:dyDescent="0.2">
      <c r="A121" s="1" t="s">
        <v>440</v>
      </c>
      <c r="B121" s="1" t="s">
        <v>441</v>
      </c>
      <c r="C121" s="1" t="s">
        <v>442</v>
      </c>
      <c r="D121" s="1" t="s">
        <v>443</v>
      </c>
      <c r="E121" s="22">
        <v>60</v>
      </c>
      <c r="F121" s="22">
        <v>1</v>
      </c>
      <c r="G121" s="21">
        <v>17</v>
      </c>
      <c r="H121" s="23">
        <v>0.79349999999999998</v>
      </c>
      <c r="I121" s="24">
        <v>60</v>
      </c>
      <c r="J121" s="21">
        <v>9399</v>
      </c>
      <c r="K121" s="24" t="s">
        <v>23</v>
      </c>
      <c r="L121" s="24" t="s">
        <v>24</v>
      </c>
      <c r="M121" s="25">
        <v>350</v>
      </c>
      <c r="N121" s="26">
        <f t="shared" si="1"/>
        <v>277.72499999999997</v>
      </c>
      <c r="O121" s="26"/>
      <c r="P121" s="29" t="s">
        <v>289</v>
      </c>
    </row>
    <row r="122" spans="1:17" x14ac:dyDescent="0.2">
      <c r="A122" s="1" t="s">
        <v>444</v>
      </c>
      <c r="B122" s="1" t="s">
        <v>445</v>
      </c>
      <c r="C122" s="1" t="s">
        <v>446</v>
      </c>
      <c r="D122" s="1" t="s">
        <v>102</v>
      </c>
      <c r="E122" s="22">
        <v>20</v>
      </c>
      <c r="F122" s="22">
        <v>1</v>
      </c>
      <c r="G122" s="21">
        <v>49</v>
      </c>
      <c r="H122" s="23">
        <v>3.9668000000000001</v>
      </c>
      <c r="I122" s="24">
        <v>20</v>
      </c>
      <c r="J122" s="21">
        <v>9188</v>
      </c>
      <c r="K122" s="24" t="s">
        <v>23</v>
      </c>
      <c r="L122" s="24" t="s">
        <v>24</v>
      </c>
      <c r="M122" s="25">
        <v>70</v>
      </c>
      <c r="N122" s="26">
        <f t="shared" si="1"/>
        <v>277.67599999999999</v>
      </c>
      <c r="O122" s="26"/>
      <c r="P122" s="29" t="s">
        <v>289</v>
      </c>
    </row>
    <row r="123" spans="1:17" x14ac:dyDescent="0.2">
      <c r="A123" s="1" t="s">
        <v>447</v>
      </c>
      <c r="B123" s="1" t="s">
        <v>448</v>
      </c>
      <c r="C123" s="1" t="s">
        <v>449</v>
      </c>
      <c r="D123" s="1" t="s">
        <v>90</v>
      </c>
      <c r="E123" s="22">
        <v>30</v>
      </c>
      <c r="F123" s="22">
        <v>2500</v>
      </c>
      <c r="G123" s="21">
        <v>19</v>
      </c>
      <c r="H123" s="23">
        <v>9.2415000000000003</v>
      </c>
      <c r="I123" s="24">
        <v>30</v>
      </c>
      <c r="J123" s="21">
        <v>1430</v>
      </c>
      <c r="K123" s="24" t="s">
        <v>23</v>
      </c>
      <c r="L123" s="24" t="s">
        <v>24</v>
      </c>
      <c r="M123" s="21">
        <v>30</v>
      </c>
      <c r="N123" s="26">
        <f t="shared" si="1"/>
        <v>277.245</v>
      </c>
      <c r="O123" s="26"/>
    </row>
    <row r="124" spans="1:17" x14ac:dyDescent="0.2">
      <c r="A124" s="1" t="s">
        <v>450</v>
      </c>
      <c r="B124" s="1" t="s">
        <v>451</v>
      </c>
      <c r="C124" s="1" t="s">
        <v>452</v>
      </c>
      <c r="D124" s="1" t="s">
        <v>358</v>
      </c>
      <c r="E124" s="22">
        <v>20</v>
      </c>
      <c r="F124" s="22">
        <v>1</v>
      </c>
      <c r="G124" s="21">
        <v>17</v>
      </c>
      <c r="H124" s="23">
        <v>13.852</v>
      </c>
      <c r="I124" s="24">
        <v>20</v>
      </c>
      <c r="J124" s="21">
        <v>2828</v>
      </c>
      <c r="K124" s="24" t="s">
        <v>23</v>
      </c>
      <c r="L124" s="24" t="s">
        <v>24</v>
      </c>
      <c r="M124" s="21">
        <v>20</v>
      </c>
      <c r="N124" s="26">
        <f t="shared" si="1"/>
        <v>277.04000000000002</v>
      </c>
      <c r="O124" s="26"/>
    </row>
    <row r="125" spans="1:17" x14ac:dyDescent="0.2">
      <c r="A125" s="27" t="s">
        <v>453</v>
      </c>
      <c r="B125" s="27" t="s">
        <v>454</v>
      </c>
      <c r="C125" s="28" t="s">
        <v>455</v>
      </c>
      <c r="D125" s="28" t="s">
        <v>387</v>
      </c>
      <c r="E125" s="22">
        <v>30</v>
      </c>
      <c r="F125" s="22">
        <v>1200</v>
      </c>
      <c r="G125" s="21">
        <v>15</v>
      </c>
      <c r="H125" s="23">
        <v>0.79</v>
      </c>
      <c r="I125" s="24">
        <v>30</v>
      </c>
      <c r="J125" s="21">
        <v>8708</v>
      </c>
      <c r="K125" s="24" t="s">
        <v>23</v>
      </c>
      <c r="L125" s="24" t="s">
        <v>24</v>
      </c>
      <c r="M125" s="25">
        <v>350</v>
      </c>
      <c r="N125" s="26">
        <f t="shared" si="1"/>
        <v>276.5</v>
      </c>
      <c r="O125" s="26"/>
      <c r="P125" s="29" t="s">
        <v>289</v>
      </c>
      <c r="Q125" s="27"/>
    </row>
    <row r="126" spans="1:17" x14ac:dyDescent="0.2">
      <c r="A126" s="1" t="s">
        <v>456</v>
      </c>
      <c r="B126" s="1" t="s">
        <v>457</v>
      </c>
      <c r="C126" s="1" t="s">
        <v>458</v>
      </c>
      <c r="D126" s="1" t="s">
        <v>459</v>
      </c>
      <c r="E126" s="22">
        <v>20</v>
      </c>
      <c r="F126" s="22">
        <v>1</v>
      </c>
      <c r="G126" s="21">
        <v>3</v>
      </c>
      <c r="H126" s="26">
        <v>0.55000000000000004</v>
      </c>
      <c r="I126" s="24">
        <v>0</v>
      </c>
      <c r="J126" s="21" t="s">
        <v>116</v>
      </c>
      <c r="K126" s="24" t="s">
        <v>117</v>
      </c>
      <c r="L126" s="24" t="s">
        <v>24</v>
      </c>
      <c r="M126" s="25">
        <v>500</v>
      </c>
      <c r="N126" s="26">
        <f t="shared" si="1"/>
        <v>275</v>
      </c>
      <c r="O126" s="26"/>
    </row>
    <row r="127" spans="1:17" x14ac:dyDescent="0.2">
      <c r="A127" s="1" t="s">
        <v>460</v>
      </c>
      <c r="B127" s="1" t="s">
        <v>461</v>
      </c>
      <c r="C127" s="1" t="s">
        <v>462</v>
      </c>
      <c r="D127" s="1" t="s">
        <v>463</v>
      </c>
      <c r="E127" s="22">
        <v>10</v>
      </c>
      <c r="F127" s="22">
        <v>1</v>
      </c>
      <c r="G127" s="21">
        <v>24</v>
      </c>
      <c r="H127" s="23">
        <v>18.3095</v>
      </c>
      <c r="I127" s="24">
        <v>10</v>
      </c>
      <c r="J127" s="21">
        <v>4941</v>
      </c>
      <c r="K127" s="24" t="s">
        <v>23</v>
      </c>
      <c r="L127" s="24" t="s">
        <v>24</v>
      </c>
      <c r="M127" s="25">
        <v>15</v>
      </c>
      <c r="N127" s="26">
        <f t="shared" si="1"/>
        <v>274.64249999999998</v>
      </c>
      <c r="O127" s="26"/>
      <c r="P127" s="29" t="s">
        <v>289</v>
      </c>
    </row>
    <row r="128" spans="1:17" x14ac:dyDescent="0.2">
      <c r="A128" s="1" t="s">
        <v>464</v>
      </c>
      <c r="B128" s="1" t="s">
        <v>465</v>
      </c>
      <c r="C128" s="1" t="s">
        <v>466</v>
      </c>
      <c r="D128" s="1" t="s">
        <v>299</v>
      </c>
      <c r="E128" s="22">
        <v>10</v>
      </c>
      <c r="F128" s="22">
        <v>1</v>
      </c>
      <c r="G128" s="21">
        <v>26</v>
      </c>
      <c r="H128" s="23">
        <v>2.7320000000000002</v>
      </c>
      <c r="I128" s="24">
        <v>10</v>
      </c>
      <c r="J128" s="21">
        <v>1191</v>
      </c>
      <c r="K128" s="24" t="s">
        <v>23</v>
      </c>
      <c r="L128" s="24" t="s">
        <v>24</v>
      </c>
      <c r="M128" s="25">
        <v>100</v>
      </c>
      <c r="N128" s="26">
        <f t="shared" si="1"/>
        <v>273.20000000000005</v>
      </c>
      <c r="O128" s="26"/>
      <c r="P128" s="29" t="s">
        <v>289</v>
      </c>
    </row>
    <row r="129" spans="1:17" x14ac:dyDescent="0.2">
      <c r="A129" s="1" t="s">
        <v>467</v>
      </c>
      <c r="B129" s="1" t="s">
        <v>468</v>
      </c>
      <c r="C129" s="1" t="s">
        <v>469</v>
      </c>
      <c r="D129" s="1" t="s">
        <v>90</v>
      </c>
      <c r="E129" s="22">
        <v>10</v>
      </c>
      <c r="F129" s="22">
        <v>1</v>
      </c>
      <c r="G129" s="21">
        <v>24</v>
      </c>
      <c r="H129" s="23">
        <v>6.8188000000000004</v>
      </c>
      <c r="I129" s="24">
        <v>10</v>
      </c>
      <c r="J129" s="21">
        <v>118</v>
      </c>
      <c r="K129" s="24" t="s">
        <v>23</v>
      </c>
      <c r="L129" s="24" t="s">
        <v>24</v>
      </c>
      <c r="M129" s="25">
        <v>40</v>
      </c>
      <c r="N129" s="26">
        <f t="shared" si="1"/>
        <v>272.75200000000001</v>
      </c>
      <c r="O129" s="26"/>
      <c r="P129" s="29" t="s">
        <v>289</v>
      </c>
    </row>
    <row r="130" spans="1:17" x14ac:dyDescent="0.2">
      <c r="A130" s="1" t="s">
        <v>470</v>
      </c>
      <c r="B130" s="1" t="s">
        <v>471</v>
      </c>
      <c r="C130" s="1" t="s">
        <v>472</v>
      </c>
      <c r="D130" s="1" t="s">
        <v>473</v>
      </c>
      <c r="E130" s="22">
        <v>10</v>
      </c>
      <c r="F130" s="22">
        <v>1</v>
      </c>
      <c r="G130" s="21">
        <v>25</v>
      </c>
      <c r="H130" s="23">
        <v>0.49419999999999997</v>
      </c>
      <c r="I130" s="24">
        <v>10</v>
      </c>
      <c r="J130" s="21">
        <v>0</v>
      </c>
      <c r="K130" s="24" t="s">
        <v>23</v>
      </c>
      <c r="L130" s="24" t="s">
        <v>24</v>
      </c>
      <c r="M130" s="25">
        <v>550</v>
      </c>
      <c r="N130" s="26">
        <f t="shared" si="1"/>
        <v>271.81</v>
      </c>
      <c r="O130" s="26"/>
      <c r="P130" s="29" t="s">
        <v>289</v>
      </c>
    </row>
    <row r="131" spans="1:17" x14ac:dyDescent="0.2">
      <c r="A131" s="1" t="s">
        <v>474</v>
      </c>
      <c r="B131" s="1" t="s">
        <v>475</v>
      </c>
      <c r="C131" s="1" t="s">
        <v>476</v>
      </c>
      <c r="D131" s="1" t="s">
        <v>76</v>
      </c>
      <c r="E131" s="22">
        <v>20</v>
      </c>
      <c r="F131" s="22">
        <v>2000</v>
      </c>
      <c r="G131" s="21">
        <v>6</v>
      </c>
      <c r="H131" s="23">
        <v>1.8055000000000001</v>
      </c>
      <c r="I131" s="24">
        <v>20</v>
      </c>
      <c r="J131" s="21">
        <v>9612</v>
      </c>
      <c r="K131" s="24" t="s">
        <v>23</v>
      </c>
      <c r="L131" s="24" t="s">
        <v>24</v>
      </c>
      <c r="M131" s="25">
        <v>150</v>
      </c>
      <c r="N131" s="26">
        <f t="shared" ref="N131:N194" si="2">H131*M131</f>
        <v>270.82499999999999</v>
      </c>
      <c r="O131" s="26"/>
      <c r="P131" s="29" t="s">
        <v>289</v>
      </c>
    </row>
    <row r="132" spans="1:17" x14ac:dyDescent="0.2">
      <c r="A132" s="1" t="s">
        <v>477</v>
      </c>
      <c r="B132" s="1" t="s">
        <v>478</v>
      </c>
      <c r="C132" s="1" t="s">
        <v>479</v>
      </c>
      <c r="D132" s="1" t="s">
        <v>374</v>
      </c>
      <c r="E132" s="22">
        <v>10</v>
      </c>
      <c r="F132" s="22">
        <v>1</v>
      </c>
      <c r="G132" s="21">
        <v>15</v>
      </c>
      <c r="H132" s="23">
        <v>0.4158</v>
      </c>
      <c r="I132" s="24">
        <v>10</v>
      </c>
      <c r="J132" s="21">
        <v>2288</v>
      </c>
      <c r="K132" s="24" t="s">
        <v>23</v>
      </c>
      <c r="L132" s="24" t="s">
        <v>24</v>
      </c>
      <c r="M132" s="25">
        <v>650</v>
      </c>
      <c r="N132" s="26">
        <f t="shared" si="2"/>
        <v>270.27</v>
      </c>
      <c r="O132" s="26"/>
      <c r="P132" s="29" t="s">
        <v>289</v>
      </c>
    </row>
    <row r="133" spans="1:17" x14ac:dyDescent="0.2">
      <c r="A133" s="1" t="s">
        <v>480</v>
      </c>
      <c r="B133" s="1" t="s">
        <v>481</v>
      </c>
      <c r="C133" s="1" t="s">
        <v>482</v>
      </c>
      <c r="D133" s="1" t="s">
        <v>483</v>
      </c>
      <c r="E133" s="22">
        <v>20</v>
      </c>
      <c r="F133" s="22">
        <v>1</v>
      </c>
      <c r="G133" s="21">
        <v>29</v>
      </c>
      <c r="H133" s="23">
        <v>5.3993000000000002</v>
      </c>
      <c r="I133" s="24">
        <v>20</v>
      </c>
      <c r="J133" s="21">
        <v>5420</v>
      </c>
      <c r="K133" s="24" t="s">
        <v>23</v>
      </c>
      <c r="L133" s="24" t="s">
        <v>24</v>
      </c>
      <c r="M133" s="25">
        <v>50</v>
      </c>
      <c r="N133" s="26">
        <f t="shared" si="2"/>
        <v>269.96500000000003</v>
      </c>
      <c r="O133" s="26"/>
      <c r="P133" s="29" t="s">
        <v>289</v>
      </c>
    </row>
    <row r="134" spans="1:17" x14ac:dyDescent="0.2">
      <c r="A134" s="1" t="s">
        <v>484</v>
      </c>
      <c r="B134" s="1" t="s">
        <v>485</v>
      </c>
      <c r="C134" s="1" t="s">
        <v>486</v>
      </c>
      <c r="D134" s="1" t="s">
        <v>94</v>
      </c>
      <c r="E134" s="22">
        <v>10</v>
      </c>
      <c r="F134" s="22">
        <v>1</v>
      </c>
      <c r="G134" s="21">
        <v>28</v>
      </c>
      <c r="H134" s="23">
        <v>2.1516999999999999</v>
      </c>
      <c r="I134" s="24">
        <v>10</v>
      </c>
      <c r="J134" s="21">
        <v>1530</v>
      </c>
      <c r="K134" s="24" t="s">
        <v>23</v>
      </c>
      <c r="L134" s="24" t="s">
        <v>24</v>
      </c>
      <c r="M134" s="25">
        <v>125</v>
      </c>
      <c r="N134" s="26">
        <f t="shared" si="2"/>
        <v>268.96249999999998</v>
      </c>
      <c r="O134" s="26"/>
      <c r="P134" s="29" t="s">
        <v>289</v>
      </c>
    </row>
    <row r="135" spans="1:17" x14ac:dyDescent="0.2">
      <c r="A135" s="1" t="s">
        <v>487</v>
      </c>
      <c r="B135" s="1" t="s">
        <v>488</v>
      </c>
      <c r="C135" s="1" t="s">
        <v>489</v>
      </c>
      <c r="D135" s="1" t="s">
        <v>94</v>
      </c>
      <c r="E135" s="22">
        <v>10</v>
      </c>
      <c r="F135" s="22">
        <v>216</v>
      </c>
      <c r="G135" s="21">
        <v>26</v>
      </c>
      <c r="H135" s="23">
        <v>10.736499999999999</v>
      </c>
      <c r="I135" s="24">
        <v>10</v>
      </c>
      <c r="J135" s="21">
        <v>1155</v>
      </c>
      <c r="K135" s="24" t="s">
        <v>23</v>
      </c>
      <c r="L135" s="24" t="s">
        <v>24</v>
      </c>
      <c r="M135" s="25">
        <v>25</v>
      </c>
      <c r="N135" s="26">
        <f t="shared" si="2"/>
        <v>268.41249999999997</v>
      </c>
      <c r="O135" s="26"/>
      <c r="P135" s="29" t="s">
        <v>289</v>
      </c>
    </row>
    <row r="136" spans="1:17" x14ac:dyDescent="0.2">
      <c r="A136" s="1" t="s">
        <v>490</v>
      </c>
      <c r="B136" s="1" t="s">
        <v>491</v>
      </c>
      <c r="C136" s="1" t="s">
        <v>492</v>
      </c>
      <c r="D136" s="1" t="s">
        <v>493</v>
      </c>
      <c r="E136" s="22">
        <v>20</v>
      </c>
      <c r="F136" s="22">
        <v>20</v>
      </c>
      <c r="G136" s="21">
        <v>15</v>
      </c>
      <c r="H136" s="23">
        <v>6.67</v>
      </c>
      <c r="I136" s="24">
        <v>20</v>
      </c>
      <c r="J136" s="21">
        <v>229</v>
      </c>
      <c r="K136" s="24" t="s">
        <v>23</v>
      </c>
      <c r="L136" s="24" t="s">
        <v>24</v>
      </c>
      <c r="M136" s="25">
        <v>40</v>
      </c>
      <c r="N136" s="26">
        <f t="shared" si="2"/>
        <v>266.8</v>
      </c>
      <c r="O136" s="26"/>
      <c r="P136" s="29" t="s">
        <v>289</v>
      </c>
    </row>
    <row r="137" spans="1:17" x14ac:dyDescent="0.2">
      <c r="A137" s="1" t="s">
        <v>494</v>
      </c>
      <c r="B137" s="1" t="s">
        <v>495</v>
      </c>
      <c r="C137" s="1" t="s">
        <v>496</v>
      </c>
      <c r="D137" s="1" t="s">
        <v>32</v>
      </c>
      <c r="E137" s="22">
        <v>20</v>
      </c>
      <c r="F137" s="22">
        <v>1</v>
      </c>
      <c r="G137" s="21">
        <v>11</v>
      </c>
      <c r="H137" s="23">
        <v>4.8367000000000004</v>
      </c>
      <c r="I137" s="24">
        <v>20</v>
      </c>
      <c r="J137" s="21">
        <v>2091</v>
      </c>
      <c r="K137" s="24" t="s">
        <v>23</v>
      </c>
      <c r="L137" s="24" t="s">
        <v>24</v>
      </c>
      <c r="M137" s="25">
        <v>55</v>
      </c>
      <c r="N137" s="26">
        <f t="shared" si="2"/>
        <v>266.01850000000002</v>
      </c>
      <c r="O137" s="26"/>
      <c r="P137" s="29" t="s">
        <v>289</v>
      </c>
    </row>
    <row r="138" spans="1:17" x14ac:dyDescent="0.2">
      <c r="A138" s="1" t="s">
        <v>497</v>
      </c>
      <c r="B138" s="1" t="s">
        <v>498</v>
      </c>
      <c r="C138" s="1" t="s">
        <v>499</v>
      </c>
      <c r="D138" s="1" t="s">
        <v>473</v>
      </c>
      <c r="E138" s="22">
        <v>100</v>
      </c>
      <c r="F138" s="22">
        <v>1</v>
      </c>
      <c r="G138" s="21">
        <v>20</v>
      </c>
      <c r="H138" s="23">
        <v>0.26600000000000001</v>
      </c>
      <c r="I138" s="24">
        <v>100</v>
      </c>
      <c r="J138" s="21">
        <v>4453</v>
      </c>
      <c r="K138" s="24" t="s">
        <v>23</v>
      </c>
      <c r="L138" s="24" t="s">
        <v>24</v>
      </c>
      <c r="M138" s="25">
        <v>1000</v>
      </c>
      <c r="N138" s="26">
        <f t="shared" si="2"/>
        <v>266</v>
      </c>
      <c r="O138" s="26"/>
      <c r="P138" s="29" t="s">
        <v>289</v>
      </c>
    </row>
    <row r="139" spans="1:17" x14ac:dyDescent="0.2">
      <c r="A139" s="1" t="s">
        <v>500</v>
      </c>
      <c r="B139" s="1" t="s">
        <v>501</v>
      </c>
      <c r="C139" s="1" t="s">
        <v>502</v>
      </c>
      <c r="D139" s="1" t="s">
        <v>463</v>
      </c>
      <c r="E139" s="22">
        <v>10</v>
      </c>
      <c r="F139" s="22">
        <v>1</v>
      </c>
      <c r="G139" s="21">
        <v>19</v>
      </c>
      <c r="H139" s="23">
        <v>17.720600000000001</v>
      </c>
      <c r="I139" s="24">
        <v>10</v>
      </c>
      <c r="J139" s="21">
        <v>754</v>
      </c>
      <c r="K139" s="24" t="s">
        <v>23</v>
      </c>
      <c r="L139" s="24" t="s">
        <v>24</v>
      </c>
      <c r="M139" s="25">
        <v>15</v>
      </c>
      <c r="N139" s="26">
        <f t="shared" si="2"/>
        <v>265.80900000000003</v>
      </c>
      <c r="O139" s="26"/>
      <c r="P139" s="29" t="s">
        <v>289</v>
      </c>
    </row>
    <row r="140" spans="1:17" x14ac:dyDescent="0.2">
      <c r="A140" s="27" t="s">
        <v>503</v>
      </c>
      <c r="B140" s="27" t="s">
        <v>504</v>
      </c>
      <c r="C140" s="28" t="s">
        <v>505</v>
      </c>
      <c r="D140" s="28" t="s">
        <v>32</v>
      </c>
      <c r="E140" s="22">
        <v>20</v>
      </c>
      <c r="F140" s="22">
        <v>1</v>
      </c>
      <c r="G140" s="21">
        <v>6</v>
      </c>
      <c r="H140" s="23">
        <v>7.5869999999999997</v>
      </c>
      <c r="I140" s="24">
        <v>20</v>
      </c>
      <c r="J140" s="21">
        <v>5056</v>
      </c>
      <c r="K140" s="24" t="s">
        <v>23</v>
      </c>
      <c r="L140" s="24" t="s">
        <v>24</v>
      </c>
      <c r="M140" s="25">
        <v>35</v>
      </c>
      <c r="N140" s="26">
        <f t="shared" si="2"/>
        <v>265.54500000000002</v>
      </c>
      <c r="O140" s="26"/>
      <c r="P140" s="29" t="s">
        <v>289</v>
      </c>
      <c r="Q140" s="27"/>
    </row>
    <row r="141" spans="1:17" x14ac:dyDescent="0.2">
      <c r="A141" s="1" t="s">
        <v>506</v>
      </c>
      <c r="B141" s="1" t="s">
        <v>507</v>
      </c>
      <c r="C141" s="1" t="s">
        <v>508</v>
      </c>
      <c r="D141" s="1" t="s">
        <v>509</v>
      </c>
      <c r="E141" s="22">
        <v>10</v>
      </c>
      <c r="F141" s="22">
        <v>400</v>
      </c>
      <c r="G141" s="21">
        <v>15</v>
      </c>
      <c r="H141" s="23">
        <v>13.2582</v>
      </c>
      <c r="I141" s="24">
        <v>10</v>
      </c>
      <c r="J141" s="21">
        <v>3379</v>
      </c>
      <c r="K141" s="24" t="s">
        <v>23</v>
      </c>
      <c r="L141" s="24" t="s">
        <v>24</v>
      </c>
      <c r="M141" s="25">
        <v>20</v>
      </c>
      <c r="N141" s="26">
        <f t="shared" si="2"/>
        <v>265.16399999999999</v>
      </c>
      <c r="O141" s="26"/>
      <c r="P141" s="29" t="s">
        <v>289</v>
      </c>
    </row>
    <row r="142" spans="1:17" x14ac:dyDescent="0.2">
      <c r="A142" s="1" t="s">
        <v>510</v>
      </c>
      <c r="B142" s="1" t="s">
        <v>511</v>
      </c>
      <c r="C142" s="1" t="s">
        <v>512</v>
      </c>
      <c r="D142" s="1" t="s">
        <v>513</v>
      </c>
      <c r="E142" s="22">
        <v>620</v>
      </c>
      <c r="F142" s="22">
        <v>2000</v>
      </c>
      <c r="G142" s="21">
        <v>5</v>
      </c>
      <c r="H142" s="26">
        <v>0.53</v>
      </c>
      <c r="I142" s="24">
        <v>2000</v>
      </c>
      <c r="J142" s="21">
        <v>192627</v>
      </c>
      <c r="K142" s="24" t="s">
        <v>23</v>
      </c>
      <c r="L142" s="24" t="s">
        <v>24</v>
      </c>
      <c r="M142" s="25">
        <v>500</v>
      </c>
      <c r="N142" s="26">
        <f t="shared" si="2"/>
        <v>265</v>
      </c>
      <c r="O142" s="26"/>
    </row>
    <row r="143" spans="1:17" x14ac:dyDescent="0.2">
      <c r="A143" s="1" t="s">
        <v>514</v>
      </c>
      <c r="B143" s="1" t="s">
        <v>515</v>
      </c>
      <c r="C143" s="1" t="s">
        <v>516</v>
      </c>
      <c r="D143" s="1" t="s">
        <v>517</v>
      </c>
      <c r="E143" s="22">
        <v>10</v>
      </c>
      <c r="F143" s="22">
        <v>1000</v>
      </c>
      <c r="G143" s="21">
        <v>21</v>
      </c>
      <c r="H143" s="23">
        <v>1.325</v>
      </c>
      <c r="I143" s="24">
        <v>10</v>
      </c>
      <c r="J143" s="21">
        <v>5332</v>
      </c>
      <c r="K143" s="24" t="s">
        <v>23</v>
      </c>
      <c r="L143" s="24" t="s">
        <v>24</v>
      </c>
      <c r="M143" s="25">
        <v>200</v>
      </c>
      <c r="N143" s="26">
        <f t="shared" si="2"/>
        <v>265</v>
      </c>
      <c r="O143" s="26"/>
      <c r="P143" s="29" t="s">
        <v>289</v>
      </c>
    </row>
    <row r="144" spans="1:17" x14ac:dyDescent="0.2">
      <c r="A144" s="1" t="s">
        <v>518</v>
      </c>
      <c r="B144" s="1" t="s">
        <v>519</v>
      </c>
      <c r="C144" s="1" t="s">
        <v>520</v>
      </c>
      <c r="D144" s="1" t="s">
        <v>236</v>
      </c>
      <c r="E144" s="22">
        <v>240</v>
      </c>
      <c r="F144" s="22">
        <v>10000</v>
      </c>
      <c r="G144" s="21">
        <v>12</v>
      </c>
      <c r="H144" s="23">
        <v>0.33100000000000002</v>
      </c>
      <c r="I144" s="24">
        <v>240</v>
      </c>
      <c r="J144" s="21">
        <v>7754</v>
      </c>
      <c r="K144" s="24" t="s">
        <v>23</v>
      </c>
      <c r="L144" s="24" t="s">
        <v>24</v>
      </c>
      <c r="M144" s="25">
        <v>800</v>
      </c>
      <c r="N144" s="26">
        <f t="shared" si="2"/>
        <v>264.8</v>
      </c>
      <c r="O144" s="26"/>
      <c r="P144" s="29" t="s">
        <v>289</v>
      </c>
    </row>
    <row r="145" spans="1:17" x14ac:dyDescent="0.2">
      <c r="A145" s="1" t="s">
        <v>521</v>
      </c>
      <c r="B145" s="1" t="s">
        <v>522</v>
      </c>
      <c r="C145" s="1" t="s">
        <v>523</v>
      </c>
      <c r="D145" s="1" t="s">
        <v>524</v>
      </c>
      <c r="E145" s="22">
        <v>30</v>
      </c>
      <c r="F145" s="22">
        <v>1</v>
      </c>
      <c r="G145" s="21">
        <v>16</v>
      </c>
      <c r="H145" s="23">
        <v>3.31</v>
      </c>
      <c r="I145" s="24">
        <v>30</v>
      </c>
      <c r="J145" s="21">
        <v>2049</v>
      </c>
      <c r="K145" s="24" t="s">
        <v>23</v>
      </c>
      <c r="L145" s="24" t="s">
        <v>24</v>
      </c>
      <c r="M145" s="25">
        <v>80</v>
      </c>
      <c r="N145" s="26">
        <f t="shared" si="2"/>
        <v>264.8</v>
      </c>
      <c r="O145" s="26"/>
      <c r="P145" s="29" t="s">
        <v>289</v>
      </c>
    </row>
    <row r="146" spans="1:17" x14ac:dyDescent="0.2">
      <c r="A146" s="27" t="s">
        <v>525</v>
      </c>
      <c r="B146" s="27" t="s">
        <v>526</v>
      </c>
      <c r="C146" s="28" t="s">
        <v>527</v>
      </c>
      <c r="D146" s="28" t="s">
        <v>94</v>
      </c>
      <c r="E146" s="22">
        <v>10</v>
      </c>
      <c r="F146" s="22">
        <v>1</v>
      </c>
      <c r="G146" s="21">
        <v>21</v>
      </c>
      <c r="H146" s="23">
        <v>4.806</v>
      </c>
      <c r="I146" s="24">
        <v>10</v>
      </c>
      <c r="J146" s="21">
        <v>1420</v>
      </c>
      <c r="K146" s="24" t="s">
        <v>23</v>
      </c>
      <c r="L146" s="24" t="s">
        <v>24</v>
      </c>
      <c r="M146" s="25">
        <v>55</v>
      </c>
      <c r="N146" s="26">
        <f t="shared" si="2"/>
        <v>264.33</v>
      </c>
      <c r="O146" s="26"/>
      <c r="P146" s="29" t="s">
        <v>289</v>
      </c>
      <c r="Q146" s="27"/>
    </row>
    <row r="147" spans="1:17" x14ac:dyDescent="0.2">
      <c r="A147" s="1" t="s">
        <v>528</v>
      </c>
      <c r="B147" s="1" t="s">
        <v>529</v>
      </c>
      <c r="C147" s="1" t="s">
        <v>530</v>
      </c>
      <c r="D147" s="1" t="s">
        <v>358</v>
      </c>
      <c r="E147" s="22">
        <v>20</v>
      </c>
      <c r="F147" s="22">
        <v>1</v>
      </c>
      <c r="G147" s="21">
        <v>16</v>
      </c>
      <c r="H147" s="23">
        <v>13.173999999999999</v>
      </c>
      <c r="I147" s="24">
        <v>20</v>
      </c>
      <c r="J147" s="21">
        <v>1632</v>
      </c>
      <c r="K147" s="24" t="s">
        <v>23</v>
      </c>
      <c r="L147" s="24" t="s">
        <v>24</v>
      </c>
      <c r="M147" s="21">
        <v>20</v>
      </c>
      <c r="N147" s="26">
        <f t="shared" si="2"/>
        <v>263.48</v>
      </c>
      <c r="O147" s="26"/>
    </row>
    <row r="148" spans="1:17" x14ac:dyDescent="0.2">
      <c r="A148" s="1" t="s">
        <v>531</v>
      </c>
      <c r="B148" s="1" t="s">
        <v>532</v>
      </c>
      <c r="C148" s="1" t="s">
        <v>533</v>
      </c>
      <c r="D148" s="1" t="s">
        <v>374</v>
      </c>
      <c r="E148" s="22">
        <v>40</v>
      </c>
      <c r="F148" s="22">
        <v>1000</v>
      </c>
      <c r="G148" s="21">
        <v>15</v>
      </c>
      <c r="H148" s="23">
        <v>0.40510000000000002</v>
      </c>
      <c r="I148" s="24">
        <v>40</v>
      </c>
      <c r="J148" s="21">
        <v>5437</v>
      </c>
      <c r="K148" s="24" t="s">
        <v>23</v>
      </c>
      <c r="L148" s="24" t="s">
        <v>24</v>
      </c>
      <c r="M148" s="25">
        <v>650</v>
      </c>
      <c r="N148" s="26">
        <f t="shared" si="2"/>
        <v>263.315</v>
      </c>
      <c r="O148" s="26"/>
      <c r="P148" s="29" t="s">
        <v>289</v>
      </c>
    </row>
    <row r="149" spans="1:17" x14ac:dyDescent="0.2">
      <c r="A149" s="1" t="s">
        <v>534</v>
      </c>
      <c r="B149" s="1" t="s">
        <v>535</v>
      </c>
      <c r="C149" s="1" t="s">
        <v>536</v>
      </c>
      <c r="D149" s="1" t="s">
        <v>537</v>
      </c>
      <c r="E149" s="22">
        <v>120</v>
      </c>
      <c r="F149" s="22">
        <v>1000</v>
      </c>
      <c r="G149" s="21">
        <v>23</v>
      </c>
      <c r="H149" s="23">
        <v>1.7549999999999999</v>
      </c>
      <c r="I149" s="24">
        <v>120</v>
      </c>
      <c r="J149" s="21">
        <v>7944</v>
      </c>
      <c r="K149" s="24" t="s">
        <v>23</v>
      </c>
      <c r="L149" s="24" t="s">
        <v>24</v>
      </c>
      <c r="M149" s="25">
        <v>150</v>
      </c>
      <c r="N149" s="26">
        <f t="shared" si="2"/>
        <v>263.25</v>
      </c>
      <c r="O149" s="26"/>
      <c r="P149" s="29" t="s">
        <v>289</v>
      </c>
    </row>
    <row r="150" spans="1:17" x14ac:dyDescent="0.2">
      <c r="A150" s="1" t="s">
        <v>538</v>
      </c>
      <c r="B150" s="1" t="s">
        <v>539</v>
      </c>
      <c r="C150" s="1" t="s">
        <v>540</v>
      </c>
      <c r="D150" s="1" t="s">
        <v>236</v>
      </c>
      <c r="E150" s="22">
        <v>20</v>
      </c>
      <c r="F150" s="22">
        <v>10000</v>
      </c>
      <c r="G150" s="21">
        <v>26</v>
      </c>
      <c r="H150" s="26">
        <v>0.3286</v>
      </c>
      <c r="I150" s="24">
        <v>20</v>
      </c>
      <c r="J150" s="21">
        <v>0</v>
      </c>
      <c r="K150" s="24" t="s">
        <v>184</v>
      </c>
      <c r="L150" s="24" t="s">
        <v>24</v>
      </c>
      <c r="M150" s="25">
        <v>800</v>
      </c>
      <c r="N150" s="26">
        <f t="shared" si="2"/>
        <v>262.88</v>
      </c>
      <c r="O150" s="26"/>
      <c r="P150" s="29" t="s">
        <v>289</v>
      </c>
    </row>
    <row r="151" spans="1:17" x14ac:dyDescent="0.2">
      <c r="A151" s="1" t="s">
        <v>541</v>
      </c>
      <c r="B151" s="1" t="s">
        <v>542</v>
      </c>
      <c r="C151" s="1" t="s">
        <v>543</v>
      </c>
      <c r="D151" s="1" t="s">
        <v>473</v>
      </c>
      <c r="E151" s="22">
        <v>80</v>
      </c>
      <c r="F151" s="22">
        <v>300</v>
      </c>
      <c r="G151" s="21">
        <v>26</v>
      </c>
      <c r="H151" s="23">
        <v>3.2854999999999999</v>
      </c>
      <c r="I151" s="24">
        <v>80</v>
      </c>
      <c r="J151" s="21">
        <v>1571</v>
      </c>
      <c r="K151" s="24" t="s">
        <v>23</v>
      </c>
      <c r="L151" s="24" t="s">
        <v>24</v>
      </c>
      <c r="M151" s="21">
        <v>80</v>
      </c>
      <c r="N151" s="26">
        <f t="shared" si="2"/>
        <v>262.83999999999997</v>
      </c>
      <c r="O151" s="26"/>
    </row>
    <row r="152" spans="1:17" x14ac:dyDescent="0.2">
      <c r="A152" s="1" t="s">
        <v>544</v>
      </c>
      <c r="B152" s="1" t="s">
        <v>545</v>
      </c>
      <c r="C152" s="1" t="s">
        <v>546</v>
      </c>
      <c r="D152" s="1" t="s">
        <v>188</v>
      </c>
      <c r="E152" s="22">
        <v>20</v>
      </c>
      <c r="F152" s="22">
        <v>1</v>
      </c>
      <c r="G152" s="21">
        <v>26</v>
      </c>
      <c r="H152" s="23">
        <v>1.6419999999999999</v>
      </c>
      <c r="I152" s="24">
        <v>20</v>
      </c>
      <c r="J152" s="21">
        <v>2438</v>
      </c>
      <c r="K152" s="24" t="s">
        <v>23</v>
      </c>
      <c r="L152" s="24" t="s">
        <v>24</v>
      </c>
      <c r="M152" s="25">
        <v>160</v>
      </c>
      <c r="N152" s="26">
        <f t="shared" si="2"/>
        <v>262.71999999999997</v>
      </c>
      <c r="O152" s="26"/>
      <c r="P152" s="29" t="s">
        <v>289</v>
      </c>
    </row>
    <row r="153" spans="1:17" x14ac:dyDescent="0.2">
      <c r="A153" s="1" t="s">
        <v>547</v>
      </c>
      <c r="B153" s="1" t="s">
        <v>548</v>
      </c>
      <c r="C153" s="1" t="s">
        <v>549</v>
      </c>
      <c r="D153" s="1" t="s">
        <v>550</v>
      </c>
      <c r="E153" s="22">
        <v>10</v>
      </c>
      <c r="F153" s="22">
        <v>2000</v>
      </c>
      <c r="G153" s="21">
        <v>12</v>
      </c>
      <c r="H153" s="26">
        <v>0.35</v>
      </c>
      <c r="I153" s="24">
        <v>10</v>
      </c>
      <c r="J153" s="21" t="s">
        <v>116</v>
      </c>
      <c r="K153" s="24" t="s">
        <v>117</v>
      </c>
      <c r="L153" s="24" t="s">
        <v>24</v>
      </c>
      <c r="M153" s="25">
        <v>750</v>
      </c>
      <c r="N153" s="26">
        <f t="shared" si="2"/>
        <v>262.5</v>
      </c>
      <c r="O153" s="26"/>
    </row>
    <row r="154" spans="1:17" x14ac:dyDescent="0.2">
      <c r="A154" s="1" t="s">
        <v>551</v>
      </c>
      <c r="B154" s="1" t="s">
        <v>552</v>
      </c>
      <c r="C154" s="1" t="s">
        <v>553</v>
      </c>
      <c r="D154" s="1" t="s">
        <v>554</v>
      </c>
      <c r="E154" s="22">
        <v>35</v>
      </c>
      <c r="F154" s="22">
        <v>1</v>
      </c>
      <c r="G154" s="21">
        <v>22</v>
      </c>
      <c r="H154" s="23">
        <v>3.0828000000000002</v>
      </c>
      <c r="I154" s="24">
        <v>35</v>
      </c>
      <c r="J154" s="21">
        <v>1000</v>
      </c>
      <c r="K154" s="24" t="s">
        <v>23</v>
      </c>
      <c r="L154" s="24" t="s">
        <v>24</v>
      </c>
      <c r="M154" s="25">
        <v>85</v>
      </c>
      <c r="N154" s="26">
        <f t="shared" si="2"/>
        <v>262.03800000000001</v>
      </c>
      <c r="O154" s="26"/>
      <c r="P154" s="29" t="s">
        <v>289</v>
      </c>
    </row>
    <row r="155" spans="1:17" x14ac:dyDescent="0.2">
      <c r="A155" s="1" t="s">
        <v>555</v>
      </c>
      <c r="B155" s="1" t="s">
        <v>556</v>
      </c>
      <c r="C155" s="1" t="s">
        <v>557</v>
      </c>
      <c r="D155" s="1" t="s">
        <v>311</v>
      </c>
      <c r="E155" s="22">
        <v>20</v>
      </c>
      <c r="F155" s="22">
        <v>1</v>
      </c>
      <c r="G155" s="21">
        <v>20</v>
      </c>
      <c r="H155" s="26">
        <v>7.4805000000000001</v>
      </c>
      <c r="I155" s="24">
        <v>20</v>
      </c>
      <c r="J155" s="21">
        <v>3173</v>
      </c>
      <c r="K155" s="24" t="s">
        <v>69</v>
      </c>
      <c r="L155" s="24" t="s">
        <v>24</v>
      </c>
      <c r="M155" s="25">
        <v>35</v>
      </c>
      <c r="N155" s="26">
        <f t="shared" si="2"/>
        <v>261.8175</v>
      </c>
      <c r="O155" s="26"/>
      <c r="P155" s="29" t="s">
        <v>289</v>
      </c>
    </row>
    <row r="156" spans="1:17" x14ac:dyDescent="0.2">
      <c r="A156" s="1" t="s">
        <v>558</v>
      </c>
      <c r="B156" s="1" t="s">
        <v>559</v>
      </c>
      <c r="C156" s="1" t="s">
        <v>560</v>
      </c>
      <c r="D156" s="1" t="s">
        <v>64</v>
      </c>
      <c r="E156" s="22">
        <v>20</v>
      </c>
      <c r="F156" s="22">
        <v>1</v>
      </c>
      <c r="G156" s="21">
        <v>16</v>
      </c>
      <c r="H156" s="23">
        <v>2.4900000000000002</v>
      </c>
      <c r="I156" s="24">
        <v>20</v>
      </c>
      <c r="J156" s="21">
        <v>1620</v>
      </c>
      <c r="K156" s="24" t="s">
        <v>23</v>
      </c>
      <c r="L156" s="24" t="s">
        <v>24</v>
      </c>
      <c r="M156" s="25">
        <v>105</v>
      </c>
      <c r="N156" s="26">
        <f t="shared" si="2"/>
        <v>261.45000000000005</v>
      </c>
      <c r="O156" s="26"/>
      <c r="P156" s="29" t="s">
        <v>289</v>
      </c>
    </row>
    <row r="157" spans="1:17" x14ac:dyDescent="0.2">
      <c r="A157" s="1" t="s">
        <v>561</v>
      </c>
      <c r="B157" s="1" t="s">
        <v>562</v>
      </c>
      <c r="C157" s="1" t="s">
        <v>563</v>
      </c>
      <c r="D157" s="1" t="s">
        <v>564</v>
      </c>
      <c r="E157" s="22">
        <v>10</v>
      </c>
      <c r="F157" s="22">
        <v>4000</v>
      </c>
      <c r="G157" s="21">
        <v>10</v>
      </c>
      <c r="H157" s="23">
        <v>0.17419999999999999</v>
      </c>
      <c r="I157" s="24">
        <v>10</v>
      </c>
      <c r="J157" s="21">
        <v>6600</v>
      </c>
      <c r="K157" s="24" t="s">
        <v>23</v>
      </c>
      <c r="L157" s="24" t="s">
        <v>24</v>
      </c>
      <c r="M157" s="25">
        <v>1500</v>
      </c>
      <c r="N157" s="26">
        <f t="shared" si="2"/>
        <v>261.3</v>
      </c>
      <c r="O157" s="26"/>
      <c r="P157" s="29" t="s">
        <v>289</v>
      </c>
    </row>
    <row r="158" spans="1:17" x14ac:dyDescent="0.2">
      <c r="A158" s="27" t="s">
        <v>565</v>
      </c>
      <c r="B158" s="27" t="s">
        <v>566</v>
      </c>
      <c r="C158" s="28" t="s">
        <v>567</v>
      </c>
      <c r="D158" s="28" t="s">
        <v>568</v>
      </c>
      <c r="E158" s="22">
        <v>15</v>
      </c>
      <c r="F158" s="22">
        <v>1</v>
      </c>
      <c r="G158" s="21">
        <v>18</v>
      </c>
      <c r="H158" s="23">
        <v>2.09</v>
      </c>
      <c r="I158" s="24">
        <v>15</v>
      </c>
      <c r="J158" s="21">
        <v>1487</v>
      </c>
      <c r="K158" s="24" t="s">
        <v>23</v>
      </c>
      <c r="L158" s="24" t="s">
        <v>24</v>
      </c>
      <c r="M158" s="25">
        <v>125</v>
      </c>
      <c r="N158" s="26">
        <f t="shared" si="2"/>
        <v>261.25</v>
      </c>
      <c r="O158" s="26"/>
      <c r="P158" s="29" t="s">
        <v>289</v>
      </c>
      <c r="Q158" s="27"/>
    </row>
    <row r="159" spans="1:17" x14ac:dyDescent="0.2">
      <c r="A159" s="1" t="s">
        <v>569</v>
      </c>
      <c r="B159" s="1" t="s">
        <v>570</v>
      </c>
      <c r="C159" s="1" t="s">
        <v>571</v>
      </c>
      <c r="D159" s="1" t="s">
        <v>572</v>
      </c>
      <c r="E159" s="22">
        <v>10</v>
      </c>
      <c r="F159" s="22">
        <v>1100</v>
      </c>
      <c r="G159" s="21">
        <v>16</v>
      </c>
      <c r="H159" s="23">
        <v>1.6245000000000001</v>
      </c>
      <c r="I159" s="24">
        <v>10</v>
      </c>
      <c r="J159" s="21">
        <v>188</v>
      </c>
      <c r="K159" s="24" t="s">
        <v>23</v>
      </c>
      <c r="L159" s="24" t="s">
        <v>24</v>
      </c>
      <c r="M159" s="25">
        <v>160</v>
      </c>
      <c r="N159" s="26">
        <f t="shared" si="2"/>
        <v>259.92</v>
      </c>
      <c r="O159" s="26"/>
      <c r="P159" s="29" t="s">
        <v>289</v>
      </c>
    </row>
    <row r="160" spans="1:17" x14ac:dyDescent="0.2">
      <c r="A160" s="1" t="s">
        <v>573</v>
      </c>
      <c r="B160" s="1" t="s">
        <v>574</v>
      </c>
      <c r="C160" s="1" t="s">
        <v>575</v>
      </c>
      <c r="D160" s="1" t="s">
        <v>576</v>
      </c>
      <c r="E160" s="22">
        <v>245</v>
      </c>
      <c r="F160" s="22">
        <v>1</v>
      </c>
      <c r="G160" s="21">
        <v>21</v>
      </c>
      <c r="H160" s="23">
        <v>1.9900000000000001E-2</v>
      </c>
      <c r="I160" s="24">
        <v>245</v>
      </c>
      <c r="J160" s="21">
        <v>6</v>
      </c>
      <c r="K160" s="24" t="s">
        <v>23</v>
      </c>
      <c r="L160" s="24" t="s">
        <v>24</v>
      </c>
      <c r="M160" s="25">
        <v>13000</v>
      </c>
      <c r="N160" s="26">
        <f t="shared" si="2"/>
        <v>258.7</v>
      </c>
      <c r="O160" s="26"/>
      <c r="P160" s="29" t="s">
        <v>289</v>
      </c>
    </row>
    <row r="161" spans="1:17" x14ac:dyDescent="0.2">
      <c r="A161" s="1" t="s">
        <v>577</v>
      </c>
      <c r="B161" s="1" t="s">
        <v>578</v>
      </c>
      <c r="C161" s="1" t="s">
        <v>579</v>
      </c>
      <c r="D161" s="1" t="s">
        <v>94</v>
      </c>
      <c r="E161" s="22">
        <v>10</v>
      </c>
      <c r="F161" s="22">
        <v>1</v>
      </c>
      <c r="G161" s="21">
        <v>23</v>
      </c>
      <c r="H161" s="23">
        <v>1.1496999999999999</v>
      </c>
      <c r="I161" s="24">
        <v>10</v>
      </c>
      <c r="J161" s="21">
        <v>1573</v>
      </c>
      <c r="K161" s="24" t="s">
        <v>23</v>
      </c>
      <c r="L161" s="24" t="s">
        <v>24</v>
      </c>
      <c r="M161" s="25">
        <v>225</v>
      </c>
      <c r="N161" s="26">
        <f t="shared" si="2"/>
        <v>258.6825</v>
      </c>
      <c r="O161" s="26"/>
      <c r="P161" s="29" t="s">
        <v>289</v>
      </c>
    </row>
    <row r="162" spans="1:17" x14ac:dyDescent="0.2">
      <c r="A162" s="1" t="s">
        <v>580</v>
      </c>
      <c r="B162" s="1" t="s">
        <v>581</v>
      </c>
      <c r="C162" s="1" t="s">
        <v>582</v>
      </c>
      <c r="D162" s="1" t="s">
        <v>583</v>
      </c>
      <c r="E162" s="22">
        <v>45</v>
      </c>
      <c r="F162" s="22">
        <v>1000</v>
      </c>
      <c r="G162" s="21">
        <v>8</v>
      </c>
      <c r="H162" s="23">
        <v>0.43009999999999998</v>
      </c>
      <c r="I162" s="24">
        <v>45</v>
      </c>
      <c r="J162" s="21">
        <v>3340</v>
      </c>
      <c r="K162" s="24" t="s">
        <v>23</v>
      </c>
      <c r="L162" s="24" t="s">
        <v>24</v>
      </c>
      <c r="M162" s="25">
        <v>600</v>
      </c>
      <c r="N162" s="26">
        <f t="shared" si="2"/>
        <v>258.06</v>
      </c>
      <c r="O162" s="26"/>
      <c r="P162" s="29" t="s">
        <v>289</v>
      </c>
    </row>
    <row r="163" spans="1:17" x14ac:dyDescent="0.2">
      <c r="A163" s="27" t="s">
        <v>584</v>
      </c>
      <c r="B163" s="27" t="s">
        <v>585</v>
      </c>
      <c r="C163" s="28" t="s">
        <v>586</v>
      </c>
      <c r="D163" s="28" t="s">
        <v>587</v>
      </c>
      <c r="E163" s="22">
        <v>10</v>
      </c>
      <c r="F163" s="22">
        <v>1</v>
      </c>
      <c r="G163" s="21">
        <v>22</v>
      </c>
      <c r="H163" s="23">
        <v>6.45</v>
      </c>
      <c r="I163" s="24">
        <v>10</v>
      </c>
      <c r="J163" s="21">
        <v>1172</v>
      </c>
      <c r="K163" s="24" t="s">
        <v>23</v>
      </c>
      <c r="L163" s="24" t="s">
        <v>24</v>
      </c>
      <c r="M163" s="25">
        <v>40</v>
      </c>
      <c r="N163" s="26">
        <f t="shared" si="2"/>
        <v>258</v>
      </c>
      <c r="O163" s="26"/>
      <c r="P163" s="29" t="s">
        <v>289</v>
      </c>
      <c r="Q163" s="27"/>
    </row>
    <row r="164" spans="1:17" x14ac:dyDescent="0.2">
      <c r="A164" s="1" t="s">
        <v>588</v>
      </c>
      <c r="B164" s="1" t="s">
        <v>589</v>
      </c>
      <c r="C164" s="1" t="s">
        <v>590</v>
      </c>
      <c r="D164" s="1" t="s">
        <v>591</v>
      </c>
      <c r="E164" s="22">
        <v>10</v>
      </c>
      <c r="F164" s="22">
        <v>1500</v>
      </c>
      <c r="G164" s="21">
        <v>24</v>
      </c>
      <c r="H164" s="23">
        <v>2.5792000000000002</v>
      </c>
      <c r="I164" s="24">
        <v>10</v>
      </c>
      <c r="J164" s="21">
        <v>4794</v>
      </c>
      <c r="K164" s="24" t="s">
        <v>23</v>
      </c>
      <c r="L164" s="24" t="s">
        <v>24</v>
      </c>
      <c r="M164" s="25">
        <v>100</v>
      </c>
      <c r="N164" s="26">
        <f t="shared" si="2"/>
        <v>257.92</v>
      </c>
      <c r="O164" s="26"/>
      <c r="P164" s="29" t="s">
        <v>289</v>
      </c>
    </row>
    <row r="165" spans="1:17" x14ac:dyDescent="0.2">
      <c r="A165" s="27" t="s">
        <v>592</v>
      </c>
      <c r="B165" s="27" t="s">
        <v>593</v>
      </c>
      <c r="C165" s="28" t="s">
        <v>594</v>
      </c>
      <c r="D165" s="28" t="s">
        <v>163</v>
      </c>
      <c r="E165" s="22">
        <v>20</v>
      </c>
      <c r="F165" s="22">
        <v>1</v>
      </c>
      <c r="G165" s="21">
        <v>10</v>
      </c>
      <c r="H165" s="23">
        <v>3.68</v>
      </c>
      <c r="I165" s="24">
        <v>20</v>
      </c>
      <c r="J165" s="21">
        <v>1569</v>
      </c>
      <c r="K165" s="24" t="s">
        <v>23</v>
      </c>
      <c r="L165" s="24" t="s">
        <v>24</v>
      </c>
      <c r="M165" s="25">
        <v>70</v>
      </c>
      <c r="N165" s="26">
        <f t="shared" si="2"/>
        <v>257.60000000000002</v>
      </c>
      <c r="O165" s="26"/>
      <c r="P165" s="29" t="s">
        <v>289</v>
      </c>
      <c r="Q165" s="27"/>
    </row>
    <row r="166" spans="1:17" x14ac:dyDescent="0.2">
      <c r="A166" s="1" t="s">
        <v>595</v>
      </c>
      <c r="B166" s="1" t="s">
        <v>596</v>
      </c>
      <c r="C166" s="1" t="s">
        <v>597</v>
      </c>
      <c r="D166" s="1" t="s">
        <v>374</v>
      </c>
      <c r="E166" s="22">
        <v>10</v>
      </c>
      <c r="F166" s="22">
        <v>5000</v>
      </c>
      <c r="G166" s="21">
        <v>15</v>
      </c>
      <c r="H166" s="23">
        <v>0.28599999999999998</v>
      </c>
      <c r="I166" s="24">
        <v>10</v>
      </c>
      <c r="J166" s="21">
        <v>0</v>
      </c>
      <c r="K166" s="24" t="s">
        <v>23</v>
      </c>
      <c r="L166" s="24" t="s">
        <v>24</v>
      </c>
      <c r="M166" s="25">
        <v>900</v>
      </c>
      <c r="N166" s="26">
        <f t="shared" si="2"/>
        <v>257.39999999999998</v>
      </c>
      <c r="O166" s="26"/>
      <c r="P166" s="29" t="s">
        <v>289</v>
      </c>
    </row>
    <row r="167" spans="1:17" x14ac:dyDescent="0.2">
      <c r="A167" s="1" t="s">
        <v>598</v>
      </c>
      <c r="B167" s="1" t="s">
        <v>599</v>
      </c>
      <c r="C167" s="1" t="s">
        <v>600</v>
      </c>
      <c r="D167" s="1" t="s">
        <v>601</v>
      </c>
      <c r="E167" s="22">
        <v>10</v>
      </c>
      <c r="F167" s="22">
        <v>2500</v>
      </c>
      <c r="G167" s="21">
        <v>58</v>
      </c>
      <c r="H167" s="23">
        <v>0.64300000000000002</v>
      </c>
      <c r="I167" s="24">
        <v>10</v>
      </c>
      <c r="J167" s="21">
        <v>1889</v>
      </c>
      <c r="K167" s="24" t="s">
        <v>23</v>
      </c>
      <c r="L167" s="24" t="s">
        <v>24</v>
      </c>
      <c r="M167" s="25">
        <v>400</v>
      </c>
      <c r="N167" s="26">
        <f t="shared" si="2"/>
        <v>257.2</v>
      </c>
      <c r="O167" s="26"/>
      <c r="P167" s="29" t="s">
        <v>289</v>
      </c>
    </row>
    <row r="168" spans="1:17" x14ac:dyDescent="0.2">
      <c r="A168" s="1" t="s">
        <v>602</v>
      </c>
      <c r="B168" s="1" t="s">
        <v>603</v>
      </c>
      <c r="C168" s="1" t="s">
        <v>604</v>
      </c>
      <c r="D168" s="1" t="s">
        <v>605</v>
      </c>
      <c r="E168" s="22">
        <v>40</v>
      </c>
      <c r="F168" s="22">
        <v>1000</v>
      </c>
      <c r="G168" s="21">
        <v>17</v>
      </c>
      <c r="H168" s="23">
        <v>3.2149999999999999</v>
      </c>
      <c r="I168" s="24">
        <v>40</v>
      </c>
      <c r="J168" s="21">
        <v>7754</v>
      </c>
      <c r="K168" s="24" t="s">
        <v>23</v>
      </c>
      <c r="L168" s="24" t="s">
        <v>24</v>
      </c>
      <c r="M168" s="25">
        <v>80</v>
      </c>
      <c r="N168" s="26">
        <f t="shared" si="2"/>
        <v>257.2</v>
      </c>
      <c r="O168" s="26"/>
      <c r="P168" s="29" t="s">
        <v>289</v>
      </c>
    </row>
    <row r="169" spans="1:17" x14ac:dyDescent="0.2">
      <c r="A169" s="1" t="s">
        <v>606</v>
      </c>
      <c r="B169" s="1" t="s">
        <v>607</v>
      </c>
      <c r="C169" s="1" t="s">
        <v>608</v>
      </c>
      <c r="D169" s="1" t="s">
        <v>64</v>
      </c>
      <c r="E169" s="22">
        <v>105</v>
      </c>
      <c r="F169" s="22">
        <v>1</v>
      </c>
      <c r="G169" s="21">
        <v>11</v>
      </c>
      <c r="H169" s="26">
        <v>0.3024</v>
      </c>
      <c r="I169" s="24">
        <v>105</v>
      </c>
      <c r="J169" s="21">
        <v>0</v>
      </c>
      <c r="K169" s="24" t="s">
        <v>69</v>
      </c>
      <c r="L169" s="24" t="s">
        <v>24</v>
      </c>
      <c r="M169" s="25">
        <v>850</v>
      </c>
      <c r="N169" s="26">
        <f t="shared" si="2"/>
        <v>257.04000000000002</v>
      </c>
      <c r="O169" s="26"/>
      <c r="P169" s="29" t="s">
        <v>289</v>
      </c>
    </row>
    <row r="170" spans="1:17" x14ac:dyDescent="0.2">
      <c r="A170" s="1" t="s">
        <v>609</v>
      </c>
      <c r="B170" s="1" t="s">
        <v>610</v>
      </c>
      <c r="C170" s="1" t="s">
        <v>611</v>
      </c>
      <c r="D170" s="1" t="s">
        <v>307</v>
      </c>
      <c r="E170" s="22">
        <v>125</v>
      </c>
      <c r="F170" s="22">
        <v>5000</v>
      </c>
      <c r="G170" s="21">
        <v>21</v>
      </c>
      <c r="H170" s="23">
        <v>8.5500000000000007E-2</v>
      </c>
      <c r="I170" s="24">
        <v>125</v>
      </c>
      <c r="J170" s="21">
        <v>8875</v>
      </c>
      <c r="K170" s="24" t="s">
        <v>23</v>
      </c>
      <c r="L170" s="24" t="s">
        <v>24</v>
      </c>
      <c r="M170" s="25">
        <v>3000</v>
      </c>
      <c r="N170" s="26">
        <f t="shared" si="2"/>
        <v>256.5</v>
      </c>
      <c r="O170" s="26"/>
      <c r="P170" s="29" t="s">
        <v>289</v>
      </c>
    </row>
    <row r="171" spans="1:17" x14ac:dyDescent="0.2">
      <c r="A171" s="1" t="s">
        <v>612</v>
      </c>
      <c r="B171" s="1" t="s">
        <v>613</v>
      </c>
      <c r="C171" s="1" t="s">
        <v>614</v>
      </c>
      <c r="D171" s="1" t="s">
        <v>299</v>
      </c>
      <c r="E171" s="22">
        <v>85</v>
      </c>
      <c r="F171" s="22">
        <v>1</v>
      </c>
      <c r="G171" s="21">
        <v>6</v>
      </c>
      <c r="H171" s="23">
        <v>1.71</v>
      </c>
      <c r="I171" s="24">
        <v>85</v>
      </c>
      <c r="J171" s="21">
        <v>1836</v>
      </c>
      <c r="K171" s="24" t="s">
        <v>23</v>
      </c>
      <c r="L171" s="24" t="s">
        <v>24</v>
      </c>
      <c r="M171" s="25">
        <v>150</v>
      </c>
      <c r="N171" s="26">
        <f t="shared" si="2"/>
        <v>256.5</v>
      </c>
      <c r="O171" s="26"/>
      <c r="P171" s="29" t="s">
        <v>289</v>
      </c>
    </row>
    <row r="172" spans="1:17" x14ac:dyDescent="0.2">
      <c r="A172" s="1" t="s">
        <v>615</v>
      </c>
      <c r="B172" s="1" t="s">
        <v>616</v>
      </c>
      <c r="C172" s="1" t="s">
        <v>617</v>
      </c>
      <c r="D172" s="1" t="s">
        <v>311</v>
      </c>
      <c r="E172" s="22">
        <v>10</v>
      </c>
      <c r="F172" s="22">
        <v>37</v>
      </c>
      <c r="G172" s="21">
        <v>20</v>
      </c>
      <c r="H172" s="23">
        <v>7.3281999999999998</v>
      </c>
      <c r="I172" s="24">
        <v>10</v>
      </c>
      <c r="J172" s="21">
        <v>1967</v>
      </c>
      <c r="K172" s="24" t="s">
        <v>23</v>
      </c>
      <c r="L172" s="24" t="s">
        <v>24</v>
      </c>
      <c r="M172" s="25">
        <v>35</v>
      </c>
      <c r="N172" s="26">
        <f t="shared" si="2"/>
        <v>256.48699999999997</v>
      </c>
      <c r="O172" s="26"/>
      <c r="P172" s="29" t="s">
        <v>289</v>
      </c>
    </row>
    <row r="173" spans="1:17" x14ac:dyDescent="0.2">
      <c r="A173" s="1" t="s">
        <v>618</v>
      </c>
      <c r="B173" s="1" t="s">
        <v>619</v>
      </c>
      <c r="C173" s="1" t="s">
        <v>620</v>
      </c>
      <c r="D173" s="1" t="s">
        <v>236</v>
      </c>
      <c r="E173" s="22">
        <v>40</v>
      </c>
      <c r="F173" s="22">
        <v>1</v>
      </c>
      <c r="G173" s="21">
        <v>31</v>
      </c>
      <c r="H173" s="23">
        <v>2.23</v>
      </c>
      <c r="I173" s="24">
        <v>40</v>
      </c>
      <c r="J173" s="21">
        <v>1045</v>
      </c>
      <c r="K173" s="24" t="s">
        <v>23</v>
      </c>
      <c r="L173" s="24" t="s">
        <v>24</v>
      </c>
      <c r="M173" s="25">
        <v>115</v>
      </c>
      <c r="N173" s="26">
        <f t="shared" si="2"/>
        <v>256.45</v>
      </c>
      <c r="O173" s="26"/>
      <c r="P173" s="29" t="s">
        <v>289</v>
      </c>
    </row>
    <row r="174" spans="1:17" x14ac:dyDescent="0.2">
      <c r="A174" s="1" t="s">
        <v>621</v>
      </c>
      <c r="B174" s="1" t="s">
        <v>622</v>
      </c>
      <c r="C174" s="1" t="s">
        <v>623</v>
      </c>
      <c r="D174" s="1" t="s">
        <v>307</v>
      </c>
      <c r="E174" s="22">
        <v>40</v>
      </c>
      <c r="F174" s="22">
        <v>5000</v>
      </c>
      <c r="G174" s="21">
        <v>23</v>
      </c>
      <c r="H174" s="23">
        <v>8.5400000000000004E-2</v>
      </c>
      <c r="I174" s="24">
        <v>40</v>
      </c>
      <c r="J174" s="21">
        <v>7088</v>
      </c>
      <c r="K174" s="24" t="s">
        <v>23</v>
      </c>
      <c r="L174" s="24" t="s">
        <v>24</v>
      </c>
      <c r="M174" s="25">
        <v>3000</v>
      </c>
      <c r="N174" s="26">
        <f t="shared" si="2"/>
        <v>256.2</v>
      </c>
      <c r="O174" s="26"/>
      <c r="P174" s="29" t="s">
        <v>289</v>
      </c>
    </row>
    <row r="175" spans="1:17" x14ac:dyDescent="0.2">
      <c r="A175" s="1" t="s">
        <v>624</v>
      </c>
      <c r="B175" s="1" t="s">
        <v>625</v>
      </c>
      <c r="C175" s="1" t="s">
        <v>626</v>
      </c>
      <c r="D175" s="1" t="s">
        <v>311</v>
      </c>
      <c r="E175" s="22">
        <v>20</v>
      </c>
      <c r="F175" s="22">
        <v>1</v>
      </c>
      <c r="G175" s="21">
        <v>31</v>
      </c>
      <c r="H175" s="23">
        <v>6.3993000000000002</v>
      </c>
      <c r="I175" s="24">
        <v>20</v>
      </c>
      <c r="J175" s="21">
        <v>6843</v>
      </c>
      <c r="K175" s="24" t="s">
        <v>23</v>
      </c>
      <c r="L175" s="24" t="s">
        <v>24</v>
      </c>
      <c r="M175" s="25">
        <v>40</v>
      </c>
      <c r="N175" s="26">
        <f t="shared" si="2"/>
        <v>255.97200000000001</v>
      </c>
      <c r="O175" s="26"/>
      <c r="P175" s="29" t="s">
        <v>289</v>
      </c>
    </row>
    <row r="176" spans="1:17" x14ac:dyDescent="0.2">
      <c r="A176" s="1" t="s">
        <v>627</v>
      </c>
      <c r="B176" s="1" t="s">
        <v>628</v>
      </c>
      <c r="C176" s="1" t="s">
        <v>629</v>
      </c>
      <c r="D176" s="1" t="s">
        <v>76</v>
      </c>
      <c r="E176" s="22">
        <v>30</v>
      </c>
      <c r="F176" s="22">
        <v>3000</v>
      </c>
      <c r="G176" s="21">
        <v>15</v>
      </c>
      <c r="H176" s="23">
        <v>0.63949999999999996</v>
      </c>
      <c r="I176" s="24">
        <v>30</v>
      </c>
      <c r="J176" s="21">
        <v>5562</v>
      </c>
      <c r="K176" s="24" t="s">
        <v>23</v>
      </c>
      <c r="L176" s="24" t="s">
        <v>24</v>
      </c>
      <c r="M176" s="25">
        <v>400</v>
      </c>
      <c r="N176" s="26">
        <f t="shared" si="2"/>
        <v>255.79999999999998</v>
      </c>
      <c r="O176" s="26"/>
      <c r="P176" s="29" t="s">
        <v>289</v>
      </c>
    </row>
    <row r="177" spans="1:17" x14ac:dyDescent="0.2">
      <c r="A177" s="27" t="s">
        <v>630</v>
      </c>
      <c r="B177" s="27" t="s">
        <v>631</v>
      </c>
      <c r="C177" s="28" t="s">
        <v>632</v>
      </c>
      <c r="D177" s="28" t="s">
        <v>374</v>
      </c>
      <c r="E177" s="22">
        <v>5</v>
      </c>
      <c r="F177" s="22">
        <v>5000</v>
      </c>
      <c r="G177" s="21">
        <v>14</v>
      </c>
      <c r="H177" s="23">
        <v>0.93</v>
      </c>
      <c r="I177" s="24">
        <v>0</v>
      </c>
      <c r="J177" s="21">
        <v>0</v>
      </c>
      <c r="K177" s="24" t="s">
        <v>23</v>
      </c>
      <c r="L177" s="24" t="s">
        <v>24</v>
      </c>
      <c r="M177" s="25">
        <v>275</v>
      </c>
      <c r="N177" s="26">
        <f t="shared" si="2"/>
        <v>255.75</v>
      </c>
      <c r="O177" s="26"/>
      <c r="P177" s="29" t="s">
        <v>289</v>
      </c>
      <c r="Q177" s="27"/>
    </row>
    <row r="178" spans="1:17" x14ac:dyDescent="0.2">
      <c r="A178" s="27" t="s">
        <v>633</v>
      </c>
      <c r="B178" s="27" t="s">
        <v>634</v>
      </c>
      <c r="C178" s="28" t="s">
        <v>635</v>
      </c>
      <c r="D178" s="28" t="s">
        <v>32</v>
      </c>
      <c r="E178" s="22">
        <v>20</v>
      </c>
      <c r="F178" s="22">
        <v>1</v>
      </c>
      <c r="G178" s="21">
        <v>7</v>
      </c>
      <c r="H178" s="23">
        <v>12.782</v>
      </c>
      <c r="I178" s="24">
        <v>20</v>
      </c>
      <c r="J178" s="21">
        <v>3416</v>
      </c>
      <c r="K178" s="24" t="s">
        <v>23</v>
      </c>
      <c r="L178" s="24" t="s">
        <v>24</v>
      </c>
      <c r="M178" s="21">
        <v>20</v>
      </c>
      <c r="N178" s="26">
        <f t="shared" si="2"/>
        <v>255.64</v>
      </c>
      <c r="O178" s="26"/>
      <c r="P178" s="27"/>
      <c r="Q178" s="27"/>
    </row>
    <row r="179" spans="1:17" x14ac:dyDescent="0.2">
      <c r="A179" s="1" t="s">
        <v>636</v>
      </c>
      <c r="B179" s="1" t="s">
        <v>637</v>
      </c>
      <c r="C179" s="1" t="s">
        <v>638</v>
      </c>
      <c r="D179" s="1" t="s">
        <v>276</v>
      </c>
      <c r="E179" s="22">
        <v>160</v>
      </c>
      <c r="F179" s="22">
        <v>5000</v>
      </c>
      <c r="G179" s="21">
        <v>17</v>
      </c>
      <c r="H179" s="23">
        <v>0.82299999999999995</v>
      </c>
      <c r="I179" s="24">
        <v>160</v>
      </c>
      <c r="J179" s="21">
        <v>0</v>
      </c>
      <c r="K179" s="24" t="s">
        <v>23</v>
      </c>
      <c r="L179" s="24" t="s">
        <v>24</v>
      </c>
      <c r="M179" s="25">
        <v>310</v>
      </c>
      <c r="N179" s="26">
        <f t="shared" si="2"/>
        <v>255.13</v>
      </c>
      <c r="O179" s="26"/>
      <c r="P179" s="29" t="s">
        <v>289</v>
      </c>
    </row>
    <row r="180" spans="1:17" x14ac:dyDescent="0.2">
      <c r="A180" s="1" t="s">
        <v>639</v>
      </c>
      <c r="B180" s="1" t="s">
        <v>640</v>
      </c>
      <c r="C180" s="1" t="s">
        <v>641</v>
      </c>
      <c r="D180" s="1" t="s">
        <v>307</v>
      </c>
      <c r="E180" s="22">
        <v>170</v>
      </c>
      <c r="F180" s="22">
        <v>1</v>
      </c>
      <c r="G180" s="21">
        <v>23</v>
      </c>
      <c r="H180" s="23">
        <v>8.5000000000000006E-2</v>
      </c>
      <c r="I180" s="24">
        <v>170</v>
      </c>
      <c r="J180" s="21">
        <v>0</v>
      </c>
      <c r="K180" s="24" t="s">
        <v>23</v>
      </c>
      <c r="L180" s="24" t="s">
        <v>24</v>
      </c>
      <c r="M180" s="25">
        <v>3000</v>
      </c>
      <c r="N180" s="26">
        <f t="shared" si="2"/>
        <v>255.00000000000003</v>
      </c>
      <c r="O180" s="26"/>
      <c r="P180" s="29" t="s">
        <v>289</v>
      </c>
    </row>
    <row r="181" spans="1:17" x14ac:dyDescent="0.2">
      <c r="A181" s="27" t="s">
        <v>642</v>
      </c>
      <c r="B181" s="27" t="s">
        <v>643</v>
      </c>
      <c r="C181" s="28" t="s">
        <v>644</v>
      </c>
      <c r="D181" s="28" t="s">
        <v>645</v>
      </c>
      <c r="E181" s="22">
        <v>30</v>
      </c>
      <c r="F181" s="22">
        <v>800</v>
      </c>
      <c r="G181" s="21">
        <v>18</v>
      </c>
      <c r="H181" s="23">
        <v>4.25</v>
      </c>
      <c r="I181" s="24">
        <v>30</v>
      </c>
      <c r="J181" s="21">
        <v>530</v>
      </c>
      <c r="K181" s="24" t="s">
        <v>23</v>
      </c>
      <c r="L181" s="24" t="s">
        <v>24</v>
      </c>
      <c r="M181" s="25">
        <v>60</v>
      </c>
      <c r="N181" s="26">
        <f t="shared" si="2"/>
        <v>255</v>
      </c>
      <c r="O181" s="26"/>
      <c r="P181" s="29" t="s">
        <v>289</v>
      </c>
      <c r="Q181" s="27"/>
    </row>
    <row r="182" spans="1:17" x14ac:dyDescent="0.2">
      <c r="A182" s="1" t="s">
        <v>646</v>
      </c>
      <c r="B182" s="1" t="s">
        <v>647</v>
      </c>
      <c r="C182" s="1" t="s">
        <v>648</v>
      </c>
      <c r="D182" s="1" t="s">
        <v>261</v>
      </c>
      <c r="E182" s="22">
        <v>10</v>
      </c>
      <c r="F182" s="22">
        <v>400</v>
      </c>
      <c r="G182" s="21">
        <v>28</v>
      </c>
      <c r="H182" s="23">
        <v>3.1850000000000001</v>
      </c>
      <c r="I182" s="24">
        <v>10</v>
      </c>
      <c r="J182" s="21">
        <v>2758</v>
      </c>
      <c r="K182" s="24" t="s">
        <v>23</v>
      </c>
      <c r="L182" s="24" t="s">
        <v>24</v>
      </c>
      <c r="M182" s="25">
        <v>80</v>
      </c>
      <c r="N182" s="26">
        <f t="shared" si="2"/>
        <v>254.8</v>
      </c>
      <c r="O182" s="26"/>
      <c r="P182" s="29" t="s">
        <v>289</v>
      </c>
    </row>
    <row r="183" spans="1:17" x14ac:dyDescent="0.2">
      <c r="A183" s="1" t="s">
        <v>649</v>
      </c>
      <c r="B183" s="1" t="s">
        <v>650</v>
      </c>
      <c r="C183" s="1" t="s">
        <v>651</v>
      </c>
      <c r="D183" s="1" t="s">
        <v>76</v>
      </c>
      <c r="E183" s="22">
        <v>10</v>
      </c>
      <c r="F183" s="22">
        <v>2000</v>
      </c>
      <c r="G183" s="21">
        <v>12</v>
      </c>
      <c r="H183" s="23">
        <v>7.2714999999999996</v>
      </c>
      <c r="I183" s="24">
        <v>10</v>
      </c>
      <c r="J183" s="21">
        <v>7859</v>
      </c>
      <c r="K183" s="24" t="s">
        <v>23</v>
      </c>
      <c r="L183" s="24" t="s">
        <v>24</v>
      </c>
      <c r="M183" s="25">
        <v>35</v>
      </c>
      <c r="N183" s="26">
        <f t="shared" si="2"/>
        <v>254.5025</v>
      </c>
      <c r="O183" s="26"/>
      <c r="P183" s="29" t="s">
        <v>289</v>
      </c>
    </row>
    <row r="184" spans="1:17" x14ac:dyDescent="0.2">
      <c r="A184" s="27" t="s">
        <v>652</v>
      </c>
      <c r="B184" s="27" t="s">
        <v>653</v>
      </c>
      <c r="C184" s="28" t="s">
        <v>654</v>
      </c>
      <c r="D184" s="28" t="s">
        <v>94</v>
      </c>
      <c r="E184" s="22">
        <v>10</v>
      </c>
      <c r="F184" s="22">
        <v>13</v>
      </c>
      <c r="G184" s="21">
        <v>12</v>
      </c>
      <c r="H184" s="23">
        <v>7.25</v>
      </c>
      <c r="I184" s="24">
        <v>10</v>
      </c>
      <c r="J184" s="21">
        <v>1550</v>
      </c>
      <c r="K184" s="24" t="s">
        <v>23</v>
      </c>
      <c r="L184" s="24" t="s">
        <v>24</v>
      </c>
      <c r="M184" s="25">
        <v>35</v>
      </c>
      <c r="N184" s="26">
        <f t="shared" si="2"/>
        <v>253.75</v>
      </c>
      <c r="O184" s="26"/>
      <c r="P184" s="29" t="s">
        <v>289</v>
      </c>
      <c r="Q184" s="27"/>
    </row>
    <row r="185" spans="1:17" x14ac:dyDescent="0.2">
      <c r="A185" s="1" t="s">
        <v>655</v>
      </c>
      <c r="B185" s="1" t="s">
        <v>656</v>
      </c>
      <c r="C185" s="1" t="s">
        <v>657</v>
      </c>
      <c r="D185" s="1" t="s">
        <v>102</v>
      </c>
      <c r="E185" s="22">
        <v>20</v>
      </c>
      <c r="F185" s="22">
        <v>1</v>
      </c>
      <c r="G185" s="21">
        <v>29</v>
      </c>
      <c r="H185" s="23">
        <v>1.4093</v>
      </c>
      <c r="I185" s="24">
        <v>20</v>
      </c>
      <c r="J185" s="21">
        <v>1484</v>
      </c>
      <c r="K185" s="24" t="s">
        <v>23</v>
      </c>
      <c r="L185" s="24" t="s">
        <v>24</v>
      </c>
      <c r="M185" s="25">
        <v>180</v>
      </c>
      <c r="N185" s="26">
        <f t="shared" si="2"/>
        <v>253.67400000000001</v>
      </c>
      <c r="O185" s="26"/>
      <c r="P185" s="29" t="s">
        <v>289</v>
      </c>
    </row>
    <row r="186" spans="1:17" x14ac:dyDescent="0.2">
      <c r="A186" s="1" t="s">
        <v>658</v>
      </c>
      <c r="B186" s="1" t="s">
        <v>659</v>
      </c>
      <c r="C186" s="1" t="s">
        <v>660</v>
      </c>
      <c r="D186" s="1" t="s">
        <v>661</v>
      </c>
      <c r="E186" s="22">
        <v>10</v>
      </c>
      <c r="F186" s="22">
        <v>1</v>
      </c>
      <c r="G186" s="21">
        <v>13</v>
      </c>
      <c r="H186" s="23">
        <v>1.6906000000000001</v>
      </c>
      <c r="I186" s="24">
        <v>10</v>
      </c>
      <c r="J186" s="21">
        <v>5469</v>
      </c>
      <c r="K186" s="24" t="s">
        <v>23</v>
      </c>
      <c r="L186" s="24" t="s">
        <v>24</v>
      </c>
      <c r="M186" s="25">
        <v>150</v>
      </c>
      <c r="N186" s="26">
        <f t="shared" si="2"/>
        <v>253.59</v>
      </c>
      <c r="O186" s="26"/>
      <c r="P186" s="29" t="s">
        <v>289</v>
      </c>
    </row>
    <row r="187" spans="1:17" x14ac:dyDescent="0.2">
      <c r="A187" s="1" t="s">
        <v>662</v>
      </c>
      <c r="B187" s="1" t="s">
        <v>663</v>
      </c>
      <c r="C187" s="1" t="s">
        <v>664</v>
      </c>
      <c r="D187" s="1" t="s">
        <v>473</v>
      </c>
      <c r="E187" s="22">
        <v>120</v>
      </c>
      <c r="F187" s="22">
        <v>1</v>
      </c>
      <c r="G187" s="21">
        <v>18</v>
      </c>
      <c r="H187" s="23">
        <v>0.84450000000000003</v>
      </c>
      <c r="I187" s="24">
        <v>120</v>
      </c>
      <c r="J187" s="21">
        <v>693</v>
      </c>
      <c r="K187" s="24" t="s">
        <v>23</v>
      </c>
      <c r="L187" s="24" t="s">
        <v>24</v>
      </c>
      <c r="M187" s="25">
        <v>300</v>
      </c>
      <c r="N187" s="26">
        <f t="shared" si="2"/>
        <v>253.35000000000002</v>
      </c>
      <c r="O187" s="26"/>
      <c r="P187" s="29" t="s">
        <v>289</v>
      </c>
    </row>
    <row r="188" spans="1:17" x14ac:dyDescent="0.2">
      <c r="A188" s="1" t="s">
        <v>665</v>
      </c>
      <c r="B188" s="1" t="s">
        <v>666</v>
      </c>
      <c r="C188" s="1" t="s">
        <v>667</v>
      </c>
      <c r="D188" s="1" t="s">
        <v>473</v>
      </c>
      <c r="E188" s="22">
        <v>25</v>
      </c>
      <c r="F188" s="22">
        <v>10000</v>
      </c>
      <c r="G188" s="21">
        <v>17</v>
      </c>
      <c r="H188" s="23">
        <v>0.72350000000000003</v>
      </c>
      <c r="I188" s="24">
        <v>25</v>
      </c>
      <c r="J188" s="21">
        <v>9804</v>
      </c>
      <c r="K188" s="24" t="s">
        <v>23</v>
      </c>
      <c r="L188" s="24" t="s">
        <v>24</v>
      </c>
      <c r="M188" s="25">
        <v>350</v>
      </c>
      <c r="N188" s="26">
        <f t="shared" si="2"/>
        <v>253.22500000000002</v>
      </c>
      <c r="O188" s="26"/>
      <c r="P188" s="29" t="s">
        <v>289</v>
      </c>
    </row>
    <row r="189" spans="1:17" x14ac:dyDescent="0.2">
      <c r="A189" s="1" t="s">
        <v>668</v>
      </c>
      <c r="B189" s="1" t="s">
        <v>669</v>
      </c>
      <c r="C189" s="1" t="s">
        <v>670</v>
      </c>
      <c r="D189" s="1" t="s">
        <v>671</v>
      </c>
      <c r="E189" s="22">
        <v>10</v>
      </c>
      <c r="F189" s="22">
        <v>1</v>
      </c>
      <c r="G189" s="21">
        <v>14</v>
      </c>
      <c r="H189" s="23">
        <v>0.42199999999999999</v>
      </c>
      <c r="I189" s="24">
        <v>10</v>
      </c>
      <c r="J189" s="21">
        <v>8458</v>
      </c>
      <c r="K189" s="24" t="s">
        <v>23</v>
      </c>
      <c r="L189" s="24" t="s">
        <v>24</v>
      </c>
      <c r="M189" s="25">
        <v>600</v>
      </c>
      <c r="N189" s="26">
        <f t="shared" si="2"/>
        <v>253.2</v>
      </c>
      <c r="O189" s="26"/>
      <c r="P189" s="29" t="s">
        <v>289</v>
      </c>
    </row>
    <row r="190" spans="1:17" x14ac:dyDescent="0.2">
      <c r="A190" s="27" t="s">
        <v>672</v>
      </c>
      <c r="B190" s="27" t="s">
        <v>673</v>
      </c>
      <c r="C190" s="28" t="s">
        <v>674</v>
      </c>
      <c r="D190" s="28" t="s">
        <v>374</v>
      </c>
      <c r="E190" s="22">
        <v>100</v>
      </c>
      <c r="F190" s="22">
        <v>1000</v>
      </c>
      <c r="G190" s="21">
        <v>11</v>
      </c>
      <c r="H190" s="23">
        <v>0.40500000000000003</v>
      </c>
      <c r="I190" s="24">
        <v>100</v>
      </c>
      <c r="J190" s="21">
        <v>4813</v>
      </c>
      <c r="K190" s="24" t="s">
        <v>23</v>
      </c>
      <c r="L190" s="24" t="s">
        <v>24</v>
      </c>
      <c r="M190" s="25">
        <v>625</v>
      </c>
      <c r="N190" s="26">
        <f t="shared" si="2"/>
        <v>253.12500000000003</v>
      </c>
      <c r="O190" s="26"/>
      <c r="P190" s="29" t="s">
        <v>289</v>
      </c>
      <c r="Q190" s="27"/>
    </row>
    <row r="191" spans="1:17" x14ac:dyDescent="0.2">
      <c r="A191" s="27" t="s">
        <v>675</v>
      </c>
      <c r="B191" s="27" t="s">
        <v>676</v>
      </c>
      <c r="C191" s="28" t="s">
        <v>677</v>
      </c>
      <c r="D191" s="28" t="s">
        <v>678</v>
      </c>
      <c r="E191" s="22">
        <v>20</v>
      </c>
      <c r="F191" s="22">
        <v>1</v>
      </c>
      <c r="G191" s="21">
        <v>27</v>
      </c>
      <c r="H191" s="23">
        <v>4.5986000000000002</v>
      </c>
      <c r="I191" s="24">
        <v>20</v>
      </c>
      <c r="J191" s="21">
        <v>2465</v>
      </c>
      <c r="K191" s="24" t="s">
        <v>23</v>
      </c>
      <c r="L191" s="24" t="s">
        <v>24</v>
      </c>
      <c r="M191" s="25">
        <v>55</v>
      </c>
      <c r="N191" s="26">
        <f t="shared" si="2"/>
        <v>252.923</v>
      </c>
      <c r="O191" s="26"/>
      <c r="P191" s="29" t="s">
        <v>289</v>
      </c>
      <c r="Q191" s="27"/>
    </row>
    <row r="192" spans="1:17" x14ac:dyDescent="0.2">
      <c r="A192" s="1" t="s">
        <v>679</v>
      </c>
      <c r="B192" s="1" t="s">
        <v>680</v>
      </c>
      <c r="C192" s="1" t="s">
        <v>681</v>
      </c>
      <c r="D192" s="1" t="s">
        <v>682</v>
      </c>
      <c r="E192" s="22">
        <v>120</v>
      </c>
      <c r="F192" s="22">
        <v>2000</v>
      </c>
      <c r="G192" s="21">
        <v>3</v>
      </c>
      <c r="H192" s="23">
        <v>0.20200000000000001</v>
      </c>
      <c r="I192" s="24">
        <v>0</v>
      </c>
      <c r="J192" s="21">
        <v>3665</v>
      </c>
      <c r="K192" s="24" t="s">
        <v>23</v>
      </c>
      <c r="L192" s="24" t="s">
        <v>24</v>
      </c>
      <c r="M192" s="25">
        <v>1250</v>
      </c>
      <c r="N192" s="26">
        <f t="shared" si="2"/>
        <v>252.50000000000003</v>
      </c>
      <c r="O192" s="26"/>
      <c r="P192" s="29" t="s">
        <v>289</v>
      </c>
    </row>
    <row r="193" spans="1:17" x14ac:dyDescent="0.2">
      <c r="A193" s="1" t="s">
        <v>683</v>
      </c>
      <c r="B193" s="1" t="s">
        <v>684</v>
      </c>
      <c r="C193" s="1" t="s">
        <v>685</v>
      </c>
      <c r="D193" s="1" t="s">
        <v>331</v>
      </c>
      <c r="E193" s="22">
        <v>25</v>
      </c>
      <c r="F193" s="22">
        <v>1</v>
      </c>
      <c r="G193" s="21">
        <v>17</v>
      </c>
      <c r="H193" s="23">
        <v>1.6821999999999999</v>
      </c>
      <c r="I193" s="24">
        <v>25</v>
      </c>
      <c r="J193" s="21">
        <v>5951</v>
      </c>
      <c r="K193" s="24" t="s">
        <v>23</v>
      </c>
      <c r="L193" s="24" t="s">
        <v>24</v>
      </c>
      <c r="M193" s="25">
        <v>150</v>
      </c>
      <c r="N193" s="26">
        <f t="shared" si="2"/>
        <v>252.32999999999998</v>
      </c>
      <c r="O193" s="26"/>
      <c r="P193" s="29" t="s">
        <v>289</v>
      </c>
    </row>
    <row r="194" spans="1:17" x14ac:dyDescent="0.2">
      <c r="A194" s="1" t="s">
        <v>686</v>
      </c>
      <c r="B194" s="1" t="s">
        <v>687</v>
      </c>
      <c r="C194" s="1" t="s">
        <v>688</v>
      </c>
      <c r="D194" s="1" t="s">
        <v>307</v>
      </c>
      <c r="E194" s="22">
        <v>20</v>
      </c>
      <c r="F194" s="22">
        <v>1</v>
      </c>
      <c r="G194" s="21">
        <v>23</v>
      </c>
      <c r="H194" s="23">
        <v>0.18010000000000001</v>
      </c>
      <c r="I194" s="24">
        <v>20</v>
      </c>
      <c r="J194" s="21">
        <v>516</v>
      </c>
      <c r="K194" s="24" t="s">
        <v>23</v>
      </c>
      <c r="L194" s="24" t="s">
        <v>24</v>
      </c>
      <c r="M194" s="25">
        <v>1400</v>
      </c>
      <c r="N194" s="26">
        <f t="shared" si="2"/>
        <v>252.14000000000001</v>
      </c>
      <c r="O194" s="26"/>
      <c r="P194" s="29" t="s">
        <v>289</v>
      </c>
    </row>
    <row r="195" spans="1:17" x14ac:dyDescent="0.2">
      <c r="A195" s="1" t="s">
        <v>689</v>
      </c>
      <c r="B195" s="1" t="s">
        <v>690</v>
      </c>
      <c r="C195" s="1" t="s">
        <v>691</v>
      </c>
      <c r="D195" s="1" t="s">
        <v>76</v>
      </c>
      <c r="E195" s="22">
        <v>30</v>
      </c>
      <c r="F195" s="22">
        <v>1</v>
      </c>
      <c r="G195" s="21">
        <v>6</v>
      </c>
      <c r="H195" s="26">
        <v>7.1955</v>
      </c>
      <c r="I195" s="24">
        <v>30</v>
      </c>
      <c r="J195" s="21">
        <v>1630</v>
      </c>
      <c r="K195" s="24" t="s">
        <v>184</v>
      </c>
      <c r="L195" s="24" t="s">
        <v>24</v>
      </c>
      <c r="M195" s="25">
        <v>35</v>
      </c>
      <c r="N195" s="26">
        <f t="shared" ref="N195:N207" si="3">H195*M195</f>
        <v>251.8425</v>
      </c>
      <c r="O195" s="26"/>
      <c r="P195" s="29" t="s">
        <v>289</v>
      </c>
    </row>
    <row r="196" spans="1:17" x14ac:dyDescent="0.2">
      <c r="A196" s="27" t="s">
        <v>692</v>
      </c>
      <c r="B196" s="27" t="s">
        <v>693</v>
      </c>
      <c r="C196" s="28" t="s">
        <v>694</v>
      </c>
      <c r="D196" s="28" t="s">
        <v>76</v>
      </c>
      <c r="E196" s="22">
        <v>15</v>
      </c>
      <c r="F196" s="22">
        <v>1</v>
      </c>
      <c r="G196" s="21">
        <v>17</v>
      </c>
      <c r="H196" s="23">
        <v>4.5765000000000002</v>
      </c>
      <c r="I196" s="24">
        <v>15</v>
      </c>
      <c r="J196" s="21">
        <v>566</v>
      </c>
      <c r="K196" s="24" t="s">
        <v>23</v>
      </c>
      <c r="L196" s="24" t="s">
        <v>24</v>
      </c>
      <c r="M196" s="25">
        <v>55</v>
      </c>
      <c r="N196" s="26">
        <f t="shared" si="3"/>
        <v>251.70750000000001</v>
      </c>
      <c r="O196" s="26"/>
      <c r="P196" s="29" t="s">
        <v>289</v>
      </c>
      <c r="Q196" s="27"/>
    </row>
    <row r="197" spans="1:17" x14ac:dyDescent="0.2">
      <c r="A197" s="1" t="s">
        <v>695</v>
      </c>
      <c r="B197" s="1" t="s">
        <v>696</v>
      </c>
      <c r="C197" s="1" t="s">
        <v>697</v>
      </c>
      <c r="D197" s="1" t="s">
        <v>341</v>
      </c>
      <c r="E197" s="22">
        <v>20</v>
      </c>
      <c r="F197" s="22">
        <v>1</v>
      </c>
      <c r="G197" s="21">
        <v>21</v>
      </c>
      <c r="H197" s="23">
        <v>7.1837999999999997</v>
      </c>
      <c r="I197" s="24">
        <v>20</v>
      </c>
      <c r="J197" s="21">
        <v>639</v>
      </c>
      <c r="K197" s="24" t="s">
        <v>23</v>
      </c>
      <c r="L197" s="24" t="s">
        <v>24</v>
      </c>
      <c r="M197" s="25">
        <v>35</v>
      </c>
      <c r="N197" s="26">
        <f t="shared" si="3"/>
        <v>251.43299999999999</v>
      </c>
      <c r="O197" s="26"/>
      <c r="P197" s="29" t="s">
        <v>289</v>
      </c>
    </row>
    <row r="198" spans="1:17" x14ac:dyDescent="0.2">
      <c r="A198" s="1" t="s">
        <v>698</v>
      </c>
      <c r="B198" s="1" t="s">
        <v>699</v>
      </c>
      <c r="C198" s="1" t="s">
        <v>700</v>
      </c>
      <c r="D198" s="1" t="s">
        <v>41</v>
      </c>
      <c r="E198" s="22">
        <v>20</v>
      </c>
      <c r="F198" s="22">
        <v>1</v>
      </c>
      <c r="G198" s="21">
        <v>29</v>
      </c>
      <c r="H198" s="23">
        <v>2.5121000000000002</v>
      </c>
      <c r="I198" s="24">
        <v>20</v>
      </c>
      <c r="J198" s="21">
        <v>2368</v>
      </c>
      <c r="K198" s="24" t="s">
        <v>23</v>
      </c>
      <c r="L198" s="24" t="s">
        <v>24</v>
      </c>
      <c r="M198" s="25">
        <v>100</v>
      </c>
      <c r="N198" s="26">
        <f t="shared" si="3"/>
        <v>251.21000000000004</v>
      </c>
      <c r="O198" s="26"/>
      <c r="P198" s="29" t="s">
        <v>289</v>
      </c>
    </row>
    <row r="199" spans="1:17" x14ac:dyDescent="0.2">
      <c r="A199" s="1" t="s">
        <v>701</v>
      </c>
      <c r="B199" s="1" t="s">
        <v>702</v>
      </c>
      <c r="C199" s="1" t="s">
        <v>703</v>
      </c>
      <c r="D199" s="1" t="s">
        <v>374</v>
      </c>
      <c r="E199" s="22">
        <v>30</v>
      </c>
      <c r="F199" s="22">
        <v>2000</v>
      </c>
      <c r="G199" s="21">
        <v>18</v>
      </c>
      <c r="H199" s="23">
        <v>2.7888000000000002</v>
      </c>
      <c r="I199" s="24">
        <v>30</v>
      </c>
      <c r="J199" s="21">
        <v>5922</v>
      </c>
      <c r="K199" s="24" t="s">
        <v>23</v>
      </c>
      <c r="L199" s="24" t="s">
        <v>24</v>
      </c>
      <c r="M199" s="25">
        <v>90</v>
      </c>
      <c r="N199" s="26">
        <f t="shared" si="3"/>
        <v>250.99200000000002</v>
      </c>
      <c r="O199" s="26"/>
      <c r="P199" s="29" t="s">
        <v>289</v>
      </c>
    </row>
    <row r="200" spans="1:17" x14ac:dyDescent="0.2">
      <c r="A200" s="1" t="s">
        <v>704</v>
      </c>
      <c r="B200" s="1" t="s">
        <v>705</v>
      </c>
      <c r="C200" s="1" t="s">
        <v>706</v>
      </c>
      <c r="D200" s="1" t="s">
        <v>473</v>
      </c>
      <c r="E200" s="22">
        <v>30</v>
      </c>
      <c r="F200" s="22">
        <v>4000</v>
      </c>
      <c r="G200" s="21">
        <v>56</v>
      </c>
      <c r="H200" s="23">
        <v>0.62729999999999997</v>
      </c>
      <c r="I200" s="24">
        <v>30</v>
      </c>
      <c r="J200" s="21">
        <v>3405</v>
      </c>
      <c r="K200" s="24" t="s">
        <v>23</v>
      </c>
      <c r="L200" s="24" t="s">
        <v>24</v>
      </c>
      <c r="M200" s="25">
        <v>400</v>
      </c>
      <c r="N200" s="26">
        <f t="shared" si="3"/>
        <v>250.92</v>
      </c>
      <c r="O200" s="26"/>
      <c r="P200" s="29" t="s">
        <v>289</v>
      </c>
    </row>
    <row r="201" spans="1:17" x14ac:dyDescent="0.2">
      <c r="A201" s="1" t="s">
        <v>707</v>
      </c>
      <c r="B201" s="1" t="s">
        <v>708</v>
      </c>
      <c r="C201" s="1" t="s">
        <v>709</v>
      </c>
      <c r="D201" s="1" t="s">
        <v>141</v>
      </c>
      <c r="E201" s="22">
        <v>120</v>
      </c>
      <c r="F201" s="22">
        <v>5000</v>
      </c>
      <c r="G201" s="21">
        <v>28</v>
      </c>
      <c r="H201" s="23">
        <v>1.5205</v>
      </c>
      <c r="I201" s="24">
        <v>120</v>
      </c>
      <c r="J201" s="21">
        <v>2489</v>
      </c>
      <c r="K201" s="24" t="s">
        <v>23</v>
      </c>
      <c r="L201" s="24" t="s">
        <v>24</v>
      </c>
      <c r="M201" s="25">
        <v>165</v>
      </c>
      <c r="N201" s="26">
        <f t="shared" si="3"/>
        <v>250.88249999999999</v>
      </c>
      <c r="O201" s="26"/>
      <c r="P201" s="29" t="s">
        <v>289</v>
      </c>
    </row>
    <row r="202" spans="1:17" x14ac:dyDescent="0.2">
      <c r="A202" s="1" t="s">
        <v>710</v>
      </c>
      <c r="B202" s="1" t="s">
        <v>711</v>
      </c>
      <c r="C202" s="1" t="s">
        <v>712</v>
      </c>
      <c r="D202" s="1" t="s">
        <v>32</v>
      </c>
      <c r="E202" s="22">
        <v>80</v>
      </c>
      <c r="F202" s="22">
        <v>1</v>
      </c>
      <c r="G202" s="21">
        <v>7</v>
      </c>
      <c r="H202" s="23">
        <v>3.1345000000000001</v>
      </c>
      <c r="I202" s="24">
        <v>80</v>
      </c>
      <c r="J202" s="21">
        <v>5764</v>
      </c>
      <c r="K202" s="24" t="s">
        <v>23</v>
      </c>
      <c r="L202" s="24" t="s">
        <v>24</v>
      </c>
      <c r="M202" s="21">
        <v>80</v>
      </c>
      <c r="N202" s="26">
        <f t="shared" si="3"/>
        <v>250.76</v>
      </c>
      <c r="O202" s="26"/>
    </row>
    <row r="203" spans="1:17" x14ac:dyDescent="0.2">
      <c r="A203" s="1" t="s">
        <v>713</v>
      </c>
      <c r="B203" s="1" t="s">
        <v>714</v>
      </c>
      <c r="C203" s="1" t="s">
        <v>715</v>
      </c>
      <c r="D203" s="1" t="s">
        <v>299</v>
      </c>
      <c r="E203" s="22">
        <v>40</v>
      </c>
      <c r="F203" s="22">
        <v>1</v>
      </c>
      <c r="G203" s="21">
        <v>20</v>
      </c>
      <c r="H203" s="23">
        <v>2.9476</v>
      </c>
      <c r="I203" s="24">
        <v>40</v>
      </c>
      <c r="J203" s="21">
        <v>1229</v>
      </c>
      <c r="K203" s="24" t="s">
        <v>23</v>
      </c>
      <c r="L203" s="24" t="s">
        <v>24</v>
      </c>
      <c r="M203" s="25">
        <v>85</v>
      </c>
      <c r="N203" s="26">
        <f t="shared" si="3"/>
        <v>250.54599999999999</v>
      </c>
      <c r="O203" s="26"/>
      <c r="P203" s="29" t="s">
        <v>289</v>
      </c>
    </row>
    <row r="204" spans="1:17" x14ac:dyDescent="0.2">
      <c r="A204" s="1" t="s">
        <v>716</v>
      </c>
      <c r="B204" s="1" t="s">
        <v>717</v>
      </c>
      <c r="C204" s="1" t="s">
        <v>718</v>
      </c>
      <c r="D204" s="1" t="s">
        <v>64</v>
      </c>
      <c r="E204" s="22">
        <v>170</v>
      </c>
      <c r="F204" s="22">
        <v>1</v>
      </c>
      <c r="G204" s="21">
        <v>100</v>
      </c>
      <c r="H204" s="23">
        <v>1.2523</v>
      </c>
      <c r="I204" s="24">
        <v>170</v>
      </c>
      <c r="J204" s="21">
        <v>0</v>
      </c>
      <c r="K204" s="24" t="s">
        <v>23</v>
      </c>
      <c r="L204" s="24" t="s">
        <v>24</v>
      </c>
      <c r="M204" s="25">
        <v>200</v>
      </c>
      <c r="N204" s="26">
        <f t="shared" si="3"/>
        <v>250.45999999999998</v>
      </c>
      <c r="O204" s="26"/>
      <c r="P204" s="29" t="s">
        <v>289</v>
      </c>
    </row>
    <row r="205" spans="1:17" x14ac:dyDescent="0.2">
      <c r="A205" s="1" t="s">
        <v>719</v>
      </c>
      <c r="B205" s="1" t="s">
        <v>720</v>
      </c>
      <c r="C205" s="1" t="s">
        <v>721</v>
      </c>
      <c r="D205" s="1" t="s">
        <v>722</v>
      </c>
      <c r="E205" s="22">
        <v>180</v>
      </c>
      <c r="F205" s="22">
        <v>3000</v>
      </c>
      <c r="G205" s="21">
        <v>18</v>
      </c>
      <c r="H205" s="23">
        <v>0.39750000000000002</v>
      </c>
      <c r="I205" s="24">
        <v>180</v>
      </c>
      <c r="J205" s="21">
        <v>6156</v>
      </c>
      <c r="K205" s="24" t="s">
        <v>23</v>
      </c>
      <c r="L205" s="24" t="s">
        <v>24</v>
      </c>
      <c r="M205" s="25">
        <v>630</v>
      </c>
      <c r="N205" s="26">
        <f t="shared" si="3"/>
        <v>250.42500000000001</v>
      </c>
      <c r="O205" s="26"/>
      <c r="P205" s="29" t="s">
        <v>289</v>
      </c>
    </row>
    <row r="206" spans="1:17" x14ac:dyDescent="0.2">
      <c r="A206" s="1" t="s">
        <v>723</v>
      </c>
      <c r="B206" s="1" t="s">
        <v>724</v>
      </c>
      <c r="C206" s="1" t="s">
        <v>725</v>
      </c>
      <c r="D206" s="1" t="s">
        <v>374</v>
      </c>
      <c r="E206" s="22">
        <v>40</v>
      </c>
      <c r="F206" s="22">
        <v>500</v>
      </c>
      <c r="G206" s="21">
        <v>25</v>
      </c>
      <c r="H206" s="23">
        <v>2.3849999999999998</v>
      </c>
      <c r="I206" s="24">
        <v>40</v>
      </c>
      <c r="J206" s="21">
        <v>0</v>
      </c>
      <c r="K206" s="24" t="s">
        <v>23</v>
      </c>
      <c r="L206" s="24" t="s">
        <v>24</v>
      </c>
      <c r="M206" s="25">
        <v>105</v>
      </c>
      <c r="N206" s="26">
        <f t="shared" si="3"/>
        <v>250.42499999999998</v>
      </c>
      <c r="O206" s="26"/>
      <c r="P206" s="29" t="s">
        <v>289</v>
      </c>
    </row>
    <row r="207" spans="1:17" x14ac:dyDescent="0.2">
      <c r="A207" s="1" t="s">
        <v>726</v>
      </c>
      <c r="B207" s="1" t="s">
        <v>727</v>
      </c>
      <c r="C207" s="1" t="s">
        <v>728</v>
      </c>
      <c r="D207" s="1" t="s">
        <v>473</v>
      </c>
      <c r="E207" s="22">
        <v>140</v>
      </c>
      <c r="F207" s="22">
        <v>2000</v>
      </c>
      <c r="G207" s="21">
        <v>57</v>
      </c>
      <c r="H207" s="23">
        <v>0.31290000000000001</v>
      </c>
      <c r="I207" s="24">
        <v>140</v>
      </c>
      <c r="J207" s="21">
        <v>165</v>
      </c>
      <c r="K207" s="24" t="s">
        <v>23</v>
      </c>
      <c r="L207" s="24" t="s">
        <v>24</v>
      </c>
      <c r="M207" s="25">
        <v>800</v>
      </c>
      <c r="N207" s="26">
        <f t="shared" si="3"/>
        <v>250.32000000000002</v>
      </c>
      <c r="O207" s="26"/>
      <c r="P207" s="29" t="s">
        <v>289</v>
      </c>
    </row>
    <row r="208" spans="1:17" x14ac:dyDescent="0.2">
      <c r="A208" s="1" t="s">
        <v>729</v>
      </c>
      <c r="B208" s="1" t="s">
        <v>730</v>
      </c>
      <c r="C208" s="1" t="s">
        <v>731</v>
      </c>
      <c r="D208" s="1" t="s">
        <v>374</v>
      </c>
      <c r="E208" s="22">
        <v>160</v>
      </c>
      <c r="F208" s="22">
        <v>1</v>
      </c>
      <c r="G208" s="21">
        <v>27</v>
      </c>
      <c r="H208" s="23">
        <v>1.5256000000000001</v>
      </c>
      <c r="I208" s="24">
        <v>160</v>
      </c>
      <c r="J208" s="21">
        <v>5143</v>
      </c>
      <c r="K208" s="24" t="s">
        <v>23</v>
      </c>
      <c r="L208" s="24" t="s">
        <v>24</v>
      </c>
      <c r="M208" s="21">
        <v>160</v>
      </c>
      <c r="N208" s="26">
        <v>250</v>
      </c>
      <c r="O208" s="26"/>
    </row>
    <row r="209" spans="1:17" x14ac:dyDescent="0.2">
      <c r="A209" s="1" t="s">
        <v>732</v>
      </c>
      <c r="B209" s="1" t="s">
        <v>733</v>
      </c>
      <c r="C209" s="1" t="s">
        <v>734</v>
      </c>
      <c r="D209" s="1" t="s">
        <v>735</v>
      </c>
      <c r="E209" s="22">
        <v>105</v>
      </c>
      <c r="F209" s="22">
        <v>2000</v>
      </c>
      <c r="G209" s="21">
        <v>27</v>
      </c>
      <c r="H209" s="23">
        <v>2.36</v>
      </c>
      <c r="I209" s="24">
        <v>105</v>
      </c>
      <c r="J209" s="21">
        <v>1782</v>
      </c>
      <c r="K209" s="24" t="s">
        <v>23</v>
      </c>
      <c r="L209" s="24" t="s">
        <v>24</v>
      </c>
      <c r="M209" s="21">
        <v>105</v>
      </c>
      <c r="N209" s="26">
        <v>250</v>
      </c>
      <c r="O209" s="26"/>
    </row>
    <row r="210" spans="1:17" hidden="1" x14ac:dyDescent="0.2">
      <c r="A210" s="27" t="s">
        <v>736</v>
      </c>
      <c r="B210" s="27" t="s">
        <v>737</v>
      </c>
      <c r="C210" s="28" t="s">
        <v>738</v>
      </c>
      <c r="D210" s="28" t="s">
        <v>739</v>
      </c>
      <c r="E210" s="22">
        <v>100</v>
      </c>
      <c r="F210" s="22">
        <v>100</v>
      </c>
      <c r="G210" s="21">
        <v>14</v>
      </c>
      <c r="H210" s="69">
        <v>74.115600000000001</v>
      </c>
      <c r="I210" s="24">
        <v>100</v>
      </c>
      <c r="J210" s="21">
        <v>123</v>
      </c>
      <c r="K210" s="24" t="s">
        <v>23</v>
      </c>
      <c r="L210" s="24" t="s">
        <v>740</v>
      </c>
      <c r="M210" s="25">
        <v>500</v>
      </c>
      <c r="N210" s="26">
        <f t="shared" ref="N210:N219" si="4">H210*M210</f>
        <v>37057.800000000003</v>
      </c>
      <c r="O210" s="26"/>
      <c r="P210" s="27" t="s">
        <v>741</v>
      </c>
      <c r="Q210" s="27"/>
    </row>
    <row r="211" spans="1:17" hidden="1" x14ac:dyDescent="0.2">
      <c r="A211" s="27" t="s">
        <v>742</v>
      </c>
      <c r="B211" s="27" t="s">
        <v>743</v>
      </c>
      <c r="C211" s="28" t="s">
        <v>744</v>
      </c>
      <c r="D211" s="28" t="s">
        <v>236</v>
      </c>
      <c r="E211" s="22">
        <v>10985</v>
      </c>
      <c r="F211" s="22">
        <v>1800</v>
      </c>
      <c r="G211" s="21">
        <v>17</v>
      </c>
      <c r="H211" s="26">
        <v>6.43</v>
      </c>
      <c r="I211" s="24">
        <v>10985</v>
      </c>
      <c r="J211" s="21">
        <v>72583</v>
      </c>
      <c r="K211" s="24" t="s">
        <v>23</v>
      </c>
      <c r="L211" s="24" t="s">
        <v>740</v>
      </c>
      <c r="M211" s="25">
        <v>5000</v>
      </c>
      <c r="N211" s="26">
        <f t="shared" si="4"/>
        <v>32150</v>
      </c>
      <c r="O211" s="26"/>
      <c r="P211" s="27" t="s">
        <v>745</v>
      </c>
      <c r="Q211" s="27"/>
    </row>
    <row r="212" spans="1:17" hidden="1" x14ac:dyDescent="0.2">
      <c r="A212" s="1" t="s">
        <v>746</v>
      </c>
      <c r="B212" s="1" t="s">
        <v>747</v>
      </c>
      <c r="C212" s="1" t="s">
        <v>748</v>
      </c>
      <c r="D212" s="1" t="s">
        <v>64</v>
      </c>
      <c r="E212" s="22">
        <v>60</v>
      </c>
      <c r="F212" s="22">
        <v>1</v>
      </c>
      <c r="G212" s="21">
        <v>15</v>
      </c>
      <c r="H212" s="69">
        <v>98.092200000000005</v>
      </c>
      <c r="I212" s="24">
        <v>60</v>
      </c>
      <c r="J212" s="21">
        <v>8150</v>
      </c>
      <c r="K212" s="24" t="s">
        <v>23</v>
      </c>
      <c r="L212" s="24" t="s">
        <v>740</v>
      </c>
      <c r="M212" s="25">
        <v>30</v>
      </c>
      <c r="N212" s="26">
        <f t="shared" si="4"/>
        <v>2942.7660000000001</v>
      </c>
      <c r="O212" s="26"/>
      <c r="P212" s="27" t="s">
        <v>749</v>
      </c>
    </row>
    <row r="213" spans="1:17" hidden="1" x14ac:dyDescent="0.2">
      <c r="A213" s="1" t="s">
        <v>750</v>
      </c>
      <c r="B213" s="1" t="s">
        <v>751</v>
      </c>
      <c r="C213" s="1" t="s">
        <v>752</v>
      </c>
      <c r="D213" s="1" t="s">
        <v>188</v>
      </c>
      <c r="E213" s="22">
        <v>445</v>
      </c>
      <c r="F213" s="22">
        <v>1</v>
      </c>
      <c r="G213" s="21">
        <v>24</v>
      </c>
      <c r="H213" s="26">
        <v>7.92</v>
      </c>
      <c r="I213" s="24">
        <v>445</v>
      </c>
      <c r="J213" s="21" t="s">
        <v>116</v>
      </c>
      <c r="K213" s="24" t="s">
        <v>117</v>
      </c>
      <c r="L213" s="24" t="s">
        <v>740</v>
      </c>
      <c r="M213" s="25">
        <v>200</v>
      </c>
      <c r="N213" s="26">
        <f t="shared" si="4"/>
        <v>1584</v>
      </c>
      <c r="O213" s="26"/>
      <c r="P213" s="1" t="s">
        <v>753</v>
      </c>
    </row>
    <row r="214" spans="1:17" hidden="1" x14ac:dyDescent="0.2">
      <c r="A214" s="1" t="s">
        <v>754</v>
      </c>
      <c r="B214" s="1" t="s">
        <v>755</v>
      </c>
      <c r="C214" s="1" t="s">
        <v>756</v>
      </c>
      <c r="D214" s="1" t="s">
        <v>188</v>
      </c>
      <c r="E214" s="22">
        <v>445</v>
      </c>
      <c r="F214" s="22">
        <v>1</v>
      </c>
      <c r="G214" s="21">
        <v>24</v>
      </c>
      <c r="H214" s="26">
        <v>7.92</v>
      </c>
      <c r="I214" s="24">
        <v>445</v>
      </c>
      <c r="J214" s="21" t="s">
        <v>116</v>
      </c>
      <c r="K214" s="24" t="s">
        <v>117</v>
      </c>
      <c r="L214" s="24" t="s">
        <v>740</v>
      </c>
      <c r="M214" s="25">
        <v>200</v>
      </c>
      <c r="N214" s="26">
        <f t="shared" si="4"/>
        <v>1584</v>
      </c>
      <c r="O214" s="26"/>
      <c r="P214" s="1" t="s">
        <v>753</v>
      </c>
    </row>
    <row r="215" spans="1:17" hidden="1" x14ac:dyDescent="0.2">
      <c r="A215" s="1" t="s">
        <v>757</v>
      </c>
      <c r="B215" s="1" t="s">
        <v>758</v>
      </c>
      <c r="C215" s="1" t="s">
        <v>759</v>
      </c>
      <c r="D215" s="1" t="s">
        <v>188</v>
      </c>
      <c r="E215" s="22">
        <v>445</v>
      </c>
      <c r="F215" s="22">
        <v>1</v>
      </c>
      <c r="G215" s="21">
        <v>24</v>
      </c>
      <c r="H215" s="26">
        <v>7.92</v>
      </c>
      <c r="I215" s="24">
        <v>445</v>
      </c>
      <c r="J215" s="21" t="s">
        <v>116</v>
      </c>
      <c r="K215" s="24" t="s">
        <v>117</v>
      </c>
      <c r="L215" s="24" t="s">
        <v>740</v>
      </c>
      <c r="M215" s="25">
        <v>200</v>
      </c>
      <c r="N215" s="26">
        <f t="shared" si="4"/>
        <v>1584</v>
      </c>
      <c r="O215" s="26"/>
      <c r="P215" s="1" t="s">
        <v>753</v>
      </c>
    </row>
    <row r="216" spans="1:17" hidden="1" x14ac:dyDescent="0.2">
      <c r="A216" s="1" t="s">
        <v>760</v>
      </c>
      <c r="B216" s="1" t="s">
        <v>761</v>
      </c>
      <c r="C216" s="1" t="s">
        <v>762</v>
      </c>
      <c r="D216" s="1" t="s">
        <v>188</v>
      </c>
      <c r="E216" s="22">
        <v>445</v>
      </c>
      <c r="F216" s="22">
        <v>1</v>
      </c>
      <c r="G216" s="21">
        <v>24</v>
      </c>
      <c r="H216" s="26">
        <v>7.92</v>
      </c>
      <c r="I216" s="24">
        <v>445</v>
      </c>
      <c r="J216" s="21" t="s">
        <v>116</v>
      </c>
      <c r="K216" s="24" t="s">
        <v>117</v>
      </c>
      <c r="L216" s="24" t="s">
        <v>740</v>
      </c>
      <c r="M216" s="25">
        <v>200</v>
      </c>
      <c r="N216" s="26">
        <f t="shared" si="4"/>
        <v>1584</v>
      </c>
      <c r="O216" s="26"/>
      <c r="P216" s="1" t="s">
        <v>753</v>
      </c>
    </row>
    <row r="217" spans="1:17" hidden="1" x14ac:dyDescent="0.2">
      <c r="A217" s="1" t="s">
        <v>763</v>
      </c>
      <c r="B217" s="1" t="s">
        <v>764</v>
      </c>
      <c r="C217" s="1" t="s">
        <v>765</v>
      </c>
      <c r="D217" s="1" t="s">
        <v>188</v>
      </c>
      <c r="E217" s="22">
        <v>445</v>
      </c>
      <c r="F217" s="22">
        <v>1</v>
      </c>
      <c r="G217" s="21">
        <v>24</v>
      </c>
      <c r="H217" s="26">
        <v>7.92</v>
      </c>
      <c r="I217" s="24">
        <v>445</v>
      </c>
      <c r="J217" s="21" t="s">
        <v>116</v>
      </c>
      <c r="K217" s="24" t="s">
        <v>117</v>
      </c>
      <c r="L217" s="24" t="s">
        <v>740</v>
      </c>
      <c r="M217" s="25">
        <v>200</v>
      </c>
      <c r="N217" s="26">
        <f t="shared" si="4"/>
        <v>1584</v>
      </c>
      <c r="O217" s="26"/>
      <c r="P217" s="1" t="s">
        <v>753</v>
      </c>
    </row>
    <row r="218" spans="1:17" hidden="1" x14ac:dyDescent="0.2">
      <c r="A218" s="1" t="s">
        <v>766</v>
      </c>
      <c r="B218" s="1" t="s">
        <v>767</v>
      </c>
      <c r="C218" s="1" t="s">
        <v>768</v>
      </c>
      <c r="D218" s="1" t="s">
        <v>188</v>
      </c>
      <c r="E218" s="22">
        <v>445</v>
      </c>
      <c r="F218" s="22">
        <v>1</v>
      </c>
      <c r="G218" s="21">
        <v>24</v>
      </c>
      <c r="H218" s="26">
        <v>7.92</v>
      </c>
      <c r="I218" s="24">
        <v>445</v>
      </c>
      <c r="J218" s="21" t="s">
        <v>116</v>
      </c>
      <c r="K218" s="24" t="s">
        <v>117</v>
      </c>
      <c r="L218" s="24" t="s">
        <v>740</v>
      </c>
      <c r="M218" s="25">
        <v>200</v>
      </c>
      <c r="N218" s="26">
        <f t="shared" si="4"/>
        <v>1584</v>
      </c>
      <c r="O218" s="26"/>
      <c r="P218" s="1" t="s">
        <v>753</v>
      </c>
    </row>
    <row r="219" spans="1:17" hidden="1" x14ac:dyDescent="0.2">
      <c r="A219" s="1" t="s">
        <v>769</v>
      </c>
      <c r="B219" s="1" t="s">
        <v>770</v>
      </c>
      <c r="C219" s="1" t="s">
        <v>771</v>
      </c>
      <c r="D219" s="1" t="s">
        <v>188</v>
      </c>
      <c r="E219" s="22">
        <v>445</v>
      </c>
      <c r="F219" s="22">
        <v>1</v>
      </c>
      <c r="G219" s="21">
        <v>24</v>
      </c>
      <c r="H219" s="26">
        <v>7.92</v>
      </c>
      <c r="I219" s="24">
        <v>445</v>
      </c>
      <c r="J219" s="21" t="s">
        <v>116</v>
      </c>
      <c r="K219" s="24" t="s">
        <v>117</v>
      </c>
      <c r="L219" s="24" t="s">
        <v>740</v>
      </c>
      <c r="M219" s="25">
        <v>200</v>
      </c>
      <c r="N219" s="26">
        <f t="shared" si="4"/>
        <v>1584</v>
      </c>
      <c r="O219" s="26"/>
      <c r="P219" s="1" t="s">
        <v>753</v>
      </c>
    </row>
    <row r="220" spans="1:17" hidden="1" x14ac:dyDescent="0.2">
      <c r="A220" s="27" t="s">
        <v>772</v>
      </c>
      <c r="B220" s="27" t="s">
        <v>773</v>
      </c>
      <c r="C220" s="27" t="s">
        <v>774</v>
      </c>
      <c r="D220" s="27" t="s">
        <v>236</v>
      </c>
      <c r="E220" s="22" t="e">
        <v>#N/A</v>
      </c>
      <c r="F220" s="22" t="e">
        <v>#N/A</v>
      </c>
      <c r="G220" s="21" t="e">
        <v>#N/A</v>
      </c>
      <c r="H220" s="26" t="e">
        <v>#N/A</v>
      </c>
      <c r="I220" s="24" t="e">
        <v>#N/A</v>
      </c>
      <c r="K220" s="24" t="e">
        <v>#N/A</v>
      </c>
      <c r="L220" s="24" t="s">
        <v>775</v>
      </c>
      <c r="M220" s="21">
        <v>1000</v>
      </c>
      <c r="N220" s="26"/>
      <c r="O220" s="26"/>
      <c r="P220" s="1" t="s">
        <v>776</v>
      </c>
    </row>
    <row r="221" spans="1:17" hidden="1" x14ac:dyDescent="0.2">
      <c r="A221" s="27" t="s">
        <v>777</v>
      </c>
      <c r="B221" s="27" t="s">
        <v>778</v>
      </c>
      <c r="C221" s="27" t="s">
        <v>779</v>
      </c>
      <c r="D221" s="27" t="s">
        <v>236</v>
      </c>
      <c r="E221" s="22" t="e">
        <v>#N/A</v>
      </c>
      <c r="F221" s="22" t="e">
        <v>#N/A</v>
      </c>
      <c r="G221" s="21" t="e">
        <v>#N/A</v>
      </c>
      <c r="H221" s="26" t="e">
        <v>#N/A</v>
      </c>
      <c r="I221" s="24" t="e">
        <v>#N/A</v>
      </c>
      <c r="K221" s="24" t="e">
        <v>#N/A</v>
      </c>
      <c r="L221" s="24" t="s">
        <v>775</v>
      </c>
      <c r="M221" s="21">
        <v>1000</v>
      </c>
      <c r="N221" s="26"/>
      <c r="O221" s="26"/>
      <c r="P221" s="1" t="s">
        <v>776</v>
      </c>
    </row>
    <row r="222" spans="1:17" hidden="1" x14ac:dyDescent="0.2">
      <c r="A222" s="27" t="s">
        <v>780</v>
      </c>
      <c r="B222" s="27" t="s">
        <v>781</v>
      </c>
      <c r="C222" s="27" t="s">
        <v>782</v>
      </c>
      <c r="D222" s="27" t="s">
        <v>236</v>
      </c>
      <c r="E222" s="22" t="e">
        <v>#N/A</v>
      </c>
      <c r="F222" s="22" t="e">
        <v>#N/A</v>
      </c>
      <c r="G222" s="21" t="e">
        <v>#N/A</v>
      </c>
      <c r="H222" s="26" t="e">
        <v>#N/A</v>
      </c>
      <c r="I222" s="24" t="e">
        <v>#N/A</v>
      </c>
      <c r="K222" s="24" t="e">
        <v>#N/A</v>
      </c>
      <c r="L222" s="24" t="s">
        <v>775</v>
      </c>
      <c r="M222" s="21">
        <v>1000</v>
      </c>
      <c r="N222" s="26"/>
      <c r="O222" s="26"/>
      <c r="P222" s="1" t="s">
        <v>776</v>
      </c>
    </row>
    <row r="223" spans="1:17" hidden="1" x14ac:dyDescent="0.2">
      <c r="A223" s="27" t="s">
        <v>783</v>
      </c>
      <c r="B223" s="27" t="s">
        <v>784</v>
      </c>
      <c r="C223" s="27" t="s">
        <v>785</v>
      </c>
      <c r="D223" s="27" t="s">
        <v>236</v>
      </c>
      <c r="E223" s="22" t="e">
        <v>#N/A</v>
      </c>
      <c r="F223" s="22" t="e">
        <v>#N/A</v>
      </c>
      <c r="G223" s="21" t="e">
        <v>#N/A</v>
      </c>
      <c r="H223" s="26" t="e">
        <v>#N/A</v>
      </c>
      <c r="I223" s="24" t="e">
        <v>#N/A</v>
      </c>
      <c r="K223" s="24" t="e">
        <v>#N/A</v>
      </c>
      <c r="L223" s="24" t="s">
        <v>775</v>
      </c>
      <c r="M223" s="21">
        <v>1000</v>
      </c>
      <c r="N223" s="26"/>
      <c r="O223" s="26"/>
      <c r="P223" s="1" t="s">
        <v>776</v>
      </c>
    </row>
    <row r="224" spans="1:17" hidden="1" x14ac:dyDescent="0.2">
      <c r="A224" s="1" t="s">
        <v>786</v>
      </c>
      <c r="B224" s="1" t="s">
        <v>787</v>
      </c>
      <c r="C224" s="1" t="s">
        <v>788</v>
      </c>
      <c r="D224" s="1" t="s">
        <v>188</v>
      </c>
      <c r="E224" s="22">
        <v>35</v>
      </c>
      <c r="F224" s="22">
        <v>0</v>
      </c>
      <c r="G224" s="21">
        <v>0</v>
      </c>
      <c r="H224" s="26">
        <v>0</v>
      </c>
      <c r="I224" s="24">
        <v>0</v>
      </c>
      <c r="J224" s="21" t="s">
        <v>116</v>
      </c>
      <c r="K224" s="24" t="s">
        <v>117</v>
      </c>
      <c r="L224" s="24" t="s">
        <v>789</v>
      </c>
      <c r="M224" s="21">
        <v>35</v>
      </c>
      <c r="N224" s="26">
        <f t="shared" ref="N224:N287" si="5">H224*M224</f>
        <v>0</v>
      </c>
      <c r="O224" s="26"/>
      <c r="Q224" s="1" t="s">
        <v>1023</v>
      </c>
    </row>
    <row r="225" spans="1:17" hidden="1" x14ac:dyDescent="0.2">
      <c r="A225" s="1" t="s">
        <v>790</v>
      </c>
      <c r="B225" s="1" t="s">
        <v>791</v>
      </c>
      <c r="C225" s="1" t="s">
        <v>792</v>
      </c>
      <c r="D225" s="1" t="s">
        <v>188</v>
      </c>
      <c r="E225" s="22">
        <v>10</v>
      </c>
      <c r="F225" s="22">
        <v>0</v>
      </c>
      <c r="G225" s="21">
        <v>0</v>
      </c>
      <c r="H225" s="26">
        <v>0</v>
      </c>
      <c r="I225" s="24">
        <v>0</v>
      </c>
      <c r="J225" s="21" t="s">
        <v>116</v>
      </c>
      <c r="K225" s="24" t="s">
        <v>117</v>
      </c>
      <c r="L225" s="24" t="s">
        <v>789</v>
      </c>
      <c r="M225" s="21">
        <v>10</v>
      </c>
      <c r="N225" s="26">
        <f t="shared" si="5"/>
        <v>0</v>
      </c>
      <c r="O225" s="26"/>
      <c r="Q225" s="1" t="s">
        <v>1023</v>
      </c>
    </row>
    <row r="226" spans="1:17" hidden="1" x14ac:dyDescent="0.2">
      <c r="A226" s="1" t="s">
        <v>793</v>
      </c>
      <c r="B226" s="1" t="s">
        <v>794</v>
      </c>
      <c r="C226" s="1" t="s">
        <v>795</v>
      </c>
      <c r="D226" s="1" t="s">
        <v>188</v>
      </c>
      <c r="E226" s="22">
        <v>10</v>
      </c>
      <c r="F226" s="22">
        <v>0</v>
      </c>
      <c r="G226" s="21">
        <v>0</v>
      </c>
      <c r="H226" s="26">
        <v>0</v>
      </c>
      <c r="I226" s="24">
        <v>0</v>
      </c>
      <c r="J226" s="21" t="s">
        <v>116</v>
      </c>
      <c r="K226" s="24" t="s">
        <v>117</v>
      </c>
      <c r="L226" s="24" t="s">
        <v>789</v>
      </c>
      <c r="M226" s="21">
        <v>10</v>
      </c>
      <c r="N226" s="26">
        <f t="shared" si="5"/>
        <v>0</v>
      </c>
      <c r="O226" s="26"/>
      <c r="Q226" s="1" t="s">
        <v>1023</v>
      </c>
    </row>
    <row r="227" spans="1:17" hidden="1" x14ac:dyDescent="0.2">
      <c r="A227" s="1" t="s">
        <v>796</v>
      </c>
      <c r="B227" s="1" t="s">
        <v>797</v>
      </c>
      <c r="C227" s="1" t="s">
        <v>798</v>
      </c>
      <c r="D227" s="1" t="s">
        <v>188</v>
      </c>
      <c r="E227" s="22">
        <v>930</v>
      </c>
      <c r="F227" s="22">
        <v>0</v>
      </c>
      <c r="G227" s="21">
        <v>0</v>
      </c>
      <c r="H227" s="26">
        <v>0</v>
      </c>
      <c r="I227" s="24">
        <v>0</v>
      </c>
      <c r="J227" s="21" t="s">
        <v>116</v>
      </c>
      <c r="K227" s="24" t="s">
        <v>117</v>
      </c>
      <c r="L227" s="24" t="s">
        <v>789</v>
      </c>
      <c r="M227" s="21">
        <v>930</v>
      </c>
      <c r="N227" s="26">
        <f t="shared" si="5"/>
        <v>0</v>
      </c>
      <c r="O227" s="26"/>
      <c r="Q227" s="1" t="s">
        <v>1023</v>
      </c>
    </row>
    <row r="228" spans="1:17" hidden="1" x14ac:dyDescent="0.2">
      <c r="A228" s="1" t="s">
        <v>799</v>
      </c>
      <c r="B228" s="1" t="s">
        <v>800</v>
      </c>
      <c r="C228" s="1" t="s">
        <v>801</v>
      </c>
      <c r="D228" s="1" t="s">
        <v>802</v>
      </c>
      <c r="E228" s="22">
        <v>15</v>
      </c>
      <c r="F228" s="22">
        <v>0</v>
      </c>
      <c r="G228" s="21">
        <v>0</v>
      </c>
      <c r="H228" s="26">
        <v>0</v>
      </c>
      <c r="I228" s="24">
        <v>0</v>
      </c>
      <c r="J228" s="21" t="s">
        <v>116</v>
      </c>
      <c r="K228" s="24" t="s">
        <v>117</v>
      </c>
      <c r="L228" s="24" t="s">
        <v>789</v>
      </c>
      <c r="M228" s="21">
        <v>15</v>
      </c>
      <c r="N228" s="26">
        <f t="shared" si="5"/>
        <v>0</v>
      </c>
      <c r="O228" s="26"/>
      <c r="Q228" s="1" t="s">
        <v>1023</v>
      </c>
    </row>
    <row r="229" spans="1:17" hidden="1" x14ac:dyDescent="0.2">
      <c r="A229" s="1" t="s">
        <v>803</v>
      </c>
      <c r="B229" s="1" t="s">
        <v>804</v>
      </c>
      <c r="C229" s="1" t="s">
        <v>805</v>
      </c>
      <c r="D229" s="1" t="s">
        <v>188</v>
      </c>
      <c r="E229" s="22">
        <v>235</v>
      </c>
      <c r="F229" s="22">
        <v>0</v>
      </c>
      <c r="G229" s="21">
        <v>0</v>
      </c>
      <c r="H229" s="26">
        <v>0</v>
      </c>
      <c r="I229" s="24">
        <v>0</v>
      </c>
      <c r="J229" s="21" t="s">
        <v>116</v>
      </c>
      <c r="K229" s="24" t="s">
        <v>117</v>
      </c>
      <c r="L229" s="24" t="s">
        <v>789</v>
      </c>
      <c r="M229" s="21">
        <v>235</v>
      </c>
      <c r="N229" s="26">
        <f t="shared" si="5"/>
        <v>0</v>
      </c>
      <c r="O229" s="26"/>
      <c r="Q229" s="1" t="s">
        <v>1023</v>
      </c>
    </row>
    <row r="230" spans="1:17" hidden="1" x14ac:dyDescent="0.2">
      <c r="A230" s="1" t="s">
        <v>806</v>
      </c>
      <c r="B230" s="1" t="s">
        <v>807</v>
      </c>
      <c r="C230" s="1" t="s">
        <v>808</v>
      </c>
      <c r="D230" s="1" t="s">
        <v>358</v>
      </c>
      <c r="E230" s="22">
        <v>10</v>
      </c>
      <c r="F230" s="22">
        <v>0</v>
      </c>
      <c r="G230" s="21">
        <v>0</v>
      </c>
      <c r="H230" s="26">
        <v>0</v>
      </c>
      <c r="I230" s="24">
        <v>0</v>
      </c>
      <c r="J230" s="21" t="s">
        <v>116</v>
      </c>
      <c r="K230" s="24" t="s">
        <v>117</v>
      </c>
      <c r="L230" s="24" t="s">
        <v>789</v>
      </c>
      <c r="M230" s="21">
        <v>10</v>
      </c>
      <c r="N230" s="26">
        <f t="shared" si="5"/>
        <v>0</v>
      </c>
      <c r="O230" s="26"/>
      <c r="Q230" s="1" t="s">
        <v>1023</v>
      </c>
    </row>
    <row r="231" spans="1:17" hidden="1" x14ac:dyDescent="0.2">
      <c r="A231" s="1" t="s">
        <v>809</v>
      </c>
      <c r="B231" s="1" t="s">
        <v>810</v>
      </c>
      <c r="C231" s="1" t="s">
        <v>811</v>
      </c>
      <c r="D231" s="1" t="s">
        <v>358</v>
      </c>
      <c r="E231" s="22">
        <v>230</v>
      </c>
      <c r="F231" s="22">
        <v>0</v>
      </c>
      <c r="G231" s="21">
        <v>0</v>
      </c>
      <c r="H231" s="26">
        <v>0</v>
      </c>
      <c r="I231" s="24">
        <v>0</v>
      </c>
      <c r="J231" s="21" t="s">
        <v>116</v>
      </c>
      <c r="K231" s="24" t="s">
        <v>117</v>
      </c>
      <c r="L231" s="24" t="s">
        <v>789</v>
      </c>
      <c r="M231" s="21">
        <v>230</v>
      </c>
      <c r="N231" s="26">
        <f t="shared" si="5"/>
        <v>0</v>
      </c>
      <c r="O231" s="26"/>
      <c r="Q231" s="1" t="s">
        <v>1023</v>
      </c>
    </row>
    <row r="232" spans="1:17" hidden="1" x14ac:dyDescent="0.2">
      <c r="A232" s="1" t="s">
        <v>812</v>
      </c>
      <c r="B232" s="1" t="s">
        <v>813</v>
      </c>
      <c r="C232" s="1" t="s">
        <v>814</v>
      </c>
      <c r="D232" s="1" t="s">
        <v>358</v>
      </c>
      <c r="E232" s="22">
        <v>230</v>
      </c>
      <c r="F232" s="22">
        <v>0</v>
      </c>
      <c r="G232" s="21">
        <v>0</v>
      </c>
      <c r="H232" s="26">
        <v>0</v>
      </c>
      <c r="I232" s="24">
        <v>0</v>
      </c>
      <c r="J232" s="21" t="s">
        <v>116</v>
      </c>
      <c r="K232" s="24" t="s">
        <v>117</v>
      </c>
      <c r="L232" s="24" t="s">
        <v>789</v>
      </c>
      <c r="M232" s="21">
        <v>230</v>
      </c>
      <c r="N232" s="26">
        <f t="shared" si="5"/>
        <v>0</v>
      </c>
      <c r="O232" s="26"/>
      <c r="Q232" s="1" t="s">
        <v>1023</v>
      </c>
    </row>
    <row r="233" spans="1:17" hidden="1" x14ac:dyDescent="0.2">
      <c r="A233" s="1" t="s">
        <v>815</v>
      </c>
      <c r="B233" s="1" t="s">
        <v>816</v>
      </c>
      <c r="C233" s="1" t="s">
        <v>817</v>
      </c>
      <c r="D233" s="1" t="s">
        <v>358</v>
      </c>
      <c r="E233" s="22">
        <v>10</v>
      </c>
      <c r="F233" s="22">
        <v>0</v>
      </c>
      <c r="G233" s="21">
        <v>0</v>
      </c>
      <c r="H233" s="26">
        <v>0</v>
      </c>
      <c r="I233" s="24">
        <v>0</v>
      </c>
      <c r="J233" s="21" t="s">
        <v>116</v>
      </c>
      <c r="K233" s="24" t="s">
        <v>117</v>
      </c>
      <c r="L233" s="24" t="s">
        <v>789</v>
      </c>
      <c r="M233" s="21">
        <v>10</v>
      </c>
      <c r="N233" s="26">
        <f t="shared" si="5"/>
        <v>0</v>
      </c>
      <c r="O233" s="26"/>
      <c r="Q233" s="1" t="s">
        <v>1023</v>
      </c>
    </row>
    <row r="234" spans="1:17" hidden="1" x14ac:dyDescent="0.2">
      <c r="A234" s="1" t="s">
        <v>818</v>
      </c>
      <c r="B234" s="1" t="s">
        <v>819</v>
      </c>
      <c r="C234" s="1" t="s">
        <v>820</v>
      </c>
      <c r="D234" s="1" t="s">
        <v>358</v>
      </c>
      <c r="E234" s="22">
        <v>10</v>
      </c>
      <c r="F234" s="22">
        <v>0</v>
      </c>
      <c r="G234" s="21">
        <v>0</v>
      </c>
      <c r="H234" s="26">
        <v>0</v>
      </c>
      <c r="I234" s="24">
        <v>0</v>
      </c>
      <c r="J234" s="21" t="s">
        <v>116</v>
      </c>
      <c r="K234" s="24" t="s">
        <v>117</v>
      </c>
      <c r="L234" s="24" t="s">
        <v>789</v>
      </c>
      <c r="M234" s="21">
        <v>10</v>
      </c>
      <c r="N234" s="26">
        <f t="shared" si="5"/>
        <v>0</v>
      </c>
      <c r="O234" s="26"/>
      <c r="Q234" s="1" t="s">
        <v>1023</v>
      </c>
    </row>
    <row r="235" spans="1:17" hidden="1" x14ac:dyDescent="0.2">
      <c r="A235" s="1" t="s">
        <v>821</v>
      </c>
      <c r="B235" s="1" t="s">
        <v>822</v>
      </c>
      <c r="C235" s="1" t="s">
        <v>823</v>
      </c>
      <c r="D235" s="1" t="s">
        <v>358</v>
      </c>
      <c r="E235" s="22">
        <v>15</v>
      </c>
      <c r="F235" s="22">
        <v>0</v>
      </c>
      <c r="G235" s="21">
        <v>0</v>
      </c>
      <c r="H235" s="26">
        <v>0</v>
      </c>
      <c r="I235" s="24">
        <v>0</v>
      </c>
      <c r="J235" s="21" t="s">
        <v>116</v>
      </c>
      <c r="K235" s="24" t="s">
        <v>117</v>
      </c>
      <c r="L235" s="24" t="s">
        <v>789</v>
      </c>
      <c r="M235" s="21">
        <v>15</v>
      </c>
      <c r="N235" s="26">
        <f t="shared" si="5"/>
        <v>0</v>
      </c>
      <c r="O235" s="26"/>
      <c r="Q235" s="1" t="s">
        <v>1023</v>
      </c>
    </row>
    <row r="236" spans="1:17" hidden="1" x14ac:dyDescent="0.2">
      <c r="A236" s="1" t="s">
        <v>824</v>
      </c>
      <c r="B236" s="1" t="s">
        <v>825</v>
      </c>
      <c r="C236" s="1" t="s">
        <v>826</v>
      </c>
      <c r="D236" s="1" t="s">
        <v>374</v>
      </c>
      <c r="E236" s="22">
        <v>10</v>
      </c>
      <c r="F236" s="22">
        <v>0</v>
      </c>
      <c r="G236" s="21">
        <v>0</v>
      </c>
      <c r="H236" s="26">
        <v>0</v>
      </c>
      <c r="I236" s="24">
        <v>0</v>
      </c>
      <c r="J236" s="21" t="s">
        <v>116</v>
      </c>
      <c r="K236" s="24" t="s">
        <v>117</v>
      </c>
      <c r="L236" s="24" t="s">
        <v>789</v>
      </c>
      <c r="M236" s="21">
        <v>10</v>
      </c>
      <c r="N236" s="26">
        <f t="shared" si="5"/>
        <v>0</v>
      </c>
      <c r="O236" s="26"/>
      <c r="Q236" s="1" t="s">
        <v>1023</v>
      </c>
    </row>
    <row r="237" spans="1:17" hidden="1" x14ac:dyDescent="0.2">
      <c r="A237" s="1" t="s">
        <v>827</v>
      </c>
      <c r="B237" s="1" t="s">
        <v>828</v>
      </c>
      <c r="C237" s="1" t="s">
        <v>829</v>
      </c>
      <c r="D237" s="1" t="s">
        <v>188</v>
      </c>
      <c r="E237" s="22">
        <v>15</v>
      </c>
      <c r="F237" s="22">
        <v>0</v>
      </c>
      <c r="G237" s="21">
        <v>0</v>
      </c>
      <c r="H237" s="26">
        <v>0</v>
      </c>
      <c r="I237" s="24">
        <v>0</v>
      </c>
      <c r="J237" s="21" t="s">
        <v>116</v>
      </c>
      <c r="K237" s="24" t="s">
        <v>117</v>
      </c>
      <c r="L237" s="24" t="s">
        <v>789</v>
      </c>
      <c r="M237" s="21">
        <v>15</v>
      </c>
      <c r="N237" s="26">
        <f t="shared" si="5"/>
        <v>0</v>
      </c>
      <c r="O237" s="26"/>
      <c r="Q237" s="1" t="s">
        <v>1023</v>
      </c>
    </row>
    <row r="238" spans="1:17" hidden="1" x14ac:dyDescent="0.2">
      <c r="A238" s="1" t="s">
        <v>830</v>
      </c>
      <c r="B238" s="1" t="s">
        <v>831</v>
      </c>
      <c r="C238" s="1" t="s">
        <v>832</v>
      </c>
      <c r="D238" s="1" t="s">
        <v>358</v>
      </c>
      <c r="E238" s="22">
        <v>15</v>
      </c>
      <c r="F238" s="22">
        <v>0</v>
      </c>
      <c r="G238" s="21">
        <v>0</v>
      </c>
      <c r="H238" s="26">
        <v>0</v>
      </c>
      <c r="I238" s="24">
        <v>0</v>
      </c>
      <c r="J238" s="21" t="s">
        <v>116</v>
      </c>
      <c r="K238" s="24" t="s">
        <v>117</v>
      </c>
      <c r="L238" s="24" t="s">
        <v>789</v>
      </c>
      <c r="M238" s="21">
        <v>15</v>
      </c>
      <c r="N238" s="26">
        <f t="shared" si="5"/>
        <v>0</v>
      </c>
      <c r="O238" s="26"/>
      <c r="Q238" s="1" t="s">
        <v>1023</v>
      </c>
    </row>
    <row r="239" spans="1:17" hidden="1" x14ac:dyDescent="0.2">
      <c r="A239" s="1" t="s">
        <v>833</v>
      </c>
      <c r="B239" s="1" t="s">
        <v>834</v>
      </c>
      <c r="C239" s="1" t="s">
        <v>835</v>
      </c>
      <c r="D239" s="1" t="s">
        <v>836</v>
      </c>
      <c r="E239" s="22">
        <v>5</v>
      </c>
      <c r="F239" s="22">
        <v>0</v>
      </c>
      <c r="G239" s="21">
        <v>0</v>
      </c>
      <c r="H239" s="26">
        <v>0</v>
      </c>
      <c r="I239" s="24">
        <v>0</v>
      </c>
      <c r="J239" s="21" t="s">
        <v>116</v>
      </c>
      <c r="K239" s="24" t="s">
        <v>117</v>
      </c>
      <c r="L239" s="24" t="s">
        <v>789</v>
      </c>
      <c r="M239" s="21">
        <v>5</v>
      </c>
      <c r="N239" s="26">
        <f t="shared" si="5"/>
        <v>0</v>
      </c>
      <c r="O239" s="26"/>
      <c r="Q239" s="1" t="s">
        <v>1023</v>
      </c>
    </row>
    <row r="240" spans="1:17" hidden="1" x14ac:dyDescent="0.2">
      <c r="A240" s="1" t="s">
        <v>837</v>
      </c>
      <c r="B240" s="1" t="s">
        <v>838</v>
      </c>
      <c r="C240" s="1" t="s">
        <v>839</v>
      </c>
      <c r="D240" s="1" t="s">
        <v>840</v>
      </c>
      <c r="E240" s="22">
        <v>50</v>
      </c>
      <c r="F240" s="22">
        <v>0</v>
      </c>
      <c r="G240" s="21">
        <v>0</v>
      </c>
      <c r="H240" s="23">
        <v>0</v>
      </c>
      <c r="I240" s="24">
        <v>0</v>
      </c>
      <c r="J240" s="21">
        <v>0</v>
      </c>
      <c r="K240" s="24" t="s">
        <v>23</v>
      </c>
      <c r="L240" s="24" t="s">
        <v>789</v>
      </c>
      <c r="M240" s="21">
        <v>50</v>
      </c>
      <c r="N240" s="26">
        <f t="shared" si="5"/>
        <v>0</v>
      </c>
      <c r="O240" s="26"/>
      <c r="P240" s="29"/>
    </row>
    <row r="241" spans="1:17" hidden="1" x14ac:dyDescent="0.2">
      <c r="A241" s="1" t="s">
        <v>841</v>
      </c>
      <c r="B241" s="1" t="s">
        <v>842</v>
      </c>
      <c r="C241" s="1" t="s">
        <v>843</v>
      </c>
      <c r="D241" s="1" t="s">
        <v>840</v>
      </c>
      <c r="E241" s="22">
        <v>235</v>
      </c>
      <c r="F241" s="22">
        <v>0</v>
      </c>
      <c r="G241" s="21">
        <v>0</v>
      </c>
      <c r="H241" s="23">
        <v>0</v>
      </c>
      <c r="I241" s="24">
        <v>0</v>
      </c>
      <c r="J241" s="21">
        <v>0</v>
      </c>
      <c r="K241" s="24" t="s">
        <v>23</v>
      </c>
      <c r="L241" s="24" t="s">
        <v>789</v>
      </c>
      <c r="M241" s="21">
        <v>235</v>
      </c>
      <c r="N241" s="26">
        <f t="shared" si="5"/>
        <v>0</v>
      </c>
      <c r="O241" s="26"/>
      <c r="P241" s="29"/>
    </row>
    <row r="242" spans="1:17" hidden="1" x14ac:dyDescent="0.2">
      <c r="A242" s="1" t="s">
        <v>844</v>
      </c>
      <c r="B242" s="1" t="s">
        <v>845</v>
      </c>
      <c r="C242" s="1" t="s">
        <v>846</v>
      </c>
      <c r="D242" s="1" t="s">
        <v>98</v>
      </c>
      <c r="E242" s="22">
        <v>375</v>
      </c>
      <c r="F242" s="22">
        <v>0</v>
      </c>
      <c r="G242" s="21">
        <v>0</v>
      </c>
      <c r="H242" s="26">
        <v>0</v>
      </c>
      <c r="I242" s="24">
        <v>0</v>
      </c>
      <c r="J242" s="21" t="s">
        <v>116</v>
      </c>
      <c r="K242" s="24" t="s">
        <v>117</v>
      </c>
      <c r="L242" s="24" t="s">
        <v>789</v>
      </c>
      <c r="M242" s="21">
        <v>375</v>
      </c>
      <c r="N242" s="26">
        <f t="shared" si="5"/>
        <v>0</v>
      </c>
      <c r="O242" s="26"/>
      <c r="Q242" s="1" t="s">
        <v>1023</v>
      </c>
    </row>
    <row r="243" spans="1:17" hidden="1" x14ac:dyDescent="0.2">
      <c r="A243" s="1" t="s">
        <v>847</v>
      </c>
      <c r="B243" s="1" t="s">
        <v>848</v>
      </c>
      <c r="C243" s="1" t="s">
        <v>849</v>
      </c>
      <c r="D243" s="1" t="s">
        <v>840</v>
      </c>
      <c r="E243" s="22">
        <v>20</v>
      </c>
      <c r="F243" s="22">
        <v>0</v>
      </c>
      <c r="G243" s="21">
        <v>0</v>
      </c>
      <c r="H243" s="23">
        <v>0</v>
      </c>
      <c r="I243" s="24">
        <v>0</v>
      </c>
      <c r="J243" s="21">
        <v>0</v>
      </c>
      <c r="K243" s="24" t="s">
        <v>23</v>
      </c>
      <c r="L243" s="24" t="s">
        <v>789</v>
      </c>
      <c r="M243" s="21">
        <v>20</v>
      </c>
      <c r="N243" s="26">
        <f t="shared" si="5"/>
        <v>0</v>
      </c>
      <c r="O243" s="26"/>
      <c r="P243" s="29"/>
    </row>
    <row r="244" spans="1:17" hidden="1" x14ac:dyDescent="0.2">
      <c r="A244" s="1" t="s">
        <v>850</v>
      </c>
      <c r="B244" s="1" t="s">
        <v>851</v>
      </c>
      <c r="C244" s="1" t="s">
        <v>852</v>
      </c>
      <c r="D244" s="1" t="s">
        <v>853</v>
      </c>
      <c r="E244" s="22">
        <v>5</v>
      </c>
      <c r="F244" s="22">
        <v>0</v>
      </c>
      <c r="G244" s="21">
        <v>0</v>
      </c>
      <c r="H244" s="26">
        <v>0</v>
      </c>
      <c r="I244" s="24">
        <v>0</v>
      </c>
      <c r="J244" s="21" t="s">
        <v>116</v>
      </c>
      <c r="K244" s="24" t="s">
        <v>117</v>
      </c>
      <c r="L244" s="24" t="s">
        <v>789</v>
      </c>
      <c r="M244" s="21">
        <v>5</v>
      </c>
      <c r="N244" s="26">
        <f t="shared" si="5"/>
        <v>0</v>
      </c>
      <c r="O244" s="26"/>
      <c r="Q244" s="1" t="s">
        <v>1023</v>
      </c>
    </row>
    <row r="245" spans="1:17" hidden="1" x14ac:dyDescent="0.2">
      <c r="A245" s="1" t="s">
        <v>854</v>
      </c>
      <c r="B245" s="1" t="s">
        <v>855</v>
      </c>
      <c r="C245" s="1" t="s">
        <v>856</v>
      </c>
      <c r="D245" s="1" t="s">
        <v>840</v>
      </c>
      <c r="E245" s="22">
        <v>180</v>
      </c>
      <c r="F245" s="22">
        <v>0</v>
      </c>
      <c r="G245" s="21">
        <v>0</v>
      </c>
      <c r="H245" s="26">
        <v>0</v>
      </c>
      <c r="I245" s="24">
        <v>0</v>
      </c>
      <c r="J245" s="21" t="s">
        <v>116</v>
      </c>
      <c r="K245" s="24" t="s">
        <v>117</v>
      </c>
      <c r="L245" s="24" t="s">
        <v>789</v>
      </c>
      <c r="M245" s="21">
        <v>180</v>
      </c>
      <c r="N245" s="26">
        <f t="shared" si="5"/>
        <v>0</v>
      </c>
      <c r="O245" s="26"/>
      <c r="Q245" s="1" t="s">
        <v>1023</v>
      </c>
    </row>
    <row r="246" spans="1:17" hidden="1" x14ac:dyDescent="0.2">
      <c r="A246" s="1" t="s">
        <v>857</v>
      </c>
      <c r="B246" s="1" t="s">
        <v>858</v>
      </c>
      <c r="C246" s="1" t="s">
        <v>859</v>
      </c>
      <c r="D246" s="1" t="s">
        <v>840</v>
      </c>
      <c r="E246" s="22">
        <v>205</v>
      </c>
      <c r="F246" s="22">
        <v>0</v>
      </c>
      <c r="G246" s="21">
        <v>0</v>
      </c>
      <c r="H246" s="26">
        <v>0</v>
      </c>
      <c r="I246" s="24">
        <v>0</v>
      </c>
      <c r="J246" s="21" t="s">
        <v>116</v>
      </c>
      <c r="K246" s="24" t="s">
        <v>117</v>
      </c>
      <c r="L246" s="24" t="s">
        <v>789</v>
      </c>
      <c r="M246" s="21">
        <v>205</v>
      </c>
      <c r="N246" s="26">
        <f t="shared" si="5"/>
        <v>0</v>
      </c>
      <c r="O246" s="26"/>
      <c r="Q246" s="1" t="s">
        <v>1023</v>
      </c>
    </row>
    <row r="247" spans="1:17" hidden="1" x14ac:dyDescent="0.2">
      <c r="A247" s="1" t="s">
        <v>860</v>
      </c>
      <c r="B247" s="1" t="s">
        <v>861</v>
      </c>
      <c r="C247" s="1" t="s">
        <v>862</v>
      </c>
      <c r="D247" s="1" t="s">
        <v>840</v>
      </c>
      <c r="E247" s="22">
        <v>230</v>
      </c>
      <c r="F247" s="22">
        <v>0</v>
      </c>
      <c r="G247" s="21">
        <v>0</v>
      </c>
      <c r="H247" s="26">
        <v>0</v>
      </c>
      <c r="I247" s="24">
        <v>0</v>
      </c>
      <c r="J247" s="21" t="s">
        <v>116</v>
      </c>
      <c r="K247" s="24" t="s">
        <v>117</v>
      </c>
      <c r="L247" s="24" t="s">
        <v>789</v>
      </c>
      <c r="M247" s="21">
        <v>230</v>
      </c>
      <c r="N247" s="26">
        <f t="shared" si="5"/>
        <v>0</v>
      </c>
      <c r="O247" s="26"/>
      <c r="Q247" s="1" t="s">
        <v>1023</v>
      </c>
    </row>
    <row r="248" spans="1:17" hidden="1" x14ac:dyDescent="0.2">
      <c r="A248" s="1" t="s">
        <v>863</v>
      </c>
      <c r="B248" s="1" t="s">
        <v>864</v>
      </c>
      <c r="C248" s="1" t="s">
        <v>865</v>
      </c>
      <c r="D248" s="1" t="s">
        <v>840</v>
      </c>
      <c r="E248" s="22">
        <v>230</v>
      </c>
      <c r="F248" s="22">
        <v>0</v>
      </c>
      <c r="G248" s="21">
        <v>0</v>
      </c>
      <c r="H248" s="26">
        <v>0</v>
      </c>
      <c r="I248" s="24">
        <v>0</v>
      </c>
      <c r="J248" s="21" t="s">
        <v>116</v>
      </c>
      <c r="K248" s="24" t="s">
        <v>117</v>
      </c>
      <c r="L248" s="24" t="s">
        <v>789</v>
      </c>
      <c r="M248" s="21">
        <v>230</v>
      </c>
      <c r="N248" s="26">
        <f t="shared" si="5"/>
        <v>0</v>
      </c>
      <c r="O248" s="26"/>
      <c r="Q248" s="1" t="s">
        <v>1023</v>
      </c>
    </row>
    <row r="249" spans="1:17" hidden="1" x14ac:dyDescent="0.2">
      <c r="A249" s="1" t="s">
        <v>866</v>
      </c>
      <c r="B249" s="1" t="s">
        <v>867</v>
      </c>
      <c r="C249" s="1" t="s">
        <v>868</v>
      </c>
      <c r="D249" s="1" t="s">
        <v>840</v>
      </c>
      <c r="E249" s="22">
        <v>230</v>
      </c>
      <c r="F249" s="22">
        <v>0</v>
      </c>
      <c r="G249" s="21">
        <v>0</v>
      </c>
      <c r="H249" s="26">
        <v>0</v>
      </c>
      <c r="I249" s="24">
        <v>0</v>
      </c>
      <c r="J249" s="21" t="s">
        <v>116</v>
      </c>
      <c r="K249" s="24" t="s">
        <v>117</v>
      </c>
      <c r="L249" s="24" t="s">
        <v>789</v>
      </c>
      <c r="M249" s="21">
        <v>230</v>
      </c>
      <c r="N249" s="26">
        <f t="shared" si="5"/>
        <v>0</v>
      </c>
      <c r="O249" s="26"/>
      <c r="Q249" s="1" t="s">
        <v>1023</v>
      </c>
    </row>
    <row r="250" spans="1:17" hidden="1" x14ac:dyDescent="0.2">
      <c r="A250" s="1" t="s">
        <v>869</v>
      </c>
      <c r="B250" s="1" t="s">
        <v>870</v>
      </c>
      <c r="C250" s="1" t="s">
        <v>871</v>
      </c>
      <c r="D250" s="1" t="s">
        <v>840</v>
      </c>
      <c r="E250" s="22">
        <v>230</v>
      </c>
      <c r="F250" s="22">
        <v>0</v>
      </c>
      <c r="G250" s="21">
        <v>0</v>
      </c>
      <c r="H250" s="26">
        <v>0</v>
      </c>
      <c r="I250" s="24">
        <v>0</v>
      </c>
      <c r="J250" s="21" t="s">
        <v>116</v>
      </c>
      <c r="K250" s="24" t="s">
        <v>117</v>
      </c>
      <c r="L250" s="24" t="s">
        <v>789</v>
      </c>
      <c r="M250" s="21">
        <v>230</v>
      </c>
      <c r="N250" s="26">
        <f t="shared" si="5"/>
        <v>0</v>
      </c>
      <c r="O250" s="26"/>
      <c r="Q250" s="1" t="s">
        <v>1023</v>
      </c>
    </row>
    <row r="251" spans="1:17" hidden="1" x14ac:dyDescent="0.2">
      <c r="A251" s="1" t="s">
        <v>872</v>
      </c>
      <c r="B251" s="1" t="s">
        <v>873</v>
      </c>
      <c r="C251" s="1" t="s">
        <v>874</v>
      </c>
      <c r="D251" s="1" t="s">
        <v>840</v>
      </c>
      <c r="E251" s="22">
        <v>230</v>
      </c>
      <c r="F251" s="22">
        <v>0</v>
      </c>
      <c r="G251" s="21">
        <v>0</v>
      </c>
      <c r="H251" s="26">
        <v>0</v>
      </c>
      <c r="I251" s="24">
        <v>0</v>
      </c>
      <c r="J251" s="21" t="s">
        <v>116</v>
      </c>
      <c r="K251" s="24" t="s">
        <v>117</v>
      </c>
      <c r="L251" s="24" t="s">
        <v>789</v>
      </c>
      <c r="M251" s="21">
        <v>230</v>
      </c>
      <c r="N251" s="26">
        <f t="shared" si="5"/>
        <v>0</v>
      </c>
      <c r="O251" s="26"/>
      <c r="Q251" s="1" t="s">
        <v>1023</v>
      </c>
    </row>
    <row r="252" spans="1:17" hidden="1" x14ac:dyDescent="0.2">
      <c r="A252" s="1" t="s">
        <v>875</v>
      </c>
      <c r="B252" s="1" t="s">
        <v>876</v>
      </c>
      <c r="C252" s="1" t="s">
        <v>877</v>
      </c>
      <c r="D252" s="1" t="s">
        <v>840</v>
      </c>
      <c r="E252" s="22">
        <v>230</v>
      </c>
      <c r="F252" s="22">
        <v>0</v>
      </c>
      <c r="G252" s="21">
        <v>0</v>
      </c>
      <c r="H252" s="26">
        <v>0</v>
      </c>
      <c r="I252" s="24">
        <v>0</v>
      </c>
      <c r="J252" s="21" t="s">
        <v>116</v>
      </c>
      <c r="K252" s="24" t="s">
        <v>117</v>
      </c>
      <c r="L252" s="24" t="s">
        <v>789</v>
      </c>
      <c r="M252" s="21">
        <v>230</v>
      </c>
      <c r="N252" s="26">
        <f t="shared" si="5"/>
        <v>0</v>
      </c>
      <c r="O252" s="26"/>
      <c r="Q252" s="1" t="s">
        <v>1023</v>
      </c>
    </row>
    <row r="253" spans="1:17" hidden="1" x14ac:dyDescent="0.2">
      <c r="A253" s="1" t="s">
        <v>878</v>
      </c>
      <c r="B253" s="1" t="s">
        <v>879</v>
      </c>
      <c r="C253" s="1" t="s">
        <v>880</v>
      </c>
      <c r="D253" s="1" t="s">
        <v>881</v>
      </c>
      <c r="E253" s="22">
        <v>5</v>
      </c>
      <c r="F253" s="22">
        <v>0</v>
      </c>
      <c r="G253" s="21">
        <v>0</v>
      </c>
      <c r="H253" s="26">
        <v>0</v>
      </c>
      <c r="I253" s="24">
        <v>0</v>
      </c>
      <c r="J253" s="21" t="s">
        <v>116</v>
      </c>
      <c r="K253" s="24" t="s">
        <v>117</v>
      </c>
      <c r="L253" s="24" t="s">
        <v>789</v>
      </c>
      <c r="M253" s="21">
        <v>5</v>
      </c>
      <c r="N253" s="26">
        <f t="shared" si="5"/>
        <v>0</v>
      </c>
      <c r="O253" s="26"/>
      <c r="Q253" s="1" t="s">
        <v>1023</v>
      </c>
    </row>
    <row r="254" spans="1:17" hidden="1" x14ac:dyDescent="0.2">
      <c r="A254" s="1" t="s">
        <v>882</v>
      </c>
      <c r="B254" s="1" t="s">
        <v>883</v>
      </c>
      <c r="C254" s="1" t="s">
        <v>884</v>
      </c>
      <c r="D254" s="1" t="s">
        <v>881</v>
      </c>
      <c r="E254" s="22">
        <v>5</v>
      </c>
      <c r="F254" s="22">
        <v>0</v>
      </c>
      <c r="G254" s="21">
        <v>0</v>
      </c>
      <c r="H254" s="26">
        <v>0</v>
      </c>
      <c r="I254" s="24">
        <v>0</v>
      </c>
      <c r="J254" s="21" t="s">
        <v>116</v>
      </c>
      <c r="K254" s="24" t="s">
        <v>117</v>
      </c>
      <c r="L254" s="24" t="s">
        <v>789</v>
      </c>
      <c r="M254" s="21">
        <v>5</v>
      </c>
      <c r="N254" s="26">
        <f t="shared" si="5"/>
        <v>0</v>
      </c>
      <c r="O254" s="26"/>
      <c r="Q254" s="1" t="s">
        <v>1023</v>
      </c>
    </row>
    <row r="255" spans="1:17" hidden="1" x14ac:dyDescent="0.2">
      <c r="A255" s="1" t="s">
        <v>885</v>
      </c>
      <c r="B255" s="1" t="s">
        <v>886</v>
      </c>
      <c r="C255" s="1" t="s">
        <v>887</v>
      </c>
      <c r="D255" s="1" t="s">
        <v>888</v>
      </c>
      <c r="E255" s="22">
        <v>5</v>
      </c>
      <c r="F255" s="22">
        <v>0</v>
      </c>
      <c r="G255" s="21">
        <v>0</v>
      </c>
      <c r="H255" s="26">
        <v>0</v>
      </c>
      <c r="I255" s="24">
        <v>0</v>
      </c>
      <c r="J255" s="21" t="s">
        <v>116</v>
      </c>
      <c r="K255" s="24" t="s">
        <v>117</v>
      </c>
      <c r="L255" s="24" t="s">
        <v>789</v>
      </c>
      <c r="M255" s="21">
        <v>5</v>
      </c>
      <c r="N255" s="26">
        <f t="shared" si="5"/>
        <v>0</v>
      </c>
      <c r="O255" s="26"/>
      <c r="Q255" s="1" t="s">
        <v>1023</v>
      </c>
    </row>
    <row r="256" spans="1:17" hidden="1" x14ac:dyDescent="0.2">
      <c r="A256" s="1" t="s">
        <v>889</v>
      </c>
      <c r="B256" s="1" t="s">
        <v>890</v>
      </c>
      <c r="C256" s="1" t="s">
        <v>891</v>
      </c>
      <c r="D256" s="1" t="s">
        <v>892</v>
      </c>
      <c r="E256" s="22">
        <v>10</v>
      </c>
      <c r="F256" s="22">
        <v>0</v>
      </c>
      <c r="G256" s="21">
        <v>0</v>
      </c>
      <c r="H256" s="26">
        <v>0</v>
      </c>
      <c r="I256" s="24">
        <v>0</v>
      </c>
      <c r="J256" s="21" t="s">
        <v>116</v>
      </c>
      <c r="K256" s="24" t="s">
        <v>117</v>
      </c>
      <c r="L256" s="24" t="s">
        <v>789</v>
      </c>
      <c r="M256" s="21">
        <v>10</v>
      </c>
      <c r="N256" s="26">
        <f t="shared" si="5"/>
        <v>0</v>
      </c>
      <c r="O256" s="26"/>
      <c r="Q256" s="1" t="s">
        <v>1023</v>
      </c>
    </row>
    <row r="257" spans="1:17" hidden="1" x14ac:dyDescent="0.2">
      <c r="A257" s="1" t="s">
        <v>893</v>
      </c>
      <c r="B257" s="1" t="s">
        <v>894</v>
      </c>
      <c r="C257" s="1" t="s">
        <v>895</v>
      </c>
      <c r="D257" s="1" t="s">
        <v>341</v>
      </c>
      <c r="E257" s="22">
        <v>5</v>
      </c>
      <c r="F257" s="22">
        <v>0</v>
      </c>
      <c r="G257" s="21">
        <v>0</v>
      </c>
      <c r="H257" s="26">
        <v>0</v>
      </c>
      <c r="I257" s="24">
        <v>0</v>
      </c>
      <c r="J257" s="21" t="s">
        <v>116</v>
      </c>
      <c r="K257" s="24" t="s">
        <v>117</v>
      </c>
      <c r="L257" s="24" t="s">
        <v>789</v>
      </c>
      <c r="M257" s="21">
        <v>5</v>
      </c>
      <c r="N257" s="26">
        <f t="shared" si="5"/>
        <v>0</v>
      </c>
      <c r="O257" s="26"/>
      <c r="Q257" s="1" t="s">
        <v>1023</v>
      </c>
    </row>
    <row r="258" spans="1:17" hidden="1" x14ac:dyDescent="0.2">
      <c r="A258" s="1" t="s">
        <v>896</v>
      </c>
      <c r="B258" s="1" t="s">
        <v>897</v>
      </c>
      <c r="C258" s="1" t="s">
        <v>898</v>
      </c>
      <c r="D258" s="1" t="s">
        <v>899</v>
      </c>
      <c r="E258" s="22">
        <v>15</v>
      </c>
      <c r="F258" s="22">
        <v>0</v>
      </c>
      <c r="G258" s="21">
        <v>0</v>
      </c>
      <c r="H258" s="26">
        <v>0</v>
      </c>
      <c r="I258" s="24">
        <v>0</v>
      </c>
      <c r="J258" s="21" t="s">
        <v>116</v>
      </c>
      <c r="K258" s="24" t="s">
        <v>117</v>
      </c>
      <c r="L258" s="24" t="s">
        <v>789</v>
      </c>
      <c r="M258" s="21">
        <v>15</v>
      </c>
      <c r="N258" s="26">
        <f t="shared" si="5"/>
        <v>0</v>
      </c>
      <c r="O258" s="26"/>
      <c r="Q258" s="1" t="s">
        <v>1023</v>
      </c>
    </row>
    <row r="259" spans="1:17" hidden="1" x14ac:dyDescent="0.2">
      <c r="A259" s="1" t="s">
        <v>900</v>
      </c>
      <c r="B259" s="1" t="s">
        <v>901</v>
      </c>
      <c r="C259" s="1" t="s">
        <v>902</v>
      </c>
      <c r="D259" s="1" t="s">
        <v>341</v>
      </c>
      <c r="E259" s="22">
        <v>15</v>
      </c>
      <c r="F259" s="22">
        <v>0</v>
      </c>
      <c r="G259" s="21">
        <v>0</v>
      </c>
      <c r="H259" s="26">
        <v>0</v>
      </c>
      <c r="I259" s="24">
        <v>0</v>
      </c>
      <c r="J259" s="21" t="s">
        <v>116</v>
      </c>
      <c r="K259" s="24" t="s">
        <v>117</v>
      </c>
      <c r="L259" s="24" t="s">
        <v>789</v>
      </c>
      <c r="M259" s="21">
        <v>15</v>
      </c>
      <c r="N259" s="26">
        <f t="shared" si="5"/>
        <v>0</v>
      </c>
      <c r="O259" s="26"/>
      <c r="Q259" s="1" t="s">
        <v>1023</v>
      </c>
    </row>
    <row r="260" spans="1:17" hidden="1" x14ac:dyDescent="0.2">
      <c r="A260" s="1" t="s">
        <v>903</v>
      </c>
      <c r="B260" s="1" t="s">
        <v>904</v>
      </c>
      <c r="C260" s="1" t="s">
        <v>905</v>
      </c>
      <c r="D260" s="1" t="s">
        <v>341</v>
      </c>
      <c r="E260" s="22">
        <v>85</v>
      </c>
      <c r="F260" s="22">
        <v>0</v>
      </c>
      <c r="G260" s="21">
        <v>0</v>
      </c>
      <c r="H260" s="26">
        <v>0</v>
      </c>
      <c r="I260" s="24">
        <v>0</v>
      </c>
      <c r="J260" s="21" t="s">
        <v>116</v>
      </c>
      <c r="K260" s="24" t="s">
        <v>117</v>
      </c>
      <c r="L260" s="24" t="s">
        <v>789</v>
      </c>
      <c r="M260" s="21">
        <v>85</v>
      </c>
      <c r="N260" s="26">
        <f t="shared" si="5"/>
        <v>0</v>
      </c>
      <c r="O260" s="26"/>
      <c r="Q260" s="1" t="s">
        <v>1023</v>
      </c>
    </row>
    <row r="261" spans="1:17" hidden="1" x14ac:dyDescent="0.2">
      <c r="A261" s="1" t="s">
        <v>906</v>
      </c>
      <c r="B261" s="1" t="s">
        <v>907</v>
      </c>
      <c r="C261" s="1" t="s">
        <v>908</v>
      </c>
      <c r="D261" s="1" t="s">
        <v>892</v>
      </c>
      <c r="E261" s="22">
        <v>15</v>
      </c>
      <c r="F261" s="22">
        <v>0</v>
      </c>
      <c r="G261" s="21">
        <v>0</v>
      </c>
      <c r="H261" s="26">
        <v>0</v>
      </c>
      <c r="I261" s="24">
        <v>0</v>
      </c>
      <c r="J261" s="21" t="s">
        <v>116</v>
      </c>
      <c r="K261" s="24" t="s">
        <v>117</v>
      </c>
      <c r="L261" s="24" t="s">
        <v>789</v>
      </c>
      <c r="M261" s="21">
        <v>15</v>
      </c>
      <c r="N261" s="26">
        <f t="shared" si="5"/>
        <v>0</v>
      </c>
      <c r="O261" s="26"/>
      <c r="Q261" s="1" t="s">
        <v>1023</v>
      </c>
    </row>
    <row r="262" spans="1:17" hidden="1" x14ac:dyDescent="0.2">
      <c r="A262" s="1" t="s">
        <v>909</v>
      </c>
      <c r="B262" s="1" t="s">
        <v>910</v>
      </c>
      <c r="C262" s="1" t="s">
        <v>911</v>
      </c>
      <c r="D262" s="1" t="s">
        <v>341</v>
      </c>
      <c r="E262" s="22">
        <v>40</v>
      </c>
      <c r="F262" s="22">
        <v>0</v>
      </c>
      <c r="G262" s="21">
        <v>0</v>
      </c>
      <c r="H262" s="26">
        <v>0</v>
      </c>
      <c r="I262" s="24">
        <v>0</v>
      </c>
      <c r="J262" s="21" t="s">
        <v>116</v>
      </c>
      <c r="K262" s="24" t="s">
        <v>117</v>
      </c>
      <c r="L262" s="24" t="s">
        <v>789</v>
      </c>
      <c r="M262" s="21">
        <v>40</v>
      </c>
      <c r="N262" s="26">
        <f t="shared" si="5"/>
        <v>0</v>
      </c>
      <c r="O262" s="26"/>
      <c r="Q262" s="1" t="s">
        <v>1023</v>
      </c>
    </row>
    <row r="263" spans="1:17" hidden="1" x14ac:dyDescent="0.2">
      <c r="A263" s="1" t="s">
        <v>912</v>
      </c>
      <c r="B263" s="1" t="s">
        <v>913</v>
      </c>
      <c r="C263" s="1" t="s">
        <v>914</v>
      </c>
      <c r="D263" s="1" t="s">
        <v>915</v>
      </c>
      <c r="E263" s="22">
        <v>5</v>
      </c>
      <c r="F263" s="22">
        <v>0</v>
      </c>
      <c r="G263" s="21">
        <v>0</v>
      </c>
      <c r="H263" s="26">
        <v>0</v>
      </c>
      <c r="I263" s="24">
        <v>0</v>
      </c>
      <c r="J263" s="21" t="s">
        <v>116</v>
      </c>
      <c r="K263" s="24" t="s">
        <v>117</v>
      </c>
      <c r="L263" s="24" t="s">
        <v>789</v>
      </c>
      <c r="M263" s="21">
        <v>5</v>
      </c>
      <c r="N263" s="26">
        <f t="shared" si="5"/>
        <v>0</v>
      </c>
      <c r="O263" s="26"/>
      <c r="Q263" s="1" t="s">
        <v>1023</v>
      </c>
    </row>
    <row r="264" spans="1:17" hidden="1" x14ac:dyDescent="0.2">
      <c r="A264" s="1" t="s">
        <v>916</v>
      </c>
      <c r="B264" s="1" t="s">
        <v>917</v>
      </c>
      <c r="C264" s="1" t="s">
        <v>918</v>
      </c>
      <c r="D264" s="1" t="s">
        <v>919</v>
      </c>
      <c r="E264" s="22">
        <v>150</v>
      </c>
      <c r="F264" s="22">
        <v>0</v>
      </c>
      <c r="G264" s="21">
        <v>0</v>
      </c>
      <c r="H264" s="26">
        <v>0</v>
      </c>
      <c r="I264" s="24">
        <v>0</v>
      </c>
      <c r="J264" s="21" t="s">
        <v>116</v>
      </c>
      <c r="K264" s="24" t="s">
        <v>117</v>
      </c>
      <c r="L264" s="24" t="s">
        <v>789</v>
      </c>
      <c r="M264" s="21">
        <v>150</v>
      </c>
      <c r="N264" s="26">
        <f t="shared" si="5"/>
        <v>0</v>
      </c>
      <c r="O264" s="26"/>
      <c r="Q264" s="1" t="s">
        <v>1023</v>
      </c>
    </row>
    <row r="265" spans="1:17" hidden="1" x14ac:dyDescent="0.2">
      <c r="A265" s="27" t="s">
        <v>920</v>
      </c>
      <c r="B265" s="27" t="s">
        <v>921</v>
      </c>
      <c r="C265" s="28" t="s">
        <v>922</v>
      </c>
      <c r="D265" s="28" t="s">
        <v>922</v>
      </c>
      <c r="E265" s="22">
        <v>60</v>
      </c>
      <c r="F265" s="22">
        <v>0</v>
      </c>
      <c r="G265" s="21">
        <v>0</v>
      </c>
      <c r="H265" s="26">
        <v>0</v>
      </c>
      <c r="I265" s="24">
        <v>0</v>
      </c>
      <c r="J265" s="21" t="s">
        <v>116</v>
      </c>
      <c r="K265" s="24" t="s">
        <v>117</v>
      </c>
      <c r="L265" s="24" t="s">
        <v>789</v>
      </c>
      <c r="M265" s="21">
        <v>60</v>
      </c>
      <c r="N265" s="26">
        <f t="shared" si="5"/>
        <v>0</v>
      </c>
      <c r="O265" s="26"/>
      <c r="P265" s="27" t="s">
        <v>923</v>
      </c>
    </row>
    <row r="266" spans="1:17" hidden="1" x14ac:dyDescent="0.2">
      <c r="A266" s="27" t="s">
        <v>924</v>
      </c>
      <c r="B266" s="27" t="s">
        <v>925</v>
      </c>
      <c r="C266" s="31" t="s">
        <v>926</v>
      </c>
      <c r="D266" s="31" t="s">
        <v>926</v>
      </c>
      <c r="E266" s="22">
        <v>4</v>
      </c>
      <c r="F266" s="22">
        <v>0</v>
      </c>
      <c r="G266" s="21">
        <v>0</v>
      </c>
      <c r="H266" s="26">
        <v>0</v>
      </c>
      <c r="I266" s="24">
        <v>0</v>
      </c>
      <c r="J266" s="21" t="s">
        <v>116</v>
      </c>
      <c r="K266" s="24" t="s">
        <v>117</v>
      </c>
      <c r="L266" s="24" t="s">
        <v>789</v>
      </c>
      <c r="M266" s="21">
        <v>16</v>
      </c>
      <c r="N266" s="26">
        <f t="shared" si="5"/>
        <v>0</v>
      </c>
      <c r="O266" s="26"/>
      <c r="P266" s="27" t="s">
        <v>927</v>
      </c>
      <c r="Q266" s="27"/>
    </row>
    <row r="267" spans="1:17" hidden="1" x14ac:dyDescent="0.2">
      <c r="A267" s="27" t="s">
        <v>928</v>
      </c>
      <c r="B267" s="27" t="s">
        <v>929</v>
      </c>
      <c r="C267" s="28" t="s">
        <v>930</v>
      </c>
      <c r="D267" s="28" t="s">
        <v>930</v>
      </c>
      <c r="E267" s="22">
        <v>20</v>
      </c>
      <c r="F267" s="22">
        <v>0</v>
      </c>
      <c r="G267" s="21">
        <v>0</v>
      </c>
      <c r="H267" s="26">
        <v>0</v>
      </c>
      <c r="I267" s="24">
        <v>0</v>
      </c>
      <c r="J267" s="21" t="s">
        <v>116</v>
      </c>
      <c r="K267" s="24" t="s">
        <v>117</v>
      </c>
      <c r="L267" s="24" t="s">
        <v>789</v>
      </c>
      <c r="M267" s="21">
        <v>20</v>
      </c>
      <c r="N267" s="26">
        <f t="shared" si="5"/>
        <v>0</v>
      </c>
      <c r="O267" s="26"/>
      <c r="P267" s="27" t="s">
        <v>927</v>
      </c>
      <c r="Q267" s="27"/>
    </row>
    <row r="268" spans="1:17" hidden="1" x14ac:dyDescent="0.2">
      <c r="A268" s="1" t="s">
        <v>931</v>
      </c>
      <c r="B268" s="1" t="s">
        <v>932</v>
      </c>
      <c r="C268" s="1" t="s">
        <v>933</v>
      </c>
      <c r="D268" s="1" t="s">
        <v>348</v>
      </c>
      <c r="E268" s="22">
        <v>425</v>
      </c>
      <c r="F268" s="22">
        <v>0</v>
      </c>
      <c r="G268" s="21">
        <v>0</v>
      </c>
      <c r="H268" s="26">
        <v>0</v>
      </c>
      <c r="I268" s="24">
        <v>0</v>
      </c>
      <c r="J268" s="21" t="s">
        <v>116</v>
      </c>
      <c r="K268" s="24" t="s">
        <v>117</v>
      </c>
      <c r="L268" s="24" t="s">
        <v>789</v>
      </c>
      <c r="M268" s="21">
        <v>425</v>
      </c>
      <c r="N268" s="26">
        <f t="shared" si="5"/>
        <v>0</v>
      </c>
      <c r="O268" s="26"/>
      <c r="Q268" s="1" t="s">
        <v>1023</v>
      </c>
    </row>
    <row r="269" spans="1:17" hidden="1" x14ac:dyDescent="0.2">
      <c r="A269" s="1" t="s">
        <v>934</v>
      </c>
      <c r="B269" s="1" t="s">
        <v>935</v>
      </c>
      <c r="C269" s="1" t="s">
        <v>936</v>
      </c>
      <c r="D269" s="1" t="s">
        <v>348</v>
      </c>
      <c r="E269" s="22">
        <v>10</v>
      </c>
      <c r="F269" s="22">
        <v>0</v>
      </c>
      <c r="G269" s="21">
        <v>0</v>
      </c>
      <c r="H269" s="26">
        <v>0</v>
      </c>
      <c r="I269" s="24">
        <v>0</v>
      </c>
      <c r="J269" s="21" t="s">
        <v>116</v>
      </c>
      <c r="K269" s="24" t="s">
        <v>117</v>
      </c>
      <c r="L269" s="24" t="s">
        <v>789</v>
      </c>
      <c r="M269" s="21">
        <v>10</v>
      </c>
      <c r="N269" s="26">
        <f t="shared" si="5"/>
        <v>0</v>
      </c>
      <c r="O269" s="26"/>
      <c r="Q269" s="1" t="s">
        <v>1023</v>
      </c>
    </row>
    <row r="270" spans="1:17" hidden="1" x14ac:dyDescent="0.2">
      <c r="A270" s="1" t="s">
        <v>937</v>
      </c>
      <c r="B270" s="1" t="s">
        <v>938</v>
      </c>
      <c r="C270" s="1" t="s">
        <v>939</v>
      </c>
      <c r="D270" s="1" t="s">
        <v>443</v>
      </c>
      <c r="E270" s="22">
        <v>140</v>
      </c>
      <c r="F270" s="22">
        <v>0</v>
      </c>
      <c r="G270" s="21">
        <v>0</v>
      </c>
      <c r="H270" s="26">
        <v>0</v>
      </c>
      <c r="I270" s="24">
        <v>0</v>
      </c>
      <c r="J270" s="21" t="s">
        <v>116</v>
      </c>
      <c r="K270" s="24" t="s">
        <v>117</v>
      </c>
      <c r="L270" s="24" t="s">
        <v>789</v>
      </c>
      <c r="M270" s="21">
        <v>140</v>
      </c>
      <c r="N270" s="26">
        <f t="shared" si="5"/>
        <v>0</v>
      </c>
      <c r="O270" s="26"/>
      <c r="Q270" s="1" t="s">
        <v>1023</v>
      </c>
    </row>
    <row r="271" spans="1:17" hidden="1" x14ac:dyDescent="0.2">
      <c r="A271" s="1" t="s">
        <v>940</v>
      </c>
      <c r="B271" s="1" t="s">
        <v>941</v>
      </c>
      <c r="C271" s="1" t="s">
        <v>930</v>
      </c>
      <c r="D271" s="1" t="s">
        <v>930</v>
      </c>
      <c r="E271" s="22">
        <v>20</v>
      </c>
      <c r="F271" s="22">
        <v>0</v>
      </c>
      <c r="G271" s="21">
        <v>0</v>
      </c>
      <c r="H271" s="26">
        <v>0</v>
      </c>
      <c r="I271" s="24">
        <v>0</v>
      </c>
      <c r="J271" s="21" t="s">
        <v>116</v>
      </c>
      <c r="K271" s="24" t="s">
        <v>117</v>
      </c>
      <c r="L271" s="24" t="s">
        <v>789</v>
      </c>
      <c r="M271" s="21">
        <v>430</v>
      </c>
      <c r="N271" s="26">
        <f t="shared" si="5"/>
        <v>0</v>
      </c>
      <c r="O271" s="26"/>
      <c r="P271" s="27" t="s">
        <v>927</v>
      </c>
    </row>
    <row r="272" spans="1:17" hidden="1" x14ac:dyDescent="0.2">
      <c r="A272" s="27" t="s">
        <v>942</v>
      </c>
      <c r="B272" s="27" t="s">
        <v>943</v>
      </c>
      <c r="C272" s="31" t="s">
        <v>926</v>
      </c>
      <c r="D272" s="31" t="s">
        <v>926</v>
      </c>
      <c r="E272" s="22">
        <v>4</v>
      </c>
      <c r="F272" s="22">
        <v>0</v>
      </c>
      <c r="G272" s="21">
        <v>5</v>
      </c>
      <c r="H272" s="26">
        <v>43.62</v>
      </c>
      <c r="I272" s="24">
        <v>0</v>
      </c>
      <c r="J272" s="21" t="s">
        <v>116</v>
      </c>
      <c r="K272" s="24" t="s">
        <v>117</v>
      </c>
      <c r="L272" s="24" t="s">
        <v>944</v>
      </c>
      <c r="M272" s="21">
        <v>24</v>
      </c>
      <c r="N272" s="26">
        <f t="shared" si="5"/>
        <v>1046.8799999999999</v>
      </c>
      <c r="O272" s="26"/>
      <c r="P272" s="27" t="s">
        <v>945</v>
      </c>
      <c r="Q272" s="27"/>
    </row>
    <row r="273" spans="1:17" hidden="1" x14ac:dyDescent="0.2">
      <c r="A273" s="27" t="s">
        <v>946</v>
      </c>
      <c r="B273" s="27" t="s">
        <v>943</v>
      </c>
      <c r="C273" s="31" t="s">
        <v>926</v>
      </c>
      <c r="D273" s="31" t="s">
        <v>926</v>
      </c>
      <c r="E273" s="22">
        <v>4</v>
      </c>
      <c r="F273" s="22">
        <v>0</v>
      </c>
      <c r="G273" s="21">
        <v>5</v>
      </c>
      <c r="H273" s="26">
        <v>43.62</v>
      </c>
      <c r="I273" s="24">
        <v>0</v>
      </c>
      <c r="J273" s="21" t="s">
        <v>116</v>
      </c>
      <c r="K273" s="24" t="s">
        <v>117</v>
      </c>
      <c r="L273" s="24" t="s">
        <v>944</v>
      </c>
      <c r="M273" s="21">
        <v>24</v>
      </c>
      <c r="N273" s="26">
        <f t="shared" si="5"/>
        <v>1046.8799999999999</v>
      </c>
      <c r="O273" s="26"/>
      <c r="P273" s="27" t="s">
        <v>945</v>
      </c>
      <c r="Q273" s="27"/>
    </row>
    <row r="274" spans="1:17" hidden="1" x14ac:dyDescent="0.2">
      <c r="A274" s="27" t="s">
        <v>947</v>
      </c>
      <c r="B274" s="27" t="s">
        <v>943</v>
      </c>
      <c r="C274" s="31" t="s">
        <v>926</v>
      </c>
      <c r="D274" s="31" t="s">
        <v>926</v>
      </c>
      <c r="E274" s="22">
        <v>4</v>
      </c>
      <c r="F274" s="22">
        <v>0</v>
      </c>
      <c r="G274" s="21">
        <v>5</v>
      </c>
      <c r="H274" s="26">
        <v>106.41</v>
      </c>
      <c r="I274" s="24">
        <v>0</v>
      </c>
      <c r="J274" s="21" t="s">
        <v>116</v>
      </c>
      <c r="K274" s="24" t="s">
        <v>117</v>
      </c>
      <c r="L274" s="24" t="s">
        <v>944</v>
      </c>
      <c r="M274" s="21">
        <v>6</v>
      </c>
      <c r="N274" s="26">
        <f t="shared" si="5"/>
        <v>638.46</v>
      </c>
      <c r="O274" s="26"/>
      <c r="P274" s="27" t="s">
        <v>945</v>
      </c>
      <c r="Q274" s="27"/>
    </row>
    <row r="275" spans="1:17" hidden="1" x14ac:dyDescent="0.2">
      <c r="A275" s="27" t="s">
        <v>948</v>
      </c>
      <c r="B275" s="27" t="s">
        <v>943</v>
      </c>
      <c r="C275" s="31" t="s">
        <v>926</v>
      </c>
      <c r="D275" s="31" t="s">
        <v>926</v>
      </c>
      <c r="E275" s="22">
        <v>4</v>
      </c>
      <c r="F275" s="22">
        <v>0</v>
      </c>
      <c r="G275" s="21">
        <v>5</v>
      </c>
      <c r="H275" s="26">
        <v>172.99</v>
      </c>
      <c r="I275" s="24">
        <v>0</v>
      </c>
      <c r="J275" s="21" t="s">
        <v>116</v>
      </c>
      <c r="K275" s="24" t="s">
        <v>117</v>
      </c>
      <c r="L275" s="24" t="s">
        <v>944</v>
      </c>
      <c r="M275" s="21">
        <v>3</v>
      </c>
      <c r="N275" s="26">
        <f t="shared" si="5"/>
        <v>518.97</v>
      </c>
      <c r="O275" s="26"/>
      <c r="P275" s="27" t="s">
        <v>945</v>
      </c>
      <c r="Q275" s="27"/>
    </row>
    <row r="276" spans="1:17" hidden="1" x14ac:dyDescent="0.2">
      <c r="A276" s="27" t="s">
        <v>949</v>
      </c>
      <c r="B276" s="27" t="s">
        <v>943</v>
      </c>
      <c r="C276" s="31" t="s">
        <v>926</v>
      </c>
      <c r="D276" s="31" t="s">
        <v>926</v>
      </c>
      <c r="E276" s="22">
        <v>4</v>
      </c>
      <c r="F276" s="22">
        <v>0</v>
      </c>
      <c r="G276" s="21">
        <v>5</v>
      </c>
      <c r="H276" s="26">
        <v>165.76</v>
      </c>
      <c r="I276" s="24">
        <v>0</v>
      </c>
      <c r="J276" s="21" t="s">
        <v>116</v>
      </c>
      <c r="K276" s="24" t="s">
        <v>117</v>
      </c>
      <c r="L276" s="24" t="s">
        <v>944</v>
      </c>
      <c r="M276" s="21">
        <v>3</v>
      </c>
      <c r="N276" s="26">
        <f t="shared" si="5"/>
        <v>497.28</v>
      </c>
      <c r="O276" s="26"/>
      <c r="P276" s="27" t="s">
        <v>945</v>
      </c>
      <c r="Q276" s="27"/>
    </row>
    <row r="277" spans="1:17" hidden="1" x14ac:dyDescent="0.2">
      <c r="A277" s="27" t="s">
        <v>950</v>
      </c>
      <c r="B277" s="27" t="s">
        <v>943</v>
      </c>
      <c r="C277" s="31" t="s">
        <v>926</v>
      </c>
      <c r="D277" s="31" t="s">
        <v>926</v>
      </c>
      <c r="E277" s="22">
        <v>4</v>
      </c>
      <c r="F277" s="22">
        <v>0</v>
      </c>
      <c r="G277" s="21">
        <v>5</v>
      </c>
      <c r="H277" s="26">
        <v>38.1</v>
      </c>
      <c r="I277" s="24">
        <v>0</v>
      </c>
      <c r="J277" s="21" t="s">
        <v>116</v>
      </c>
      <c r="K277" s="24" t="s">
        <v>117</v>
      </c>
      <c r="L277" s="24" t="s">
        <v>944</v>
      </c>
      <c r="M277" s="21">
        <v>12</v>
      </c>
      <c r="N277" s="26">
        <f t="shared" si="5"/>
        <v>457.20000000000005</v>
      </c>
      <c r="O277" s="26"/>
      <c r="P277" s="27" t="s">
        <v>945</v>
      </c>
      <c r="Q277" s="27"/>
    </row>
    <row r="278" spans="1:17" hidden="1" x14ac:dyDescent="0.2">
      <c r="A278" s="1" t="s">
        <v>951</v>
      </c>
      <c r="B278" s="1" t="s">
        <v>952</v>
      </c>
      <c r="C278" s="1" t="s">
        <v>953</v>
      </c>
      <c r="D278" s="1" t="s">
        <v>954</v>
      </c>
      <c r="E278" s="22">
        <v>40</v>
      </c>
      <c r="F278" s="22">
        <v>1</v>
      </c>
      <c r="G278" s="21">
        <v>18</v>
      </c>
      <c r="H278" s="26">
        <v>125</v>
      </c>
      <c r="I278" s="24">
        <v>40</v>
      </c>
      <c r="J278" s="21" t="s">
        <v>116</v>
      </c>
      <c r="K278" s="24" t="s">
        <v>117</v>
      </c>
      <c r="L278" s="24" t="s">
        <v>955</v>
      </c>
      <c r="M278" s="21"/>
      <c r="N278" s="26">
        <f t="shared" si="5"/>
        <v>0</v>
      </c>
      <c r="O278" s="21">
        <v>40</v>
      </c>
      <c r="P278" s="1" t="s">
        <v>956</v>
      </c>
    </row>
    <row r="279" spans="1:17" hidden="1" x14ac:dyDescent="0.2">
      <c r="A279" s="27" t="s">
        <v>957</v>
      </c>
      <c r="B279" s="27" t="s">
        <v>958</v>
      </c>
      <c r="C279" s="28" t="s">
        <v>930</v>
      </c>
      <c r="D279" s="28" t="s">
        <v>930</v>
      </c>
      <c r="E279" s="22">
        <v>20</v>
      </c>
      <c r="F279" s="22">
        <v>0</v>
      </c>
      <c r="G279" s="21">
        <v>0</v>
      </c>
      <c r="H279" s="26">
        <v>0</v>
      </c>
      <c r="I279" s="24">
        <v>0</v>
      </c>
      <c r="J279" s="21" t="s">
        <v>116</v>
      </c>
      <c r="K279" s="24" t="s">
        <v>117</v>
      </c>
      <c r="L279" s="24" t="s">
        <v>955</v>
      </c>
      <c r="M279" s="21"/>
      <c r="N279" s="26">
        <f t="shared" si="5"/>
        <v>0</v>
      </c>
      <c r="O279" s="21">
        <v>92</v>
      </c>
      <c r="P279" s="1" t="s">
        <v>956</v>
      </c>
      <c r="Q279" s="27"/>
    </row>
    <row r="280" spans="1:17" hidden="1" x14ac:dyDescent="0.2">
      <c r="A280" s="27" t="s">
        <v>959</v>
      </c>
      <c r="B280" s="27" t="s">
        <v>960</v>
      </c>
      <c r="C280" s="28" t="s">
        <v>930</v>
      </c>
      <c r="D280" s="28" t="s">
        <v>930</v>
      </c>
      <c r="E280" s="22">
        <v>20</v>
      </c>
      <c r="F280" s="22">
        <v>0</v>
      </c>
      <c r="G280" s="21">
        <v>0</v>
      </c>
      <c r="H280" s="26">
        <v>0</v>
      </c>
      <c r="I280" s="24">
        <v>0</v>
      </c>
      <c r="J280" s="21" t="s">
        <v>116</v>
      </c>
      <c r="K280" s="24" t="s">
        <v>117</v>
      </c>
      <c r="L280" s="24" t="s">
        <v>955</v>
      </c>
      <c r="M280" s="21"/>
      <c r="N280" s="26">
        <f t="shared" si="5"/>
        <v>0</v>
      </c>
      <c r="O280" s="21">
        <v>5000</v>
      </c>
      <c r="P280" s="1" t="s">
        <v>956</v>
      </c>
      <c r="Q280" s="27"/>
    </row>
    <row r="281" spans="1:17" hidden="1" x14ac:dyDescent="0.2">
      <c r="A281" s="27" t="s">
        <v>961</v>
      </c>
      <c r="B281" s="27" t="s">
        <v>962</v>
      </c>
      <c r="C281" s="31" t="s">
        <v>926</v>
      </c>
      <c r="D281" s="31" t="s">
        <v>926</v>
      </c>
      <c r="E281" s="22">
        <v>4</v>
      </c>
      <c r="F281" s="22">
        <v>0</v>
      </c>
      <c r="G281" s="21">
        <v>0</v>
      </c>
      <c r="H281" s="26">
        <v>0</v>
      </c>
      <c r="I281" s="24">
        <v>0</v>
      </c>
      <c r="J281" s="21" t="s">
        <v>116</v>
      </c>
      <c r="K281" s="24" t="s">
        <v>117</v>
      </c>
      <c r="L281" s="24" t="s">
        <v>955</v>
      </c>
      <c r="M281" s="21"/>
      <c r="N281" s="26">
        <f t="shared" si="5"/>
        <v>0</v>
      </c>
      <c r="O281" s="21">
        <v>100</v>
      </c>
      <c r="P281" s="1" t="s">
        <v>956</v>
      </c>
      <c r="Q281" s="27"/>
    </row>
    <row r="282" spans="1:17" hidden="1" x14ac:dyDescent="0.2">
      <c r="A282" s="27" t="s">
        <v>963</v>
      </c>
      <c r="B282" s="27" t="s">
        <v>964</v>
      </c>
      <c r="C282" s="28" t="s">
        <v>930</v>
      </c>
      <c r="D282" s="28" t="s">
        <v>930</v>
      </c>
      <c r="E282" s="22">
        <v>20</v>
      </c>
      <c r="F282" s="22">
        <v>0</v>
      </c>
      <c r="G282" s="21">
        <v>0</v>
      </c>
      <c r="H282" s="26">
        <v>0</v>
      </c>
      <c r="I282" s="24">
        <v>0</v>
      </c>
      <c r="J282" s="21" t="s">
        <v>116</v>
      </c>
      <c r="K282" s="24" t="s">
        <v>117</v>
      </c>
      <c r="L282" s="24" t="s">
        <v>955</v>
      </c>
      <c r="M282" s="21"/>
      <c r="N282" s="26">
        <f t="shared" si="5"/>
        <v>0</v>
      </c>
      <c r="O282" s="21">
        <v>250</v>
      </c>
      <c r="P282" s="1" t="s">
        <v>956</v>
      </c>
      <c r="Q282" s="27"/>
    </row>
    <row r="283" spans="1:17" hidden="1" x14ac:dyDescent="0.2">
      <c r="A283" s="27" t="s">
        <v>965</v>
      </c>
      <c r="B283" s="27" t="s">
        <v>966</v>
      </c>
      <c r="C283" s="28" t="s">
        <v>930</v>
      </c>
      <c r="D283" s="28" t="s">
        <v>930</v>
      </c>
      <c r="E283" s="22">
        <v>20</v>
      </c>
      <c r="F283" s="22">
        <v>0</v>
      </c>
      <c r="G283" s="21">
        <v>0</v>
      </c>
      <c r="H283" s="26">
        <v>0</v>
      </c>
      <c r="I283" s="24">
        <v>0</v>
      </c>
      <c r="J283" s="21" t="s">
        <v>116</v>
      </c>
      <c r="K283" s="24" t="s">
        <v>117</v>
      </c>
      <c r="L283" s="24" t="s">
        <v>955</v>
      </c>
      <c r="M283" s="21"/>
      <c r="N283" s="26">
        <f t="shared" si="5"/>
        <v>0</v>
      </c>
      <c r="O283" s="21">
        <v>500</v>
      </c>
      <c r="P283" s="1" t="s">
        <v>956</v>
      </c>
      <c r="Q283" s="27"/>
    </row>
    <row r="284" spans="1:17" hidden="1" x14ac:dyDescent="0.2">
      <c r="A284" s="27" t="s">
        <v>967</v>
      </c>
      <c r="B284" s="27" t="s">
        <v>968</v>
      </c>
      <c r="C284" s="28" t="s">
        <v>930</v>
      </c>
      <c r="D284" s="28" t="s">
        <v>930</v>
      </c>
      <c r="E284" s="22">
        <v>20</v>
      </c>
      <c r="F284" s="22">
        <v>0</v>
      </c>
      <c r="G284" s="21">
        <v>0</v>
      </c>
      <c r="H284" s="26">
        <v>0</v>
      </c>
      <c r="I284" s="24">
        <v>0</v>
      </c>
      <c r="J284" s="21" t="s">
        <v>116</v>
      </c>
      <c r="K284" s="24" t="s">
        <v>117</v>
      </c>
      <c r="L284" s="24" t="s">
        <v>955</v>
      </c>
      <c r="M284" s="21"/>
      <c r="N284" s="26">
        <f t="shared" si="5"/>
        <v>0</v>
      </c>
      <c r="O284" s="21">
        <v>100</v>
      </c>
      <c r="P284" s="1" t="s">
        <v>956</v>
      </c>
      <c r="Q284" s="27"/>
    </row>
    <row r="285" spans="1:17" hidden="1" x14ac:dyDescent="0.2">
      <c r="A285" s="27" t="s">
        <v>969</v>
      </c>
      <c r="B285" s="27" t="s">
        <v>970</v>
      </c>
      <c r="C285" s="31" t="s">
        <v>926</v>
      </c>
      <c r="D285" s="31" t="s">
        <v>926</v>
      </c>
      <c r="E285" s="22">
        <v>4</v>
      </c>
      <c r="F285" s="22">
        <v>0</v>
      </c>
      <c r="G285" s="21">
        <v>0</v>
      </c>
      <c r="H285" s="26">
        <v>0</v>
      </c>
      <c r="I285" s="24">
        <v>0</v>
      </c>
      <c r="J285" s="21" t="s">
        <v>116</v>
      </c>
      <c r="K285" s="24" t="s">
        <v>117</v>
      </c>
      <c r="L285" s="24" t="s">
        <v>955</v>
      </c>
      <c r="M285" s="21"/>
      <c r="N285" s="26">
        <f t="shared" si="5"/>
        <v>0</v>
      </c>
      <c r="O285" s="21">
        <v>100</v>
      </c>
      <c r="P285" s="1" t="s">
        <v>956</v>
      </c>
      <c r="Q285" s="27"/>
    </row>
    <row r="286" spans="1:17" hidden="1" x14ac:dyDescent="0.2">
      <c r="A286" s="1" t="s">
        <v>971</v>
      </c>
      <c r="B286" s="1" t="s">
        <v>972</v>
      </c>
      <c r="C286" s="1" t="s">
        <v>930</v>
      </c>
      <c r="D286" s="1" t="s">
        <v>930</v>
      </c>
      <c r="E286" s="22">
        <v>20</v>
      </c>
      <c r="F286" s="22">
        <v>0</v>
      </c>
      <c r="G286" s="21">
        <v>0</v>
      </c>
      <c r="H286" s="26">
        <v>0</v>
      </c>
      <c r="I286" s="24">
        <v>0</v>
      </c>
      <c r="J286" s="21" t="s">
        <v>116</v>
      </c>
      <c r="K286" s="24" t="s">
        <v>117</v>
      </c>
      <c r="L286" s="24" t="s">
        <v>955</v>
      </c>
      <c r="M286" s="21"/>
      <c r="N286" s="26">
        <f t="shared" si="5"/>
        <v>0</v>
      </c>
      <c r="O286" s="21">
        <v>500</v>
      </c>
      <c r="P286" s="1" t="s">
        <v>956</v>
      </c>
    </row>
    <row r="287" spans="1:17" hidden="1" x14ac:dyDescent="0.2">
      <c r="A287" s="1" t="s">
        <v>973</v>
      </c>
      <c r="B287" s="1" t="s">
        <v>974</v>
      </c>
      <c r="C287" s="1" t="s">
        <v>930</v>
      </c>
      <c r="D287" s="1" t="s">
        <v>930</v>
      </c>
      <c r="E287" s="22">
        <v>20</v>
      </c>
      <c r="F287" s="22">
        <v>0</v>
      </c>
      <c r="G287" s="21">
        <v>0</v>
      </c>
      <c r="H287" s="26">
        <v>0</v>
      </c>
      <c r="I287" s="24">
        <v>0</v>
      </c>
      <c r="J287" s="21" t="s">
        <v>116</v>
      </c>
      <c r="K287" s="24" t="s">
        <v>117</v>
      </c>
      <c r="L287" s="24" t="s">
        <v>955</v>
      </c>
      <c r="M287" s="21"/>
      <c r="N287" s="26">
        <f t="shared" si="5"/>
        <v>0</v>
      </c>
      <c r="O287" s="21">
        <v>500</v>
      </c>
      <c r="P287" s="1" t="s">
        <v>956</v>
      </c>
    </row>
    <row r="288" spans="1:17" hidden="1" x14ac:dyDescent="0.2">
      <c r="A288" s="27" t="s">
        <v>975</v>
      </c>
      <c r="B288" s="27" t="s">
        <v>976</v>
      </c>
      <c r="C288" s="28" t="s">
        <v>930</v>
      </c>
      <c r="D288" s="28" t="s">
        <v>930</v>
      </c>
      <c r="E288" s="22">
        <v>20</v>
      </c>
      <c r="F288" s="22">
        <v>0</v>
      </c>
      <c r="G288" s="21">
        <v>0</v>
      </c>
      <c r="H288" s="26">
        <v>0</v>
      </c>
      <c r="I288" s="24">
        <v>0</v>
      </c>
      <c r="J288" s="21" t="s">
        <v>116</v>
      </c>
      <c r="K288" s="24" t="s">
        <v>117</v>
      </c>
      <c r="L288" s="24" t="s">
        <v>955</v>
      </c>
      <c r="M288" s="21"/>
      <c r="N288" s="26">
        <f t="shared" ref="N288:N291" si="6">H288*M288</f>
        <v>0</v>
      </c>
      <c r="O288" s="21">
        <v>300</v>
      </c>
      <c r="P288" s="1" t="s">
        <v>956</v>
      </c>
      <c r="Q288" s="27"/>
    </row>
    <row r="289" spans="1:17" hidden="1" x14ac:dyDescent="0.2">
      <c r="A289" s="1" t="s">
        <v>977</v>
      </c>
      <c r="B289" s="1" t="s">
        <v>978</v>
      </c>
      <c r="C289" s="1" t="s">
        <v>930</v>
      </c>
      <c r="D289" s="1" t="s">
        <v>930</v>
      </c>
      <c r="E289" s="22">
        <v>20</v>
      </c>
      <c r="F289" s="22">
        <v>0</v>
      </c>
      <c r="G289" s="21">
        <v>0</v>
      </c>
      <c r="H289" s="26">
        <v>0</v>
      </c>
      <c r="I289" s="24">
        <v>0</v>
      </c>
      <c r="J289" s="21" t="s">
        <v>116</v>
      </c>
      <c r="K289" s="24" t="s">
        <v>117</v>
      </c>
      <c r="L289" s="24" t="s">
        <v>955</v>
      </c>
      <c r="M289" s="21"/>
      <c r="N289" s="26">
        <f t="shared" si="6"/>
        <v>0</v>
      </c>
      <c r="O289" s="21">
        <v>50</v>
      </c>
      <c r="P289" s="1" t="s">
        <v>956</v>
      </c>
    </row>
    <row r="290" spans="1:17" hidden="1" x14ac:dyDescent="0.2">
      <c r="A290" s="27" t="s">
        <v>979</v>
      </c>
      <c r="B290" s="27" t="s">
        <v>980</v>
      </c>
      <c r="C290" s="28" t="s">
        <v>930</v>
      </c>
      <c r="D290" s="28" t="s">
        <v>930</v>
      </c>
      <c r="E290" s="22">
        <v>20</v>
      </c>
      <c r="F290" s="22">
        <v>0</v>
      </c>
      <c r="G290" s="21">
        <v>0</v>
      </c>
      <c r="H290" s="26">
        <v>0</v>
      </c>
      <c r="I290" s="24">
        <v>0</v>
      </c>
      <c r="J290" s="21" t="s">
        <v>116</v>
      </c>
      <c r="K290" s="24" t="s">
        <v>117</v>
      </c>
      <c r="L290" s="24" t="s">
        <v>955</v>
      </c>
      <c r="M290" s="21"/>
      <c r="N290" s="26">
        <f t="shared" si="6"/>
        <v>0</v>
      </c>
      <c r="O290" s="21">
        <v>500</v>
      </c>
      <c r="P290" s="1" t="s">
        <v>956</v>
      </c>
      <c r="Q290" s="27"/>
    </row>
    <row r="291" spans="1:17" hidden="1" x14ac:dyDescent="0.2">
      <c r="A291" s="27" t="s">
        <v>981</v>
      </c>
      <c r="B291" s="27" t="s">
        <v>982</v>
      </c>
      <c r="C291" s="28" t="s">
        <v>930</v>
      </c>
      <c r="D291" s="28" t="s">
        <v>930</v>
      </c>
      <c r="E291" s="22">
        <v>20</v>
      </c>
      <c r="F291" s="22">
        <v>0</v>
      </c>
      <c r="G291" s="21">
        <v>0</v>
      </c>
      <c r="H291" s="26">
        <v>0</v>
      </c>
      <c r="I291" s="24">
        <v>0</v>
      </c>
      <c r="J291" s="21" t="s">
        <v>116</v>
      </c>
      <c r="K291" s="24" t="s">
        <v>117</v>
      </c>
      <c r="L291" s="24" t="s">
        <v>955</v>
      </c>
      <c r="M291" s="21"/>
      <c r="N291" s="26">
        <f t="shared" si="6"/>
        <v>0</v>
      </c>
      <c r="O291" s="21">
        <v>500</v>
      </c>
      <c r="P291" s="1" t="s">
        <v>956</v>
      </c>
      <c r="Q291" s="27"/>
    </row>
  </sheetData>
  <autoFilter ref="A2:Q291" xr:uid="{FB4B5CC8-7771-45BC-8864-A9EEC0AE7DFC}">
    <filterColumn colId="11">
      <filters>
        <filter val="Place PO"/>
      </filters>
    </filterColumn>
  </autoFilter>
  <mergeCells count="2">
    <mergeCell ref="E1:H1"/>
    <mergeCell ref="I1:K1"/>
  </mergeCells>
  <conditionalFormatting sqref="A1 A7:A1048576">
    <cfRule type="duplicateValues" dxfId="79" priority="14"/>
  </conditionalFormatting>
  <conditionalFormatting sqref="A1:A2 A7:A1048576">
    <cfRule type="duplicateValues" dxfId="78" priority="12"/>
    <cfRule type="duplicateValues" dxfId="77" priority="13"/>
  </conditionalFormatting>
  <conditionalFormatting sqref="A3:A6">
    <cfRule type="duplicateValues" dxfId="76" priority="16" stopIfTrue="1"/>
    <cfRule type="expression" dxfId="75" priority="17" stopIfTrue="1">
      <formula>AND(COUNTIF($C$1:$C$8516, A3)+COUNTIF($C$8518:$C$64183, A3)+COUNTIF($D$8517:$D$8517, A3)&gt;1,NOT(ISBLANK(A3)))</formula>
    </cfRule>
  </conditionalFormatting>
  <conditionalFormatting sqref="A292:A1048576 A1 A7:A287">
    <cfRule type="duplicateValues" dxfId="74" priority="15"/>
  </conditionalFormatting>
  <conditionalFormatting sqref="G3:G1048576">
    <cfRule type="cellIs" dxfId="73" priority="2" operator="lessThan">
      <formula>13</formula>
    </cfRule>
    <cfRule type="cellIs" dxfId="72" priority="3" operator="between">
      <formula>13</formula>
      <formula>26</formula>
    </cfRule>
    <cfRule type="cellIs" dxfId="71" priority="4" operator="greaterThan">
      <formula>26</formula>
    </cfRule>
  </conditionalFormatting>
  <conditionalFormatting sqref="I2">
    <cfRule type="cellIs" dxfId="70" priority="11" operator="lessThan">
      <formula>10000</formula>
    </cfRule>
  </conditionalFormatting>
  <conditionalFormatting sqref="J2:J219 J224:J1048576">
    <cfRule type="containsText" dxfId="69" priority="5" operator="containsText" text="Order">
      <formula>NOT(ISERROR(SEARCH("Order",J2)))</formula>
    </cfRule>
    <cfRule type="containsText" dxfId="68" priority="6" operator="containsText" text="Build">
      <formula>NOT(ISERROR(SEARCH("Build",J2)))</formula>
    </cfRule>
  </conditionalFormatting>
  <conditionalFormatting sqref="J3:J219 J224:J1048576">
    <cfRule type="cellIs" dxfId="67" priority="7" operator="greaterThan">
      <formula>500000</formula>
    </cfRule>
    <cfRule type="cellIs" dxfId="66" priority="8" operator="between">
      <formula>100001</formula>
      <formula>500000</formula>
    </cfRule>
    <cfRule type="cellIs" dxfId="65" priority="9" operator="between">
      <formula>10001</formula>
      <formula>100000</formula>
    </cfRule>
    <cfRule type="cellIs" dxfId="64" priority="10" operator="lessThan">
      <formula>10000</formula>
    </cfRule>
  </conditionalFormatting>
  <conditionalFormatting sqref="L1:L1048576">
    <cfRule type="containsText" dxfId="63" priority="1" operator="containsText" text="Place PO">
      <formula>NOT(ISERROR(SEARCH("Place PO",L1)))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1EA9E-A619-45CC-A17D-B3F4A8B393B1}">
  <sheetPr filterMode="1"/>
  <dimension ref="A1:E25"/>
  <sheetViews>
    <sheetView workbookViewId="0">
      <selection activeCell="B39" sqref="B39"/>
    </sheetView>
  </sheetViews>
  <sheetFormatPr defaultRowHeight="15" x14ac:dyDescent="0.25"/>
  <cols>
    <col min="1" max="1" width="14.28515625" bestFit="1" customWidth="1"/>
    <col min="2" max="2" width="34.42578125" bestFit="1" customWidth="1"/>
    <col min="3" max="3" width="14.42578125" customWidth="1"/>
    <col min="4" max="4" width="13.85546875" style="24" customWidth="1"/>
    <col min="5" max="5" width="39.140625" style="1" customWidth="1"/>
  </cols>
  <sheetData>
    <row r="1" spans="1:5" s="59" customFormat="1" ht="31.5" customHeight="1" x14ac:dyDescent="0.25">
      <c r="A1" s="58" t="s">
        <v>3</v>
      </c>
      <c r="B1" s="58" t="s">
        <v>4</v>
      </c>
      <c r="C1" s="58" t="s">
        <v>16</v>
      </c>
      <c r="D1" s="58" t="s">
        <v>1005</v>
      </c>
      <c r="E1" s="58" t="s">
        <v>1006</v>
      </c>
    </row>
    <row r="2" spans="1:5" hidden="1" x14ac:dyDescent="0.25">
      <c r="A2" s="60" t="s">
        <v>951</v>
      </c>
      <c r="B2" s="60" t="s">
        <v>952</v>
      </c>
      <c r="C2" s="61">
        <v>10</v>
      </c>
      <c r="D2" s="62" t="s">
        <v>1007</v>
      </c>
      <c r="E2" s="66" t="s">
        <v>1009</v>
      </c>
    </row>
    <row r="3" spans="1:5" hidden="1" x14ac:dyDescent="0.25">
      <c r="A3" s="63" t="s">
        <v>957</v>
      </c>
      <c r="B3" s="63" t="s">
        <v>958</v>
      </c>
      <c r="C3" s="61">
        <v>92</v>
      </c>
      <c r="D3" s="64">
        <v>1900</v>
      </c>
      <c r="E3" s="60" t="s">
        <v>1008</v>
      </c>
    </row>
    <row r="4" spans="1:5" hidden="1" x14ac:dyDescent="0.25">
      <c r="A4" s="63" t="s">
        <v>959</v>
      </c>
      <c r="B4" s="63" t="s">
        <v>960</v>
      </c>
      <c r="C4" s="61">
        <v>5000</v>
      </c>
      <c r="D4" s="64">
        <v>1900</v>
      </c>
      <c r="E4" s="60" t="s">
        <v>1008</v>
      </c>
    </row>
    <row r="5" spans="1:5" hidden="1" x14ac:dyDescent="0.25">
      <c r="A5" s="63" t="s">
        <v>961</v>
      </c>
      <c r="B5" s="63" t="s">
        <v>962</v>
      </c>
      <c r="C5" s="61">
        <v>100</v>
      </c>
      <c r="D5" s="64">
        <v>2000</v>
      </c>
      <c r="E5" s="60" t="s">
        <v>1008</v>
      </c>
    </row>
    <row r="6" spans="1:5" hidden="1" x14ac:dyDescent="0.25">
      <c r="A6" s="63" t="s">
        <v>963</v>
      </c>
      <c r="B6" s="63" t="s">
        <v>964</v>
      </c>
      <c r="C6" s="61">
        <v>250</v>
      </c>
      <c r="D6" s="64">
        <v>2000</v>
      </c>
      <c r="E6" s="60" t="s">
        <v>1008</v>
      </c>
    </row>
    <row r="7" spans="1:5" hidden="1" x14ac:dyDescent="0.25">
      <c r="A7" s="63" t="s">
        <v>965</v>
      </c>
      <c r="B7" s="63" t="s">
        <v>966</v>
      </c>
      <c r="C7" s="61">
        <v>500</v>
      </c>
      <c r="D7" s="64">
        <v>2000</v>
      </c>
      <c r="E7" s="60" t="s">
        <v>1008</v>
      </c>
    </row>
    <row r="8" spans="1:5" hidden="1" x14ac:dyDescent="0.25">
      <c r="A8" s="63" t="s">
        <v>967</v>
      </c>
      <c r="B8" s="63" t="s">
        <v>968</v>
      </c>
      <c r="C8" s="61">
        <v>100</v>
      </c>
      <c r="D8" s="64">
        <v>2000</v>
      </c>
      <c r="E8" s="60" t="s">
        <v>1008</v>
      </c>
    </row>
    <row r="9" spans="1:5" hidden="1" x14ac:dyDescent="0.25">
      <c r="A9" s="63" t="s">
        <v>969</v>
      </c>
      <c r="B9" s="63" t="s">
        <v>970</v>
      </c>
      <c r="C9" s="61">
        <v>100</v>
      </c>
      <c r="D9" s="64">
        <v>2000</v>
      </c>
      <c r="E9" s="60" t="s">
        <v>1008</v>
      </c>
    </row>
    <row r="10" spans="1:5" hidden="1" x14ac:dyDescent="0.25">
      <c r="A10" s="60" t="s">
        <v>971</v>
      </c>
      <c r="B10" s="60" t="s">
        <v>972</v>
      </c>
      <c r="C10" s="61">
        <v>500</v>
      </c>
      <c r="D10" s="64">
        <v>2000</v>
      </c>
      <c r="E10" s="60" t="s">
        <v>1008</v>
      </c>
    </row>
    <row r="11" spans="1:5" hidden="1" x14ac:dyDescent="0.25">
      <c r="A11" s="60" t="s">
        <v>973</v>
      </c>
      <c r="B11" s="60" t="s">
        <v>974</v>
      </c>
      <c r="C11" s="61">
        <v>500</v>
      </c>
      <c r="D11" s="64">
        <v>2000</v>
      </c>
      <c r="E11" s="60" t="s">
        <v>1008</v>
      </c>
    </row>
    <row r="12" spans="1:5" hidden="1" x14ac:dyDescent="0.25">
      <c r="A12" s="63" t="s">
        <v>975</v>
      </c>
      <c r="B12" s="63" t="s">
        <v>976</v>
      </c>
      <c r="C12" s="61">
        <v>300</v>
      </c>
      <c r="D12" s="64">
        <v>2000</v>
      </c>
      <c r="E12" s="60" t="s">
        <v>1008</v>
      </c>
    </row>
    <row r="13" spans="1:5" hidden="1" x14ac:dyDescent="0.25">
      <c r="A13" s="60" t="s">
        <v>977</v>
      </c>
      <c r="B13" s="60" t="s">
        <v>978</v>
      </c>
      <c r="C13" s="61">
        <v>50</v>
      </c>
      <c r="D13" s="64">
        <v>2000</v>
      </c>
      <c r="E13" s="60" t="s">
        <v>1008</v>
      </c>
    </row>
    <row r="14" spans="1:5" hidden="1" x14ac:dyDescent="0.25">
      <c r="A14" s="63" t="s">
        <v>979</v>
      </c>
      <c r="B14" s="63" t="s">
        <v>980</v>
      </c>
      <c r="C14" s="61">
        <v>500</v>
      </c>
      <c r="D14" s="64">
        <v>2000</v>
      </c>
      <c r="E14" s="60" t="s">
        <v>1008</v>
      </c>
    </row>
    <row r="15" spans="1:5" hidden="1" x14ac:dyDescent="0.25">
      <c r="A15" s="63" t="s">
        <v>981</v>
      </c>
      <c r="B15" s="63" t="s">
        <v>982</v>
      </c>
      <c r="C15" s="61">
        <v>500</v>
      </c>
      <c r="D15" s="64">
        <v>2000</v>
      </c>
      <c r="E15" s="60" t="s">
        <v>1008</v>
      </c>
    </row>
    <row r="16" spans="1:5" hidden="1" x14ac:dyDescent="0.25">
      <c r="A16" s="63" t="s">
        <v>736</v>
      </c>
      <c r="B16" s="63" t="s">
        <v>737</v>
      </c>
      <c r="C16" s="61">
        <v>400</v>
      </c>
      <c r="D16" s="64">
        <v>2000</v>
      </c>
      <c r="E16" s="60" t="s">
        <v>1008</v>
      </c>
    </row>
    <row r="17" spans="1:5" hidden="1" x14ac:dyDescent="0.25">
      <c r="A17" s="60" t="s">
        <v>882</v>
      </c>
      <c r="B17" s="60" t="s">
        <v>883</v>
      </c>
      <c r="C17" s="61">
        <v>10</v>
      </c>
      <c r="D17" s="62" t="s">
        <v>1007</v>
      </c>
      <c r="E17" s="66" t="s">
        <v>1020</v>
      </c>
    </row>
    <row r="18" spans="1:5" hidden="1" x14ac:dyDescent="0.25">
      <c r="A18" s="60" t="s">
        <v>903</v>
      </c>
      <c r="B18" s="60" t="s">
        <v>904</v>
      </c>
      <c r="C18" s="61">
        <v>85</v>
      </c>
      <c r="D18" s="64" t="s">
        <v>1007</v>
      </c>
      <c r="E18" s="66" t="s">
        <v>1011</v>
      </c>
    </row>
    <row r="19" spans="1:5" hidden="1" x14ac:dyDescent="0.25">
      <c r="A19" s="60" t="s">
        <v>793</v>
      </c>
      <c r="B19" s="60" t="s">
        <v>794</v>
      </c>
      <c r="C19" s="61">
        <v>20</v>
      </c>
      <c r="D19" s="64">
        <v>2000</v>
      </c>
      <c r="E19" s="60" t="s">
        <v>1008</v>
      </c>
    </row>
    <row r="20" spans="1:5" hidden="1" x14ac:dyDescent="0.25">
      <c r="A20" s="60" t="s">
        <v>885</v>
      </c>
      <c r="B20" s="60" t="s">
        <v>886</v>
      </c>
      <c r="C20" s="61">
        <v>10</v>
      </c>
      <c r="D20" s="64">
        <v>2000</v>
      </c>
      <c r="E20" s="60" t="s">
        <v>1008</v>
      </c>
    </row>
    <row r="21" spans="1:5" x14ac:dyDescent="0.25">
      <c r="A21" s="60" t="s">
        <v>940</v>
      </c>
      <c r="B21" s="60" t="s">
        <v>941</v>
      </c>
      <c r="C21" s="61">
        <v>450</v>
      </c>
      <c r="D21" s="64">
        <v>2001</v>
      </c>
      <c r="E21" s="60" t="s">
        <v>1008</v>
      </c>
    </row>
    <row r="22" spans="1:5" hidden="1" x14ac:dyDescent="0.25">
      <c r="A22" s="60" t="s">
        <v>809</v>
      </c>
      <c r="B22" s="60" t="s">
        <v>810</v>
      </c>
      <c r="C22" s="61">
        <v>132</v>
      </c>
      <c r="D22" s="62" t="s">
        <v>1017</v>
      </c>
      <c r="E22" s="67" t="s">
        <v>1010</v>
      </c>
    </row>
    <row r="23" spans="1:5" hidden="1" x14ac:dyDescent="0.25">
      <c r="A23" s="60" t="s">
        <v>812</v>
      </c>
      <c r="B23" s="60" t="s">
        <v>813</v>
      </c>
      <c r="C23" s="61">
        <v>212</v>
      </c>
      <c r="D23" s="62" t="s">
        <v>1017</v>
      </c>
      <c r="E23" s="67" t="s">
        <v>1018</v>
      </c>
    </row>
    <row r="24" spans="1:5" hidden="1" x14ac:dyDescent="0.25">
      <c r="A24" s="60" t="s">
        <v>906</v>
      </c>
      <c r="B24" s="60" t="s">
        <v>907</v>
      </c>
      <c r="C24" s="61">
        <v>5</v>
      </c>
      <c r="D24" s="64">
        <v>2000</v>
      </c>
      <c r="E24" s="60" t="s">
        <v>1008</v>
      </c>
    </row>
    <row r="25" spans="1:5" hidden="1" x14ac:dyDescent="0.25">
      <c r="A25" s="60" t="s">
        <v>912</v>
      </c>
      <c r="B25" s="60" t="s">
        <v>913</v>
      </c>
      <c r="C25" s="61">
        <v>25</v>
      </c>
      <c r="D25" s="64" t="s">
        <v>1007</v>
      </c>
      <c r="E25" s="66" t="s">
        <v>1019</v>
      </c>
    </row>
  </sheetData>
  <autoFilter ref="A1:E25" xr:uid="{8221EA9E-A619-45CC-A17D-B3F4A8B393B1}">
    <filterColumn colId="0">
      <filters>
        <filter val="730-061071-004"/>
      </filters>
    </filterColumn>
  </autoFilter>
  <conditionalFormatting sqref="A1:A15">
    <cfRule type="duplicateValues" dxfId="62" priority="35"/>
    <cfRule type="duplicateValues" dxfId="61" priority="36"/>
  </conditionalFormatting>
  <conditionalFormatting sqref="A2:A11">
    <cfRule type="duplicateValues" dxfId="60" priority="34"/>
  </conditionalFormatting>
  <conditionalFormatting sqref="A2:A15">
    <cfRule type="duplicateValues" dxfId="59" priority="33"/>
  </conditionalFormatting>
  <conditionalFormatting sqref="A16">
    <cfRule type="duplicateValues" dxfId="58" priority="29"/>
    <cfRule type="duplicateValues" dxfId="57" priority="30"/>
    <cfRule type="duplicateValues" dxfId="56" priority="31"/>
    <cfRule type="duplicateValues" dxfId="55" priority="32"/>
  </conditionalFormatting>
  <conditionalFormatting sqref="A17:A25">
    <cfRule type="duplicateValues" dxfId="54" priority="25"/>
    <cfRule type="duplicateValues" dxfId="53" priority="26"/>
    <cfRule type="duplicateValues" dxfId="52" priority="27"/>
    <cfRule type="duplicateValues" dxfId="51" priority="28"/>
  </conditionalFormatting>
  <pageMargins left="0.7" right="0.7" top="0.75" bottom="0.75" header="0.3" footer="0.3"/>
  <ignoredErrors>
    <ignoredError sqref="D2 D17:D18 D22:D2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B2D8B-73D2-4C74-A3CF-58D924AF2DF0}">
  <dimension ref="A1:Q11"/>
  <sheetViews>
    <sheetView workbookViewId="0">
      <selection activeCell="H25" sqref="H25"/>
    </sheetView>
  </sheetViews>
  <sheetFormatPr defaultRowHeight="15" x14ac:dyDescent="0.25"/>
  <cols>
    <col min="1" max="1" width="14.28515625" bestFit="1" customWidth="1"/>
    <col min="2" max="2" width="38.7109375" bestFit="1" customWidth="1"/>
    <col min="3" max="3" width="11.28515625" bestFit="1" customWidth="1"/>
    <col min="4" max="4" width="30.28515625" bestFit="1" customWidth="1"/>
    <col min="6" max="6" width="9" bestFit="1" customWidth="1"/>
    <col min="7" max="7" width="5.85546875" bestFit="1" customWidth="1"/>
    <col min="8" max="8" width="8.5703125" bestFit="1" customWidth="1"/>
    <col min="9" max="9" width="10.140625" bestFit="1" customWidth="1"/>
    <col min="10" max="10" width="12.140625" bestFit="1" customWidth="1"/>
    <col min="11" max="11" width="8.7109375" bestFit="1" customWidth="1"/>
    <col min="12" max="12" width="12.42578125" bestFit="1" customWidth="1"/>
    <col min="13" max="13" width="32.7109375" bestFit="1" customWidth="1"/>
    <col min="14" max="14" width="11" bestFit="1" customWidth="1"/>
    <col min="15" max="15" width="8.28515625" bestFit="1" customWidth="1"/>
    <col min="16" max="16" width="48.28515625" bestFit="1" customWidth="1"/>
    <col min="17" max="17" width="36" customWidth="1"/>
  </cols>
  <sheetData>
    <row r="1" spans="1:17" s="20" customFormat="1" ht="75.75" thickBot="1" x14ac:dyDescent="0.3">
      <c r="A1" s="5" t="s">
        <v>3</v>
      </c>
      <c r="B1" s="5" t="s">
        <v>4</v>
      </c>
      <c r="C1" s="5" t="s">
        <v>5</v>
      </c>
      <c r="D1" s="6" t="s">
        <v>6</v>
      </c>
      <c r="E1" s="7" t="s">
        <v>7</v>
      </c>
      <c r="F1" s="8" t="s">
        <v>8</v>
      </c>
      <c r="G1" s="9" t="s">
        <v>9</v>
      </c>
      <c r="H1" s="10" t="s">
        <v>10</v>
      </c>
      <c r="I1" s="11" t="s">
        <v>11</v>
      </c>
      <c r="J1" s="12" t="s">
        <v>12</v>
      </c>
      <c r="K1" s="13" t="s">
        <v>13</v>
      </c>
      <c r="L1" s="14" t="s">
        <v>14</v>
      </c>
      <c r="M1" s="15" t="s">
        <v>986</v>
      </c>
      <c r="N1" s="16" t="s">
        <v>15</v>
      </c>
      <c r="O1" s="17" t="s">
        <v>16</v>
      </c>
      <c r="P1" s="18" t="s">
        <v>17</v>
      </c>
      <c r="Q1" s="19" t="s">
        <v>18</v>
      </c>
    </row>
    <row r="2" spans="1:17" s="1" customFormat="1" ht="12.75" x14ac:dyDescent="0.2">
      <c r="A2" s="27" t="s">
        <v>736</v>
      </c>
      <c r="B2" s="27" t="s">
        <v>737</v>
      </c>
      <c r="C2" s="28" t="s">
        <v>738</v>
      </c>
      <c r="D2" s="28" t="s">
        <v>739</v>
      </c>
      <c r="E2" s="22">
        <v>100</v>
      </c>
      <c r="F2" s="22">
        <v>100</v>
      </c>
      <c r="G2" s="21">
        <v>14</v>
      </c>
      <c r="H2" s="23">
        <v>1.1499999999999999</v>
      </c>
      <c r="I2" s="24">
        <v>100</v>
      </c>
      <c r="J2" s="21">
        <v>123</v>
      </c>
      <c r="K2" s="24" t="s">
        <v>23</v>
      </c>
      <c r="L2" s="24" t="s">
        <v>740</v>
      </c>
      <c r="M2" s="25">
        <v>500</v>
      </c>
      <c r="N2" s="26">
        <v>37057.800000000003</v>
      </c>
      <c r="O2" s="26"/>
      <c r="P2" s="27" t="s">
        <v>741</v>
      </c>
      <c r="Q2" s="1" t="s">
        <v>988</v>
      </c>
    </row>
    <row r="3" spans="1:17" s="1" customFormat="1" ht="12.75" x14ac:dyDescent="0.2">
      <c r="A3" s="27" t="s">
        <v>742</v>
      </c>
      <c r="B3" s="27" t="s">
        <v>743</v>
      </c>
      <c r="C3" s="28" t="s">
        <v>744</v>
      </c>
      <c r="D3" s="28" t="s">
        <v>236</v>
      </c>
      <c r="E3" s="22">
        <v>10985</v>
      </c>
      <c r="F3" s="22">
        <v>1800</v>
      </c>
      <c r="G3" s="21">
        <v>17</v>
      </c>
      <c r="H3" s="26">
        <v>1.25</v>
      </c>
      <c r="I3" s="24">
        <v>10985</v>
      </c>
      <c r="J3" s="21">
        <v>72583</v>
      </c>
      <c r="K3" s="24" t="s">
        <v>23</v>
      </c>
      <c r="L3" s="24" t="s">
        <v>740</v>
      </c>
      <c r="M3" s="25">
        <v>5000</v>
      </c>
      <c r="N3" s="26">
        <v>32150</v>
      </c>
      <c r="O3" s="26"/>
      <c r="P3" s="27" t="s">
        <v>745</v>
      </c>
      <c r="Q3" s="1" t="s">
        <v>988</v>
      </c>
    </row>
    <row r="4" spans="1:17" s="1" customFormat="1" ht="12.75" x14ac:dyDescent="0.2">
      <c r="A4" s="1" t="s">
        <v>746</v>
      </c>
      <c r="B4" s="1" t="s">
        <v>747</v>
      </c>
      <c r="C4" s="1" t="s">
        <v>748</v>
      </c>
      <c r="D4" s="1" t="s">
        <v>64</v>
      </c>
      <c r="E4" s="22">
        <v>60</v>
      </c>
      <c r="F4" s="22">
        <v>1</v>
      </c>
      <c r="G4" s="21">
        <v>15</v>
      </c>
      <c r="H4" s="23">
        <v>60</v>
      </c>
      <c r="I4" s="24">
        <v>60</v>
      </c>
      <c r="J4" s="21">
        <v>8150</v>
      </c>
      <c r="K4" s="24" t="s">
        <v>23</v>
      </c>
      <c r="L4" s="24" t="s">
        <v>740</v>
      </c>
      <c r="M4" s="25">
        <v>30</v>
      </c>
      <c r="N4" s="26">
        <v>2942.7660000000001</v>
      </c>
      <c r="O4" s="26"/>
      <c r="P4" s="27" t="s">
        <v>749</v>
      </c>
      <c r="Q4" s="1" t="s">
        <v>988</v>
      </c>
    </row>
    <row r="5" spans="1:17" s="1" customFormat="1" ht="12.75" x14ac:dyDescent="0.2">
      <c r="A5" s="1" t="s">
        <v>750</v>
      </c>
      <c r="B5" s="1" t="s">
        <v>751</v>
      </c>
      <c r="C5" s="1" t="s">
        <v>752</v>
      </c>
      <c r="D5" s="1" t="s">
        <v>188</v>
      </c>
      <c r="E5" s="22">
        <v>445</v>
      </c>
      <c r="F5" s="22">
        <v>1</v>
      </c>
      <c r="G5" s="21">
        <v>24</v>
      </c>
      <c r="H5" s="26">
        <v>7.92</v>
      </c>
      <c r="I5" s="24">
        <v>445</v>
      </c>
      <c r="J5" s="21" t="s">
        <v>116</v>
      </c>
      <c r="K5" s="24" t="s">
        <v>117</v>
      </c>
      <c r="L5" s="24" t="s">
        <v>740</v>
      </c>
      <c r="M5" s="25">
        <v>200</v>
      </c>
      <c r="N5" s="26">
        <v>1584</v>
      </c>
      <c r="O5" s="26"/>
      <c r="P5" s="1" t="s">
        <v>753</v>
      </c>
      <c r="Q5" s="37" t="s">
        <v>989</v>
      </c>
    </row>
    <row r="6" spans="1:17" s="1" customFormat="1" ht="12.75" x14ac:dyDescent="0.2">
      <c r="A6" s="1" t="s">
        <v>754</v>
      </c>
      <c r="B6" s="1" t="s">
        <v>755</v>
      </c>
      <c r="C6" s="1" t="s">
        <v>756</v>
      </c>
      <c r="D6" s="1" t="s">
        <v>188</v>
      </c>
      <c r="E6" s="22">
        <v>445</v>
      </c>
      <c r="F6" s="22">
        <v>1</v>
      </c>
      <c r="G6" s="21">
        <v>24</v>
      </c>
      <c r="H6" s="26">
        <v>7.92</v>
      </c>
      <c r="I6" s="24">
        <v>445</v>
      </c>
      <c r="J6" s="21" t="s">
        <v>116</v>
      </c>
      <c r="K6" s="24" t="s">
        <v>117</v>
      </c>
      <c r="L6" s="24" t="s">
        <v>740</v>
      </c>
      <c r="M6" s="25">
        <v>200</v>
      </c>
      <c r="N6" s="26">
        <v>1584</v>
      </c>
      <c r="O6" s="26"/>
      <c r="P6" s="1" t="s">
        <v>753</v>
      </c>
      <c r="Q6" s="37" t="s">
        <v>989</v>
      </c>
    </row>
    <row r="7" spans="1:17" s="1" customFormat="1" ht="12.75" x14ac:dyDescent="0.2">
      <c r="A7" s="1" t="s">
        <v>757</v>
      </c>
      <c r="B7" s="1" t="s">
        <v>758</v>
      </c>
      <c r="C7" s="1" t="s">
        <v>759</v>
      </c>
      <c r="D7" s="1" t="s">
        <v>188</v>
      </c>
      <c r="E7" s="22">
        <v>445</v>
      </c>
      <c r="F7" s="22">
        <v>1</v>
      </c>
      <c r="G7" s="21">
        <v>24</v>
      </c>
      <c r="H7" s="26">
        <v>7.92</v>
      </c>
      <c r="I7" s="24">
        <v>445</v>
      </c>
      <c r="J7" s="21" t="s">
        <v>116</v>
      </c>
      <c r="K7" s="24" t="s">
        <v>117</v>
      </c>
      <c r="L7" s="24" t="s">
        <v>740</v>
      </c>
      <c r="M7" s="25">
        <v>200</v>
      </c>
      <c r="N7" s="26">
        <v>1584</v>
      </c>
      <c r="O7" s="26"/>
      <c r="P7" s="1" t="s">
        <v>753</v>
      </c>
      <c r="Q7" s="37" t="s">
        <v>989</v>
      </c>
    </row>
    <row r="8" spans="1:17" s="1" customFormat="1" ht="12.75" x14ac:dyDescent="0.2">
      <c r="A8" s="1" t="s">
        <v>760</v>
      </c>
      <c r="B8" s="1" t="s">
        <v>761</v>
      </c>
      <c r="C8" s="1" t="s">
        <v>762</v>
      </c>
      <c r="D8" s="1" t="s">
        <v>188</v>
      </c>
      <c r="E8" s="22">
        <v>445</v>
      </c>
      <c r="F8" s="22">
        <v>1</v>
      </c>
      <c r="G8" s="21">
        <v>24</v>
      </c>
      <c r="H8" s="26">
        <v>7.92</v>
      </c>
      <c r="I8" s="24">
        <v>445</v>
      </c>
      <c r="J8" s="21" t="s">
        <v>116</v>
      </c>
      <c r="K8" s="24" t="s">
        <v>117</v>
      </c>
      <c r="L8" s="24" t="s">
        <v>740</v>
      </c>
      <c r="M8" s="25">
        <v>200</v>
      </c>
      <c r="N8" s="26">
        <v>1584</v>
      </c>
      <c r="O8" s="26"/>
      <c r="P8" s="1" t="s">
        <v>753</v>
      </c>
      <c r="Q8" s="37" t="s">
        <v>989</v>
      </c>
    </row>
    <row r="9" spans="1:17" s="1" customFormat="1" ht="12.75" x14ac:dyDescent="0.2">
      <c r="A9" s="1" t="s">
        <v>763</v>
      </c>
      <c r="B9" s="1" t="s">
        <v>764</v>
      </c>
      <c r="C9" s="1" t="s">
        <v>765</v>
      </c>
      <c r="D9" s="1" t="s">
        <v>188</v>
      </c>
      <c r="E9" s="22">
        <v>445</v>
      </c>
      <c r="F9" s="22">
        <v>1</v>
      </c>
      <c r="G9" s="21">
        <v>24</v>
      </c>
      <c r="H9" s="26">
        <v>7.92</v>
      </c>
      <c r="I9" s="24">
        <v>445</v>
      </c>
      <c r="J9" s="21" t="s">
        <v>116</v>
      </c>
      <c r="K9" s="24" t="s">
        <v>117</v>
      </c>
      <c r="L9" s="24" t="s">
        <v>740</v>
      </c>
      <c r="M9" s="25">
        <v>200</v>
      </c>
      <c r="N9" s="26">
        <v>1584</v>
      </c>
      <c r="O9" s="26"/>
      <c r="P9" s="1" t="s">
        <v>753</v>
      </c>
      <c r="Q9" s="37" t="s">
        <v>989</v>
      </c>
    </row>
    <row r="10" spans="1:17" s="1" customFormat="1" ht="12.75" x14ac:dyDescent="0.2">
      <c r="A10" s="1" t="s">
        <v>766</v>
      </c>
      <c r="B10" s="1" t="s">
        <v>767</v>
      </c>
      <c r="C10" s="1" t="s">
        <v>768</v>
      </c>
      <c r="D10" s="1" t="s">
        <v>188</v>
      </c>
      <c r="E10" s="22">
        <v>445</v>
      </c>
      <c r="F10" s="22">
        <v>1</v>
      </c>
      <c r="G10" s="21">
        <v>24</v>
      </c>
      <c r="H10" s="26">
        <v>7.92</v>
      </c>
      <c r="I10" s="24">
        <v>445</v>
      </c>
      <c r="J10" s="21" t="s">
        <v>116</v>
      </c>
      <c r="K10" s="24" t="s">
        <v>117</v>
      </c>
      <c r="L10" s="24" t="s">
        <v>740</v>
      </c>
      <c r="M10" s="25">
        <v>200</v>
      </c>
      <c r="N10" s="26">
        <v>1584</v>
      </c>
      <c r="O10" s="26"/>
      <c r="P10" s="1" t="s">
        <v>753</v>
      </c>
      <c r="Q10" s="37" t="s">
        <v>989</v>
      </c>
    </row>
    <row r="11" spans="1:17" s="1" customFormat="1" ht="12.75" x14ac:dyDescent="0.2">
      <c r="A11" s="1" t="s">
        <v>769</v>
      </c>
      <c r="B11" s="1" t="s">
        <v>770</v>
      </c>
      <c r="C11" s="1" t="s">
        <v>771</v>
      </c>
      <c r="D11" s="1" t="s">
        <v>188</v>
      </c>
      <c r="E11" s="22">
        <v>445</v>
      </c>
      <c r="F11" s="22">
        <v>1</v>
      </c>
      <c r="G11" s="21">
        <v>24</v>
      </c>
      <c r="H11" s="26">
        <v>7.92</v>
      </c>
      <c r="I11" s="24">
        <v>445</v>
      </c>
      <c r="J11" s="21" t="s">
        <v>116</v>
      </c>
      <c r="K11" s="24" t="s">
        <v>117</v>
      </c>
      <c r="L11" s="24" t="s">
        <v>740</v>
      </c>
      <c r="M11" s="25">
        <v>200</v>
      </c>
      <c r="N11" s="26">
        <v>1584</v>
      </c>
      <c r="O11" s="26"/>
      <c r="P11" s="1" t="s">
        <v>753</v>
      </c>
      <c r="Q11" s="37" t="s">
        <v>989</v>
      </c>
    </row>
  </sheetData>
  <conditionalFormatting sqref="A1:A11">
    <cfRule type="duplicateValues" dxfId="50" priority="48"/>
    <cfRule type="duplicateValues" dxfId="49" priority="49"/>
  </conditionalFormatting>
  <conditionalFormatting sqref="A2:A11">
    <cfRule type="duplicateValues" dxfId="48" priority="42"/>
    <cfRule type="duplicateValues" dxfId="47" priority="43"/>
  </conditionalFormatting>
  <conditionalFormatting sqref="G2:G11">
    <cfRule type="cellIs" dxfId="42" priority="3" operator="lessThan">
      <formula>13</formula>
    </cfRule>
    <cfRule type="cellIs" dxfId="41" priority="4" operator="between">
      <formula>13</formula>
      <formula>26</formula>
    </cfRule>
    <cfRule type="cellIs" dxfId="40" priority="5" operator="greaterThan">
      <formula>26</formula>
    </cfRule>
  </conditionalFormatting>
  <conditionalFormatting sqref="I1">
    <cfRule type="cellIs" dxfId="39" priority="47" operator="lessThan">
      <formula>10000</formula>
    </cfRule>
  </conditionalFormatting>
  <conditionalFormatting sqref="J1:J11">
    <cfRule type="containsText" dxfId="37" priority="45" operator="containsText" text="Order">
      <formula>NOT(ISERROR(SEARCH("Order",J1)))</formula>
    </cfRule>
    <cfRule type="containsText" dxfId="36" priority="46" operator="containsText" text="Build">
      <formula>NOT(ISERROR(SEARCH("Build",J1)))</formula>
    </cfRule>
  </conditionalFormatting>
  <conditionalFormatting sqref="J2:J11">
    <cfRule type="cellIs" dxfId="35" priority="9" operator="greaterThan">
      <formula>500000</formula>
    </cfRule>
    <cfRule type="cellIs" dxfId="34" priority="10" operator="between">
      <formula>100001</formula>
      <formula>500000</formula>
    </cfRule>
    <cfRule type="cellIs" dxfId="33" priority="11" operator="between">
      <formula>10001</formula>
      <formula>100000</formula>
    </cfRule>
    <cfRule type="cellIs" dxfId="32" priority="12" operator="lessThan">
      <formula>10000</formula>
    </cfRule>
  </conditionalFormatting>
  <conditionalFormatting sqref="L1:L11">
    <cfRule type="containsText" dxfId="29" priority="6" operator="containsText" text="Place PO">
      <formula>NOT(ISERROR(SEARCH("Place PO",L1)))</formula>
    </cfRule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EC362-BC32-427B-8CB8-EBCB19C70273}">
  <dimension ref="A1:Q49"/>
  <sheetViews>
    <sheetView topLeftCell="B1" workbookViewId="0">
      <selection activeCell="D29" sqref="D29"/>
    </sheetView>
  </sheetViews>
  <sheetFormatPr defaultRowHeight="15" x14ac:dyDescent="0.25"/>
  <cols>
    <col min="1" max="1" width="14.28515625" bestFit="1" customWidth="1"/>
    <col min="2" max="2" width="31.7109375" customWidth="1"/>
    <col min="3" max="3" width="22" bestFit="1" customWidth="1"/>
    <col min="4" max="4" width="32.140625" customWidth="1"/>
    <col min="6" max="6" width="9" bestFit="1" customWidth="1"/>
    <col min="7" max="7" width="5.85546875" bestFit="1" customWidth="1"/>
    <col min="8" max="8" width="9.7109375" customWidth="1"/>
    <col min="9" max="9" width="10.140625" bestFit="1" customWidth="1"/>
    <col min="10" max="10" width="12.140625" bestFit="1" customWidth="1"/>
    <col min="11" max="11" width="11.140625" customWidth="1"/>
    <col min="12" max="12" width="12.42578125" bestFit="1" customWidth="1"/>
    <col min="13" max="13" width="32.7109375" bestFit="1" customWidth="1"/>
    <col min="15" max="15" width="8.28515625" bestFit="1" customWidth="1"/>
    <col min="16" max="16" width="28.7109375" customWidth="1"/>
    <col min="17" max="17" width="33.42578125" bestFit="1" customWidth="1"/>
  </cols>
  <sheetData>
    <row r="1" spans="1:17" s="20" customFormat="1" ht="75.75" thickBot="1" x14ac:dyDescent="0.3">
      <c r="A1" s="43" t="s">
        <v>3</v>
      </c>
      <c r="B1" s="44" t="s">
        <v>4</v>
      </c>
      <c r="C1" s="44" t="s">
        <v>5</v>
      </c>
      <c r="D1" s="45" t="s">
        <v>6</v>
      </c>
      <c r="E1" s="7" t="s">
        <v>7</v>
      </c>
      <c r="F1" s="8" t="s">
        <v>8</v>
      </c>
      <c r="G1" s="9" t="s">
        <v>9</v>
      </c>
      <c r="H1" s="10" t="s">
        <v>10</v>
      </c>
      <c r="I1" s="11" t="s">
        <v>11</v>
      </c>
      <c r="J1" s="12" t="s">
        <v>12</v>
      </c>
      <c r="K1" s="13" t="s">
        <v>13</v>
      </c>
      <c r="L1" s="14" t="s">
        <v>14</v>
      </c>
      <c r="M1" s="15" t="s">
        <v>986</v>
      </c>
      <c r="N1" s="16" t="s">
        <v>15</v>
      </c>
      <c r="O1" s="17" t="s">
        <v>16</v>
      </c>
      <c r="P1" s="18" t="s">
        <v>17</v>
      </c>
      <c r="Q1" s="19" t="s">
        <v>18</v>
      </c>
    </row>
    <row r="2" spans="1:17" s="1" customFormat="1" ht="12.75" x14ac:dyDescent="0.2">
      <c r="A2" s="1" t="s">
        <v>896</v>
      </c>
      <c r="B2" s="1" t="s">
        <v>897</v>
      </c>
      <c r="C2" s="1" t="s">
        <v>898</v>
      </c>
      <c r="D2" s="1" t="s">
        <v>899</v>
      </c>
      <c r="E2" s="22">
        <v>15</v>
      </c>
      <c r="F2" s="22">
        <v>100</v>
      </c>
      <c r="G2" s="21">
        <v>18</v>
      </c>
      <c r="H2" s="26">
        <v>20.95</v>
      </c>
      <c r="I2" s="24">
        <v>100</v>
      </c>
      <c r="J2" s="21" t="s">
        <v>116</v>
      </c>
      <c r="K2" s="24" t="s">
        <v>23</v>
      </c>
      <c r="L2" s="24" t="s">
        <v>789</v>
      </c>
      <c r="M2" s="21">
        <v>15</v>
      </c>
      <c r="N2" s="26">
        <v>0</v>
      </c>
      <c r="O2" s="26"/>
      <c r="Q2" s="1" t="s">
        <v>992</v>
      </c>
    </row>
    <row r="3" spans="1:17" s="1" customFormat="1" ht="12.75" x14ac:dyDescent="0.2">
      <c r="A3" s="27" t="s">
        <v>924</v>
      </c>
      <c r="B3" s="27" t="s">
        <v>925</v>
      </c>
      <c r="C3" s="31" t="s">
        <v>926</v>
      </c>
      <c r="D3" s="31" t="s">
        <v>926</v>
      </c>
      <c r="E3" s="22">
        <v>4</v>
      </c>
      <c r="F3" s="22">
        <v>0</v>
      </c>
      <c r="G3" s="21">
        <v>0</v>
      </c>
      <c r="H3" s="26">
        <v>0</v>
      </c>
      <c r="I3" s="24">
        <v>0</v>
      </c>
      <c r="J3" s="21" t="s">
        <v>116</v>
      </c>
      <c r="K3" s="24" t="s">
        <v>117</v>
      </c>
      <c r="L3" s="24" t="s">
        <v>789</v>
      </c>
      <c r="M3" s="21">
        <v>16</v>
      </c>
      <c r="N3" s="26">
        <v>0</v>
      </c>
      <c r="O3" s="26"/>
      <c r="P3" s="27" t="s">
        <v>927</v>
      </c>
      <c r="Q3" s="1" t="s">
        <v>990</v>
      </c>
    </row>
    <row r="4" spans="1:17" s="1" customFormat="1" ht="12.75" x14ac:dyDescent="0.2">
      <c r="A4" s="1" t="s">
        <v>806</v>
      </c>
      <c r="B4" s="1" t="s">
        <v>807</v>
      </c>
      <c r="C4" s="1" t="s">
        <v>808</v>
      </c>
      <c r="D4" s="1" t="s">
        <v>358</v>
      </c>
      <c r="E4" s="22">
        <v>10</v>
      </c>
      <c r="F4" s="22">
        <v>0</v>
      </c>
      <c r="G4" s="21">
        <v>15</v>
      </c>
      <c r="H4" s="26">
        <v>14.27</v>
      </c>
      <c r="I4" s="24">
        <v>100</v>
      </c>
      <c r="J4" s="21" t="s">
        <v>116</v>
      </c>
      <c r="K4" s="24" t="s">
        <v>991</v>
      </c>
      <c r="L4" s="24" t="s">
        <v>789</v>
      </c>
      <c r="M4" s="21">
        <v>10</v>
      </c>
      <c r="N4" s="26">
        <v>0</v>
      </c>
      <c r="O4" s="26"/>
      <c r="Q4" s="1" t="s">
        <v>988</v>
      </c>
    </row>
    <row r="5" spans="1:17" s="1" customFormat="1" ht="12.75" x14ac:dyDescent="0.2">
      <c r="A5" s="1" t="s">
        <v>809</v>
      </c>
      <c r="B5" s="1" t="s">
        <v>810</v>
      </c>
      <c r="C5" s="1" t="s">
        <v>811</v>
      </c>
      <c r="D5" s="1" t="s">
        <v>358</v>
      </c>
      <c r="E5" s="22">
        <v>230</v>
      </c>
      <c r="F5" s="22">
        <v>0</v>
      </c>
      <c r="G5" s="21">
        <v>20</v>
      </c>
      <c r="H5" s="26">
        <v>20.36</v>
      </c>
      <c r="I5" s="24">
        <v>100</v>
      </c>
      <c r="J5" s="21" t="s">
        <v>116</v>
      </c>
      <c r="K5" s="24" t="s">
        <v>991</v>
      </c>
      <c r="L5" s="24" t="s">
        <v>789</v>
      </c>
      <c r="M5" s="21">
        <v>230</v>
      </c>
      <c r="N5" s="26">
        <v>0</v>
      </c>
      <c r="O5" s="26"/>
      <c r="Q5" s="1" t="s">
        <v>988</v>
      </c>
    </row>
    <row r="6" spans="1:17" s="1" customFormat="1" ht="12.75" x14ac:dyDescent="0.2">
      <c r="A6" s="1" t="s">
        <v>812</v>
      </c>
      <c r="B6" s="1" t="s">
        <v>813</v>
      </c>
      <c r="C6" s="1" t="s">
        <v>814</v>
      </c>
      <c r="D6" s="1" t="s">
        <v>358</v>
      </c>
      <c r="E6" s="22">
        <v>230</v>
      </c>
      <c r="F6" s="22">
        <v>0</v>
      </c>
      <c r="G6" s="21">
        <v>20</v>
      </c>
      <c r="H6" s="26">
        <v>12.86</v>
      </c>
      <c r="I6" s="24">
        <v>100</v>
      </c>
      <c r="J6" s="21" t="s">
        <v>116</v>
      </c>
      <c r="K6" s="24" t="s">
        <v>991</v>
      </c>
      <c r="L6" s="24" t="s">
        <v>789</v>
      </c>
      <c r="M6" s="21">
        <v>230</v>
      </c>
      <c r="N6" s="26">
        <v>0</v>
      </c>
      <c r="O6" s="26"/>
      <c r="Q6" s="1" t="s">
        <v>988</v>
      </c>
    </row>
    <row r="7" spans="1:17" s="1" customFormat="1" ht="12.75" x14ac:dyDescent="0.2">
      <c r="A7" s="1" t="s">
        <v>815</v>
      </c>
      <c r="B7" s="1" t="s">
        <v>816</v>
      </c>
      <c r="C7" s="1" t="s">
        <v>817</v>
      </c>
      <c r="D7" s="1" t="s">
        <v>358</v>
      </c>
      <c r="E7" s="22">
        <v>10</v>
      </c>
      <c r="F7" s="22">
        <v>0</v>
      </c>
      <c r="G7" s="21">
        <v>15</v>
      </c>
      <c r="H7" s="26">
        <v>12.72</v>
      </c>
      <c r="I7" s="24">
        <v>250</v>
      </c>
      <c r="J7" s="21" t="s">
        <v>116</v>
      </c>
      <c r="K7" s="24" t="s">
        <v>991</v>
      </c>
      <c r="L7" s="24" t="s">
        <v>789</v>
      </c>
      <c r="M7" s="21">
        <v>10</v>
      </c>
      <c r="N7" s="26">
        <v>0</v>
      </c>
      <c r="O7" s="26"/>
      <c r="Q7" s="1" t="s">
        <v>988</v>
      </c>
    </row>
    <row r="8" spans="1:17" s="1" customFormat="1" ht="12.75" x14ac:dyDescent="0.2">
      <c r="A8" s="1" t="s">
        <v>818</v>
      </c>
      <c r="B8" s="1" t="s">
        <v>819</v>
      </c>
      <c r="C8" s="1" t="s">
        <v>820</v>
      </c>
      <c r="D8" s="1" t="s">
        <v>358</v>
      </c>
      <c r="E8" s="22">
        <v>10</v>
      </c>
      <c r="F8" s="22">
        <v>0</v>
      </c>
      <c r="G8" s="21">
        <v>15</v>
      </c>
      <c r="H8" s="26">
        <v>12.72</v>
      </c>
      <c r="I8" s="24">
        <v>250</v>
      </c>
      <c r="J8" s="21" t="s">
        <v>116</v>
      </c>
      <c r="K8" s="24" t="s">
        <v>991</v>
      </c>
      <c r="L8" s="24" t="s">
        <v>789</v>
      </c>
      <c r="M8" s="21">
        <v>10</v>
      </c>
      <c r="N8" s="26">
        <v>0</v>
      </c>
      <c r="O8" s="26"/>
      <c r="Q8" s="1" t="s">
        <v>988</v>
      </c>
    </row>
    <row r="9" spans="1:17" s="1" customFormat="1" ht="12.75" x14ac:dyDescent="0.2">
      <c r="A9" s="1" t="s">
        <v>821</v>
      </c>
      <c r="B9" s="1" t="s">
        <v>822</v>
      </c>
      <c r="C9" s="1" t="s">
        <v>823</v>
      </c>
      <c r="D9" s="1" t="s">
        <v>358</v>
      </c>
      <c r="E9" s="22">
        <v>15</v>
      </c>
      <c r="F9" s="22">
        <v>0</v>
      </c>
      <c r="G9" s="21">
        <v>21</v>
      </c>
      <c r="H9" s="26">
        <v>26.34</v>
      </c>
      <c r="I9" s="24">
        <v>1</v>
      </c>
      <c r="J9" s="21" t="s">
        <v>116</v>
      </c>
      <c r="K9" s="24" t="s">
        <v>991</v>
      </c>
      <c r="L9" s="24" t="s">
        <v>789</v>
      </c>
      <c r="M9" s="21">
        <v>15</v>
      </c>
      <c r="N9" s="26">
        <v>0</v>
      </c>
      <c r="O9" s="26"/>
      <c r="Q9" s="1" t="s">
        <v>988</v>
      </c>
    </row>
    <row r="10" spans="1:17" s="1" customFormat="1" ht="12.75" x14ac:dyDescent="0.2">
      <c r="A10" s="1" t="s">
        <v>830</v>
      </c>
      <c r="B10" s="1" t="s">
        <v>831</v>
      </c>
      <c r="C10" s="1" t="s">
        <v>832</v>
      </c>
      <c r="D10" s="1" t="s">
        <v>358</v>
      </c>
      <c r="E10" s="22">
        <v>15</v>
      </c>
      <c r="F10" s="22">
        <v>0</v>
      </c>
      <c r="G10" s="21">
        <v>21</v>
      </c>
      <c r="H10" s="26">
        <v>29.86</v>
      </c>
      <c r="I10" s="24">
        <v>250</v>
      </c>
      <c r="J10" s="21" t="s">
        <v>116</v>
      </c>
      <c r="K10" s="24" t="s">
        <v>991</v>
      </c>
      <c r="L10" s="24" t="s">
        <v>789</v>
      </c>
      <c r="M10" s="21">
        <v>15</v>
      </c>
      <c r="N10" s="26">
        <v>0</v>
      </c>
      <c r="O10" s="26"/>
      <c r="Q10" s="1" t="s">
        <v>988</v>
      </c>
    </row>
    <row r="11" spans="1:17" s="1" customFormat="1" ht="12.75" x14ac:dyDescent="0.2">
      <c r="A11" s="1" t="s">
        <v>893</v>
      </c>
      <c r="B11" s="1" t="s">
        <v>894</v>
      </c>
      <c r="C11" s="1" t="s">
        <v>895</v>
      </c>
      <c r="D11" s="1" t="s">
        <v>341</v>
      </c>
      <c r="E11" s="22">
        <v>5</v>
      </c>
      <c r="F11" s="22">
        <v>0</v>
      </c>
      <c r="G11" s="21">
        <v>12</v>
      </c>
      <c r="H11" s="26">
        <v>18.579999999999998</v>
      </c>
      <c r="I11" s="24">
        <v>100</v>
      </c>
      <c r="J11" s="21" t="s">
        <v>116</v>
      </c>
      <c r="K11" s="24" t="s">
        <v>117</v>
      </c>
      <c r="L11" s="24" t="s">
        <v>789</v>
      </c>
      <c r="M11" s="21">
        <v>5</v>
      </c>
      <c r="N11" s="26">
        <v>0</v>
      </c>
      <c r="O11" s="26"/>
      <c r="Q11" s="1" t="s">
        <v>988</v>
      </c>
    </row>
    <row r="12" spans="1:17" s="1" customFormat="1" ht="12.75" x14ac:dyDescent="0.2">
      <c r="A12" s="1" t="s">
        <v>900</v>
      </c>
      <c r="B12" s="1" t="s">
        <v>901</v>
      </c>
      <c r="C12" s="1" t="s">
        <v>902</v>
      </c>
      <c r="D12" s="1" t="s">
        <v>341</v>
      </c>
      <c r="E12" s="22">
        <v>15</v>
      </c>
      <c r="F12" s="22">
        <v>0</v>
      </c>
      <c r="G12" s="21">
        <v>12</v>
      </c>
      <c r="H12" s="26">
        <v>9.7100000000000009</v>
      </c>
      <c r="I12" s="24">
        <v>100</v>
      </c>
      <c r="J12" s="21" t="s">
        <v>116</v>
      </c>
      <c r="K12" s="24" t="s">
        <v>117</v>
      </c>
      <c r="L12" s="24" t="s">
        <v>789</v>
      </c>
      <c r="M12" s="21">
        <v>15</v>
      </c>
      <c r="N12" s="26">
        <v>0</v>
      </c>
      <c r="O12" s="26"/>
      <c r="Q12" s="1" t="s">
        <v>988</v>
      </c>
    </row>
    <row r="13" spans="1:17" s="1" customFormat="1" ht="12.75" x14ac:dyDescent="0.2">
      <c r="A13" s="1" t="s">
        <v>903</v>
      </c>
      <c r="B13" s="1" t="s">
        <v>904</v>
      </c>
      <c r="C13" s="1" t="s">
        <v>905</v>
      </c>
      <c r="D13" s="1" t="s">
        <v>341</v>
      </c>
      <c r="E13" s="22">
        <v>85</v>
      </c>
      <c r="F13" s="22">
        <v>0</v>
      </c>
      <c r="G13" s="21">
        <v>12</v>
      </c>
      <c r="H13" s="26">
        <v>9.09</v>
      </c>
      <c r="I13" s="24">
        <v>100</v>
      </c>
      <c r="J13" s="21" t="s">
        <v>116</v>
      </c>
      <c r="K13" s="24" t="s">
        <v>117</v>
      </c>
      <c r="L13" s="24" t="s">
        <v>789</v>
      </c>
      <c r="M13" s="21">
        <v>85</v>
      </c>
      <c r="N13" s="26">
        <v>0</v>
      </c>
      <c r="O13" s="26"/>
      <c r="Q13" s="1" t="s">
        <v>988</v>
      </c>
    </row>
    <row r="14" spans="1:17" s="1" customFormat="1" ht="12.75" x14ac:dyDescent="0.2">
      <c r="A14" s="1" t="s">
        <v>909</v>
      </c>
      <c r="B14" s="1" t="s">
        <v>910</v>
      </c>
      <c r="C14" s="1" t="s">
        <v>911</v>
      </c>
      <c r="D14" s="1" t="s">
        <v>341</v>
      </c>
      <c r="E14" s="22">
        <v>40</v>
      </c>
      <c r="F14" s="22">
        <v>0</v>
      </c>
      <c r="G14" s="21">
        <v>12</v>
      </c>
      <c r="H14" s="26">
        <v>12.77</v>
      </c>
      <c r="I14" s="24">
        <v>100</v>
      </c>
      <c r="J14" s="21" t="s">
        <v>116</v>
      </c>
      <c r="K14" s="24" t="s">
        <v>117</v>
      </c>
      <c r="L14" s="24" t="s">
        <v>789</v>
      </c>
      <c r="M14" s="21">
        <v>40</v>
      </c>
      <c r="N14" s="26">
        <v>0</v>
      </c>
      <c r="O14" s="26"/>
      <c r="Q14" s="1" t="s">
        <v>988</v>
      </c>
    </row>
    <row r="15" spans="1:17" s="1" customFormat="1" ht="12.75" x14ac:dyDescent="0.2">
      <c r="A15" s="1" t="s">
        <v>912</v>
      </c>
      <c r="B15" s="1" t="s">
        <v>913</v>
      </c>
      <c r="C15" s="1" t="s">
        <v>914</v>
      </c>
      <c r="D15" s="1" t="s">
        <v>915</v>
      </c>
      <c r="E15" s="22">
        <v>5</v>
      </c>
      <c r="F15" s="22">
        <v>0</v>
      </c>
      <c r="G15" s="21">
        <v>12</v>
      </c>
      <c r="H15" s="26">
        <v>16.73</v>
      </c>
      <c r="I15" s="24">
        <v>100</v>
      </c>
      <c r="J15" s="21" t="s">
        <v>116</v>
      </c>
      <c r="K15" s="24" t="s">
        <v>117</v>
      </c>
      <c r="L15" s="24" t="s">
        <v>789</v>
      </c>
      <c r="M15" s="21">
        <v>5</v>
      </c>
      <c r="N15" s="26">
        <v>0</v>
      </c>
      <c r="O15" s="26"/>
      <c r="Q15" s="1" t="s">
        <v>988</v>
      </c>
    </row>
    <row r="16" spans="1:17" s="1" customFormat="1" ht="12.75" x14ac:dyDescent="0.2">
      <c r="A16" s="1" t="s">
        <v>889</v>
      </c>
      <c r="B16" s="1" t="s">
        <v>890</v>
      </c>
      <c r="C16" s="1" t="s">
        <v>891</v>
      </c>
      <c r="D16" s="1" t="s">
        <v>892</v>
      </c>
      <c r="E16" s="22">
        <v>10</v>
      </c>
      <c r="F16" s="22">
        <v>0</v>
      </c>
      <c r="G16" s="21">
        <v>15</v>
      </c>
      <c r="H16" s="26">
        <v>57.95</v>
      </c>
      <c r="I16" s="24">
        <v>25</v>
      </c>
      <c r="J16" s="21" t="s">
        <v>116</v>
      </c>
      <c r="K16" s="24" t="s">
        <v>117</v>
      </c>
      <c r="L16" s="24" t="s">
        <v>789</v>
      </c>
      <c r="M16" s="21">
        <v>10</v>
      </c>
      <c r="N16" s="26">
        <v>0</v>
      </c>
      <c r="O16" s="26"/>
      <c r="Q16" s="1" t="s">
        <v>988</v>
      </c>
    </row>
    <row r="17" spans="1:17" s="1" customFormat="1" ht="12.75" x14ac:dyDescent="0.2">
      <c r="A17" s="1" t="s">
        <v>906</v>
      </c>
      <c r="B17" s="1" t="s">
        <v>907</v>
      </c>
      <c r="C17" s="1" t="s">
        <v>908</v>
      </c>
      <c r="D17" s="1" t="s">
        <v>892</v>
      </c>
      <c r="E17" s="22">
        <v>15</v>
      </c>
      <c r="F17" s="22">
        <v>0</v>
      </c>
      <c r="G17" s="21">
        <v>15</v>
      </c>
      <c r="H17" s="26">
        <v>68.97</v>
      </c>
      <c r="I17" s="24">
        <v>25</v>
      </c>
      <c r="J17" s="21" t="s">
        <v>116</v>
      </c>
      <c r="K17" s="24" t="s">
        <v>117</v>
      </c>
      <c r="L17" s="24" t="s">
        <v>789</v>
      </c>
      <c r="M17" s="21">
        <v>15</v>
      </c>
      <c r="N17" s="26">
        <v>0</v>
      </c>
      <c r="O17" s="26"/>
      <c r="Q17" s="1" t="s">
        <v>988</v>
      </c>
    </row>
    <row r="18" spans="1:17" s="1" customFormat="1" ht="12.75" x14ac:dyDescent="0.2">
      <c r="A18" s="1" t="s">
        <v>799</v>
      </c>
      <c r="B18" s="1" t="s">
        <v>800</v>
      </c>
      <c r="C18" s="1" t="s">
        <v>801</v>
      </c>
      <c r="D18" s="1" t="s">
        <v>802</v>
      </c>
      <c r="E18" s="22">
        <v>15</v>
      </c>
      <c r="F18" s="22">
        <v>0</v>
      </c>
      <c r="G18" s="21">
        <v>0</v>
      </c>
      <c r="H18" s="26">
        <v>0</v>
      </c>
      <c r="I18" s="24">
        <v>0</v>
      </c>
      <c r="J18" s="21" t="s">
        <v>116</v>
      </c>
      <c r="K18" s="24" t="s">
        <v>117</v>
      </c>
      <c r="L18" s="24" t="s">
        <v>789</v>
      </c>
      <c r="M18" s="21">
        <v>15</v>
      </c>
      <c r="N18" s="26">
        <v>0</v>
      </c>
      <c r="O18" s="26"/>
      <c r="Q18" s="1" t="s">
        <v>990</v>
      </c>
    </row>
    <row r="19" spans="1:17" s="1" customFormat="1" ht="12.75" x14ac:dyDescent="0.2">
      <c r="A19" s="1" t="s">
        <v>844</v>
      </c>
      <c r="B19" s="1" t="s">
        <v>845</v>
      </c>
      <c r="C19" s="1" t="s">
        <v>846</v>
      </c>
      <c r="D19" s="1" t="s">
        <v>98</v>
      </c>
      <c r="E19" s="22">
        <v>375</v>
      </c>
      <c r="F19" s="22">
        <v>0</v>
      </c>
      <c r="G19" s="21">
        <v>0</v>
      </c>
      <c r="H19" s="26">
        <v>0</v>
      </c>
      <c r="I19" s="24">
        <v>0</v>
      </c>
      <c r="J19" s="21" t="s">
        <v>116</v>
      </c>
      <c r="K19" s="24" t="s">
        <v>117</v>
      </c>
      <c r="L19" s="24" t="s">
        <v>789</v>
      </c>
      <c r="M19" s="21">
        <v>375</v>
      </c>
      <c r="N19" s="26">
        <v>0</v>
      </c>
      <c r="O19" s="26"/>
      <c r="Q19" s="1" t="s">
        <v>990</v>
      </c>
    </row>
    <row r="20" spans="1:17" s="1" customFormat="1" ht="12.75" x14ac:dyDescent="0.2">
      <c r="A20" s="1" t="s">
        <v>786</v>
      </c>
      <c r="B20" s="1" t="s">
        <v>787</v>
      </c>
      <c r="C20" s="1" t="s">
        <v>788</v>
      </c>
      <c r="D20" s="1" t="s">
        <v>188</v>
      </c>
      <c r="E20" s="22">
        <v>35</v>
      </c>
      <c r="F20" s="22">
        <v>0</v>
      </c>
      <c r="G20" s="21">
        <v>0</v>
      </c>
      <c r="H20" s="26">
        <v>0</v>
      </c>
      <c r="I20" s="24">
        <v>0</v>
      </c>
      <c r="J20" s="21" t="s">
        <v>116</v>
      </c>
      <c r="K20" s="24" t="s">
        <v>117</v>
      </c>
      <c r="L20" s="24" t="s">
        <v>789</v>
      </c>
      <c r="M20" s="21">
        <v>35</v>
      </c>
      <c r="N20" s="26">
        <v>0</v>
      </c>
      <c r="O20" s="26"/>
      <c r="Q20" s="1" t="s">
        <v>990</v>
      </c>
    </row>
    <row r="21" spans="1:17" s="1" customFormat="1" ht="12.75" x14ac:dyDescent="0.2">
      <c r="A21" s="1" t="s">
        <v>790</v>
      </c>
      <c r="B21" s="1" t="s">
        <v>791</v>
      </c>
      <c r="C21" s="1" t="s">
        <v>792</v>
      </c>
      <c r="D21" s="1" t="s">
        <v>188</v>
      </c>
      <c r="E21" s="22">
        <v>10</v>
      </c>
      <c r="F21" s="22">
        <v>0</v>
      </c>
      <c r="G21" s="21">
        <v>0</v>
      </c>
      <c r="H21" s="26">
        <v>0</v>
      </c>
      <c r="I21" s="24">
        <v>0</v>
      </c>
      <c r="J21" s="21" t="s">
        <v>116</v>
      </c>
      <c r="K21" s="24" t="s">
        <v>117</v>
      </c>
      <c r="L21" s="24" t="s">
        <v>789</v>
      </c>
      <c r="M21" s="21">
        <v>10</v>
      </c>
      <c r="N21" s="26">
        <v>0</v>
      </c>
      <c r="O21" s="26"/>
      <c r="Q21" s="1" t="s">
        <v>990</v>
      </c>
    </row>
    <row r="22" spans="1:17" s="1" customFormat="1" ht="12.75" x14ac:dyDescent="0.2">
      <c r="A22" s="1" t="s">
        <v>793</v>
      </c>
      <c r="B22" s="1" t="s">
        <v>794</v>
      </c>
      <c r="C22" s="1" t="s">
        <v>795</v>
      </c>
      <c r="D22" s="1" t="s">
        <v>188</v>
      </c>
      <c r="E22" s="22">
        <v>10</v>
      </c>
      <c r="F22" s="22">
        <v>0</v>
      </c>
      <c r="G22" s="21">
        <v>0</v>
      </c>
      <c r="H22" s="26">
        <v>0</v>
      </c>
      <c r="I22" s="24">
        <v>0</v>
      </c>
      <c r="J22" s="21" t="s">
        <v>116</v>
      </c>
      <c r="K22" s="24" t="s">
        <v>117</v>
      </c>
      <c r="L22" s="24" t="s">
        <v>789</v>
      </c>
      <c r="M22" s="21">
        <v>10</v>
      </c>
      <c r="N22" s="26">
        <v>0</v>
      </c>
      <c r="O22" s="26"/>
      <c r="Q22" s="1" t="s">
        <v>990</v>
      </c>
    </row>
    <row r="23" spans="1:17" s="1" customFormat="1" ht="12.75" x14ac:dyDescent="0.2">
      <c r="A23" s="1" t="s">
        <v>796</v>
      </c>
      <c r="B23" s="1" t="s">
        <v>797</v>
      </c>
      <c r="C23" s="1" t="s">
        <v>798</v>
      </c>
      <c r="D23" s="1" t="s">
        <v>188</v>
      </c>
      <c r="E23" s="22">
        <v>930</v>
      </c>
      <c r="F23" s="22">
        <v>0</v>
      </c>
      <c r="G23" s="21">
        <v>0</v>
      </c>
      <c r="H23" s="26">
        <v>0</v>
      </c>
      <c r="I23" s="24">
        <v>0</v>
      </c>
      <c r="J23" s="21" t="s">
        <v>116</v>
      </c>
      <c r="K23" s="24" t="s">
        <v>117</v>
      </c>
      <c r="L23" s="24" t="s">
        <v>789</v>
      </c>
      <c r="M23" s="21">
        <v>930</v>
      </c>
      <c r="N23" s="26">
        <v>0</v>
      </c>
      <c r="O23" s="26"/>
      <c r="Q23" s="1" t="s">
        <v>990</v>
      </c>
    </row>
    <row r="24" spans="1:17" s="1" customFormat="1" ht="12.75" x14ac:dyDescent="0.2">
      <c r="A24" s="1" t="s">
        <v>803</v>
      </c>
      <c r="B24" s="1" t="s">
        <v>804</v>
      </c>
      <c r="C24" s="1" t="s">
        <v>805</v>
      </c>
      <c r="D24" s="1" t="s">
        <v>188</v>
      </c>
      <c r="E24" s="22">
        <v>235</v>
      </c>
      <c r="F24" s="22">
        <v>0</v>
      </c>
      <c r="G24" s="21">
        <v>0</v>
      </c>
      <c r="H24" s="26">
        <v>0</v>
      </c>
      <c r="I24" s="24">
        <v>0</v>
      </c>
      <c r="J24" s="21" t="s">
        <v>116</v>
      </c>
      <c r="K24" s="24" t="s">
        <v>117</v>
      </c>
      <c r="L24" s="24" t="s">
        <v>789</v>
      </c>
      <c r="M24" s="21">
        <v>235</v>
      </c>
      <c r="N24" s="26">
        <v>0</v>
      </c>
      <c r="O24" s="26"/>
      <c r="Q24" s="1" t="s">
        <v>990</v>
      </c>
    </row>
    <row r="25" spans="1:17" s="1" customFormat="1" ht="12.75" x14ac:dyDescent="0.2">
      <c r="A25" s="1" t="s">
        <v>827</v>
      </c>
      <c r="B25" s="1" t="s">
        <v>828</v>
      </c>
      <c r="C25" s="1" t="s">
        <v>829</v>
      </c>
      <c r="D25" s="1" t="s">
        <v>188</v>
      </c>
      <c r="E25" s="22">
        <v>15</v>
      </c>
      <c r="F25" s="22">
        <v>0</v>
      </c>
      <c r="G25" s="21">
        <v>0</v>
      </c>
      <c r="H25" s="26">
        <v>0</v>
      </c>
      <c r="I25" s="24">
        <v>0</v>
      </c>
      <c r="J25" s="21" t="s">
        <v>116</v>
      </c>
      <c r="K25" s="24" t="s">
        <v>117</v>
      </c>
      <c r="L25" s="24" t="s">
        <v>789</v>
      </c>
      <c r="M25" s="21">
        <v>15</v>
      </c>
      <c r="N25" s="26">
        <v>0</v>
      </c>
      <c r="O25" s="26"/>
      <c r="Q25" s="1" t="s">
        <v>990</v>
      </c>
    </row>
    <row r="26" spans="1:17" s="1" customFormat="1" ht="12.75" x14ac:dyDescent="0.2">
      <c r="A26" s="27" t="s">
        <v>920</v>
      </c>
      <c r="B26" s="27" t="s">
        <v>921</v>
      </c>
      <c r="C26" s="28" t="s">
        <v>922</v>
      </c>
      <c r="D26" s="28" t="s">
        <v>922</v>
      </c>
      <c r="E26" s="22">
        <v>60</v>
      </c>
      <c r="F26" s="22">
        <v>0</v>
      </c>
      <c r="G26" s="21">
        <v>0</v>
      </c>
      <c r="H26" s="26">
        <v>0</v>
      </c>
      <c r="I26" s="24">
        <v>0</v>
      </c>
      <c r="J26" s="21" t="s">
        <v>116</v>
      </c>
      <c r="K26" s="24" t="s">
        <v>117</v>
      </c>
      <c r="L26" s="24" t="s">
        <v>789</v>
      </c>
      <c r="M26" s="21">
        <v>60</v>
      </c>
      <c r="N26" s="26">
        <v>0</v>
      </c>
      <c r="O26" s="26"/>
      <c r="P26" s="27" t="s">
        <v>923</v>
      </c>
      <c r="Q26" s="1" t="s">
        <v>990</v>
      </c>
    </row>
    <row r="27" spans="1:17" s="1" customFormat="1" ht="12.75" x14ac:dyDescent="0.2">
      <c r="A27" s="27" t="s">
        <v>928</v>
      </c>
      <c r="B27" s="27" t="s">
        <v>929</v>
      </c>
      <c r="C27" s="28" t="s">
        <v>930</v>
      </c>
      <c r="D27" s="28" t="s">
        <v>930</v>
      </c>
      <c r="E27" s="22">
        <v>20</v>
      </c>
      <c r="F27" s="22">
        <v>0</v>
      </c>
      <c r="G27" s="21">
        <v>0</v>
      </c>
      <c r="H27" s="26">
        <v>0</v>
      </c>
      <c r="I27" s="24">
        <v>0</v>
      </c>
      <c r="J27" s="21" t="s">
        <v>116</v>
      </c>
      <c r="K27" s="24" t="s">
        <v>117</v>
      </c>
      <c r="L27" s="24" t="s">
        <v>789</v>
      </c>
      <c r="M27" s="21">
        <v>20</v>
      </c>
      <c r="N27" s="26">
        <v>0</v>
      </c>
      <c r="O27" s="26"/>
      <c r="P27" s="27" t="s">
        <v>927</v>
      </c>
      <c r="Q27" s="1" t="s">
        <v>990</v>
      </c>
    </row>
    <row r="28" spans="1:17" s="1" customFormat="1" ht="12.75" x14ac:dyDescent="0.2">
      <c r="A28" s="1" t="s">
        <v>940</v>
      </c>
      <c r="B28" s="1" t="s">
        <v>941</v>
      </c>
      <c r="C28" s="1" t="s">
        <v>930</v>
      </c>
      <c r="D28" s="1" t="s">
        <v>930</v>
      </c>
      <c r="E28" s="22">
        <v>20</v>
      </c>
      <c r="F28" s="22">
        <v>0</v>
      </c>
      <c r="G28" s="21">
        <v>0</v>
      </c>
      <c r="H28" s="26">
        <v>0</v>
      </c>
      <c r="I28" s="24">
        <v>0</v>
      </c>
      <c r="J28" s="21" t="s">
        <v>116</v>
      </c>
      <c r="K28" s="24" t="s">
        <v>117</v>
      </c>
      <c r="L28" s="24" t="s">
        <v>789</v>
      </c>
      <c r="M28" s="21">
        <v>430</v>
      </c>
      <c r="N28" s="26">
        <v>0</v>
      </c>
      <c r="O28" s="26"/>
      <c r="P28" s="27" t="s">
        <v>927</v>
      </c>
      <c r="Q28" s="1" t="s">
        <v>990</v>
      </c>
    </row>
    <row r="29" spans="1:17" s="1" customFormat="1" ht="12.75" x14ac:dyDescent="0.2">
      <c r="A29" s="1" t="s">
        <v>837</v>
      </c>
      <c r="B29" s="1" t="s">
        <v>838</v>
      </c>
      <c r="C29" s="1" t="s">
        <v>839</v>
      </c>
      <c r="D29" s="1" t="s">
        <v>840</v>
      </c>
      <c r="E29" s="22">
        <v>50</v>
      </c>
      <c r="F29" s="22">
        <v>0</v>
      </c>
      <c r="G29" s="21">
        <v>10</v>
      </c>
      <c r="H29" s="23">
        <v>7.06</v>
      </c>
      <c r="I29" s="24">
        <v>50</v>
      </c>
      <c r="J29" s="21" t="s">
        <v>116</v>
      </c>
      <c r="K29" s="24" t="s">
        <v>23</v>
      </c>
      <c r="L29" s="24" t="s">
        <v>789</v>
      </c>
      <c r="M29" s="21">
        <v>50</v>
      </c>
      <c r="N29" s="26">
        <v>0</v>
      </c>
      <c r="O29" s="26"/>
      <c r="P29" s="29"/>
      <c r="Q29" s="1" t="s">
        <v>988</v>
      </c>
    </row>
    <row r="30" spans="1:17" s="1" customFormat="1" ht="12.75" x14ac:dyDescent="0.2">
      <c r="A30" s="1" t="s">
        <v>841</v>
      </c>
      <c r="B30" s="1" t="s">
        <v>842</v>
      </c>
      <c r="C30" s="1" t="s">
        <v>843</v>
      </c>
      <c r="D30" s="1" t="s">
        <v>840</v>
      </c>
      <c r="E30" s="22">
        <v>235</v>
      </c>
      <c r="F30" s="22">
        <v>0</v>
      </c>
      <c r="G30" s="21">
        <v>10</v>
      </c>
      <c r="H30" s="23">
        <v>47.26</v>
      </c>
      <c r="I30" s="24">
        <v>235</v>
      </c>
      <c r="J30" s="21" t="s">
        <v>116</v>
      </c>
      <c r="K30" s="24" t="s">
        <v>23</v>
      </c>
      <c r="L30" s="24" t="s">
        <v>789</v>
      </c>
      <c r="M30" s="21">
        <v>235</v>
      </c>
      <c r="N30" s="26">
        <v>0</v>
      </c>
      <c r="O30" s="26"/>
      <c r="P30" s="29"/>
      <c r="Q30" s="1" t="s">
        <v>988</v>
      </c>
    </row>
    <row r="31" spans="1:17" s="1" customFormat="1" ht="12.75" x14ac:dyDescent="0.2">
      <c r="A31" s="1" t="s">
        <v>847</v>
      </c>
      <c r="B31" s="1" t="s">
        <v>848</v>
      </c>
      <c r="C31" s="1" t="s">
        <v>849</v>
      </c>
      <c r="D31" s="1" t="s">
        <v>840</v>
      </c>
      <c r="E31" s="22">
        <v>20</v>
      </c>
      <c r="F31" s="22">
        <v>0</v>
      </c>
      <c r="G31" s="21">
        <v>10</v>
      </c>
      <c r="H31" s="23">
        <v>90.12</v>
      </c>
      <c r="I31" s="24">
        <v>50</v>
      </c>
      <c r="J31" s="21" t="s">
        <v>116</v>
      </c>
      <c r="K31" s="24" t="s">
        <v>23</v>
      </c>
      <c r="L31" s="24" t="s">
        <v>789</v>
      </c>
      <c r="M31" s="21">
        <v>20</v>
      </c>
      <c r="N31" s="26">
        <v>0</v>
      </c>
      <c r="O31" s="26"/>
      <c r="P31" s="29"/>
      <c r="Q31" s="1" t="s">
        <v>988</v>
      </c>
    </row>
    <row r="32" spans="1:17" s="1" customFormat="1" ht="12.75" x14ac:dyDescent="0.2">
      <c r="A32" s="1" t="s">
        <v>850</v>
      </c>
      <c r="B32" s="1" t="s">
        <v>851</v>
      </c>
      <c r="C32" s="1" t="s">
        <v>852</v>
      </c>
      <c r="D32" s="1" t="s">
        <v>840</v>
      </c>
      <c r="E32" s="22">
        <v>5</v>
      </c>
      <c r="F32" s="22">
        <v>0</v>
      </c>
      <c r="G32" s="21">
        <v>10</v>
      </c>
      <c r="H32" s="26">
        <v>14.77</v>
      </c>
      <c r="I32" s="24">
        <v>50</v>
      </c>
      <c r="J32" s="21" t="s">
        <v>116</v>
      </c>
      <c r="K32" s="24" t="s">
        <v>23</v>
      </c>
      <c r="L32" s="24" t="s">
        <v>789</v>
      </c>
      <c r="M32" s="21">
        <v>5</v>
      </c>
      <c r="N32" s="26">
        <v>0</v>
      </c>
      <c r="O32" s="26"/>
      <c r="Q32" s="1" t="s">
        <v>990</v>
      </c>
    </row>
    <row r="33" spans="1:17" s="1" customFormat="1" ht="12.75" x14ac:dyDescent="0.2">
      <c r="A33" s="1" t="s">
        <v>854</v>
      </c>
      <c r="B33" s="1" t="s">
        <v>855</v>
      </c>
      <c r="C33" s="1" t="s">
        <v>856</v>
      </c>
      <c r="D33" s="1" t="s">
        <v>840</v>
      </c>
      <c r="E33" s="22">
        <v>180</v>
      </c>
      <c r="F33" s="22">
        <v>0</v>
      </c>
      <c r="G33" s="21">
        <v>10</v>
      </c>
      <c r="H33" s="26">
        <v>17.86</v>
      </c>
      <c r="I33" s="24">
        <v>180</v>
      </c>
      <c r="J33" s="21" t="s">
        <v>116</v>
      </c>
      <c r="K33" s="24" t="s">
        <v>23</v>
      </c>
      <c r="L33" s="24" t="s">
        <v>789</v>
      </c>
      <c r="M33" s="21">
        <v>180</v>
      </c>
      <c r="N33" s="26">
        <v>0</v>
      </c>
      <c r="O33" s="26"/>
      <c r="Q33" s="1" t="s">
        <v>988</v>
      </c>
    </row>
    <row r="34" spans="1:17" s="1" customFormat="1" ht="12.75" x14ac:dyDescent="0.2">
      <c r="A34" s="1" t="s">
        <v>857</v>
      </c>
      <c r="B34" s="1" t="s">
        <v>858</v>
      </c>
      <c r="C34" s="1" t="s">
        <v>859</v>
      </c>
      <c r="D34" s="1" t="s">
        <v>840</v>
      </c>
      <c r="E34" s="22">
        <v>205</v>
      </c>
      <c r="F34" s="22">
        <v>0</v>
      </c>
      <c r="G34" s="21">
        <v>12</v>
      </c>
      <c r="H34" s="26">
        <v>219.91</v>
      </c>
      <c r="I34" s="24">
        <v>205</v>
      </c>
      <c r="J34" s="21" t="s">
        <v>116</v>
      </c>
      <c r="K34" s="24" t="s">
        <v>23</v>
      </c>
      <c r="L34" s="24" t="s">
        <v>789</v>
      </c>
      <c r="M34" s="21">
        <v>205</v>
      </c>
      <c r="N34" s="26">
        <v>0</v>
      </c>
      <c r="O34" s="26"/>
      <c r="Q34" s="1" t="s">
        <v>988</v>
      </c>
    </row>
    <row r="35" spans="1:17" s="1" customFormat="1" ht="12.75" x14ac:dyDescent="0.2">
      <c r="A35" s="1" t="s">
        <v>860</v>
      </c>
      <c r="B35" s="1" t="s">
        <v>861</v>
      </c>
      <c r="C35" s="1" t="s">
        <v>862</v>
      </c>
      <c r="D35" s="1" t="s">
        <v>840</v>
      </c>
      <c r="E35" s="22">
        <v>230</v>
      </c>
      <c r="F35" s="22">
        <v>0</v>
      </c>
      <c r="G35" s="21">
        <v>10</v>
      </c>
      <c r="H35" s="26">
        <v>28.75</v>
      </c>
      <c r="I35" s="24">
        <v>230</v>
      </c>
      <c r="J35" s="21" t="s">
        <v>116</v>
      </c>
      <c r="K35" s="24" t="s">
        <v>23</v>
      </c>
      <c r="L35" s="24" t="s">
        <v>789</v>
      </c>
      <c r="M35" s="21">
        <v>230</v>
      </c>
      <c r="N35" s="26">
        <v>0</v>
      </c>
      <c r="O35" s="26"/>
      <c r="Q35" s="1" t="s">
        <v>988</v>
      </c>
    </row>
    <row r="36" spans="1:17" s="1" customFormat="1" ht="12.75" x14ac:dyDescent="0.2">
      <c r="A36" s="1" t="s">
        <v>863</v>
      </c>
      <c r="B36" s="1" t="s">
        <v>864</v>
      </c>
      <c r="C36" s="1" t="s">
        <v>865</v>
      </c>
      <c r="D36" s="1" t="s">
        <v>840</v>
      </c>
      <c r="E36" s="22">
        <v>230</v>
      </c>
      <c r="F36" s="22">
        <v>0</v>
      </c>
      <c r="G36" s="21">
        <v>10</v>
      </c>
      <c r="H36" s="26">
        <v>39.880000000000003</v>
      </c>
      <c r="I36" s="24">
        <v>230</v>
      </c>
      <c r="J36" s="21" t="s">
        <v>116</v>
      </c>
      <c r="K36" s="24" t="s">
        <v>23</v>
      </c>
      <c r="L36" s="24" t="s">
        <v>789</v>
      </c>
      <c r="M36" s="21">
        <v>230</v>
      </c>
      <c r="N36" s="26">
        <v>0</v>
      </c>
      <c r="O36" s="26"/>
      <c r="Q36" s="1" t="s">
        <v>988</v>
      </c>
    </row>
    <row r="37" spans="1:17" s="1" customFormat="1" ht="12.75" x14ac:dyDescent="0.2">
      <c r="A37" s="1" t="s">
        <v>866</v>
      </c>
      <c r="B37" s="1" t="s">
        <v>867</v>
      </c>
      <c r="C37" s="1" t="s">
        <v>868</v>
      </c>
      <c r="D37" s="1" t="s">
        <v>840</v>
      </c>
      <c r="E37" s="22">
        <v>230</v>
      </c>
      <c r="F37" s="22">
        <v>0</v>
      </c>
      <c r="G37" s="21">
        <v>10</v>
      </c>
      <c r="H37" s="26">
        <v>47.28</v>
      </c>
      <c r="I37" s="24">
        <v>230</v>
      </c>
      <c r="J37" s="21" t="s">
        <v>116</v>
      </c>
      <c r="K37" s="24" t="s">
        <v>23</v>
      </c>
      <c r="L37" s="24" t="s">
        <v>789</v>
      </c>
      <c r="M37" s="21">
        <v>230</v>
      </c>
      <c r="N37" s="26">
        <v>0</v>
      </c>
      <c r="O37" s="26"/>
      <c r="Q37" s="1" t="s">
        <v>988</v>
      </c>
    </row>
    <row r="38" spans="1:17" s="1" customFormat="1" ht="12.75" x14ac:dyDescent="0.2">
      <c r="A38" s="1" t="s">
        <v>869</v>
      </c>
      <c r="B38" s="1" t="s">
        <v>870</v>
      </c>
      <c r="C38" s="1" t="s">
        <v>871</v>
      </c>
      <c r="D38" s="1" t="s">
        <v>840</v>
      </c>
      <c r="E38" s="22">
        <v>230</v>
      </c>
      <c r="F38" s="22">
        <v>0</v>
      </c>
      <c r="G38" s="21">
        <v>10</v>
      </c>
      <c r="H38" s="26">
        <v>25.12</v>
      </c>
      <c r="I38" s="24">
        <v>230</v>
      </c>
      <c r="J38" s="21" t="s">
        <v>116</v>
      </c>
      <c r="K38" s="24" t="s">
        <v>23</v>
      </c>
      <c r="L38" s="24" t="s">
        <v>789</v>
      </c>
      <c r="M38" s="21">
        <v>230</v>
      </c>
      <c r="N38" s="26">
        <v>0</v>
      </c>
      <c r="O38" s="26"/>
      <c r="Q38" s="1" t="s">
        <v>988</v>
      </c>
    </row>
    <row r="39" spans="1:17" s="1" customFormat="1" ht="12.75" x14ac:dyDescent="0.2">
      <c r="A39" s="1" t="s">
        <v>872</v>
      </c>
      <c r="B39" s="1" t="s">
        <v>873</v>
      </c>
      <c r="C39" s="1" t="s">
        <v>874</v>
      </c>
      <c r="D39" s="1" t="s">
        <v>840</v>
      </c>
      <c r="E39" s="22">
        <v>230</v>
      </c>
      <c r="F39" s="22">
        <v>0</v>
      </c>
      <c r="G39" s="21">
        <v>10</v>
      </c>
      <c r="H39" s="26">
        <v>34.99</v>
      </c>
      <c r="I39" s="24">
        <v>230</v>
      </c>
      <c r="J39" s="21" t="s">
        <v>116</v>
      </c>
      <c r="K39" s="24" t="s">
        <v>23</v>
      </c>
      <c r="L39" s="24" t="s">
        <v>789</v>
      </c>
      <c r="M39" s="21">
        <v>230</v>
      </c>
      <c r="N39" s="26">
        <v>0</v>
      </c>
      <c r="O39" s="26"/>
      <c r="Q39" s="1" t="s">
        <v>988</v>
      </c>
    </row>
    <row r="40" spans="1:17" s="1" customFormat="1" ht="12.75" x14ac:dyDescent="0.2">
      <c r="A40" s="1" t="s">
        <v>875</v>
      </c>
      <c r="B40" s="1" t="s">
        <v>876</v>
      </c>
      <c r="C40" s="1" t="s">
        <v>877</v>
      </c>
      <c r="D40" s="1" t="s">
        <v>840</v>
      </c>
      <c r="E40" s="22">
        <v>230</v>
      </c>
      <c r="F40" s="22">
        <v>0</v>
      </c>
      <c r="G40" s="21">
        <v>10</v>
      </c>
      <c r="H40" s="26">
        <v>32.549999999999997</v>
      </c>
      <c r="I40" s="24">
        <v>230</v>
      </c>
      <c r="J40" s="21" t="s">
        <v>116</v>
      </c>
      <c r="K40" s="24" t="s">
        <v>23</v>
      </c>
      <c r="L40" s="24" t="s">
        <v>789</v>
      </c>
      <c r="M40" s="21">
        <v>230</v>
      </c>
      <c r="N40" s="26">
        <v>0</v>
      </c>
      <c r="O40" s="26"/>
      <c r="Q40" s="1" t="s">
        <v>988</v>
      </c>
    </row>
    <row r="41" spans="1:17" s="1" customFormat="1" ht="12.75" x14ac:dyDescent="0.2">
      <c r="A41" s="1" t="s">
        <v>937</v>
      </c>
      <c r="B41" s="1" t="s">
        <v>938</v>
      </c>
      <c r="C41" s="1" t="s">
        <v>939</v>
      </c>
      <c r="D41" s="1" t="s">
        <v>443</v>
      </c>
      <c r="E41" s="22">
        <v>140</v>
      </c>
      <c r="F41" s="22">
        <v>0</v>
      </c>
      <c r="G41" s="21">
        <v>0</v>
      </c>
      <c r="H41" s="26">
        <v>2.94</v>
      </c>
      <c r="I41" s="24">
        <v>5000</v>
      </c>
      <c r="J41" s="21" t="s">
        <v>116</v>
      </c>
      <c r="K41" s="24" t="s">
        <v>117</v>
      </c>
      <c r="L41" s="24" t="s">
        <v>789</v>
      </c>
      <c r="M41" s="21">
        <v>140</v>
      </c>
      <c r="N41" s="26">
        <v>0</v>
      </c>
      <c r="O41" s="26"/>
      <c r="Q41" s="1" t="s">
        <v>988</v>
      </c>
    </row>
    <row r="42" spans="1:17" s="1" customFormat="1" ht="12.75" x14ac:dyDescent="0.2">
      <c r="A42" s="1" t="s">
        <v>931</v>
      </c>
      <c r="B42" s="1" t="s">
        <v>932</v>
      </c>
      <c r="C42" s="1" t="s">
        <v>933</v>
      </c>
      <c r="D42" s="1" t="s">
        <v>348</v>
      </c>
      <c r="E42" s="22">
        <v>425</v>
      </c>
      <c r="F42" s="22">
        <v>0</v>
      </c>
      <c r="G42" s="21">
        <v>14</v>
      </c>
      <c r="H42" s="26">
        <v>2.09</v>
      </c>
      <c r="I42" s="24">
        <v>354</v>
      </c>
      <c r="J42" s="21" t="s">
        <v>116</v>
      </c>
      <c r="K42" s="24" t="s">
        <v>117</v>
      </c>
      <c r="L42" s="24" t="s">
        <v>789</v>
      </c>
      <c r="M42" s="21">
        <v>425</v>
      </c>
      <c r="N42" s="26">
        <v>0</v>
      </c>
      <c r="O42" s="26"/>
      <c r="Q42" s="1" t="s">
        <v>988</v>
      </c>
    </row>
    <row r="43" spans="1:17" s="1" customFormat="1" ht="12.75" x14ac:dyDescent="0.2">
      <c r="A43" s="1" t="s">
        <v>934</v>
      </c>
      <c r="B43" s="1" t="s">
        <v>935</v>
      </c>
      <c r="C43" s="1" t="s">
        <v>936</v>
      </c>
      <c r="D43" s="1" t="s">
        <v>348</v>
      </c>
      <c r="E43" s="22">
        <v>10</v>
      </c>
      <c r="F43" s="22">
        <v>0</v>
      </c>
      <c r="G43" s="21">
        <v>14</v>
      </c>
      <c r="H43" s="26">
        <v>1.83</v>
      </c>
      <c r="I43" s="24">
        <v>436</v>
      </c>
      <c r="J43" s="21" t="s">
        <v>116</v>
      </c>
      <c r="K43" s="24" t="s">
        <v>117</v>
      </c>
      <c r="L43" s="24" t="s">
        <v>789</v>
      </c>
      <c r="M43" s="21">
        <v>10</v>
      </c>
      <c r="N43" s="26">
        <v>0</v>
      </c>
      <c r="O43" s="26"/>
      <c r="Q43" s="1" t="s">
        <v>988</v>
      </c>
    </row>
    <row r="44" spans="1:17" s="1" customFormat="1" ht="12.75" x14ac:dyDescent="0.2">
      <c r="A44" s="1" t="s">
        <v>878</v>
      </c>
      <c r="B44" s="1" t="s">
        <v>879</v>
      </c>
      <c r="C44" s="1" t="s">
        <v>880</v>
      </c>
      <c r="D44" s="1" t="s">
        <v>881</v>
      </c>
      <c r="E44" s="22">
        <v>5</v>
      </c>
      <c r="F44" s="22">
        <v>0</v>
      </c>
      <c r="G44" s="21">
        <v>16</v>
      </c>
      <c r="H44" s="26">
        <v>343</v>
      </c>
      <c r="I44" s="24">
        <v>5</v>
      </c>
      <c r="J44" s="21" t="s">
        <v>116</v>
      </c>
      <c r="K44" s="24" t="s">
        <v>117</v>
      </c>
      <c r="L44" s="24" t="s">
        <v>789</v>
      </c>
      <c r="M44" s="21">
        <v>5</v>
      </c>
      <c r="N44" s="26">
        <v>0</v>
      </c>
      <c r="O44" s="26"/>
      <c r="Q44" s="1" t="s">
        <v>988</v>
      </c>
    </row>
    <row r="45" spans="1:17" s="1" customFormat="1" ht="12.75" x14ac:dyDescent="0.2">
      <c r="A45" s="1" t="s">
        <v>882</v>
      </c>
      <c r="B45" s="1" t="s">
        <v>883</v>
      </c>
      <c r="C45" s="1" t="s">
        <v>884</v>
      </c>
      <c r="D45" s="1" t="s">
        <v>881</v>
      </c>
      <c r="E45" s="22">
        <v>5</v>
      </c>
      <c r="F45" s="22">
        <v>0</v>
      </c>
      <c r="G45" s="21">
        <v>16</v>
      </c>
      <c r="H45" s="26">
        <v>829</v>
      </c>
      <c r="I45" s="24">
        <v>5</v>
      </c>
      <c r="J45" s="21" t="s">
        <v>116</v>
      </c>
      <c r="K45" s="24" t="s">
        <v>117</v>
      </c>
      <c r="L45" s="24" t="s">
        <v>789</v>
      </c>
      <c r="M45" s="21">
        <v>5</v>
      </c>
      <c r="N45" s="26">
        <v>0</v>
      </c>
      <c r="O45" s="26"/>
      <c r="Q45" s="1" t="s">
        <v>988</v>
      </c>
    </row>
    <row r="46" spans="1:17" s="1" customFormat="1" ht="12.75" x14ac:dyDescent="0.2">
      <c r="A46" s="1" t="s">
        <v>824</v>
      </c>
      <c r="B46" s="1" t="s">
        <v>825</v>
      </c>
      <c r="C46" s="1" t="s">
        <v>826</v>
      </c>
      <c r="D46" s="1" t="s">
        <v>374</v>
      </c>
      <c r="E46" s="22">
        <v>10</v>
      </c>
      <c r="F46" s="22">
        <v>0</v>
      </c>
      <c r="G46" s="21">
        <v>0</v>
      </c>
      <c r="H46" s="26">
        <v>0</v>
      </c>
      <c r="I46" s="24">
        <v>0</v>
      </c>
      <c r="J46" s="21" t="s">
        <v>116</v>
      </c>
      <c r="K46" s="24" t="s">
        <v>117</v>
      </c>
      <c r="L46" s="24" t="s">
        <v>789</v>
      </c>
      <c r="M46" s="21">
        <v>10</v>
      </c>
      <c r="N46" s="26">
        <v>0</v>
      </c>
      <c r="O46" s="26"/>
      <c r="Q46" s="1" t="s">
        <v>990</v>
      </c>
    </row>
    <row r="47" spans="1:17" s="1" customFormat="1" ht="12.75" x14ac:dyDescent="0.2">
      <c r="A47" s="1" t="s">
        <v>833</v>
      </c>
      <c r="B47" s="1" t="s">
        <v>834</v>
      </c>
      <c r="C47" s="1" t="s">
        <v>835</v>
      </c>
      <c r="D47" s="1" t="s">
        <v>836</v>
      </c>
      <c r="E47" s="22">
        <v>5</v>
      </c>
      <c r="F47" s="22">
        <v>0</v>
      </c>
      <c r="G47" s="21">
        <v>0</v>
      </c>
      <c r="H47" s="26">
        <v>0</v>
      </c>
      <c r="I47" s="24">
        <v>0</v>
      </c>
      <c r="J47" s="21" t="s">
        <v>116</v>
      </c>
      <c r="K47" s="24" t="s">
        <v>117</v>
      </c>
      <c r="L47" s="24" t="s">
        <v>789</v>
      </c>
      <c r="M47" s="21">
        <v>5</v>
      </c>
      <c r="N47" s="26">
        <v>0</v>
      </c>
      <c r="O47" s="26"/>
      <c r="Q47" s="1" t="s">
        <v>990</v>
      </c>
    </row>
    <row r="48" spans="1:17" s="1" customFormat="1" ht="12.75" x14ac:dyDescent="0.2">
      <c r="A48" s="1" t="s">
        <v>916</v>
      </c>
      <c r="B48" s="1" t="s">
        <v>917</v>
      </c>
      <c r="C48" s="1" t="s">
        <v>918</v>
      </c>
      <c r="D48" s="1" t="s">
        <v>919</v>
      </c>
      <c r="E48" s="22">
        <v>150</v>
      </c>
      <c r="F48" s="22">
        <v>0</v>
      </c>
      <c r="G48" s="21">
        <v>0</v>
      </c>
      <c r="H48" s="26">
        <v>0</v>
      </c>
      <c r="I48" s="24">
        <v>0</v>
      </c>
      <c r="J48" s="21" t="s">
        <v>116</v>
      </c>
      <c r="K48" s="24" t="s">
        <v>117</v>
      </c>
      <c r="L48" s="24" t="s">
        <v>789</v>
      </c>
      <c r="M48" s="21">
        <v>150</v>
      </c>
      <c r="N48" s="26">
        <v>0</v>
      </c>
      <c r="O48" s="26"/>
      <c r="Q48" s="1" t="s">
        <v>990</v>
      </c>
    </row>
    <row r="49" spans="1:17" s="1" customFormat="1" ht="12.75" x14ac:dyDescent="0.2">
      <c r="A49" s="1" t="s">
        <v>885</v>
      </c>
      <c r="B49" s="1" t="s">
        <v>886</v>
      </c>
      <c r="C49" s="1" t="s">
        <v>887</v>
      </c>
      <c r="D49" s="1" t="s">
        <v>888</v>
      </c>
      <c r="E49" s="22">
        <v>5</v>
      </c>
      <c r="F49" s="22">
        <v>0</v>
      </c>
      <c r="G49" s="21">
        <v>0</v>
      </c>
      <c r="H49" s="26">
        <v>0</v>
      </c>
      <c r="I49" s="24">
        <v>0</v>
      </c>
      <c r="J49" s="21" t="s">
        <v>116</v>
      </c>
      <c r="K49" s="24" t="s">
        <v>117</v>
      </c>
      <c r="L49" s="24" t="s">
        <v>789</v>
      </c>
      <c r="M49" s="21">
        <v>5</v>
      </c>
      <c r="N49" s="26">
        <v>0</v>
      </c>
      <c r="O49" s="26"/>
      <c r="Q49" s="1" t="s">
        <v>990</v>
      </c>
    </row>
  </sheetData>
  <autoFilter ref="A1:Q49" xr:uid="{9DEEC362-BC32-427B-8CB8-EBCB19C70273}"/>
  <conditionalFormatting sqref="A1:A49">
    <cfRule type="duplicateValues" dxfId="26" priority="14"/>
    <cfRule type="duplicateValues" dxfId="25" priority="15"/>
  </conditionalFormatting>
  <conditionalFormatting sqref="A2:A49">
    <cfRule type="duplicateValues" dxfId="24" priority="8"/>
    <cfRule type="duplicateValues" dxfId="23" priority="9"/>
  </conditionalFormatting>
  <conditionalFormatting sqref="G2:G49">
    <cfRule type="cellIs" dxfId="22" priority="1" operator="lessThan">
      <formula>13</formula>
    </cfRule>
    <cfRule type="cellIs" dxfId="21" priority="2" operator="between">
      <formula>13</formula>
      <formula>26</formula>
    </cfRule>
    <cfRule type="cellIs" dxfId="20" priority="3" operator="greaterThan">
      <formula>26</formula>
    </cfRule>
  </conditionalFormatting>
  <conditionalFormatting sqref="I1">
    <cfRule type="cellIs" dxfId="19" priority="13" operator="lessThan">
      <formula>10000</formula>
    </cfRule>
  </conditionalFormatting>
  <conditionalFormatting sqref="J1:J49">
    <cfRule type="containsText" dxfId="18" priority="11" operator="containsText" text="Order">
      <formula>NOT(ISERROR(SEARCH("Order",J1)))</formula>
    </cfRule>
    <cfRule type="containsText" dxfId="17" priority="12" operator="containsText" text="Build">
      <formula>NOT(ISERROR(SEARCH("Build",J1)))</formula>
    </cfRule>
  </conditionalFormatting>
  <conditionalFormatting sqref="J2:J49">
    <cfRule type="cellIs" dxfId="16" priority="4" operator="greaterThan">
      <formula>500000</formula>
    </cfRule>
    <cfRule type="cellIs" dxfId="15" priority="5" operator="between">
      <formula>100001</formula>
      <formula>500000</formula>
    </cfRule>
    <cfRule type="cellIs" dxfId="14" priority="6" operator="between">
      <formula>10001</formula>
      <formula>100000</formula>
    </cfRule>
    <cfRule type="cellIs" dxfId="13" priority="7" operator="lessThan">
      <formula>10000</formula>
    </cfRule>
  </conditionalFormatting>
  <conditionalFormatting sqref="L1:L49">
    <cfRule type="containsText" dxfId="12" priority="10" operator="containsText" text="Place PO">
      <formula>NOT(ISERROR(SEARCH("Place PO",L1)))</formula>
    </cfRule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9AA25-BE5A-42C9-8D56-9A6305C7D3E2}">
  <dimension ref="A1:N5"/>
  <sheetViews>
    <sheetView workbookViewId="0">
      <selection activeCell="G9" sqref="G9"/>
    </sheetView>
  </sheetViews>
  <sheetFormatPr defaultRowHeight="15" x14ac:dyDescent="0.25"/>
  <cols>
    <col min="1" max="1" width="14.28515625" bestFit="1" customWidth="1"/>
    <col min="2" max="2" width="26.5703125" bestFit="1" customWidth="1"/>
    <col min="3" max="3" width="13.42578125" bestFit="1" customWidth="1"/>
    <col min="4" max="4" width="10" bestFit="1" customWidth="1"/>
    <col min="5" max="5" width="23.5703125" bestFit="1" customWidth="1"/>
    <col min="6" max="6" width="9" bestFit="1" customWidth="1"/>
    <col min="7" max="7" width="10" bestFit="1" customWidth="1"/>
    <col min="8" max="8" width="14.85546875" bestFit="1" customWidth="1"/>
    <col min="9" max="9" width="10.140625" bestFit="1" customWidth="1"/>
    <col min="10" max="10" width="13.5703125" bestFit="1" customWidth="1"/>
    <col min="11" max="11" width="14.7109375" bestFit="1" customWidth="1"/>
    <col min="12" max="12" width="17.85546875" bestFit="1" customWidth="1"/>
    <col min="13" max="13" width="26.42578125" bestFit="1" customWidth="1"/>
    <col min="14" max="14" width="15" bestFit="1" customWidth="1"/>
  </cols>
  <sheetData>
    <row r="1" spans="1:14" ht="99.75" thickBot="1" x14ac:dyDescent="0.3">
      <c r="A1" s="46" t="s">
        <v>3</v>
      </c>
      <c r="B1" s="47" t="s">
        <v>4</v>
      </c>
      <c r="C1" s="47" t="s">
        <v>5</v>
      </c>
      <c r="D1" s="48" t="s">
        <v>6</v>
      </c>
      <c r="E1" s="7" t="s">
        <v>7</v>
      </c>
      <c r="F1" s="8" t="s">
        <v>8</v>
      </c>
      <c r="G1" s="9" t="s">
        <v>9</v>
      </c>
      <c r="H1" s="10" t="s">
        <v>10</v>
      </c>
      <c r="I1" s="49" t="s">
        <v>11</v>
      </c>
      <c r="J1" s="12" t="s">
        <v>12</v>
      </c>
      <c r="K1" s="13" t="s">
        <v>13</v>
      </c>
      <c r="L1" s="50" t="s">
        <v>14</v>
      </c>
      <c r="M1" s="51" t="s">
        <v>986</v>
      </c>
      <c r="N1" s="52" t="s">
        <v>987</v>
      </c>
    </row>
    <row r="2" spans="1:14" ht="25.5" x14ac:dyDescent="0.25">
      <c r="A2" s="38" t="s">
        <v>772</v>
      </c>
      <c r="B2" s="38" t="s">
        <v>773</v>
      </c>
      <c r="C2" s="38" t="s">
        <v>774</v>
      </c>
      <c r="D2" s="38" t="s">
        <v>236</v>
      </c>
      <c r="E2" s="39" t="e">
        <v>#N/A</v>
      </c>
      <c r="F2" s="39">
        <v>5000</v>
      </c>
      <c r="G2" s="40">
        <v>5</v>
      </c>
      <c r="H2" s="42">
        <v>3.9539999999999999E-2</v>
      </c>
      <c r="I2" s="41">
        <v>5000</v>
      </c>
      <c r="J2" s="40">
        <v>180000</v>
      </c>
      <c r="K2" s="41" t="s">
        <v>23</v>
      </c>
      <c r="L2" s="41" t="s">
        <v>775</v>
      </c>
      <c r="M2" s="40">
        <v>1000</v>
      </c>
      <c r="N2" s="41" t="s">
        <v>988</v>
      </c>
    </row>
    <row r="3" spans="1:14" ht="25.5" x14ac:dyDescent="0.25">
      <c r="A3" s="38" t="s">
        <v>777</v>
      </c>
      <c r="B3" s="38" t="s">
        <v>778</v>
      </c>
      <c r="C3" s="38" t="s">
        <v>779</v>
      </c>
      <c r="D3" s="38" t="s">
        <v>236</v>
      </c>
      <c r="E3" s="39" t="e">
        <v>#N/A</v>
      </c>
      <c r="F3" s="39">
        <v>5000</v>
      </c>
      <c r="G3" s="40">
        <v>12</v>
      </c>
      <c r="H3" s="42">
        <v>4.0079999999999998E-2</v>
      </c>
      <c r="I3" s="41">
        <v>5000</v>
      </c>
      <c r="J3" s="40">
        <v>206000</v>
      </c>
      <c r="K3" s="41" t="s">
        <v>23</v>
      </c>
      <c r="L3" s="41" t="s">
        <v>775</v>
      </c>
      <c r="M3" s="40">
        <v>1000</v>
      </c>
      <c r="N3" s="41" t="s">
        <v>988</v>
      </c>
    </row>
    <row r="4" spans="1:14" ht="25.5" x14ac:dyDescent="0.25">
      <c r="A4" s="38" t="s">
        <v>780</v>
      </c>
      <c r="B4" s="38" t="s">
        <v>781</v>
      </c>
      <c r="C4" s="38" t="s">
        <v>782</v>
      </c>
      <c r="D4" s="38" t="s">
        <v>236</v>
      </c>
      <c r="E4" s="39" t="e">
        <v>#N/A</v>
      </c>
      <c r="F4" s="39">
        <v>5000</v>
      </c>
      <c r="G4" s="40">
        <v>12</v>
      </c>
      <c r="H4" s="42">
        <v>0.04</v>
      </c>
      <c r="I4" s="41">
        <v>5000</v>
      </c>
      <c r="J4" s="40">
        <v>219843</v>
      </c>
      <c r="K4" s="41" t="s">
        <v>23</v>
      </c>
      <c r="L4" s="41" t="s">
        <v>775</v>
      </c>
      <c r="M4" s="40">
        <v>1000</v>
      </c>
      <c r="N4" s="41" t="s">
        <v>988</v>
      </c>
    </row>
    <row r="5" spans="1:14" ht="25.5" x14ac:dyDescent="0.25">
      <c r="A5" s="38" t="s">
        <v>783</v>
      </c>
      <c r="B5" s="38" t="s">
        <v>784</v>
      </c>
      <c r="C5" s="38" t="s">
        <v>785</v>
      </c>
      <c r="D5" s="38" t="s">
        <v>236</v>
      </c>
      <c r="E5" s="39" t="e">
        <v>#N/A</v>
      </c>
      <c r="F5" s="39">
        <v>5000</v>
      </c>
      <c r="G5" s="40">
        <v>11</v>
      </c>
      <c r="H5" s="42">
        <v>0.04</v>
      </c>
      <c r="I5" s="41">
        <v>5000</v>
      </c>
      <c r="J5" s="40">
        <v>110928</v>
      </c>
      <c r="K5" s="41" t="s">
        <v>23</v>
      </c>
      <c r="L5" s="41" t="s">
        <v>775</v>
      </c>
      <c r="M5" s="40">
        <v>1000</v>
      </c>
      <c r="N5" s="41" t="s">
        <v>988</v>
      </c>
    </row>
  </sheetData>
  <conditionalFormatting sqref="A1:A5">
    <cfRule type="duplicateValues" dxfId="11" priority="11"/>
    <cfRule type="duplicateValues" dxfId="10" priority="12"/>
  </conditionalFormatting>
  <conditionalFormatting sqref="A2:A5">
    <cfRule type="duplicateValues" dxfId="9" priority="5"/>
    <cfRule type="duplicateValues" dxfId="8" priority="6"/>
  </conditionalFormatting>
  <conditionalFormatting sqref="G2:G5">
    <cfRule type="cellIs" dxfId="7" priority="2" operator="lessThan">
      <formula>13</formula>
    </cfRule>
    <cfRule type="cellIs" dxfId="6" priority="3" operator="between">
      <formula>13</formula>
      <formula>26</formula>
    </cfRule>
    <cfRule type="cellIs" dxfId="5" priority="4" operator="greaterThan">
      <formula>26</formula>
    </cfRule>
  </conditionalFormatting>
  <conditionalFormatting sqref="I1">
    <cfRule type="cellIs" dxfId="4" priority="10" operator="lessThan">
      <formula>10000</formula>
    </cfRule>
  </conditionalFormatting>
  <conditionalFormatting sqref="J1">
    <cfRule type="containsText" dxfId="3" priority="8" operator="containsText" text="Order">
      <formula>NOT(ISERROR(SEARCH("Order",J1)))</formula>
    </cfRule>
    <cfRule type="containsText" dxfId="2" priority="9" operator="containsText" text="Build">
      <formula>NOT(ISERROR(SEARCH("Build",J1)))</formula>
    </cfRule>
  </conditionalFormatting>
  <conditionalFormatting sqref="L1:L5">
    <cfRule type="containsText" dxfId="1" priority="7" operator="containsText" text="Place PO">
      <formula>NOT(ISERROR(SEARCH("Place PO",L1)))</formula>
    </cfRule>
  </conditionalFormatting>
  <conditionalFormatting sqref="N1:N5">
    <cfRule type="containsText" dxfId="0" priority="1" operator="containsText" text="Place PO">
      <formula>NOT(ISERROR(SEARCH("Place PO",N1)))</formula>
    </cfRule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CC18D-AAFC-4975-B32D-A89A9B4D0F1F}">
  <dimension ref="A3:B10"/>
  <sheetViews>
    <sheetView workbookViewId="0">
      <selection activeCell="D21" sqref="D21"/>
    </sheetView>
  </sheetViews>
  <sheetFormatPr defaultRowHeight="15" x14ac:dyDescent="0.25"/>
  <cols>
    <col min="1" max="1" width="23.42578125" bestFit="1" customWidth="1"/>
    <col min="2" max="2" width="26.5703125" bestFit="1" customWidth="1"/>
  </cols>
  <sheetData>
    <row r="3" spans="1:2" x14ac:dyDescent="0.25">
      <c r="A3" s="35" t="s">
        <v>983</v>
      </c>
      <c r="B3" t="s">
        <v>985</v>
      </c>
    </row>
    <row r="4" spans="1:2" x14ac:dyDescent="0.25">
      <c r="A4" s="36" t="s">
        <v>24</v>
      </c>
      <c r="B4">
        <v>207</v>
      </c>
    </row>
    <row r="5" spans="1:2" x14ac:dyDescent="0.25">
      <c r="A5" s="36" t="s">
        <v>789</v>
      </c>
      <c r="B5">
        <v>48</v>
      </c>
    </row>
    <row r="6" spans="1:2" x14ac:dyDescent="0.25">
      <c r="A6" s="36" t="s">
        <v>955</v>
      </c>
      <c r="B6">
        <v>14</v>
      </c>
    </row>
    <row r="7" spans="1:2" x14ac:dyDescent="0.25">
      <c r="A7" s="36" t="s">
        <v>740</v>
      </c>
      <c r="B7">
        <v>10</v>
      </c>
    </row>
    <row r="8" spans="1:2" x14ac:dyDescent="0.25">
      <c r="A8" s="36" t="s">
        <v>944</v>
      </c>
      <c r="B8">
        <v>6</v>
      </c>
    </row>
    <row r="9" spans="1:2" x14ac:dyDescent="0.25">
      <c r="A9" s="36" t="s">
        <v>775</v>
      </c>
      <c r="B9">
        <v>4</v>
      </c>
    </row>
    <row r="10" spans="1:2" x14ac:dyDescent="0.25">
      <c r="A10" s="36" t="s">
        <v>984</v>
      </c>
      <c r="B10">
        <v>289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dbe5114-fe4f-4faf-8a07-a9103153293f}" enabled="1" method="Standard" siteId="{918079db-c902-4e29-b22c-9764410d037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Astute action list 4.14.26</vt:lpstr>
      <vt:lpstr>Astute action list 3.11.26</vt:lpstr>
      <vt:lpstr>Lam Transfer</vt:lpstr>
      <vt:lpstr>Review Pricing</vt:lpstr>
      <vt:lpstr>LOA Quotes</vt:lpstr>
      <vt:lpstr>Heat Map</vt:lpstr>
      <vt:lpstr>pivot</vt:lpstr>
    </vt:vector>
  </TitlesOfParts>
  <Company>Lam Research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Johnson, Rob</dc:creator>
  <cp:lastModifiedBy>Josh Syre</cp:lastModifiedBy>
  <dcterms:created xsi:type="dcterms:W3CDTF">2026-03-11T23:24:07Z</dcterms:created>
  <dcterms:modified xsi:type="dcterms:W3CDTF">2026-04-22T22:14:35Z</dcterms:modified>
</cp:coreProperties>
</file>