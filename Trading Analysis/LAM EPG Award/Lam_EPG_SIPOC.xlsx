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stuteelectronics-my.sharepoint.com/personal/jake_harris_astutegroup_com/Documents/Desktop/"/>
    </mc:Choice>
  </mc:AlternateContent>
  <xr:revisionPtr revIDLastSave="0" documentId="8_{382BAF56-0486-48E3-81D2-114142DE1B03}" xr6:coauthVersionLast="47" xr6:coauthVersionMax="47" xr10:uidLastSave="{00000000-0000-0000-0000-000000000000}"/>
  <bookViews>
    <workbookView xWindow="-120" yWindow="-120" windowWidth="29040" windowHeight="15990" xr2:uid="{3EA83A5F-75EF-429A-A243-64715100F46A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Sheet1!$A$2:$AN$2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6" i="1"/>
  <c r="M87" i="1"/>
  <c r="M88" i="1"/>
  <c r="M90" i="1"/>
  <c r="M91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3" i="1"/>
  <c r="I3" i="1"/>
  <c r="K3" i="1" s="1"/>
  <c r="K72" i="1"/>
  <c r="I4" i="1"/>
  <c r="K4" i="1" s="1"/>
  <c r="I5" i="1"/>
  <c r="K5" i="1" s="1"/>
  <c r="I6" i="1"/>
  <c r="K6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I73" i="1"/>
  <c r="K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5" i="1"/>
  <c r="K105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19" i="1"/>
  <c r="K119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7" i="1"/>
  <c r="K127" i="1" s="1"/>
  <c r="I128" i="1"/>
  <c r="K128" i="1" s="1"/>
  <c r="I129" i="1"/>
  <c r="K129" i="1" s="1"/>
  <c r="I130" i="1"/>
  <c r="K130" i="1" s="1"/>
  <c r="I131" i="1"/>
  <c r="K131" i="1" s="1"/>
  <c r="I132" i="1"/>
  <c r="K132" i="1" s="1"/>
  <c r="I133" i="1"/>
  <c r="K133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J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7" i="1"/>
  <c r="K167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7" i="1"/>
  <c r="K177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7" i="1"/>
  <c r="K187" i="1" s="1"/>
  <c r="I188" i="1"/>
  <c r="K188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0" i="1"/>
  <c r="K200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08" i="1"/>
  <c r="K208" i="1" s="1"/>
  <c r="I209" i="1"/>
  <c r="K209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3" i="1"/>
  <c r="W1" i="1"/>
  <c r="V1" i="1"/>
  <c r="S1" i="1"/>
  <c r="Q1" i="1"/>
  <c r="O1" i="1"/>
  <c r="J199" i="1" l="1"/>
  <c r="J187" i="1"/>
  <c r="J175" i="1"/>
  <c r="J163" i="1"/>
  <c r="J151" i="1"/>
  <c r="J139" i="1"/>
  <c r="J127" i="1"/>
  <c r="J115" i="1"/>
  <c r="J103" i="1"/>
  <c r="J91" i="1"/>
  <c r="J79" i="1"/>
  <c r="J67" i="1"/>
  <c r="J55" i="1"/>
  <c r="J43" i="1"/>
  <c r="J31" i="1"/>
  <c r="J19" i="1"/>
  <c r="J7" i="1"/>
  <c r="J78" i="1"/>
  <c r="J6" i="1"/>
  <c r="J144" i="1"/>
  <c r="J203" i="1"/>
  <c r="J191" i="1"/>
  <c r="J179" i="1"/>
  <c r="J167" i="1"/>
  <c r="J155" i="1"/>
  <c r="J143" i="1"/>
  <c r="J131" i="1"/>
  <c r="J119" i="1"/>
  <c r="J107" i="1"/>
  <c r="J95" i="1"/>
  <c r="J83" i="1"/>
  <c r="J71" i="1"/>
  <c r="J59" i="1"/>
  <c r="J47" i="1"/>
  <c r="J35" i="1"/>
  <c r="J23" i="1"/>
  <c r="J11" i="1"/>
  <c r="J174" i="1"/>
  <c r="J126" i="1"/>
  <c r="J205" i="1"/>
  <c r="J193" i="1"/>
  <c r="J181" i="1"/>
  <c r="J169" i="1"/>
  <c r="J157" i="1"/>
  <c r="J145" i="1"/>
  <c r="J133" i="1"/>
  <c r="J121" i="1"/>
  <c r="J109" i="1"/>
  <c r="J97" i="1"/>
  <c r="J85" i="1"/>
  <c r="J73" i="1"/>
  <c r="J61" i="1"/>
  <c r="J49" i="1"/>
  <c r="J37" i="1"/>
  <c r="J25" i="1"/>
  <c r="J13" i="1"/>
  <c r="J168" i="1"/>
  <c r="J96" i="1"/>
  <c r="J24" i="1"/>
  <c r="J72" i="1"/>
  <c r="J198" i="1"/>
  <c r="J102" i="1"/>
  <c r="J54" i="1"/>
  <c r="J30" i="1"/>
  <c r="J208" i="1"/>
  <c r="J196" i="1"/>
  <c r="J184" i="1"/>
  <c r="J172" i="1"/>
  <c r="J160" i="1"/>
  <c r="J148" i="1"/>
  <c r="J136" i="1"/>
  <c r="J124" i="1"/>
  <c r="J112" i="1"/>
  <c r="J100" i="1"/>
  <c r="J88" i="1"/>
  <c r="J76" i="1"/>
  <c r="J64" i="1"/>
  <c r="J52" i="1"/>
  <c r="J40" i="1"/>
  <c r="J28" i="1"/>
  <c r="J16" i="1"/>
  <c r="J4" i="1"/>
  <c r="J207" i="1"/>
  <c r="J195" i="1"/>
  <c r="J183" i="1"/>
  <c r="J171" i="1"/>
  <c r="J159" i="1"/>
  <c r="J147" i="1"/>
  <c r="J135" i="1"/>
  <c r="J123" i="1"/>
  <c r="J111" i="1"/>
  <c r="J99" i="1"/>
  <c r="J87" i="1"/>
  <c r="J75" i="1"/>
  <c r="J63" i="1"/>
  <c r="J51" i="1"/>
  <c r="J39" i="1"/>
  <c r="J27" i="1"/>
  <c r="J15" i="1"/>
  <c r="J192" i="1"/>
  <c r="J120" i="1"/>
  <c r="J48" i="1"/>
  <c r="J204" i="1"/>
  <c r="J180" i="1"/>
  <c r="J156" i="1"/>
  <c r="J132" i="1"/>
  <c r="J108" i="1"/>
  <c r="J84" i="1"/>
  <c r="J60" i="1"/>
  <c r="J36" i="1"/>
  <c r="J12" i="1"/>
  <c r="J202" i="1"/>
  <c r="J190" i="1"/>
  <c r="J178" i="1"/>
  <c r="J166" i="1"/>
  <c r="J154" i="1"/>
  <c r="J142" i="1"/>
  <c r="J130" i="1"/>
  <c r="J118" i="1"/>
  <c r="J106" i="1"/>
  <c r="J94" i="1"/>
  <c r="J82" i="1"/>
  <c r="J70" i="1"/>
  <c r="J58" i="1"/>
  <c r="J46" i="1"/>
  <c r="J34" i="1"/>
  <c r="J22" i="1"/>
  <c r="J10" i="1"/>
  <c r="J189" i="1"/>
  <c r="J165" i="1"/>
  <c r="J141" i="1"/>
  <c r="J117" i="1"/>
  <c r="J93" i="1"/>
  <c r="J69" i="1"/>
  <c r="J21" i="1"/>
  <c r="J201" i="1"/>
  <c r="J177" i="1"/>
  <c r="J153" i="1"/>
  <c r="J129" i="1"/>
  <c r="J105" i="1"/>
  <c r="J81" i="1"/>
  <c r="J57" i="1"/>
  <c r="J45" i="1"/>
  <c r="J33" i="1"/>
  <c r="J9" i="1"/>
  <c r="J200" i="1"/>
  <c r="J188" i="1"/>
  <c r="J176" i="1"/>
  <c r="J164" i="1"/>
  <c r="J152" i="1"/>
  <c r="J140" i="1"/>
  <c r="J128" i="1"/>
  <c r="J116" i="1"/>
  <c r="J104" i="1"/>
  <c r="J92" i="1"/>
  <c r="J80" i="1"/>
  <c r="J68" i="1"/>
  <c r="J56" i="1"/>
  <c r="J44" i="1"/>
  <c r="J32" i="1"/>
  <c r="J20" i="1"/>
  <c r="J8" i="1"/>
  <c r="J209" i="1"/>
  <c r="J197" i="1"/>
  <c r="J185" i="1"/>
  <c r="J173" i="1"/>
  <c r="J161" i="1"/>
  <c r="J149" i="1"/>
  <c r="J137" i="1"/>
  <c r="J125" i="1"/>
  <c r="J113" i="1"/>
  <c r="J101" i="1"/>
  <c r="J89" i="1"/>
  <c r="J77" i="1"/>
  <c r="J65" i="1"/>
  <c r="J53" i="1"/>
  <c r="J41" i="1"/>
  <c r="J29" i="1"/>
  <c r="J17" i="1"/>
  <c r="J5" i="1"/>
  <c r="H1" i="1"/>
  <c r="J186" i="1"/>
  <c r="J162" i="1"/>
  <c r="J138" i="1"/>
  <c r="J114" i="1"/>
  <c r="J90" i="1"/>
  <c r="J66" i="1"/>
  <c r="J42" i="1"/>
  <c r="J18" i="1"/>
  <c r="J206" i="1"/>
  <c r="J194" i="1"/>
  <c r="J182" i="1"/>
  <c r="J170" i="1"/>
  <c r="J158" i="1"/>
  <c r="J146" i="1"/>
  <c r="J134" i="1"/>
  <c r="J122" i="1"/>
  <c r="J110" i="1"/>
  <c r="J98" i="1"/>
  <c r="J86" i="1"/>
  <c r="J74" i="1"/>
  <c r="J62" i="1"/>
  <c r="J50" i="1"/>
  <c r="J38" i="1"/>
  <c r="J26" i="1"/>
  <c r="J14" i="1"/>
  <c r="K1" i="1"/>
  <c r="L1" i="1" s="1"/>
  <c r="J3" i="1"/>
  <c r="I1" i="1" l="1"/>
  <c r="X1" i="1"/>
</calcChain>
</file>

<file path=xl/sharedStrings.xml><?xml version="1.0" encoding="utf-8"?>
<sst xmlns="http://schemas.openxmlformats.org/spreadsheetml/2006/main" count="1088" uniqueCount="795">
  <si>
    <t>% Lines Placed</t>
  </si>
  <si>
    <t>% Source Confirmed</t>
  </si>
  <si>
    <t>Lines Remaining</t>
  </si>
  <si>
    <t>Purchasing/DES</t>
  </si>
  <si>
    <t>Management</t>
  </si>
  <si>
    <t>Purchasing</t>
  </si>
  <si>
    <t>CSE/Purchasing</t>
  </si>
  <si>
    <t>Purchasing/Trading</t>
  </si>
  <si>
    <t>DES</t>
  </si>
  <si>
    <t>CPC</t>
  </si>
  <si>
    <t xml:space="preserve">Description </t>
  </si>
  <si>
    <t>MPN</t>
  </si>
  <si>
    <t>MFR</t>
  </si>
  <si>
    <t>Lead time</t>
  </si>
  <si>
    <t>SPQ/MOQ</t>
  </si>
  <si>
    <t>Base Unit Price</t>
  </si>
  <si>
    <t>Total Cost</t>
  </si>
  <si>
    <t>Resale Price</t>
  </si>
  <si>
    <t>18% Markup</t>
  </si>
  <si>
    <t>TOTAL VALUE</t>
  </si>
  <si>
    <t>Z2 Lowest Price</t>
  </si>
  <si>
    <t>CQ Median Price</t>
  </si>
  <si>
    <t>MPN to Purchase</t>
  </si>
  <si>
    <t>Manufacturer</t>
  </si>
  <si>
    <t>Source</t>
  </si>
  <si>
    <t>Purchase Price</t>
  </si>
  <si>
    <t>Qty</t>
  </si>
  <si>
    <t>Qty Remaining to Source</t>
  </si>
  <si>
    <t>Lead Time (wks)</t>
  </si>
  <si>
    <t>VQ in OT</t>
  </si>
  <si>
    <t>Savings</t>
  </si>
  <si>
    <t>Margin</t>
  </si>
  <si>
    <t>Contract Review</t>
  </si>
  <si>
    <t>RFQ Number</t>
  </si>
  <si>
    <t>POV</t>
  </si>
  <si>
    <t>Purchased By</t>
  </si>
  <si>
    <t>PO Sent (date)</t>
  </si>
  <si>
    <t>Ship to</t>
  </si>
  <si>
    <t>Processed in OT</t>
  </si>
  <si>
    <t>OT Order Number</t>
  </si>
  <si>
    <t>Excess</t>
  </si>
  <si>
    <t>Notes</t>
  </si>
  <si>
    <t>Tracking</t>
  </si>
  <si>
    <t>Tracking in OT</t>
  </si>
  <si>
    <t>Qty Received in Infor</t>
  </si>
  <si>
    <t>Location</t>
  </si>
  <si>
    <t>Qty Pending</t>
  </si>
  <si>
    <t>644-B57073-024</t>
  </si>
  <si>
    <t>RLY,REED,LD SW,1 FORM A,24VDC,3A,200W</t>
  </si>
  <si>
    <t>5503-24-1</t>
  </si>
  <si>
    <t>COTO TECHNOLOGY, INC.</t>
  </si>
  <si>
    <t>36 weeks</t>
  </si>
  <si>
    <t>630-337692-004</t>
  </si>
  <si>
    <t>IC,SMD,DUAL-ARM,CORTEX-A53,3.5MB,SFVC784</t>
  </si>
  <si>
    <t>XCZU5CG-1SFVC784E</t>
  </si>
  <si>
    <t>XILINX</t>
  </si>
  <si>
    <t>26 weeks</t>
  </si>
  <si>
    <t>668-133934-120</t>
  </si>
  <si>
    <t>CONN,RCPT,HIGH DENSITY,.050",120POS,ROHS</t>
  </si>
  <si>
    <t>FOLC-130-L4-L-Q-LC</t>
  </si>
  <si>
    <t>SAMTEC</t>
  </si>
  <si>
    <t>9 weeks</t>
  </si>
  <si>
    <t>644-B50792-024</t>
  </si>
  <si>
    <t>RLY,REED,SPST-NO,24VDC,1A,100W,W/DIO</t>
  </si>
  <si>
    <t>SHV24-1A85-78D3K</t>
  </si>
  <si>
    <t>STANDEX ELECTRONIC</t>
  </si>
  <si>
    <t>21 weeks</t>
  </si>
  <si>
    <t>668-096776-009</t>
  </si>
  <si>
    <t>CONN,DSUB,9P,F,STR,BRD LCK,ROHS</t>
  </si>
  <si>
    <t>K85X-ED-9S-CBR</t>
  </si>
  <si>
    <t>KYCON, INC</t>
  </si>
  <si>
    <t>630-337692-003</t>
  </si>
  <si>
    <t>IC,SMD,DUAL-ARM,CORTEX-A53,2.6MB,SFVC784</t>
  </si>
  <si>
    <t>XCZU4CG-1SFVC784E</t>
  </si>
  <si>
    <t>630-262333-001</t>
  </si>
  <si>
    <t>IC,SMD,TEMP SNSR,DGTL,LTC2986</t>
  </si>
  <si>
    <t>LTC2986CLX#PBF</t>
  </si>
  <si>
    <t>LINEAR TECHNOLOGY</t>
  </si>
  <si>
    <t>20 weeks</t>
  </si>
  <si>
    <t>681-198782-004</t>
  </si>
  <si>
    <t>WIRE,HOOK-UP,30AWG,GRN, TFE,ROHS</t>
  </si>
  <si>
    <t>2841/1 GR005</t>
  </si>
  <si>
    <t>ALPHA WIRE</t>
  </si>
  <si>
    <t>644-A42857-480</t>
  </si>
  <si>
    <t>RLY,SSR,15-32VDC CTRL,5A,48-660VAC,SIP-4</t>
  </si>
  <si>
    <t>CXE480D5</t>
  </si>
  <si>
    <t>SENSATA TECHNOLOGIES INC.</t>
  </si>
  <si>
    <t>16 weeks</t>
  </si>
  <si>
    <t>668-092915-050</t>
  </si>
  <si>
    <t>CONN,HDR,PCB MT,.100 CTR 50P,ROHS</t>
  </si>
  <si>
    <t>N3433-6303RB</t>
  </si>
  <si>
    <t>3M</t>
  </si>
  <si>
    <t>19 weeks</t>
  </si>
  <si>
    <t>670-346211-025</t>
  </si>
  <si>
    <t>FUSE,TIME DLY,600VAC/300VDC,30A</t>
  </si>
  <si>
    <t>LP-CC-30</t>
  </si>
  <si>
    <t>EATON</t>
  </si>
  <si>
    <t>31 weeks</t>
  </si>
  <si>
    <t>644-311222-001</t>
  </si>
  <si>
    <t>RLY,SSR,SPST-NO,40A,48-530VAC,PCB MT,THT</t>
  </si>
  <si>
    <t>LR1200480D40</t>
  </si>
  <si>
    <t>CRYDOM</t>
  </si>
  <si>
    <t>14 weeks</t>
  </si>
  <si>
    <t>668-096776-015</t>
  </si>
  <si>
    <t>CONN,DSUB,15P,F,STR,BRD LCK,ROHS</t>
  </si>
  <si>
    <t>K85X-AD-15S-CBR</t>
  </si>
  <si>
    <t>630-B51696-001</t>
  </si>
  <si>
    <t>IC,SMD,STEP-DN,6-42V IN,2A OUT,TO-PMOD-7</t>
  </si>
  <si>
    <t>LMZ14202HTZE/NOPB</t>
  </si>
  <si>
    <t>TEXAS INSTRUMENTS</t>
  </si>
  <si>
    <t>10 weeks</t>
  </si>
  <si>
    <t>631-123367-001</t>
  </si>
  <si>
    <t>IC,FPGA SPARTAN 6 101K 484FGGBGA</t>
  </si>
  <si>
    <t>XC6SLX100-3FGG484C</t>
  </si>
  <si>
    <t>628-265744-001</t>
  </si>
  <si>
    <t>XSTR,MOSFET,N-CH,650V,93A,TO247N</t>
  </si>
  <si>
    <t>SCT3022ALGC11</t>
  </si>
  <si>
    <t>ROHM</t>
  </si>
  <si>
    <t>42 weeks</t>
  </si>
  <si>
    <t>668-014495-062</t>
  </si>
  <si>
    <t>CONN,RCPT,HIGH DENSITY DSUB,62 ROHS</t>
  </si>
  <si>
    <t>K86X-CD-62S-BR</t>
  </si>
  <si>
    <t>25 weeks</t>
  </si>
  <si>
    <t>630-A59915-001</t>
  </si>
  <si>
    <t>IC,SMD,8 HIGH-SIDE SW,SPI,2.5-5.5V,QFN48</t>
  </si>
  <si>
    <t>MAX14915AFM+</t>
  </si>
  <si>
    <t>MAXIM INTEGRATED</t>
  </si>
  <si>
    <t>669-B62169-001</t>
  </si>
  <si>
    <t>CONT,SKT,SMD,600V,140A,6 DIA,5.17MM HGT</t>
  </si>
  <si>
    <t>2043650006</t>
  </si>
  <si>
    <t>MOLEX, LLC</t>
  </si>
  <si>
    <t>648-046808-112</t>
  </si>
  <si>
    <t>CAP,SMD,NPO,1.1NF,5%,10KV</t>
  </si>
  <si>
    <t>6560N112J103P</t>
  </si>
  <si>
    <t>NOVACAP</t>
  </si>
  <si>
    <t>670-332664-018</t>
  </si>
  <si>
    <t>FUSE,FAST-ACT,7A,600VAC/300VDC,5AG</t>
  </si>
  <si>
    <t>KLKR007.T</t>
  </si>
  <si>
    <t>LITTELFUSE</t>
  </si>
  <si>
    <t>13 weeks</t>
  </si>
  <si>
    <t>630-A92150-002</t>
  </si>
  <si>
    <t>IC,MEM,EMMC,NAND FLASH,64GB,LFBGA-153</t>
  </si>
  <si>
    <t>MTFC64GBCAQTC-WT</t>
  </si>
  <si>
    <t>MICRON TECHNOLOGY, INC.</t>
  </si>
  <si>
    <t>33 weeks</t>
  </si>
  <si>
    <t>630-257348-001</t>
  </si>
  <si>
    <t>IC,SMD,ADC,14BIT,500KSPS,TSOT23-8</t>
  </si>
  <si>
    <t>LTC2312HTS8-14#TRMPBF</t>
  </si>
  <si>
    <t>ANALOG DEVICES</t>
  </si>
  <si>
    <t>18 weeks</t>
  </si>
  <si>
    <t>723-097621-068</t>
  </si>
  <si>
    <t>STDF,SWG,9/32 RND,F,6-32,.687</t>
  </si>
  <si>
    <t>18130B-S-0632-28</t>
  </si>
  <si>
    <t>AMATOM ELECTRONIC HARDWARE</t>
  </si>
  <si>
    <t>0 weeks</t>
  </si>
  <si>
    <t>723-008848-003</t>
  </si>
  <si>
    <t>STDF,3/16 HEX,M/F,2-56, .250LG,ROHS</t>
  </si>
  <si>
    <t>9724-SS-7</t>
  </si>
  <si>
    <t>668-096777-009</t>
  </si>
  <si>
    <t>CONN,DSUB,9P,M,STR,BRD LCK,ROHS</t>
  </si>
  <si>
    <t>K85X-ED-9P-CBR</t>
  </si>
  <si>
    <t>5 weeks</t>
  </si>
  <si>
    <t>723-097621-043</t>
  </si>
  <si>
    <t>STDF,SWG,9/32 RND,F,6-32</t>
  </si>
  <si>
    <t>18126B-S-0632-28</t>
  </si>
  <si>
    <t>668-014495-026</t>
  </si>
  <si>
    <t>CONN,RCPT,HIGH DENSITY DSUB,26 ROHS</t>
  </si>
  <si>
    <t>K86X-AD-26S-CBR</t>
  </si>
  <si>
    <t>22 weeks</t>
  </si>
  <si>
    <t>644-311222-004</t>
  </si>
  <si>
    <t>RLY,SSR,SPST-NO,25A,48-530VAC,PCB MT,THT</t>
  </si>
  <si>
    <t>LR1200480D25</t>
  </si>
  <si>
    <t>17 weeks</t>
  </si>
  <si>
    <t>630-114967-001</t>
  </si>
  <si>
    <t>IC,SMD,CPLD,MACHXO2280,256FTBGA,ROHS</t>
  </si>
  <si>
    <t>LCMXO2280C-3FTN256C</t>
  </si>
  <si>
    <t>LATTICE SEMI</t>
  </si>
  <si>
    <t>668-191568-160</t>
  </si>
  <si>
    <t>CONN, DIN E TYPE, FML, 160 PIN</t>
  </si>
  <si>
    <t>254124-E</t>
  </si>
  <si>
    <t>TE CONNECTIVITY</t>
  </si>
  <si>
    <t>47 weeks</t>
  </si>
  <si>
    <t>644-B64495-001</t>
  </si>
  <si>
    <t>RLY,REED,2 FORM A,5V COIL,0.5A,10W,SH</t>
  </si>
  <si>
    <t>8L02-05-11</t>
  </si>
  <si>
    <t>660-B70650-004</t>
  </si>
  <si>
    <t>PS,DC/DC,ISLN,24V INPUT,1W,6V OUT,0.167A</t>
  </si>
  <si>
    <t>RP-2406S</t>
  </si>
  <si>
    <t>RECOM</t>
  </si>
  <si>
    <t>668-096776-025</t>
  </si>
  <si>
    <t>CONN,DSUB,25P,F,STR,BRD LCK,ROHS</t>
  </si>
  <si>
    <t>DLS3XS4AA35X</t>
  </si>
  <si>
    <t>AMPHENOL CONEC</t>
  </si>
  <si>
    <t>662-901562-001</t>
  </si>
  <si>
    <t>LED,5mm(T1-3/4),STRAIGHT,GREEN, ROHS</t>
  </si>
  <si>
    <t>550-1304F</t>
  </si>
  <si>
    <t>DIALIGHT</t>
  </si>
  <si>
    <t>670-332664-017</t>
  </si>
  <si>
    <t>FUSE,FAST-ACT,6A,600VAC/300VDC,5AG</t>
  </si>
  <si>
    <t>KLKR006.T</t>
  </si>
  <si>
    <t>668-A06169-001</t>
  </si>
  <si>
    <t>CONN,MAGJACK,RJ45,2PORT,90DEG,SLDR,THT</t>
  </si>
  <si>
    <t>0826-1X2T-23-F</t>
  </si>
  <si>
    <t>BEL FUSE INC.</t>
  </si>
  <si>
    <t>27 weeks</t>
  </si>
  <si>
    <t>668-134411-200</t>
  </si>
  <si>
    <t>CONN,PLUG,HIGH DENSITY,.050",200POS,ROHS</t>
  </si>
  <si>
    <t>MOLC-150-31-L-Q-LC</t>
  </si>
  <si>
    <t>4 weeks</t>
  </si>
  <si>
    <t>645-347340-001</t>
  </si>
  <si>
    <t>SW,ROCKER SPDT 0.4A,RA PC MT</t>
  </si>
  <si>
    <t>E101J3AV2QE3</t>
  </si>
  <si>
    <t>C&amp;K COMPONENT</t>
  </si>
  <si>
    <t>630-323468-001</t>
  </si>
  <si>
    <t>IC,SMD,HOT-SWAP CONTROLLER,6TDFN</t>
  </si>
  <si>
    <t>MAX5903NNETT+T</t>
  </si>
  <si>
    <t>660-082847-015</t>
  </si>
  <si>
    <t>PS,DC-DC,19V-28V,15V AT 3A,SIP12,ROHS</t>
  </si>
  <si>
    <t>R-7315P</t>
  </si>
  <si>
    <t>24 weeks</t>
  </si>
  <si>
    <t>668-B17515-004</t>
  </si>
  <si>
    <t>CONN,RCPT,M8,SHLD,4POSN,3A,PCB/PNL MT</t>
  </si>
  <si>
    <t>T4041037041-001</t>
  </si>
  <si>
    <t>630-047972-001</t>
  </si>
  <si>
    <t>IC,SMD,CPLD,EEPM1270T144C4</t>
  </si>
  <si>
    <t>EPM1270T144C4N</t>
  </si>
  <si>
    <t>ALTERA</t>
  </si>
  <si>
    <t>618-279508-001</t>
  </si>
  <si>
    <t>RES,METAL FILM,25M,3.8W,100PPM,1%,ROHS</t>
  </si>
  <si>
    <t>MOX91022505FTE</t>
  </si>
  <si>
    <t>OHMITE MANUFACTURING COMPANY</t>
  </si>
  <si>
    <t>35 weeks</t>
  </si>
  <si>
    <t>667-A20843-002</t>
  </si>
  <si>
    <t>CONN,SMD,RCPT,MEZZ,0.8MM,120P,7.7MM HGT</t>
  </si>
  <si>
    <t>10139781-122402LF</t>
  </si>
  <si>
    <t>AMPHENOL ICC</t>
  </si>
  <si>
    <t>668-B67633-004</t>
  </si>
  <si>
    <t>CONN,RF PLUG,H ISLN,4P,1ROW,190V,RTANG</t>
  </si>
  <si>
    <t>IP5-04-01-L-S-RA1-L-TR</t>
  </si>
  <si>
    <t>8 weeks</t>
  </si>
  <si>
    <t>668-091568-096</t>
  </si>
  <si>
    <t>CONN,DIN C TYPE,FML,96 PIN</t>
  </si>
  <si>
    <t>535032-4</t>
  </si>
  <si>
    <t>630-052043-001</t>
  </si>
  <si>
    <t>IC,SMD,OP AMP,QUAD,RL TO RL IN/OUT,ROHS</t>
  </si>
  <si>
    <t>LT1499CS#PBF</t>
  </si>
  <si>
    <t>668-B70303-004</t>
  </si>
  <si>
    <t>CONN,RF PLUG,H ISLN,4P,1ROW,600VAC,4MM</t>
  </si>
  <si>
    <t>IP5-04-05.0-L-S-1-L-TR</t>
  </si>
  <si>
    <t>668-242448-001</t>
  </si>
  <si>
    <t>CONN,BLKHD,RTANG,JACK,18GHZ,PCB MT,SMA</t>
  </si>
  <si>
    <t>142-4701-501</t>
  </si>
  <si>
    <t>CINCH CONNECTIVITY SOLUTIONS.</t>
  </si>
  <si>
    <t>668-096776-037</t>
  </si>
  <si>
    <t>CONN,DSUB,37P,F,STR,BRD LCK,ROHS</t>
  </si>
  <si>
    <t>DLS4XS4AA35X</t>
  </si>
  <si>
    <t>669-801523-002</t>
  </si>
  <si>
    <t>PIN,2MM DIA X 23MMLG, M2, 25A</t>
  </si>
  <si>
    <t>22.1100</t>
  </si>
  <si>
    <t>STÄUBLI ELECTRICAL CONNECTORS</t>
  </si>
  <si>
    <t>669-121789-001</t>
  </si>
  <si>
    <t>CONT,SKT,40A</t>
  </si>
  <si>
    <t>172-978-100-201</t>
  </si>
  <si>
    <t>ODU</t>
  </si>
  <si>
    <t>6 weeks</t>
  </si>
  <si>
    <t>667-311329-002</t>
  </si>
  <si>
    <t>CONN,SMD,FEM,4POSN,PWR,ULTRA MICRO,18A</t>
  </si>
  <si>
    <t>UMPS-04-03.5-G-V-S-W-TR</t>
  </si>
  <si>
    <t>618-B48352-503</t>
  </si>
  <si>
    <t>RES,THK FILM,500KOHM,5%TOL,2W,RDL</t>
  </si>
  <si>
    <t>SM204035003JE</t>
  </si>
  <si>
    <t>670-335085-004</t>
  </si>
  <si>
    <t>FUSE,CRTG,6.3X32MM,12A,450V,FAST-ACT</t>
  </si>
  <si>
    <t>0505012.MXP</t>
  </si>
  <si>
    <t>660-B00899-001</t>
  </si>
  <si>
    <t>FR,RF SHIELD,1.75LG X 1.30IN W,NI SIL</t>
  </si>
  <si>
    <t>L-1300SA1750-0340XF</t>
  </si>
  <si>
    <t>ORBEL CORPORATION</t>
  </si>
  <si>
    <t>632-275101-001</t>
  </si>
  <si>
    <t>RLY,SMD,2 FORM C,24VDC,8.3MA,2.8K OHM</t>
  </si>
  <si>
    <t>TQ2SS-24V</t>
  </si>
  <si>
    <t>PANASONIC</t>
  </si>
  <si>
    <t>660-B00902-001</t>
  </si>
  <si>
    <t>COV,RF SHIELD,1.778LG X 1.328IN W,NI SIL</t>
  </si>
  <si>
    <t>L-1300CC1750-0340XC</t>
  </si>
  <si>
    <t>615-217661-006</t>
  </si>
  <si>
    <t>RES,SMD,CUR SNS, 0.01 OHM,0.1%,1W,2512</t>
  </si>
  <si>
    <t>Y14870R01000B9W</t>
  </si>
  <si>
    <t>VISHAY PRECISION GROUP INC.</t>
  </si>
  <si>
    <t>29 weeks</t>
  </si>
  <si>
    <t>649-228171-001</t>
  </si>
  <si>
    <t>CAP,ALUM,470UF,20%,450V,SNAP</t>
  </si>
  <si>
    <t>B43601B5477M</t>
  </si>
  <si>
    <t>EPCOS</t>
  </si>
  <si>
    <t>630-122646-001</t>
  </si>
  <si>
    <t>IC,SMD,BUCK SYNC ADJ 10A TO-PMOD-11</t>
  </si>
  <si>
    <t>LMZ13610TZ/NOPB</t>
  </si>
  <si>
    <t>648-004248-471</t>
  </si>
  <si>
    <t>CAP,SMD,CERAMIC,RF,PWR,470PF,2%</t>
  </si>
  <si>
    <t>100E471GW2500X</t>
  </si>
  <si>
    <t>AMERICAN TECHNICAL CERAMIC</t>
  </si>
  <si>
    <t>28 weeks</t>
  </si>
  <si>
    <t>630-232484-001</t>
  </si>
  <si>
    <t>IC,SMD,CTRLR,HOT,SWAP,48V</t>
  </si>
  <si>
    <t>LM5069MM-2/NOPB</t>
  </si>
  <si>
    <t>660-B59124-003</t>
  </si>
  <si>
    <t>PS,CONV,DC-DC,24V,5V OUT,1W,SIP-4</t>
  </si>
  <si>
    <t>1779205311</t>
  </si>
  <si>
    <t>WURTH ELEKTRONIK</t>
  </si>
  <si>
    <t>630-048308-001</t>
  </si>
  <si>
    <t>IC,SMD,EPM240T100C4N,100 PIN CPLD,ROHS</t>
  </si>
  <si>
    <t>EPM240T100C4N</t>
  </si>
  <si>
    <t>671-096377-010</t>
  </si>
  <si>
    <t>TP LOOPED .035 HOLE,1 POS,BLK</t>
  </si>
  <si>
    <t>TP-105-01-00</t>
  </si>
  <si>
    <t>COMPONENTS CORPORATION</t>
  </si>
  <si>
    <t>670-285389-001</t>
  </si>
  <si>
    <t>CB,THRM,3.15A,250VAC,50VDC</t>
  </si>
  <si>
    <t>1410-L110-L1F1-S01-3.15A</t>
  </si>
  <si>
    <t>E-T-A ENGINEERING TECHNOLOGY</t>
  </si>
  <si>
    <t>12 weeks</t>
  </si>
  <si>
    <t>615-122309-200</t>
  </si>
  <si>
    <t>RES,0805,TF,0.1W,0.01%,20.0K ROHS</t>
  </si>
  <si>
    <t>RNCF0805TTT20K0</t>
  </si>
  <si>
    <t>STACKPOLE ELECTRONICS</t>
  </si>
  <si>
    <t>668-B17515-003</t>
  </si>
  <si>
    <t>CONN,RCPT,M8,SHLD,3POSN,3A,PCB/PNL MT</t>
  </si>
  <si>
    <t>T4041037031-001</t>
  </si>
  <si>
    <t>668-007087-009</t>
  </si>
  <si>
    <t>CONN,HDR,PCB,M-ST,UNV M-N-LOK,9P,ROHS</t>
  </si>
  <si>
    <t>350712-4</t>
  </si>
  <si>
    <t>668-099029-026</t>
  </si>
  <si>
    <t>CONN,PIN,26P,DSUB,HD,VERT,ROHS</t>
  </si>
  <si>
    <t>K86X-AD-26P-BR</t>
  </si>
  <si>
    <t>630-223433-001</t>
  </si>
  <si>
    <t>IC,SMD,I2C IO EXPANDER,8B</t>
  </si>
  <si>
    <t>MAX7325ATG+</t>
  </si>
  <si>
    <t>668-B64376-032</t>
  </si>
  <si>
    <t>CONN,HDR,RTANG,2ROW,32POSN,2MM PITCH,TH</t>
  </si>
  <si>
    <t>2086593240</t>
  </si>
  <si>
    <t>32 weeks</t>
  </si>
  <si>
    <t>668-007087-015</t>
  </si>
  <si>
    <t>CONN,HDR,PCB,M-ST,UNV M-N-LOK,15P,ROHS</t>
  </si>
  <si>
    <t>350714-4</t>
  </si>
  <si>
    <t>641-B77115-360</t>
  </si>
  <si>
    <t>IDCTR,AIR CORE,360NH,5%,4.5A,0.0135OHM</t>
  </si>
  <si>
    <t>2929SQ-361JEC</t>
  </si>
  <si>
    <t>COILCRAFT</t>
  </si>
  <si>
    <t>630-337161-001</t>
  </si>
  <si>
    <t>IC,SMD,CPLD,980MACROCELL,6.2NS,TQFP-144</t>
  </si>
  <si>
    <t>5M1270ZT144C5N</t>
  </si>
  <si>
    <t>INTEL</t>
  </si>
  <si>
    <t>615-049171-124</t>
  </si>
  <si>
    <t>RES,SMD,0805,12.4K OHMS,ROHS</t>
  </si>
  <si>
    <t>RG2012P-1242-B-T5</t>
  </si>
  <si>
    <t>SUSUMU</t>
  </si>
  <si>
    <t>23 weeks</t>
  </si>
  <si>
    <t>630-260287-001</t>
  </si>
  <si>
    <t>IC,SMD,ADC,12-BIT,2.5MSPS,TSOT-23</t>
  </si>
  <si>
    <t>LTC2313CTS8-12#TRMPBF</t>
  </si>
  <si>
    <t>ANALOG DEVICES INC.</t>
  </si>
  <si>
    <t>630-017595-001</t>
  </si>
  <si>
    <t>C,SMD, REG 102UA-3.3, SOIC8, ROHS</t>
  </si>
  <si>
    <t>REG102UA-3.3</t>
  </si>
  <si>
    <t>639-C00547-150</t>
  </si>
  <si>
    <t>IDCTR,SMD,15UH,20%,0.0143OHM,16A</t>
  </si>
  <si>
    <t>CSEG1010-150M</t>
  </si>
  <si>
    <t>CODACA</t>
  </si>
  <si>
    <t>668-311384-004</t>
  </si>
  <si>
    <t>CONN,HDR,VERTICAL,8POS</t>
  </si>
  <si>
    <t>1720420802</t>
  </si>
  <si>
    <t>668-096777-025</t>
  </si>
  <si>
    <t>CONN,DSUB,25P,M,STR,BRD LCK,ROHS</t>
  </si>
  <si>
    <t>K85X-BD-25P-CBR</t>
  </si>
  <si>
    <t>615-B65677-001</t>
  </si>
  <si>
    <t>RES,SMD,20K,0.01%TOL,0.1W,0603,ROHS</t>
  </si>
  <si>
    <t>RNCF0603TKY20K0</t>
  </si>
  <si>
    <t>635-102422-002</t>
  </si>
  <si>
    <t>OSC,SMD,XTAL,3.072MHZ,3.3VDC,25PPM,JS6</t>
  </si>
  <si>
    <t>XLH536003.072000I</t>
  </si>
  <si>
    <t>RENESAS</t>
  </si>
  <si>
    <t>668-033594-008</t>
  </si>
  <si>
    <t>CONN,HEADER,RT ANGLE, 8 POS</t>
  </si>
  <si>
    <t>103361-6</t>
  </si>
  <si>
    <t>668-B17520-003</t>
  </si>
  <si>
    <t>CONN,PLUG,M8,SHLD,3POSN,3A,PCB/PNL MT</t>
  </si>
  <si>
    <t>T4040034031-001</t>
  </si>
  <si>
    <t>668-A01540-026</t>
  </si>
  <si>
    <t>CONN,PLUG,D-SUB,26POSN,3ROW,3A,SLDR,STR</t>
  </si>
  <si>
    <t>163A16959X</t>
  </si>
  <si>
    <t>CONEC ELEKTRONISCHE BAUELEMENTE GMBH</t>
  </si>
  <si>
    <t>668-270723-001</t>
  </si>
  <si>
    <t>CONN,PLUG,MALE,D-SUB,7POSN,2ROW,7W2</t>
  </si>
  <si>
    <t>3007W2PCT56N40X</t>
  </si>
  <si>
    <t>723-084496-010</t>
  </si>
  <si>
    <t>STDF,HEX,6MM,M/F,SST,M4X.7X10MM</t>
  </si>
  <si>
    <t>M2145-4007-SS-20</t>
  </si>
  <si>
    <t>RAF</t>
  </si>
  <si>
    <t>668-007087-012</t>
  </si>
  <si>
    <t>CONN,HDR,PCB,M-ST,UNV M-N-LOK,12P,ROHS</t>
  </si>
  <si>
    <t>350713-4</t>
  </si>
  <si>
    <t>630-B70151-001</t>
  </si>
  <si>
    <t>IC,SMD,OP AMP,CMOS,DUAL,2.7-5.5V,SOIC-8</t>
  </si>
  <si>
    <t>ADA4891-2ARZ</t>
  </si>
  <si>
    <t>616-052546-007</t>
  </si>
  <si>
    <t>RES,LOAD,40 OHM,100W,1%TOL,TO-247</t>
  </si>
  <si>
    <t>MP9100-40.0-1%</t>
  </si>
  <si>
    <t>CADDOCK ELECTRONICS INC.</t>
  </si>
  <si>
    <t>668-A51618-026</t>
  </si>
  <si>
    <t>CONN,PLUG,D-SUB,H DENSITY,26POSN,3A,60V</t>
  </si>
  <si>
    <t>163A17059X</t>
  </si>
  <si>
    <t>630-120971-001</t>
  </si>
  <si>
    <t>IC,SMD,DDR2 SDRAM,2GB,128MX16,1.8V</t>
  </si>
  <si>
    <t>MT47H128M16RT-25E:C TR</t>
  </si>
  <si>
    <t>7 weeks</t>
  </si>
  <si>
    <t>630-311294-001</t>
  </si>
  <si>
    <t>IC,SMD,REG,BUCK,ADJ,7A,65V,32LQFN</t>
  </si>
  <si>
    <t>LT8645SEV#PBF</t>
  </si>
  <si>
    <t>668-A12469-004</t>
  </si>
  <si>
    <t>CONN,RCPT,4POSN,2.54MM PITCH,SGL ROW</t>
  </si>
  <si>
    <t>SSW-104-06-G-S</t>
  </si>
  <si>
    <t>615-267477-001</t>
  </si>
  <si>
    <t>RES,SMD,2512,THKF,5%,1W,160K OHM,ROHS</t>
  </si>
  <si>
    <t>CRCW2512160KJNEG</t>
  </si>
  <si>
    <t>VISHAY</t>
  </si>
  <si>
    <t>668-A21735-001</t>
  </si>
  <si>
    <t>CONN,HDR,PLUG,STR,1ROW,4POSN,.1IN PITCH</t>
  </si>
  <si>
    <t>MTSW-104-23-G-S-255</t>
  </si>
  <si>
    <t>630-198438-001</t>
  </si>
  <si>
    <t>IC,SMD,QUAD 16BIT DAC,I2C INTFC</t>
  </si>
  <si>
    <t>AD5696RBRUZ</t>
  </si>
  <si>
    <t>616-052546-005</t>
  </si>
  <si>
    <t>RES,LOAD,5 OHM,100W,1%TOL,TO-247</t>
  </si>
  <si>
    <t>MP9100-5.00-1%</t>
  </si>
  <si>
    <t>621-266358-001</t>
  </si>
  <si>
    <t>POT,2K OHM,0.5W,25T,SIDE ADJUST</t>
  </si>
  <si>
    <t>3299Z-1-202LF</t>
  </si>
  <si>
    <t>BOURNS</t>
  </si>
  <si>
    <t>667-281523-006</t>
  </si>
  <si>
    <t>CONN,SMD,PWR,SHROUDED,16POS,ROHS</t>
  </si>
  <si>
    <t>IPL1-108-02-L-D-K</t>
  </si>
  <si>
    <t>670-263372-008</t>
  </si>
  <si>
    <t>FUSE,CRTG,CER,FAST-ACT,0.2A,250V,5X20MM</t>
  </si>
  <si>
    <t>0216.200MXP</t>
  </si>
  <si>
    <t>645-313806-001</t>
  </si>
  <si>
    <t>SW,DIP,MINIATURE,ROTARY,WASHABLE</t>
  </si>
  <si>
    <t>DRR7016C</t>
  </si>
  <si>
    <t>NIDEC</t>
  </si>
  <si>
    <t>15 weeks</t>
  </si>
  <si>
    <t>669-C00309-007</t>
  </si>
  <si>
    <t>CONT,PIN,600V,140A,6MM DIA,48MM LG</t>
  </si>
  <si>
    <t>203263-0066</t>
  </si>
  <si>
    <t>668-267052-006</t>
  </si>
  <si>
    <t>CONN,HDR,PCB,6CKT,1ROW,600V,50A,10MM,BLK</t>
  </si>
  <si>
    <t>428196223</t>
  </si>
  <si>
    <t>615-122309-612</t>
  </si>
  <si>
    <t>RES,0805,TF,0.1W,0.01%,61.2K ROHS</t>
  </si>
  <si>
    <t>RNCF0805TTT61K2</t>
  </si>
  <si>
    <t>630-339886-001</t>
  </si>
  <si>
    <t>IC,SMD,DC/DC,STEP DN MDL,4-36V,0.5A</t>
  </si>
  <si>
    <t>LMZM23600SILT</t>
  </si>
  <si>
    <t>630-017794-002</t>
  </si>
  <si>
    <t>IC,SMD,SWITCHING REG,LT1376HVIS, ROHS</t>
  </si>
  <si>
    <t>LT1376HVIS#PBF</t>
  </si>
  <si>
    <t>630-900073-001</t>
  </si>
  <si>
    <t>IC,AD586 VREF 5V SO8</t>
  </si>
  <si>
    <t>AD586KRZ</t>
  </si>
  <si>
    <t>615-224835-017</t>
  </si>
  <si>
    <t>RES,0603,TF,0.1%,25 PPM,0.15W,49.9K</t>
  </si>
  <si>
    <t>PATT0603E4992BGT1</t>
  </si>
  <si>
    <t>630-268428-001</t>
  </si>
  <si>
    <t>IC,SMD,USB BRIDGE TO UART,DFN12</t>
  </si>
  <si>
    <t>FT234XD-R</t>
  </si>
  <si>
    <t>FUTURE TECHNOLOGY DEVICES INTERNATIONAL (FTDI) LTD.</t>
  </si>
  <si>
    <t>30 weeks</t>
  </si>
  <si>
    <t>668-096777-037</t>
  </si>
  <si>
    <t>CONN,DSUB,37P,M,STR,BRD LCK,ROHS</t>
  </si>
  <si>
    <t>K85X-CD-37P-CBR</t>
  </si>
  <si>
    <t>630-248896-001</t>
  </si>
  <si>
    <t>IC,SMD,FLASH,128M,QPI/QSPI</t>
  </si>
  <si>
    <t>IS25LP128-JBLE</t>
  </si>
  <si>
    <t>INTEGRATED SILICON SOLUTION</t>
  </si>
  <si>
    <t>630-087790-001</t>
  </si>
  <si>
    <t>IC,SMD,ECAT CONT,ET1100,128BGA,ROHS</t>
  </si>
  <si>
    <t>ET1100</t>
  </si>
  <si>
    <t>BECKHOFF AUTOMATION LLC</t>
  </si>
  <si>
    <t>630-068465-004</t>
  </si>
  <si>
    <t>IC,SMD,VOLTAGE REF,0.1%,4.096V ROHS</t>
  </si>
  <si>
    <t>REF5040AID</t>
  </si>
  <si>
    <t>615-049171-274</t>
  </si>
  <si>
    <t>RES,SMD,0805,27.4K OHMS,ROHS</t>
  </si>
  <si>
    <t>RG2012P-2742-B-T5</t>
  </si>
  <si>
    <t>723-299192-001</t>
  </si>
  <si>
    <t>STDF,RND,SMT,0.125 LONG</t>
  </si>
  <si>
    <t>SMTSO-143-4ET</t>
  </si>
  <si>
    <t>PENN ENGINEERING</t>
  </si>
  <si>
    <t>626-A21861-001</t>
  </si>
  <si>
    <t>XSTR,SMD,MOSFET,N-CH,300V,26A,TO-252</t>
  </si>
  <si>
    <t>IXFY26N30X3</t>
  </si>
  <si>
    <t>49 weeks</t>
  </si>
  <si>
    <t>630-228108-001</t>
  </si>
  <si>
    <t>IC,SMD,BI,DIR,LEVEL TRANSL,6CH</t>
  </si>
  <si>
    <t>MAX13035EETE+</t>
  </si>
  <si>
    <t>616-052546-003</t>
  </si>
  <si>
    <t>RES,LOAD,20 OHM,100W,1%TOL,TO-247</t>
  </si>
  <si>
    <t>MP9100-20.0-1%</t>
  </si>
  <si>
    <t>639-121560-001</t>
  </si>
  <si>
    <t>IDCTR,SMD,PWR,2.2UH,30% TOL,1.45A</t>
  </si>
  <si>
    <t>SRU2013-2R2Y</t>
  </si>
  <si>
    <t>779-002694-001</t>
  </si>
  <si>
    <t>HTSK,THERMAL CONDUCTOR,TO-220</t>
  </si>
  <si>
    <t>QII-0.006-00-61</t>
  </si>
  <si>
    <t>HENKEL</t>
  </si>
  <si>
    <t>3 weeks</t>
  </si>
  <si>
    <t>631-099702-003</t>
  </si>
  <si>
    <t>IC,FO RECVR, HORZ, ROHS</t>
  </si>
  <si>
    <t>HFBR-2531ETZ</t>
  </si>
  <si>
    <t>BROADCOM INC.</t>
  </si>
  <si>
    <t>639-A21737-001</t>
  </si>
  <si>
    <t>IDCTR,SMD,22UH,18MHZ,2.5A,AEC-Q200</t>
  </si>
  <si>
    <t>DO3316T-223MLD</t>
  </si>
  <si>
    <t>630-026177-001</t>
  </si>
  <si>
    <t>IC,SMD,HOT SWAP SWITCH,POS 65V,ROHS</t>
  </si>
  <si>
    <t>MAX5917AESE+</t>
  </si>
  <si>
    <t>648-051878-333</t>
  </si>
  <si>
    <t>CAP,SMD,0603,.033UF,50V,10%,X7R,ROHS</t>
  </si>
  <si>
    <t>C0603T333K5RACTU</t>
  </si>
  <si>
    <t>KEMET</t>
  </si>
  <si>
    <t>630-232598-001</t>
  </si>
  <si>
    <t>IC,SMD,2.93V,SUPPLY,MONITOR</t>
  </si>
  <si>
    <t>TLC7733IPWR</t>
  </si>
  <si>
    <t>615-A40653-909</t>
  </si>
  <si>
    <t>RES,SMD,1206,0.1%,0.4W,90.9K,ROHS</t>
  </si>
  <si>
    <t>TNPW120690K9BEEA</t>
  </si>
  <si>
    <t>668-121742-012</t>
  </si>
  <si>
    <t>CONN,MAG45 MOD JACK GRN/YEL PCB,ROHS</t>
  </si>
  <si>
    <t>2250067-1</t>
  </si>
  <si>
    <t>TRP CONNECTOR B.V.</t>
  </si>
  <si>
    <t>668-A44871-006</t>
  </si>
  <si>
    <t>CONN,HDR,6CKT,7.5MM PITCH,18A,600V,TH</t>
  </si>
  <si>
    <t>43160-0306</t>
  </si>
  <si>
    <t>668-267052-004</t>
  </si>
  <si>
    <t>CONN,HDR,PCB,5CKT,1ROW,600V,50A,10MM,BLK</t>
  </si>
  <si>
    <t>428195223</t>
  </si>
  <si>
    <t>668-269583-002</t>
  </si>
  <si>
    <t>CONN,PLUG HSG,DIN,SIG,32P,TYPE 2Q,ROHS</t>
  </si>
  <si>
    <t>09271326903</t>
  </si>
  <si>
    <t>HARTING TECHNOLOGY GROUP</t>
  </si>
  <si>
    <t>667-281523-008</t>
  </si>
  <si>
    <t>CONN,SMD,PWR,SHROUDED,24POS,ROHS</t>
  </si>
  <si>
    <t>IPL1-112-02-L-D-K</t>
  </si>
  <si>
    <t>11 weeks</t>
  </si>
  <si>
    <t>648-243376-039</t>
  </si>
  <si>
    <t>CAP,SMD,CER,1000PF,±5%,X7R,630V,0805</t>
  </si>
  <si>
    <t>C0805C102JBRACTU</t>
  </si>
  <si>
    <t>631-099701-003</t>
  </si>
  <si>
    <t>IC,XMTR,FIBER OPTIC,ROHS</t>
  </si>
  <si>
    <t>HFBR-1531ETZ</t>
  </si>
  <si>
    <t>668-089643-020</t>
  </si>
  <si>
    <t>CONN,RCPT,LOW PROFILE STRIP 20P,ROHS</t>
  </si>
  <si>
    <t>SL-120-G-10</t>
  </si>
  <si>
    <t>639-A21747-001</t>
  </si>
  <si>
    <t>XFMR,SMD,GATE DRIVE,1:1:1,1500VDC</t>
  </si>
  <si>
    <t>X-1569</t>
  </si>
  <si>
    <t>PULSER LLC.</t>
  </si>
  <si>
    <t>31-10099-00</t>
  </si>
  <si>
    <t>KEYING PLUG,D CONN</t>
  </si>
  <si>
    <t>206509-1</t>
  </si>
  <si>
    <t>TE CONNECTIVITY (P)</t>
  </si>
  <si>
    <t>630-067077-002</t>
  </si>
  <si>
    <t>IC,SMD,OPT, 1MHZ,6P, ,H11N1SR2M ROHS</t>
  </si>
  <si>
    <t>H11N1SR2M</t>
  </si>
  <si>
    <t>ON SEMICONDUCTOR</t>
  </si>
  <si>
    <t>615-B36708-002</t>
  </si>
  <si>
    <t>RES,SMD,2.43K OHM,0.1%,0.063W,0402</t>
  </si>
  <si>
    <t>ERA2ARB2431X</t>
  </si>
  <si>
    <t>630-204173-001</t>
  </si>
  <si>
    <t>IC,SMD,CLK BUFFER</t>
  </si>
  <si>
    <t>524MILF</t>
  </si>
  <si>
    <t>IDT</t>
  </si>
  <si>
    <t>668-B94693-003</t>
  </si>
  <si>
    <t>CONN,HDR,3POSN,RTANG,30A,PCB,W/ BD LOCK</t>
  </si>
  <si>
    <t>172043-0302</t>
  </si>
  <si>
    <t>616-052546-006</t>
  </si>
  <si>
    <t>RES,LOAD,10 OHM,100W,1%TOL,TO-247</t>
  </si>
  <si>
    <t>MP9100-10.0-1%</t>
  </si>
  <si>
    <t>615-B39027-001</t>
  </si>
  <si>
    <t>RES,SMD,THIN FILM,249OHM,.1%,1/16W,0402</t>
  </si>
  <si>
    <t>TNPW0402249RBYEP</t>
  </si>
  <si>
    <t>635-B65663-160</t>
  </si>
  <si>
    <t>OSC,SMD,XTAL,16MHZ,2.5PPM,1.7-3.6V</t>
  </si>
  <si>
    <t>ECS-TXO-3225MV-160-TR</t>
  </si>
  <si>
    <t>ECS INC. INTERNATIONAL</t>
  </si>
  <si>
    <t>615-041833-203</t>
  </si>
  <si>
    <t>RES,SMD,2010,PTF,1%,1/2W,20K</t>
  </si>
  <si>
    <t>ERJ-12SF2002U</t>
  </si>
  <si>
    <t>648-C06198-303</t>
  </si>
  <si>
    <t>CAP,SMD,MLCC,0.03UF,10%,X7R,3KVDC</t>
  </si>
  <si>
    <t>C2220C303KHRLCAUTO</t>
  </si>
  <si>
    <t>615-B72620-005</t>
  </si>
  <si>
    <t>RES,SMD,CUR SNS,0.005OHM,1% TOL,4W,3518</t>
  </si>
  <si>
    <t>FC4L90R005FER</t>
  </si>
  <si>
    <t>644-059699-005</t>
  </si>
  <si>
    <t>RLY,HV,REED,DPDT</t>
  </si>
  <si>
    <t>500-231</t>
  </si>
  <si>
    <t>COMPUTER COMPONENTS,INC</t>
  </si>
  <si>
    <t>667-B77583-001</t>
  </si>
  <si>
    <t>CONN,SMD,DSUB,RCPT,9P,SHL SIZE E,RTANG</t>
  </si>
  <si>
    <t>K202XHT-E9S-N</t>
  </si>
  <si>
    <t>KYCON INC.</t>
  </si>
  <si>
    <t>630-099973-001</t>
  </si>
  <si>
    <t>IC,ADG431 QUAD ANLG SW,SO16, ROHS</t>
  </si>
  <si>
    <t>ADG431BRZ</t>
  </si>
  <si>
    <t>670-006780-038</t>
  </si>
  <si>
    <t>FUSE .25x1.25 12A 250VAC,ROHS</t>
  </si>
  <si>
    <t>#ABC-12</t>
  </si>
  <si>
    <t>615-099609-806</t>
  </si>
  <si>
    <t>RES,SMD,2010,80.6,1%,1/2W,ROHS</t>
  </si>
  <si>
    <t>RK73H2HTTE80R6F</t>
  </si>
  <si>
    <t>KOA SPEER</t>
  </si>
  <si>
    <t>668-005463-026</t>
  </si>
  <si>
    <t>HEADER,STRAIGHT,DOUBLE ROW,26C,ROHS</t>
  </si>
  <si>
    <t>67997-126HLF</t>
  </si>
  <si>
    <t>FCI</t>
  </si>
  <si>
    <t>639-A21749-001</t>
  </si>
  <si>
    <t>XFMR,SMD,CUR,0.0017 H,4A,1:50 TURNS R</t>
  </si>
  <si>
    <t>PA0368.050NL</t>
  </si>
  <si>
    <t>PULSE ELECTRONICS</t>
  </si>
  <si>
    <t>648-051878-224</t>
  </si>
  <si>
    <t>CAP,SMD,0603,0.22UF,50V,10%,ROHS</t>
  </si>
  <si>
    <t>NMC0603X7R224K50TRPF</t>
  </si>
  <si>
    <t>NIC COMPONENTS</t>
  </si>
  <si>
    <t>668-A44871-002</t>
  </si>
  <si>
    <t>CONN,HDR,2CKT,7.5MM PITCH,18A,600V,TH</t>
  </si>
  <si>
    <t>43160-0302</t>
  </si>
  <si>
    <t>618-007480-237</t>
  </si>
  <si>
    <t>RESSTR,FXD,1/4W,1%,MTL FLM,237,ROHS</t>
  </si>
  <si>
    <t>CMF55237R00 FHEB</t>
  </si>
  <si>
    <t>VISHAY/DALE</t>
  </si>
  <si>
    <t>630-173321-001</t>
  </si>
  <si>
    <t>IC,SMD,SRAM,256Kx16,TSOP,ROHS</t>
  </si>
  <si>
    <t>AS7C34098A-10TCN</t>
  </si>
  <si>
    <t>ALLIANCE MEMORY</t>
  </si>
  <si>
    <t>609-B81538-001</t>
  </si>
  <si>
    <t>DIO,SMD,ARR,SCHOTTKY,200V,15A,TO263AC</t>
  </si>
  <si>
    <t>MBRBF30200CT-TP</t>
  </si>
  <si>
    <t>MCC</t>
  </si>
  <si>
    <t>670-A40551-025</t>
  </si>
  <si>
    <t>FUSE,CRTG,FAST ACT,500VDC/AC,25A,6X32MM</t>
  </si>
  <si>
    <t>0ADEC9250-BE</t>
  </si>
  <si>
    <t>615-080145-047</t>
  </si>
  <si>
    <t>RES,1206,TF,0.1%,25 PPM,174K ROHS</t>
  </si>
  <si>
    <t>TNPW1206174KBETA</t>
  </si>
  <si>
    <t>630-B06281-001</t>
  </si>
  <si>
    <t>IC,SMD,BFR,3 STATE,8-BIT,6V,TSSOP20</t>
  </si>
  <si>
    <t>74HCT7541PW118</t>
  </si>
  <si>
    <t>NEXPERIA</t>
  </si>
  <si>
    <t>58 weeks</t>
  </si>
  <si>
    <t>648-067080-001</t>
  </si>
  <si>
    <t>CAP,SMD,CER,X7R,50V,20%,10UF ROHS</t>
  </si>
  <si>
    <t>CKG57NX7R1H106M500JH</t>
  </si>
  <si>
    <t>TDK</t>
  </si>
  <si>
    <t>670-A39955-001</t>
  </si>
  <si>
    <t>CLIP,1/4 IN DIA FU,ANGLED LEAD,CRTG BRS</t>
  </si>
  <si>
    <t>1A1119-10-R</t>
  </si>
  <si>
    <t>615-064170-107</t>
  </si>
  <si>
    <t>RES,SMD,0805,RG,MF,0.1%,1/10W,1.07K ROHS</t>
  </si>
  <si>
    <t>RG2012P-1071-B-T5</t>
  </si>
  <si>
    <t>639-065795-001</t>
  </si>
  <si>
    <t>IDCTR,SMD,COM MODE FLTR,ROHS</t>
  </si>
  <si>
    <t>M2022-ALC</t>
  </si>
  <si>
    <t>630-341691-001</t>
  </si>
  <si>
    <t>IC,SMD,HOT SWAP CONT,2.7-36V,4UA,12-MSOP</t>
  </si>
  <si>
    <t>LTC4231HMS-1#PBF</t>
  </si>
  <si>
    <t>648-326249-001</t>
  </si>
  <si>
    <t>CAP,SMD,AL ELCTLT,2200UF,±20% TOL,35V</t>
  </si>
  <si>
    <t>EEEFK1V222SM</t>
  </si>
  <si>
    <t>615-064170-237</t>
  </si>
  <si>
    <t>RES,SMD,0805,RG,MF,0.1%,1/10W,2.37K ROHS</t>
  </si>
  <si>
    <t>RG2012P-2371-B-T5</t>
  </si>
  <si>
    <t>630-343681-001</t>
  </si>
  <si>
    <t>IC,POT,DGTL,20K,1%TOL,1024POS,TSSOP-14</t>
  </si>
  <si>
    <t>AD5292BRUZ-20</t>
  </si>
  <si>
    <t>630-259131-001</t>
  </si>
  <si>
    <t>IC,SMD,CMOS,VREF SERIES,1.25V,SOT23-3</t>
  </si>
  <si>
    <t>REF3012AIDBZR</t>
  </si>
  <si>
    <t>615-080142-198</t>
  </si>
  <si>
    <t>RES,1206,TF,0.1%,+/- 25 PPM,198 ROHS</t>
  </si>
  <si>
    <t>TNPW1206198RBEEA</t>
  </si>
  <si>
    <t>668-035473-020</t>
  </si>
  <si>
    <t>CONN,INTCON STRIP, MALE 20 PIN</t>
  </si>
  <si>
    <t>BBS-120-G-A</t>
  </si>
  <si>
    <t>615-122309-100</t>
  </si>
  <si>
    <t>RES,0805,TF,0.1W,0.01%,10.0K ROHS</t>
  </si>
  <si>
    <t>RNCF0805TTT10K0</t>
  </si>
  <si>
    <t>615-064170-210</t>
  </si>
  <si>
    <t>RES,SMD,0805,RG,MF,0.1%,1/10W,2.10K</t>
  </si>
  <si>
    <t>RG2012P-2101-B-T5</t>
  </si>
  <si>
    <t>639-004556-390</t>
  </si>
  <si>
    <t>IDCTR,SMD,0.5" X 0.25", 390 UH,ROHS</t>
  </si>
  <si>
    <t>4922R-32L</t>
  </si>
  <si>
    <t>API DELEVAN</t>
  </si>
  <si>
    <t>639-B45787-001</t>
  </si>
  <si>
    <t>IDCTR,SMD,H CUR,2.8UH,20%TOL,3.3MOHM,20A</t>
  </si>
  <si>
    <t>7443551280</t>
  </si>
  <si>
    <t>630-A21745-001</t>
  </si>
  <si>
    <t>IC,SMD,PWM CONT,2-OUT,5.05-5.15V,SOIC-16</t>
  </si>
  <si>
    <t>UC2825AQDWREP</t>
  </si>
  <si>
    <t>668-160560-040</t>
  </si>
  <si>
    <t>CONN,RCPT,SMD,VERT,40P,DUAL ROW,2MM</t>
  </si>
  <si>
    <t>0791091019</t>
  </si>
  <si>
    <t>670-260022-006</t>
  </si>
  <si>
    <t>FUSE,CRTG,0.8AMP,500VAC/400VDC,5X20MM</t>
  </si>
  <si>
    <t>0477.800MXP</t>
  </si>
  <si>
    <t>630-221563-003</t>
  </si>
  <si>
    <t>IC,TC74,A2,TMP SNSR,I2C,TO220-5</t>
  </si>
  <si>
    <t>TC74A2-3.3VAT</t>
  </si>
  <si>
    <t>MICROCHIP TECHNOLOGY INC.</t>
  </si>
  <si>
    <t>648-A42164-224</t>
  </si>
  <si>
    <t>CAP,SMD,CER,X7R,0.22UF,±5%,100V,1812</t>
  </si>
  <si>
    <t>C1812C224J1RACTU</t>
  </si>
  <si>
    <t>648-243934-001</t>
  </si>
  <si>
    <t>CAP,SMD,CER,750PF,±2% TOL,50V,NPO,0402</t>
  </si>
  <si>
    <t>C0402C751G5GACTU</t>
  </si>
  <si>
    <t>648-082038-390</t>
  </si>
  <si>
    <t>CAP,CER,0805,NPO,±5%,250V,39PF</t>
  </si>
  <si>
    <t>251R15S390JV4E</t>
  </si>
  <si>
    <t>JOHANSON TECHNOLOGY</t>
  </si>
  <si>
    <t>615-109462-191</t>
  </si>
  <si>
    <t>RES,SMD,0805,1.91K,0.1%,1/10W,ROHS</t>
  </si>
  <si>
    <t>TNPW08051K91BEEN</t>
  </si>
  <si>
    <t>668-097649-064</t>
  </si>
  <si>
    <t>CONN,DIN,STR,64 POS,MALE, ROHS</t>
  </si>
  <si>
    <t>100-064-133</t>
  </si>
  <si>
    <t>PANCON</t>
  </si>
  <si>
    <t>687-C11587-001</t>
  </si>
  <si>
    <t>SPCR,SLF-RTNG,1.6MM PNL THK,PA66,NATURAL</t>
  </si>
  <si>
    <t>702910000</t>
  </si>
  <si>
    <t>WURTH ELEKTRONIK (P)</t>
  </si>
  <si>
    <t>630-340553-001</t>
  </si>
  <si>
    <t>IC,SMD,CLOCK BFR,1-4,8PIN,1.8-3.3V,DFN</t>
  </si>
  <si>
    <t>551SCMGI</t>
  </si>
  <si>
    <t>615-064170-196</t>
  </si>
  <si>
    <t>RES,SMD,0805,RG,MF,0.1%,1/10W,1.96K ROHS</t>
  </si>
  <si>
    <t>RG2012P-1961-B-T5</t>
  </si>
  <si>
    <t>630-121394-001</t>
  </si>
  <si>
    <t>IC,SMD,ETHERNET PHY,10/100 MB/S,ROHS</t>
  </si>
  <si>
    <t>TLK110PTR</t>
  </si>
  <si>
    <t>630-039459-004</t>
  </si>
  <si>
    <t>IC,SMD,SUPERVISORY CKT,TPS3837K33</t>
  </si>
  <si>
    <t>TPS3837K33DBVT</t>
  </si>
  <si>
    <t>668-277308-002</t>
  </si>
  <si>
    <t>CONN,PLUG,DSUB,09POS,VERT,7.5A,125V</t>
  </si>
  <si>
    <t>163A16159X</t>
  </si>
  <si>
    <t>668-064219-015</t>
  </si>
  <si>
    <t>CONN,RCPT HD D-SUB,RA,15 PIN FEMALE,ROHS</t>
  </si>
  <si>
    <t>K66X-E15S-N</t>
  </si>
  <si>
    <t>615-A40066-001</t>
  </si>
  <si>
    <t>RES,SMD,PWR,.004OHM,±.5%,3W,±150PPM,2512</t>
  </si>
  <si>
    <t>WSLP25124L000DEA</t>
  </si>
  <si>
    <t>648-B66447-472</t>
  </si>
  <si>
    <t>CAP,SMD,4700PF,+/-10%TOL,100VDC,0805</t>
  </si>
  <si>
    <t>CDR31BX472BKUS</t>
  </si>
  <si>
    <t>56 weeks</t>
  </si>
  <si>
    <t>615-B53766-002</t>
  </si>
  <si>
    <t>RES,SMD,THIN FILM,200 OHM,.1%,.5W,0603</t>
  </si>
  <si>
    <t>RA73F1J200RBTDF</t>
  </si>
  <si>
    <t>668-230911-009</t>
  </si>
  <si>
    <t>CONN,HDR,8POS,.100",ROHS</t>
  </si>
  <si>
    <t>TSW-108-17-G-S</t>
  </si>
  <si>
    <t>639-311328-002</t>
  </si>
  <si>
    <t>IDCTR,SMD,POWER,SHIELDED,0.82UH</t>
  </si>
  <si>
    <t>XEL6060-821MEC</t>
  </si>
  <si>
    <t>670-338640-050</t>
  </si>
  <si>
    <t>FUSE,CRTG,0.5A,600VAC/400DC,5X20MM</t>
  </si>
  <si>
    <t>S505H-500-R</t>
  </si>
  <si>
    <t>100 weeks</t>
  </si>
  <si>
    <t>609-185158-001</t>
  </si>
  <si>
    <t>DIO,SMD,TVS,25.6V,1.5KW,SMCJ1.5KE,ROHS</t>
  </si>
  <si>
    <t>SMCJ1.5KE30A-TP</t>
  </si>
  <si>
    <t>MICRO COMMERCIAL CO</t>
  </si>
  <si>
    <t>608-096583-504</t>
  </si>
  <si>
    <t>RES,SMD,POT,12T,T-ADJ,0.25SQ,500K,ROHS</t>
  </si>
  <si>
    <t>TS63Y504KR10</t>
  </si>
  <si>
    <t>648-083577-106</t>
  </si>
  <si>
    <t>CAP,SMD,1206,CER,X7R,10%,25V,10UF ROHS</t>
  </si>
  <si>
    <t>C1206C106K3RAC</t>
  </si>
  <si>
    <t>57 weeks</t>
  </si>
  <si>
    <t>615-A31517-001</t>
  </si>
  <si>
    <t>RES,SMD,49.9OHM,±0.1%,1W,±25PPM,0805</t>
  </si>
  <si>
    <t>PCAN0805E49R9BST5</t>
  </si>
  <si>
    <t>630-B94226-030</t>
  </si>
  <si>
    <t>IC,SMD,CUR SNSR,4.75-5.5V,30A,SOIC-8</t>
  </si>
  <si>
    <t>CT418-HSN830DR</t>
  </si>
  <si>
    <t>ALLEGRO MICROSYSTEMS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</si>
</sst>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.00000_);_(&quot;$&quot;* \(#,##0.00000\);_(&quot;$&quot;* &quot;-&quot;??_);_(@_)"/>
    <numFmt numFmtId="165" formatCode="0.0"/>
    <numFmt numFmtId="166" formatCode="_(&quot;$&quot;* #,##0.000_);_(&quot;$&quot;* \(#,##0.0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9" fontId="0" fillId="0" borderId="0" xfId="2" applyFont="1" applyAlignment="1">
      <alignment horizontal="center"/>
    </xf>
    <xf numFmtId="164" fontId="0" fillId="0" borderId="0" xfId="1" applyNumberFormat="1" applyFont="1"/>
    <xf numFmtId="9" fontId="0" fillId="0" borderId="0" xfId="2" applyFont="1"/>
    <xf numFmtId="164" fontId="0" fillId="4" borderId="1" xfId="1" applyNumberFormat="1" applyFont="1" applyFill="1" applyBorder="1" applyAlignment="1">
      <alignment horizontal="center" vertical="center" wrapText="1"/>
    </xf>
    <xf numFmtId="164" fontId="0" fillId="0" borderId="1" xfId="1" applyNumberFormat="1" applyFont="1" applyFill="1" applyBorder="1"/>
    <xf numFmtId="4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1" fontId="0" fillId="0" borderId="1" xfId="0" applyNumberFormat="1" applyBorder="1" applyAlignment="1">
      <alignment horizontal="left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44" fontId="0" fillId="0" borderId="0" xfId="0" applyNumberFormat="1" applyAlignment="1">
      <alignment horizontal="center"/>
    </xf>
    <xf numFmtId="44" fontId="0" fillId="0" borderId="0" xfId="1" applyFont="1"/>
    <xf numFmtId="9" fontId="0" fillId="6" borderId="1" xfId="2" applyFont="1" applyFill="1" applyBorder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h.syre\AppData\Local\Microsoft\Windows\INetCache\Content.Outlook\S7884HU1\Lam-Astute_NewParts%20-%20Completed%20-%20JH.xlsx" TargetMode="External"/><Relationship Id="rId1" Type="http://schemas.openxmlformats.org/officeDocument/2006/relationships/externalLinkPath" Target="file:///C:\Users\josh.syre\AppData\Local\Microsoft\Windows\INetCache\Content.Outlook\S7884HU1\Lam-Astute_NewParts%20-%20Completed%20-%20J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M NewParts Analysis"/>
    </sheetNames>
    <sheetDataSet>
      <sheetData sheetId="0">
        <row r="1">
          <cell r="A1" t="str">
            <v>Part Number</v>
          </cell>
          <cell r="B1" t="str">
            <v>Description</v>
          </cell>
          <cell r="C1" t="str">
            <v>MPN</v>
          </cell>
          <cell r="D1" t="str">
            <v>MFR</v>
          </cell>
          <cell r="E1" t="str">
            <v>Component Type</v>
          </cell>
          <cell r="F1" t="str">
            <v>LAM Target Qty</v>
          </cell>
          <cell r="G1" t="str">
            <v>Astute Order Qty</v>
          </cell>
          <cell r="H1" t="str">
            <v>SPQ Bumped?</v>
          </cell>
          <cell r="I1" t="str">
            <v>Median BOM Cost</v>
          </cell>
        </row>
        <row r="2">
          <cell r="A2" t="str">
            <v>609-034003-012</v>
          </cell>
          <cell r="B2" t="str">
            <v>DIO,SMD,PWR,TVS,600W,12V,ROHS</v>
          </cell>
          <cell r="C2" t="str">
            <v>SMBJ12A</v>
          </cell>
          <cell r="D2" t="str">
            <v>LITTELFUSE</v>
          </cell>
          <cell r="E2" t="str">
            <v>Diode/LED</v>
          </cell>
          <cell r="F2">
            <v>15</v>
          </cell>
          <cell r="G2">
            <v>15</v>
          </cell>
          <cell r="I2">
            <v>9.4312499999999994E-2</v>
          </cell>
        </row>
        <row r="3">
          <cell r="A3" t="str">
            <v>644-B57073-024</v>
          </cell>
          <cell r="B3" t="str">
            <v>RLY,REED,LD SW,1 FORM A,24VDC,3A,200W</v>
          </cell>
          <cell r="C3" t="str">
            <v>5503-24-1</v>
          </cell>
          <cell r="D3" t="str">
            <v>COTO TECHNOLOGY, INC.</v>
          </cell>
          <cell r="E3" t="str">
            <v>Relay</v>
          </cell>
          <cell r="F3">
            <v>1775</v>
          </cell>
          <cell r="G3">
            <v>1775</v>
          </cell>
          <cell r="I3">
            <v>44.193987999999997</v>
          </cell>
        </row>
        <row r="4">
          <cell r="A4" t="str">
            <v>632-258830-001</v>
          </cell>
          <cell r="B4" t="str">
            <v>RLY,SMD,SIG,24VDC,2A,230MW,2.5KOHM,DPDT</v>
          </cell>
          <cell r="C4" t="str">
            <v>AGQ200A24Z</v>
          </cell>
          <cell r="D4" t="str">
            <v>PANASONIC</v>
          </cell>
          <cell r="E4" t="str">
            <v>Relay</v>
          </cell>
          <cell r="F4">
            <v>10985</v>
          </cell>
          <cell r="G4">
            <v>11700</v>
          </cell>
          <cell r="H4" t="str">
            <v>YES</v>
          </cell>
          <cell r="I4">
            <v>0.90356100000000006</v>
          </cell>
        </row>
        <row r="5">
          <cell r="A5" t="str">
            <v>630-337692-004</v>
          </cell>
          <cell r="B5" t="str">
            <v>IC,SMD,DUAL-ARM,CORTEX-A53,3.5MB,SFVC784</v>
          </cell>
          <cell r="C5" t="str">
            <v>XCZU5CG-1SFVC784E</v>
          </cell>
          <cell r="D5" t="str">
            <v>XILINX</v>
          </cell>
          <cell r="E5" t="str">
            <v>IC/Semi</v>
          </cell>
          <cell r="F5">
            <v>25</v>
          </cell>
          <cell r="G5">
            <v>25</v>
          </cell>
          <cell r="I5">
            <v>1464.8891040000001</v>
          </cell>
        </row>
        <row r="6">
          <cell r="A6" t="str">
            <v>668-133934-120</v>
          </cell>
          <cell r="B6" t="str">
            <v>CONN,RCPT,HIGH DENSITY,.050",120POS,ROHS</v>
          </cell>
          <cell r="C6" t="str">
            <v>FOLC-130-L4-L-Q-LC</v>
          </cell>
          <cell r="D6" t="str">
            <v>SAMTEC</v>
          </cell>
          <cell r="E6" t="str">
            <v>Connector</v>
          </cell>
          <cell r="F6">
            <v>850</v>
          </cell>
          <cell r="G6">
            <v>850</v>
          </cell>
          <cell r="I6">
            <v>10.365993</v>
          </cell>
        </row>
        <row r="7">
          <cell r="A7" t="str">
            <v>644-B50792-024</v>
          </cell>
          <cell r="B7" t="str">
            <v>RLY,REED,SPST-NO,24VDC,1A,100W,W/DIO</v>
          </cell>
          <cell r="C7" t="str">
            <v>SHV24-1A85-78D3K</v>
          </cell>
          <cell r="D7" t="str">
            <v>STANDEX ELECTRONIC</v>
          </cell>
          <cell r="E7" t="str">
            <v>Relay</v>
          </cell>
          <cell r="F7">
            <v>2190</v>
          </cell>
          <cell r="G7">
            <v>2190</v>
          </cell>
          <cell r="I7">
            <v>8.1909939999999999</v>
          </cell>
        </row>
        <row r="8">
          <cell r="A8" t="str">
            <v>630-337692-003</v>
          </cell>
          <cell r="B8" t="str">
            <v>IC,SMD,DUAL-ARM,CORTEX-A53,2.6MB,SFVC784</v>
          </cell>
          <cell r="C8" t="str">
            <v>XCZU4CG-1SFVC784E</v>
          </cell>
          <cell r="D8" t="str">
            <v>XILINX</v>
          </cell>
          <cell r="E8" t="str">
            <v>IC/Semi</v>
          </cell>
          <cell r="F8">
            <v>5</v>
          </cell>
          <cell r="G8">
            <v>5</v>
          </cell>
          <cell r="I8">
            <v>925.819433</v>
          </cell>
        </row>
        <row r="9">
          <cell r="A9" t="str">
            <v>668-096776-009</v>
          </cell>
          <cell r="B9" t="str">
            <v>CONN,DSUB,9P,F,STR,BRD LCK,ROHS</v>
          </cell>
          <cell r="C9" t="str">
            <v>K85X-ED-9S-CBR</v>
          </cell>
          <cell r="D9" t="str">
            <v>KYCON, INC</v>
          </cell>
          <cell r="E9" t="str">
            <v>Connector</v>
          </cell>
          <cell r="F9">
            <v>2310</v>
          </cell>
          <cell r="G9">
            <v>2310</v>
          </cell>
        </row>
        <row r="10">
          <cell r="A10" t="str">
            <v>644-A42857-480</v>
          </cell>
          <cell r="B10" t="str">
            <v>RLY,SSR,15-32VDC CTRL,5A,48-660VAC,SIP-4</v>
          </cell>
          <cell r="C10" t="str">
            <v>CXE480D5</v>
          </cell>
          <cell r="D10" t="str">
            <v>SENSATA TECHNOLOGIES INC.</v>
          </cell>
          <cell r="E10" t="str">
            <v>Relay</v>
          </cell>
          <cell r="F10">
            <v>310</v>
          </cell>
          <cell r="G10">
            <v>310</v>
          </cell>
          <cell r="I10">
            <v>24.379985000000001</v>
          </cell>
        </row>
        <row r="11">
          <cell r="A11" t="str">
            <v>686-008011-001</v>
          </cell>
          <cell r="B11" t="str">
            <v>MARKER,CABLE,PLATE, 1.75 X .75</v>
          </cell>
          <cell r="C11" t="str">
            <v>MP175-C</v>
          </cell>
          <cell r="D11" t="str">
            <v>PANDUIT</v>
          </cell>
          <cell r="E11" t="str">
            <v>Other</v>
          </cell>
          <cell r="F11">
            <v>100</v>
          </cell>
          <cell r="G11">
            <v>100</v>
          </cell>
          <cell r="I11">
            <v>1.0107999999999999</v>
          </cell>
        </row>
        <row r="12">
          <cell r="A12" t="str">
            <v>630-262333-001</v>
          </cell>
          <cell r="B12" t="str">
            <v>IC,SMD,TEMP SNSR,DGTL,LTC2986</v>
          </cell>
          <cell r="C12" t="str">
            <v>LTC2986CLX#PBF</v>
          </cell>
          <cell r="D12" t="str">
            <v>LINEAR TECHNOLOGY</v>
          </cell>
          <cell r="E12" t="str">
            <v>IC/Semi</v>
          </cell>
          <cell r="F12">
            <v>235</v>
          </cell>
          <cell r="G12">
            <v>235</v>
          </cell>
          <cell r="I12">
            <v>27.661638499999999</v>
          </cell>
        </row>
        <row r="13">
          <cell r="A13" t="str">
            <v>670-037698-044</v>
          </cell>
          <cell r="B13" t="str">
            <v>FUSE,CLASS CC,600V,TIME DLY,30 AMP</v>
          </cell>
          <cell r="C13" t="str">
            <v>FNQ-R-30</v>
          </cell>
          <cell r="D13" t="str">
            <v>EATON</v>
          </cell>
          <cell r="E13" t="str">
            <v>Fuse</v>
          </cell>
          <cell r="F13">
            <v>60</v>
          </cell>
          <cell r="G13">
            <v>60</v>
          </cell>
          <cell r="I13">
            <v>49.744969500000003</v>
          </cell>
        </row>
        <row r="14">
          <cell r="A14" t="str">
            <v>670-346211-025</v>
          </cell>
          <cell r="B14" t="str">
            <v>FUSE,TIME DLY,600VAC/300VDC,30A</v>
          </cell>
          <cell r="C14" t="str">
            <v>LP-CC-30</v>
          </cell>
          <cell r="D14" t="str">
            <v>EATON</v>
          </cell>
          <cell r="E14" t="str">
            <v>Fuse</v>
          </cell>
          <cell r="F14">
            <v>90</v>
          </cell>
          <cell r="G14">
            <v>90</v>
          </cell>
          <cell r="I14">
            <v>37.4553005</v>
          </cell>
        </row>
        <row r="15">
          <cell r="A15" t="str">
            <v>644-098425-001</v>
          </cell>
          <cell r="B15" t="str">
            <v>RLY,DPST,NO,24VDC,5A,PCB,ROHS</v>
          </cell>
          <cell r="C15" t="str">
            <v>DSP2A-DC24V</v>
          </cell>
          <cell r="D15" t="str">
            <v>PANASONIC</v>
          </cell>
          <cell r="E15" t="str">
            <v>Relay</v>
          </cell>
          <cell r="F15">
            <v>510</v>
          </cell>
          <cell r="G15">
            <v>510</v>
          </cell>
          <cell r="I15">
            <v>3.8599975</v>
          </cell>
        </row>
        <row r="16">
          <cell r="A16" t="str">
            <v>628-265744-001</v>
          </cell>
          <cell r="B16" t="str">
            <v>XSTR,MOSFET,N-CH,650V,93A,TO247N</v>
          </cell>
          <cell r="C16" t="str">
            <v>SCT3022ALGC11</v>
          </cell>
          <cell r="D16" t="str">
            <v>ROHM</v>
          </cell>
          <cell r="E16" t="str">
            <v>Transistor</v>
          </cell>
          <cell r="F16">
            <v>100</v>
          </cell>
          <cell r="G16">
            <v>100</v>
          </cell>
          <cell r="I16">
            <v>34.713844999999999</v>
          </cell>
        </row>
        <row r="17">
          <cell r="A17" t="str">
            <v>668-096776-015</v>
          </cell>
          <cell r="B17" t="str">
            <v>CONN,DSUB,15P,F,STR,BRD LCK,ROHS</v>
          </cell>
          <cell r="C17" t="str">
            <v>K85X-AD-15S-CBR</v>
          </cell>
          <cell r="D17" t="str">
            <v>KYCON, INC</v>
          </cell>
          <cell r="E17" t="str">
            <v>Connector</v>
          </cell>
          <cell r="F17">
            <v>1660</v>
          </cell>
          <cell r="G17">
            <v>1660</v>
          </cell>
        </row>
        <row r="18">
          <cell r="A18" t="str">
            <v>668-014495-062</v>
          </cell>
          <cell r="B18" t="str">
            <v>CONN,RCPT,HIGH DENSITY DSUB,62 ROHS</v>
          </cell>
          <cell r="C18" t="str">
            <v>K86X-CD-62S-BR</v>
          </cell>
          <cell r="D18" t="str">
            <v>KYCON, INC</v>
          </cell>
          <cell r="E18" t="str">
            <v>Connector</v>
          </cell>
          <cell r="F18">
            <v>470</v>
          </cell>
          <cell r="G18">
            <v>470</v>
          </cell>
          <cell r="I18">
            <v>6.1978375000000003</v>
          </cell>
        </row>
        <row r="19">
          <cell r="A19" t="str">
            <v>668-B24466-001</v>
          </cell>
          <cell r="B19" t="str">
            <v>CONN,RCPT ASSY,15KVDC,7.5A,PC BD MT</v>
          </cell>
          <cell r="C19" t="str">
            <v>10582-01</v>
          </cell>
          <cell r="D19" t="str">
            <v>CONNECTRONICS CORP.</v>
          </cell>
          <cell r="E19" t="str">
            <v>Connector</v>
          </cell>
          <cell r="F19">
            <v>40</v>
          </cell>
          <cell r="G19">
            <v>40</v>
          </cell>
          <cell r="I19">
            <v>114.03288000000001</v>
          </cell>
        </row>
        <row r="20">
          <cell r="A20" t="str">
            <v>681-198782-004</v>
          </cell>
          <cell r="B20" t="str">
            <v>WIRE,HOOK-UP,30AWG,GRN, TFE,ROHS</v>
          </cell>
          <cell r="C20" t="str">
            <v>2841/1 GR005</v>
          </cell>
          <cell r="D20" t="str">
            <v>ALPHA WIRE</v>
          </cell>
          <cell r="E20" t="str">
            <v>Other</v>
          </cell>
          <cell r="F20">
            <v>25</v>
          </cell>
          <cell r="G20">
            <v>25</v>
          </cell>
          <cell r="I20">
            <v>42.987907499999999</v>
          </cell>
        </row>
        <row r="21">
          <cell r="A21" t="str">
            <v>668-092915-050</v>
          </cell>
          <cell r="B21" t="str">
            <v>CONN,HDR,PCB MT,.100 CTR 50P,ROHS</v>
          </cell>
          <cell r="C21" t="str">
            <v>N3433-6303RB</v>
          </cell>
          <cell r="D21" t="str">
            <v>3M</v>
          </cell>
          <cell r="E21" t="str">
            <v>Connector</v>
          </cell>
          <cell r="F21">
            <v>630</v>
          </cell>
          <cell r="G21">
            <v>630</v>
          </cell>
          <cell r="I21">
            <v>4.3586574999999996</v>
          </cell>
        </row>
        <row r="22">
          <cell r="A22" t="str">
            <v>615-B61754-005</v>
          </cell>
          <cell r="B22" t="str">
            <v>RES,SMD,5 OHM,+/-0.5%TOL,1.2W,THK FILM</v>
          </cell>
          <cell r="C22" t="str">
            <v>68552-5</v>
          </cell>
          <cell r="D22" t="str">
            <v>OHMITE MANUFACTURING COMPANY</v>
          </cell>
          <cell r="E22" t="str">
            <v>Resistor</v>
          </cell>
          <cell r="F22">
            <v>445</v>
          </cell>
          <cell r="G22">
            <v>445</v>
          </cell>
          <cell r="I22">
            <v>1.2617940000000001</v>
          </cell>
        </row>
        <row r="23">
          <cell r="A23" t="str">
            <v>615-B61754-010</v>
          </cell>
          <cell r="B23" t="str">
            <v>RES,SMD,10 OHM,+/-0.5%TOL,1.2W,THK FILM</v>
          </cell>
          <cell r="C23" t="str">
            <v>68552-10</v>
          </cell>
          <cell r="D23" t="str">
            <v>OHMITE MANUFACTURING COMPANY</v>
          </cell>
          <cell r="E23" t="str">
            <v>Resistor</v>
          </cell>
          <cell r="F23">
            <v>445</v>
          </cell>
          <cell r="G23">
            <v>445</v>
          </cell>
        </row>
        <row r="24">
          <cell r="A24" t="str">
            <v>615-B61754-020</v>
          </cell>
          <cell r="B24" t="str">
            <v>RES,SMD,20 OHM,+/-0.5%TOL,1.2W,THK FILM</v>
          </cell>
          <cell r="C24" t="str">
            <v>68552-20</v>
          </cell>
          <cell r="D24" t="str">
            <v>OHMITE MANUFACTURING COMPANY</v>
          </cell>
          <cell r="E24" t="str">
            <v>Resistor</v>
          </cell>
          <cell r="F24">
            <v>445</v>
          </cell>
          <cell r="G24">
            <v>445</v>
          </cell>
        </row>
        <row r="25">
          <cell r="A25" t="str">
            <v>615-B61754-040</v>
          </cell>
          <cell r="B25" t="str">
            <v>RES,SMD,40 OHM,+/-0.5%TOL,1.2W,THK FILM</v>
          </cell>
          <cell r="C25" t="str">
            <v>68552-40</v>
          </cell>
          <cell r="D25" t="str">
            <v>OHMITE MANUFACTURING COMPANY</v>
          </cell>
          <cell r="E25" t="str">
            <v>Resistor</v>
          </cell>
          <cell r="F25">
            <v>445</v>
          </cell>
          <cell r="G25">
            <v>445</v>
          </cell>
        </row>
        <row r="26">
          <cell r="A26" t="str">
            <v>615-B61754-080</v>
          </cell>
          <cell r="B26" t="str">
            <v>RES,SMD,80 OHM,+/-0.5%TOL,1.2W,THK FILM</v>
          </cell>
          <cell r="C26" t="str">
            <v>68552-80</v>
          </cell>
          <cell r="D26" t="str">
            <v>OHMITE MANUFACTURING COMPANY</v>
          </cell>
          <cell r="E26" t="str">
            <v>Resistor</v>
          </cell>
          <cell r="F26">
            <v>445</v>
          </cell>
          <cell r="G26">
            <v>445</v>
          </cell>
        </row>
        <row r="27">
          <cell r="A27" t="str">
            <v>615-B61754-160</v>
          </cell>
          <cell r="B27" t="str">
            <v>RES,SMD,160 OHM,+/-0.5%TOL,1.2W,THK FILM</v>
          </cell>
          <cell r="C27" t="str">
            <v>68552-160</v>
          </cell>
          <cell r="D27" t="str">
            <v>OHMITE MANUFACTURING COMPANY</v>
          </cell>
          <cell r="E27" t="str">
            <v>Resistor</v>
          </cell>
          <cell r="F27">
            <v>445</v>
          </cell>
          <cell r="G27">
            <v>445</v>
          </cell>
        </row>
        <row r="28">
          <cell r="A28" t="str">
            <v>615-B61754-320</v>
          </cell>
          <cell r="B28" t="str">
            <v>RES,SMD,320 OHM,+/-0.5%TOL,1.2W,THK FILM</v>
          </cell>
          <cell r="C28" t="str">
            <v>68552-320</v>
          </cell>
          <cell r="D28" t="str">
            <v>OHMITE MANUFACTURING COMPANY</v>
          </cell>
          <cell r="E28" t="str">
            <v>Resistor</v>
          </cell>
          <cell r="F28">
            <v>445</v>
          </cell>
          <cell r="G28">
            <v>445</v>
          </cell>
        </row>
        <row r="29">
          <cell r="A29" t="str">
            <v>630-B51696-001</v>
          </cell>
          <cell r="B29" t="str">
            <v>IC,SMD,STEP-DN,6-42V IN,2A OUT,TO-PMOD-7</v>
          </cell>
          <cell r="C29" t="str">
            <v>LMZ14202HTZE/NOPB</v>
          </cell>
          <cell r="D29" t="str">
            <v>TEXAS INSTRUMENTS</v>
          </cell>
          <cell r="E29" t="str">
            <v>IC/Semi</v>
          </cell>
          <cell r="F29">
            <v>255</v>
          </cell>
          <cell r="G29">
            <v>255</v>
          </cell>
          <cell r="I29">
            <v>11.450011999999999</v>
          </cell>
        </row>
        <row r="30">
          <cell r="A30" t="str">
            <v>669-B62169-001</v>
          </cell>
          <cell r="B30" t="str">
            <v>CONT,SKT,SMD,600V,140A,6 DIA,5.17MM HGT</v>
          </cell>
          <cell r="C30" t="str">
            <v>2043650006</v>
          </cell>
          <cell r="D30" t="str">
            <v>MOLEX, LLC</v>
          </cell>
          <cell r="E30" t="str">
            <v>Other</v>
          </cell>
          <cell r="F30">
            <v>310</v>
          </cell>
          <cell r="G30">
            <v>310</v>
          </cell>
          <cell r="I30">
            <v>10.316888499999999</v>
          </cell>
        </row>
        <row r="31">
          <cell r="A31" t="str">
            <v>644-311222-004</v>
          </cell>
          <cell r="B31" t="str">
            <v>RLY,SSR,SPST-NO,25A,48-530VAC,PCB MT,THT</v>
          </cell>
          <cell r="C31" t="str">
            <v>LR1200480D25</v>
          </cell>
          <cell r="D31" t="str">
            <v>CRYDOM</v>
          </cell>
          <cell r="E31" t="str">
            <v>Relay</v>
          </cell>
          <cell r="F31">
            <v>50</v>
          </cell>
          <cell r="G31">
            <v>50</v>
          </cell>
          <cell r="I31">
            <v>44.534973000000001</v>
          </cell>
        </row>
        <row r="32">
          <cell r="A32" t="str">
            <v>644-311222-001</v>
          </cell>
          <cell r="B32" t="str">
            <v>RLY,SSR,SPST-NO,40A,48-530VAC,PCB MT,THT</v>
          </cell>
          <cell r="C32" t="str">
            <v>LR1200480D40</v>
          </cell>
          <cell r="D32" t="str">
            <v>CRYDOM</v>
          </cell>
          <cell r="E32" t="str">
            <v>Relay</v>
          </cell>
          <cell r="F32">
            <v>50</v>
          </cell>
          <cell r="G32">
            <v>50</v>
          </cell>
          <cell r="I32">
            <v>48.709970499999997</v>
          </cell>
        </row>
        <row r="33">
          <cell r="A33" t="str">
            <v>630-257348-001</v>
          </cell>
          <cell r="B33" t="str">
            <v>IC,SMD,ADC,14BIT,500KSPS,TSOT23-8</v>
          </cell>
          <cell r="C33" t="str">
            <v>LTC2312HTS8-14#TRMPBF</v>
          </cell>
          <cell r="D33" t="str">
            <v>ANALOG DEVICES</v>
          </cell>
          <cell r="E33" t="str">
            <v>IC/Semi</v>
          </cell>
          <cell r="F33">
            <v>160</v>
          </cell>
          <cell r="G33">
            <v>160</v>
          </cell>
          <cell r="I33">
            <v>17.389444999999998</v>
          </cell>
        </row>
        <row r="34">
          <cell r="A34" t="str">
            <v>644-B64495-001</v>
          </cell>
          <cell r="B34" t="str">
            <v>RLY,REED,2 FORM A,5V COIL,0.5A,10W,SH</v>
          </cell>
          <cell r="C34" t="str">
            <v>8L02-05-11</v>
          </cell>
          <cell r="D34" t="str">
            <v>COTO TECHNOLOGY, INC.</v>
          </cell>
          <cell r="E34" t="str">
            <v>Relay</v>
          </cell>
          <cell r="F34">
            <v>585</v>
          </cell>
          <cell r="G34">
            <v>585</v>
          </cell>
          <cell r="I34">
            <v>4.834994</v>
          </cell>
        </row>
        <row r="35">
          <cell r="A35" t="str">
            <v>630-099507-002</v>
          </cell>
          <cell r="B35" t="str">
            <v>IC,306 ANLG MUX,16-CH,TSSOP28,RoHS</v>
          </cell>
          <cell r="C35" t="str">
            <v>MAX306EUI+</v>
          </cell>
          <cell r="D35" t="str">
            <v>MAXIM INTEGRATED</v>
          </cell>
          <cell r="E35" t="str">
            <v>IC/Semi</v>
          </cell>
          <cell r="F35">
            <v>70</v>
          </cell>
          <cell r="G35">
            <v>70</v>
          </cell>
          <cell r="I35">
            <v>16.292038000000002</v>
          </cell>
        </row>
        <row r="36">
          <cell r="A36" t="str">
            <v>668-121256-002</v>
          </cell>
          <cell r="B36" t="str">
            <v>CONN,CIRC RF TWINAX JACK ST TH 100 OHM</v>
          </cell>
          <cell r="C36" t="str">
            <v>CJT-T-P-HH-ST-TH1</v>
          </cell>
          <cell r="D36" t="str">
            <v>SAMTEC</v>
          </cell>
          <cell r="E36" t="str">
            <v>Connector</v>
          </cell>
          <cell r="F36">
            <v>95</v>
          </cell>
          <cell r="G36">
            <v>95</v>
          </cell>
          <cell r="I36">
            <v>13.7711945</v>
          </cell>
        </row>
        <row r="37">
          <cell r="A37" t="str">
            <v>631-123367-001</v>
          </cell>
          <cell r="B37" t="str">
            <v>IC,FPGA SPARTAN 6 101K 484FGGBGA</v>
          </cell>
          <cell r="C37" t="str">
            <v>XC6SLX100-3FGG484C</v>
          </cell>
          <cell r="D37" t="str">
            <v>XILINX</v>
          </cell>
          <cell r="E37" t="str">
            <v>IC/Semi</v>
          </cell>
          <cell r="F37">
            <v>10</v>
          </cell>
          <cell r="G37">
            <v>10</v>
          </cell>
          <cell r="I37">
            <v>253.21262200000001</v>
          </cell>
        </row>
        <row r="38">
          <cell r="A38" t="str">
            <v>648-046808-112</v>
          </cell>
          <cell r="B38" t="str">
            <v>CAP,SMD,NPO,1.1NF,5%,10KV</v>
          </cell>
          <cell r="C38" t="str">
            <v>6560N112J103P</v>
          </cell>
          <cell r="D38" t="str">
            <v>NOVACAP</v>
          </cell>
          <cell r="E38" t="str">
            <v>Capacitor</v>
          </cell>
          <cell r="F38">
            <v>60</v>
          </cell>
          <cell r="G38">
            <v>60</v>
          </cell>
          <cell r="I38">
            <v>35.239079500000003</v>
          </cell>
        </row>
        <row r="39">
          <cell r="A39" t="str">
            <v>630-A59915-001</v>
          </cell>
          <cell r="B39" t="str">
            <v>IC,SMD,8 HIGH-SIDE SW,SPI,2.5-5.5V,QFN48</v>
          </cell>
          <cell r="C39" t="str">
            <v>MAX14915AFM+</v>
          </cell>
          <cell r="D39" t="str">
            <v>MAXIM INTEGRATED</v>
          </cell>
          <cell r="E39" t="str">
            <v>IC/Semi</v>
          </cell>
          <cell r="F39">
            <v>235</v>
          </cell>
          <cell r="G39">
            <v>235</v>
          </cell>
          <cell r="I39">
            <v>7.2849959999999996</v>
          </cell>
        </row>
        <row r="40">
          <cell r="A40" t="str">
            <v>670-332664-018</v>
          </cell>
          <cell r="B40" t="str">
            <v>FUSE,FAST-ACT,7A,600VAC/300VDC,5AG</v>
          </cell>
          <cell r="C40" t="str">
            <v>KLKR007.T</v>
          </cell>
          <cell r="D40" t="str">
            <v>LITTELFUSE</v>
          </cell>
          <cell r="E40" t="str">
            <v>Fuse</v>
          </cell>
          <cell r="F40">
            <v>80</v>
          </cell>
          <cell r="G40">
            <v>80</v>
          </cell>
          <cell r="I40">
            <v>12.642992</v>
          </cell>
        </row>
        <row r="41">
          <cell r="A41" t="str">
            <v>630-323468-001</v>
          </cell>
          <cell r="B41" t="str">
            <v>IC,SMD,HOT-SWAP CONTROLLER,6TDFN</v>
          </cell>
          <cell r="C41" t="str">
            <v>MAX5903NNETT+T</v>
          </cell>
          <cell r="D41" t="str">
            <v>MAXIM INTEGRATED</v>
          </cell>
          <cell r="E41" t="str">
            <v>IC/Semi</v>
          </cell>
          <cell r="F41">
            <v>425</v>
          </cell>
          <cell r="G41">
            <v>425</v>
          </cell>
          <cell r="I41">
            <v>4.1992224999999994</v>
          </cell>
        </row>
        <row r="42">
          <cell r="A42" t="str">
            <v>668-014495-026</v>
          </cell>
          <cell r="B42" t="str">
            <v>CONN,RCPT,HIGH DENSITY DSUB,26 ROHS</v>
          </cell>
          <cell r="C42" t="str">
            <v>K86X-AD-26S-CBR</v>
          </cell>
          <cell r="D42" t="str">
            <v>KYCON, INC</v>
          </cell>
          <cell r="E42" t="str">
            <v>Connector</v>
          </cell>
          <cell r="F42">
            <v>235</v>
          </cell>
          <cell r="G42">
            <v>235</v>
          </cell>
        </row>
        <row r="43">
          <cell r="A43" t="str">
            <v>669-801523-002</v>
          </cell>
          <cell r="B43" t="str">
            <v>PIN,2MM DIA X 23MMLG, M2, 25A</v>
          </cell>
          <cell r="C43" t="str">
            <v>22.1100</v>
          </cell>
          <cell r="D43" t="str">
            <v>STÄUBLI ELECTRICAL CONNECTORS</v>
          </cell>
          <cell r="E43" t="str">
            <v>Other</v>
          </cell>
          <cell r="F43">
            <v>360</v>
          </cell>
          <cell r="G43">
            <v>360</v>
          </cell>
          <cell r="I43">
            <v>1.6212124999999999</v>
          </cell>
        </row>
        <row r="44">
          <cell r="A44" t="str">
            <v>630-047972-001</v>
          </cell>
          <cell r="B44" t="str">
            <v>IC,SMD,CPLD,EEPM1270T144C4</v>
          </cell>
          <cell r="C44" t="str">
            <v>EPM1270T144C4N</v>
          </cell>
          <cell r="D44" t="str">
            <v>ALTERA</v>
          </cell>
          <cell r="E44" t="str">
            <v>IC/Semi</v>
          </cell>
          <cell r="F44">
            <v>20</v>
          </cell>
          <cell r="G44">
            <v>20</v>
          </cell>
          <cell r="I44">
            <v>82.285269</v>
          </cell>
        </row>
        <row r="45">
          <cell r="A45" t="str">
            <v>668-B67633-004</v>
          </cell>
          <cell r="B45" t="str">
            <v>CONN,RF PLUG,H ISLN,4P,1ROW,190V,RTANG</v>
          </cell>
          <cell r="C45" t="str">
            <v>IP5-04-01-L-S-RA1-L-TR</v>
          </cell>
          <cell r="D45" t="str">
            <v>SAMTEC</v>
          </cell>
          <cell r="E45" t="str">
            <v>Connector</v>
          </cell>
          <cell r="F45">
            <v>100</v>
          </cell>
          <cell r="G45">
            <v>100</v>
          </cell>
          <cell r="I45">
            <v>11.329993999999999</v>
          </cell>
        </row>
        <row r="46">
          <cell r="A46" t="str">
            <v>630-114967-001</v>
          </cell>
          <cell r="B46" t="str">
            <v>IC,SMD,CPLD,MACHXO2280,256FTBGA,ROHS</v>
          </cell>
          <cell r="C46" t="str">
            <v>LCMXO2280C-3FTN256C</v>
          </cell>
          <cell r="D46" t="str">
            <v>LATTICE SEMI</v>
          </cell>
          <cell r="E46" t="str">
            <v>IC/Semi</v>
          </cell>
          <cell r="F46">
            <v>40</v>
          </cell>
          <cell r="G46">
            <v>40</v>
          </cell>
          <cell r="I46">
            <v>32.296683000000002</v>
          </cell>
        </row>
        <row r="47">
          <cell r="A47" t="str">
            <v>668-191568-160</v>
          </cell>
          <cell r="B47" t="str">
            <v>CONN, DIN E TYPE, FML, 160 PIN</v>
          </cell>
          <cell r="C47" t="str">
            <v>254124-E</v>
          </cell>
          <cell r="D47" t="str">
            <v>TE CONNECTIVITY</v>
          </cell>
          <cell r="E47" t="str">
            <v>Connector</v>
          </cell>
          <cell r="F47">
            <v>120</v>
          </cell>
          <cell r="G47">
            <v>120</v>
          </cell>
          <cell r="I47">
            <v>9.7364519999999999</v>
          </cell>
        </row>
        <row r="48">
          <cell r="A48" t="str">
            <v>660-B70650-004</v>
          </cell>
          <cell r="B48" t="str">
            <v>PS,DC/DC,ISLN,24V INPUT,1W,6V OUT,0.167A</v>
          </cell>
          <cell r="C48" t="str">
            <v>RP-2406S</v>
          </cell>
          <cell r="D48" t="str">
            <v>RECOM</v>
          </cell>
          <cell r="E48" t="str">
            <v>Other</v>
          </cell>
          <cell r="F48">
            <v>100</v>
          </cell>
          <cell r="G48">
            <v>100</v>
          </cell>
          <cell r="I48">
            <v>12.788257</v>
          </cell>
        </row>
        <row r="49">
          <cell r="A49" t="str">
            <v>660-311291-001</v>
          </cell>
          <cell r="B49" t="str">
            <v>PS,SMD,DC-DC CONV,0.6-5.5V,2.5A,ROHS</v>
          </cell>
          <cell r="C49" t="str">
            <v>LTM4622EV#PBF</v>
          </cell>
          <cell r="D49" t="str">
            <v>ANALOG DEVICES</v>
          </cell>
          <cell r="E49" t="str">
            <v>Other</v>
          </cell>
          <cell r="F49">
            <v>85</v>
          </cell>
          <cell r="G49">
            <v>85</v>
          </cell>
          <cell r="I49">
            <v>10.799993000000001</v>
          </cell>
        </row>
        <row r="50">
          <cell r="A50" t="str">
            <v>630-052043-001</v>
          </cell>
          <cell r="B50" t="str">
            <v>IC,SMD,OP AMP,QUAD,RL TO RL IN/OUT,ROHS</v>
          </cell>
          <cell r="C50" t="str">
            <v>LT1499CS#PBF</v>
          </cell>
          <cell r="D50" t="str">
            <v>ANALOG DEVICES</v>
          </cell>
          <cell r="E50" t="str">
            <v>IC/Semi</v>
          </cell>
          <cell r="F50">
            <v>80</v>
          </cell>
          <cell r="G50">
            <v>80</v>
          </cell>
          <cell r="I50">
            <v>9.1249940000000009</v>
          </cell>
        </row>
        <row r="51">
          <cell r="A51" t="str">
            <v>668-096776-025</v>
          </cell>
          <cell r="B51" t="str">
            <v>CONN,DSUB,25P,F,STR,BRD LCK,ROHS</v>
          </cell>
          <cell r="C51" t="str">
            <v>DLS3XS4AA35X</v>
          </cell>
          <cell r="D51" t="str">
            <v>AMPHENOL CONEC</v>
          </cell>
          <cell r="E51" t="str">
            <v>Connector</v>
          </cell>
          <cell r="F51">
            <v>585</v>
          </cell>
          <cell r="G51">
            <v>585</v>
          </cell>
          <cell r="I51">
            <v>1.524999</v>
          </cell>
        </row>
        <row r="52">
          <cell r="A52" t="str">
            <v>670-332664-017</v>
          </cell>
          <cell r="B52" t="str">
            <v>FUSE,FAST-ACT,6A,600VAC/300VDC,5AG</v>
          </cell>
          <cell r="C52" t="str">
            <v>KLKR006.T</v>
          </cell>
          <cell r="D52" t="str">
            <v>LITTELFUSE</v>
          </cell>
          <cell r="E52" t="str">
            <v>Fuse</v>
          </cell>
          <cell r="F52">
            <v>40</v>
          </cell>
          <cell r="G52">
            <v>40</v>
          </cell>
          <cell r="I52">
            <v>12.831992</v>
          </cell>
        </row>
        <row r="53">
          <cell r="A53" t="str">
            <v>662-901562-001</v>
          </cell>
          <cell r="B53" t="str">
            <v>LED,5mm(T1-3/4),STRAIGHT,GREEN, ROHS</v>
          </cell>
          <cell r="C53" t="str">
            <v>550-1304F</v>
          </cell>
          <cell r="D53" t="str">
            <v>DIALIGHT</v>
          </cell>
          <cell r="E53" t="str">
            <v>Diode/LED</v>
          </cell>
          <cell r="F53">
            <v>985</v>
          </cell>
          <cell r="G53">
            <v>985</v>
          </cell>
          <cell r="I53">
            <v>0.60665800000000003</v>
          </cell>
        </row>
        <row r="54">
          <cell r="A54" t="str">
            <v>668-A06169-001</v>
          </cell>
          <cell r="B54" t="str">
            <v>CONN,MAGJACK,RJ45,2PORT,90DEG,SLDR,THT</v>
          </cell>
          <cell r="C54" t="str">
            <v>0826-1X2T-23-F</v>
          </cell>
          <cell r="D54" t="str">
            <v>BEL FUSE INC.</v>
          </cell>
          <cell r="E54" t="str">
            <v>Connector</v>
          </cell>
          <cell r="F54">
            <v>80</v>
          </cell>
          <cell r="G54">
            <v>80</v>
          </cell>
          <cell r="I54">
            <v>7.2499960000000003</v>
          </cell>
        </row>
        <row r="55">
          <cell r="A55" t="str">
            <v>668-134411-200</v>
          </cell>
          <cell r="B55" t="str">
            <v>CONN,PLUG,HIGH DENSITY,.050",200POS,ROHS</v>
          </cell>
          <cell r="C55" t="str">
            <v>MOLC-150-31-L-Q-LC</v>
          </cell>
          <cell r="D55" t="str">
            <v>SAMTEC</v>
          </cell>
          <cell r="E55" t="str">
            <v>Connector</v>
          </cell>
          <cell r="F55">
            <v>20</v>
          </cell>
          <cell r="G55">
            <v>20</v>
          </cell>
          <cell r="I55">
            <v>40.830198000000003</v>
          </cell>
        </row>
        <row r="56">
          <cell r="A56" t="str">
            <v>660-082847-015</v>
          </cell>
          <cell r="B56" t="str">
            <v>PS,DC-DC,19V-28V,15V AT 3A,SIP12,ROHS</v>
          </cell>
          <cell r="C56" t="str">
            <v>R-7315P</v>
          </cell>
          <cell r="D56" t="str">
            <v>RECOM</v>
          </cell>
          <cell r="E56" t="str">
            <v>Other</v>
          </cell>
          <cell r="F56">
            <v>20</v>
          </cell>
          <cell r="G56">
            <v>20</v>
          </cell>
          <cell r="I56">
            <v>24.879985000000001</v>
          </cell>
        </row>
        <row r="57">
          <cell r="A57" t="str">
            <v>668-B17515-004</v>
          </cell>
          <cell r="B57" t="str">
            <v>CONN,RCPT,M8,SHLD,4POSN,3A,PCB/PNL MT</v>
          </cell>
          <cell r="C57" t="str">
            <v>T4041037041-001</v>
          </cell>
          <cell r="D57" t="str">
            <v>TE CONNECTIVITY</v>
          </cell>
          <cell r="E57" t="str">
            <v>Connector</v>
          </cell>
          <cell r="F57">
            <v>120</v>
          </cell>
          <cell r="G57">
            <v>120</v>
          </cell>
        </row>
        <row r="58">
          <cell r="A58" t="str">
            <v>645-347340-001</v>
          </cell>
          <cell r="B58" t="str">
            <v>SW,ROCKER SPDT 0.4A,RA PC MT</v>
          </cell>
          <cell r="C58" t="str">
            <v>E101J3AV2QE3</v>
          </cell>
          <cell r="D58" t="str">
            <v>C&amp;K COMPONENT</v>
          </cell>
          <cell r="E58" t="str">
            <v>Other</v>
          </cell>
          <cell r="F58">
            <v>105</v>
          </cell>
          <cell r="G58">
            <v>105</v>
          </cell>
        </row>
        <row r="59">
          <cell r="A59" t="str">
            <v>618-279508-001</v>
          </cell>
          <cell r="B59" t="str">
            <v>RES,METAL FILM,25M,3.8W,100PPM,1%,ROHS</v>
          </cell>
          <cell r="C59" t="str">
            <v>MOX91022505FTE</v>
          </cell>
          <cell r="D59" t="str">
            <v>OHMITE MANUFACTURING COMPANY</v>
          </cell>
          <cell r="E59" t="str">
            <v>Resistor</v>
          </cell>
          <cell r="F59">
            <v>40</v>
          </cell>
          <cell r="G59">
            <v>40</v>
          </cell>
          <cell r="I59">
            <v>19.443845</v>
          </cell>
        </row>
        <row r="60">
          <cell r="A60" t="str">
            <v>667-A20843-002</v>
          </cell>
          <cell r="B60" t="str">
            <v>CONN,SMD,RCPT,MEZZ,0.8MM,120P,7.7MM HGT</v>
          </cell>
          <cell r="C60" t="str">
            <v>10139781-122402LF</v>
          </cell>
          <cell r="D60" t="str">
            <v>AMPHENOL ICC</v>
          </cell>
          <cell r="E60" t="str">
            <v>Connector</v>
          </cell>
          <cell r="F60">
            <v>105</v>
          </cell>
          <cell r="G60">
            <v>105</v>
          </cell>
          <cell r="I60">
            <v>4.5272595000000004</v>
          </cell>
        </row>
        <row r="61">
          <cell r="A61" t="str">
            <v>668-091568-096</v>
          </cell>
          <cell r="B61" t="str">
            <v>CONN,DIN C TYPE,FML,96 PIN</v>
          </cell>
          <cell r="C61" t="str">
            <v>535032-4</v>
          </cell>
          <cell r="D61" t="str">
            <v>TE CONNECTIVITY</v>
          </cell>
          <cell r="E61" t="str">
            <v>Connector</v>
          </cell>
          <cell r="F61">
            <v>90</v>
          </cell>
          <cell r="G61">
            <v>90</v>
          </cell>
          <cell r="I61">
            <v>4.0761729999999998</v>
          </cell>
        </row>
        <row r="62">
          <cell r="A62" t="str">
            <v>668-B70303-004</v>
          </cell>
          <cell r="B62" t="str">
            <v>CONN,RF PLUG,H ISLN,4P,1ROW,600VAC,4MM</v>
          </cell>
          <cell r="C62" t="str">
            <v>IP5-04-05.0-L-S-1-L-TR</v>
          </cell>
          <cell r="D62" t="str">
            <v>SAMTEC</v>
          </cell>
          <cell r="E62" t="str">
            <v>Connector</v>
          </cell>
          <cell r="F62">
            <v>40</v>
          </cell>
          <cell r="G62">
            <v>40</v>
          </cell>
          <cell r="I62">
            <v>9.6411684999999991</v>
          </cell>
        </row>
        <row r="63">
          <cell r="A63" t="str">
            <v>668-242448-001</v>
          </cell>
          <cell r="B63" t="str">
            <v>CONN,BLKHD,RTANG,JACK,18GHZ,PCB MT,SMA</v>
          </cell>
          <cell r="C63" t="str">
            <v>142-4701-501</v>
          </cell>
          <cell r="D63" t="str">
            <v>CINCH CONNECTIVITY SOLUTIONS.</v>
          </cell>
          <cell r="E63" t="str">
            <v>Connector</v>
          </cell>
          <cell r="F63">
            <v>45</v>
          </cell>
          <cell r="G63">
            <v>45</v>
          </cell>
          <cell r="I63">
            <v>8.5419944999999995</v>
          </cell>
        </row>
        <row r="64">
          <cell r="A64" t="str">
            <v>630-A92150-002</v>
          </cell>
          <cell r="B64" t="str">
            <v>IC,MEM,EMMC,NAND FLASH,64GB,LFBGA-153</v>
          </cell>
          <cell r="C64" t="str">
            <v>MTFC64GBCAQTC-WT</v>
          </cell>
          <cell r="D64" t="str">
            <v>MICRON TECHNOLOGY, INC.</v>
          </cell>
          <cell r="E64" t="str">
            <v>IC/Semi</v>
          </cell>
          <cell r="F64">
            <v>30</v>
          </cell>
          <cell r="G64">
            <v>30</v>
          </cell>
          <cell r="I64">
            <v>58.161456000000001</v>
          </cell>
        </row>
        <row r="65">
          <cell r="A65" t="str">
            <v>628-102014-001</v>
          </cell>
          <cell r="B65" t="str">
            <v>XSTR, IRLB4030PBF, PWR N-MOSFET,ROHS</v>
          </cell>
          <cell r="C65" t="str">
            <v>IRLB4030PBF</v>
          </cell>
          <cell r="D65" t="str">
            <v>INFINEON TECHNOLOGIES AG</v>
          </cell>
          <cell r="E65" t="str">
            <v>Transistor</v>
          </cell>
          <cell r="F65">
            <v>140</v>
          </cell>
          <cell r="G65">
            <v>140</v>
          </cell>
          <cell r="I65">
            <v>0.98917100000000002</v>
          </cell>
        </row>
        <row r="66">
          <cell r="A66" t="str">
            <v>630-112899-001</v>
          </cell>
          <cell r="B66" t="str">
            <v>IC,SMD,FET AMPL,1-CHAN,20PA,SOIC-16</v>
          </cell>
          <cell r="C66" t="str">
            <v>INA111AU</v>
          </cell>
          <cell r="D66" t="str">
            <v>TEXAS INSTRUMENTS</v>
          </cell>
          <cell r="E66" t="str">
            <v>IC/Semi</v>
          </cell>
          <cell r="F66">
            <v>40</v>
          </cell>
          <cell r="G66">
            <v>40</v>
          </cell>
          <cell r="I66">
            <v>12.894767999999999</v>
          </cell>
        </row>
        <row r="67">
          <cell r="A67" t="str">
            <v>668-096776-037</v>
          </cell>
          <cell r="B67" t="str">
            <v>CONN,DSUB,37P,F,STR,BRD LCK,ROHS</v>
          </cell>
          <cell r="C67" t="str">
            <v>DLS4XS4AA35X</v>
          </cell>
          <cell r="D67" t="str">
            <v>AMPHENOL CONEC</v>
          </cell>
          <cell r="E67" t="str">
            <v>Connector</v>
          </cell>
          <cell r="F67">
            <v>355</v>
          </cell>
          <cell r="G67">
            <v>355</v>
          </cell>
          <cell r="I67">
            <v>2.070999</v>
          </cell>
        </row>
        <row r="68">
          <cell r="A68" t="str">
            <v>669-121789-001</v>
          </cell>
          <cell r="B68" t="str">
            <v>CONT,SKT,40A</v>
          </cell>
          <cell r="C68" t="str">
            <v>172-978-100-201</v>
          </cell>
          <cell r="D68" t="str">
            <v>ODU</v>
          </cell>
          <cell r="E68" t="str">
            <v>Other</v>
          </cell>
          <cell r="F68">
            <v>50</v>
          </cell>
          <cell r="G68">
            <v>50</v>
          </cell>
        </row>
        <row r="69">
          <cell r="A69" t="str">
            <v>667-311329-002</v>
          </cell>
          <cell r="B69" t="str">
            <v>CONN,SMD,FEM,4POSN,PWR,ULTRA MICRO,18A</v>
          </cell>
          <cell r="C69" t="str">
            <v>UMPS-04-03.5-G-V-S-W-TR</v>
          </cell>
          <cell r="D69" t="str">
            <v>SAMTEC</v>
          </cell>
          <cell r="E69" t="str">
            <v>Connector</v>
          </cell>
          <cell r="F69">
            <v>155</v>
          </cell>
          <cell r="G69">
            <v>155</v>
          </cell>
          <cell r="I69">
            <v>2.635707</v>
          </cell>
        </row>
        <row r="70">
          <cell r="A70" t="str">
            <v>618-B48352-503</v>
          </cell>
          <cell r="B70" t="str">
            <v>RES,THK FILM,500KOHM,5%TOL,2W,RDL</v>
          </cell>
          <cell r="C70" t="str">
            <v>SM204035003JE</v>
          </cell>
          <cell r="D70" t="str">
            <v>OHMITE MANUFACTURING COMPANY</v>
          </cell>
          <cell r="E70" t="str">
            <v>Resistor</v>
          </cell>
          <cell r="F70">
            <v>150</v>
          </cell>
          <cell r="G70">
            <v>150</v>
          </cell>
          <cell r="I70">
            <v>3.5164979999999999</v>
          </cell>
        </row>
        <row r="71">
          <cell r="A71" t="str">
            <v>670-335085-004</v>
          </cell>
          <cell r="B71" t="str">
            <v>FUSE,CRTG,6.3X32MM,12A,450V,FAST-ACT</v>
          </cell>
          <cell r="C71" t="str">
            <v>0505012.MXP</v>
          </cell>
          <cell r="D71" t="str">
            <v>LITTELFUSE</v>
          </cell>
          <cell r="E71" t="str">
            <v>Fuse</v>
          </cell>
          <cell r="F71">
            <v>160</v>
          </cell>
          <cell r="G71">
            <v>160</v>
          </cell>
          <cell r="I71">
            <v>2.8657005</v>
          </cell>
        </row>
        <row r="72">
          <cell r="A72" t="str">
            <v>660-B00899-001</v>
          </cell>
          <cell r="B72" t="str">
            <v>FR,RF SHIELD,1.75LG X 1.30IN W,NI SIL</v>
          </cell>
          <cell r="C72" t="str">
            <v>L-1300SA1750-0340XF</v>
          </cell>
          <cell r="D72" t="str">
            <v>ORBEL CORPORATION</v>
          </cell>
          <cell r="E72" t="str">
            <v>Other</v>
          </cell>
          <cell r="F72">
            <v>60</v>
          </cell>
          <cell r="G72">
            <v>60</v>
          </cell>
          <cell r="I72">
            <v>9.2589609999999993</v>
          </cell>
        </row>
        <row r="73">
          <cell r="A73" t="str">
            <v>648-097891-102</v>
          </cell>
          <cell r="B73" t="str">
            <v>CAP,SMD,MLCC,1000PF,10%,50VDC,X7R,1206</v>
          </cell>
          <cell r="C73" t="str">
            <v>12065C102KAT2A</v>
          </cell>
          <cell r="D73" t="str">
            <v>AVX</v>
          </cell>
          <cell r="E73" t="str">
            <v>Capacitor</v>
          </cell>
          <cell r="F73">
            <v>2030</v>
          </cell>
          <cell r="G73">
            <v>2030</v>
          </cell>
          <cell r="I73">
            <v>9.1500000000000001E-3</v>
          </cell>
        </row>
        <row r="74">
          <cell r="A74" t="str">
            <v>632-275101-001</v>
          </cell>
          <cell r="B74" t="str">
            <v>RLY,SMD,2 FORM C,24VDC,8.3MA,2.8K OHM</v>
          </cell>
          <cell r="C74" t="str">
            <v>TQ2SS-24V</v>
          </cell>
          <cell r="D74" t="str">
            <v>PANASONIC</v>
          </cell>
          <cell r="E74" t="str">
            <v>Relay</v>
          </cell>
          <cell r="F74">
            <v>220</v>
          </cell>
          <cell r="G74">
            <v>220</v>
          </cell>
          <cell r="I74">
            <v>2.368576</v>
          </cell>
        </row>
        <row r="75">
          <cell r="A75" t="str">
            <v>648-A06834-001</v>
          </cell>
          <cell r="B75" t="str">
            <v>CAP,SMD,STK,CER,2UF,±20% TOL,4-J-LEAD</v>
          </cell>
          <cell r="C75" t="str">
            <v>B58035U5205M062</v>
          </cell>
          <cell r="D75" t="str">
            <v>TDK</v>
          </cell>
          <cell r="E75" t="str">
            <v>Capacitor</v>
          </cell>
          <cell r="F75">
            <v>50</v>
          </cell>
          <cell r="G75">
            <v>50</v>
          </cell>
          <cell r="I75">
            <v>7.7450085000000009</v>
          </cell>
        </row>
        <row r="76">
          <cell r="A76" t="str">
            <v>660-B00902-001</v>
          </cell>
          <cell r="B76" t="str">
            <v>COV,RF SHIELD,1.778LG X 1.328IN W,NI SIL</v>
          </cell>
          <cell r="C76" t="str">
            <v>L-1300CC1750-0340XC</v>
          </cell>
          <cell r="D76" t="str">
            <v>ORBEL CORPORATION</v>
          </cell>
          <cell r="E76" t="str">
            <v>Other</v>
          </cell>
          <cell r="F76">
            <v>60</v>
          </cell>
          <cell r="G76">
            <v>60</v>
          </cell>
          <cell r="I76">
            <v>8.0925180000000001</v>
          </cell>
        </row>
        <row r="77">
          <cell r="A77" t="str">
            <v>615-217661-006</v>
          </cell>
          <cell r="B77" t="str">
            <v>RES,SMD,CUR SNS, 0.01 OHM,0.1%,1W,2512</v>
          </cell>
          <cell r="C77" t="str">
            <v>Y14870R01000B9W</v>
          </cell>
          <cell r="D77" t="str">
            <v>VISHAY PRECISION GROUP INC.</v>
          </cell>
          <cell r="E77" t="str">
            <v>Resistor</v>
          </cell>
          <cell r="F77">
            <v>40</v>
          </cell>
          <cell r="G77">
            <v>40</v>
          </cell>
          <cell r="I77">
            <v>6.4007334999999994</v>
          </cell>
        </row>
        <row r="78">
          <cell r="A78" t="str">
            <v>649-228171-001</v>
          </cell>
          <cell r="B78" t="str">
            <v>CAP,ALUM,470UF,20%,450V,SNAP</v>
          </cell>
          <cell r="C78" t="str">
            <v>B43601B5477M</v>
          </cell>
          <cell r="D78" t="str">
            <v>EPCOS</v>
          </cell>
          <cell r="E78" t="str">
            <v>Capacitor</v>
          </cell>
          <cell r="F78">
            <v>40</v>
          </cell>
          <cell r="G78">
            <v>40</v>
          </cell>
          <cell r="I78">
            <v>11.5179235</v>
          </cell>
        </row>
        <row r="79">
          <cell r="A79" t="str">
            <v>630-059953-001</v>
          </cell>
          <cell r="B79" t="str">
            <v>IC,SMD,16 BIT SERIAL ADC,ROHS</v>
          </cell>
          <cell r="C79" t="str">
            <v>ADS8509IDW</v>
          </cell>
          <cell r="D79" t="str">
            <v>TEXAS INSTRUMENTS</v>
          </cell>
          <cell r="E79" t="str">
            <v>IC/Semi</v>
          </cell>
          <cell r="F79">
            <v>20</v>
          </cell>
          <cell r="G79">
            <v>20</v>
          </cell>
          <cell r="I79">
            <v>16.374431000000001</v>
          </cell>
        </row>
        <row r="80">
          <cell r="A80" t="str">
            <v>630-122646-001</v>
          </cell>
          <cell r="B80" t="str">
            <v>IC,SMD,BUCK SYNC ADJ 10A TO-PMOD-11</v>
          </cell>
          <cell r="C80" t="str">
            <v>LMZ13610TZ/NOPB</v>
          </cell>
          <cell r="D80" t="str">
            <v>TEXAS INSTRUMENTS</v>
          </cell>
          <cell r="E80" t="str">
            <v>IC/Semi</v>
          </cell>
          <cell r="F80">
            <v>20</v>
          </cell>
          <cell r="G80">
            <v>20</v>
          </cell>
          <cell r="I80">
            <v>25.706111499999999</v>
          </cell>
        </row>
        <row r="81">
          <cell r="A81" t="str">
            <v>646-098600-001</v>
          </cell>
          <cell r="B81" t="str">
            <v>SW,SMD,RTRY HEX,TOP ADJ,6 PIN, ROHS</v>
          </cell>
          <cell r="C81" t="str">
            <v>94HAB16WRT</v>
          </cell>
          <cell r="D81" t="str">
            <v>GRAYHILL</v>
          </cell>
          <cell r="E81" t="str">
            <v>Other</v>
          </cell>
          <cell r="F81">
            <v>80</v>
          </cell>
          <cell r="G81">
            <v>80</v>
          </cell>
          <cell r="I81">
            <v>2.971498</v>
          </cell>
        </row>
        <row r="82">
          <cell r="A82" t="str">
            <v>630-232484-001</v>
          </cell>
          <cell r="B82" t="str">
            <v>IC,SMD,CTRLR,HOT,SWAP,48V</v>
          </cell>
          <cell r="C82" t="str">
            <v>LM5069MM-2/NOPB</v>
          </cell>
          <cell r="D82" t="str">
            <v>TEXAS INSTRUMENTS</v>
          </cell>
          <cell r="E82" t="str">
            <v>IC/Semi</v>
          </cell>
          <cell r="F82">
            <v>155</v>
          </cell>
          <cell r="G82">
            <v>155</v>
          </cell>
          <cell r="I82">
            <v>2.3861870000000001</v>
          </cell>
        </row>
        <row r="83">
          <cell r="A83" t="str">
            <v>626-B36183-001</v>
          </cell>
          <cell r="B83" t="str">
            <v>XSTR,SMD,MOSFET,N-CHAN,60V,100A,8VSON</v>
          </cell>
          <cell r="C83" t="str">
            <v>CSD18540Q5B</v>
          </cell>
          <cell r="D83" t="str">
            <v>TEXAS INSTRUMENTS</v>
          </cell>
          <cell r="E83" t="str">
            <v>Transistor</v>
          </cell>
          <cell r="F83">
            <v>235</v>
          </cell>
          <cell r="G83">
            <v>235</v>
          </cell>
          <cell r="I83">
            <v>1.121837</v>
          </cell>
        </row>
        <row r="84">
          <cell r="A84" t="str">
            <v>660-B59124-003</v>
          </cell>
          <cell r="B84" t="str">
            <v>PS,CONV,DC-DC,24V,5V OUT,1W,SIP-4</v>
          </cell>
          <cell r="C84" t="str">
            <v>1779205311</v>
          </cell>
          <cell r="D84" t="str">
            <v>WURTH ELEKTRONIK</v>
          </cell>
          <cell r="E84" t="str">
            <v>Other</v>
          </cell>
          <cell r="F84">
            <v>120</v>
          </cell>
          <cell r="G84">
            <v>120</v>
          </cell>
          <cell r="I84">
            <v>2.4310230000000002</v>
          </cell>
        </row>
        <row r="85">
          <cell r="A85" t="str">
            <v>630-097973-001</v>
          </cell>
          <cell r="B85" t="str">
            <v>IC,SMD,705 MP MON SO8,ROHS</v>
          </cell>
          <cell r="C85" t="str">
            <v>MAX705CSA+</v>
          </cell>
          <cell r="D85" t="str">
            <v>MAXIM INTEGRATED</v>
          </cell>
          <cell r="E85" t="str">
            <v>IC/Semi</v>
          </cell>
          <cell r="F85">
            <v>40</v>
          </cell>
          <cell r="G85">
            <v>40</v>
          </cell>
          <cell r="I85">
            <v>4.7899969999999996</v>
          </cell>
        </row>
        <row r="86">
          <cell r="A86" t="str">
            <v>630-048308-001</v>
          </cell>
          <cell r="B86" t="str">
            <v>IC,SMD,EPM240T100C4N,100 PIN CPLD,ROHS</v>
          </cell>
          <cell r="C86" t="str">
            <v>EPM240T100C4N</v>
          </cell>
          <cell r="D86" t="str">
            <v>ALTERA</v>
          </cell>
          <cell r="E86" t="str">
            <v>IC/Semi</v>
          </cell>
          <cell r="F86">
            <v>20</v>
          </cell>
          <cell r="G86">
            <v>20</v>
          </cell>
          <cell r="I86">
            <v>21.524425999999998</v>
          </cell>
        </row>
        <row r="87">
          <cell r="A87" t="str">
            <v>671-096377-010</v>
          </cell>
          <cell r="B87" t="str">
            <v>TP LOOPED .035 HOLE,1 POS,BLK</v>
          </cell>
          <cell r="C87" t="str">
            <v>TP-105-01-00</v>
          </cell>
          <cell r="D87" t="str">
            <v>COMPONENTS CORPORATION</v>
          </cell>
          <cell r="E87" t="str">
            <v>Other</v>
          </cell>
          <cell r="F87">
            <v>2950</v>
          </cell>
          <cell r="G87">
            <v>2950</v>
          </cell>
        </row>
        <row r="88">
          <cell r="A88" t="str">
            <v>670-285389-001</v>
          </cell>
          <cell r="B88" t="str">
            <v>CB,THRM,3.15A,250VAC,50VDC</v>
          </cell>
          <cell r="C88" t="str">
            <v>1410-L110-L1F1-S01-3.15A</v>
          </cell>
          <cell r="D88" t="str">
            <v>E-T-A ENGINEERING TECHNOLOGY</v>
          </cell>
          <cell r="E88" t="str">
            <v>Other</v>
          </cell>
          <cell r="F88">
            <v>40</v>
          </cell>
          <cell r="G88">
            <v>40</v>
          </cell>
          <cell r="I88">
            <v>9.3327969999999993</v>
          </cell>
        </row>
        <row r="89">
          <cell r="A89" t="str">
            <v>615-122309-200</v>
          </cell>
          <cell r="B89" t="str">
            <v>RES,0805,TF,0.1W,0.01%,20.0K ROHS</v>
          </cell>
          <cell r="C89" t="str">
            <v>RNCF0805TTT20K0</v>
          </cell>
          <cell r="D89" t="str">
            <v>STACKPOLE ELECTRONICS</v>
          </cell>
          <cell r="E89" t="str">
            <v>Resistor</v>
          </cell>
          <cell r="F89">
            <v>530</v>
          </cell>
          <cell r="G89">
            <v>5000</v>
          </cell>
          <cell r="H89" t="str">
            <v>YES</v>
          </cell>
          <cell r="I89">
            <v>0.58490900000000001</v>
          </cell>
        </row>
        <row r="90">
          <cell r="A90" t="str">
            <v>620-095609-001</v>
          </cell>
          <cell r="B90" t="str">
            <v>RES,HV ROX-2,15KV 1 MEG,ROHS</v>
          </cell>
          <cell r="C90" t="str">
            <v>ROX2001M00KKELS</v>
          </cell>
          <cell r="D90" t="str">
            <v>VISHAY/DALE</v>
          </cell>
          <cell r="E90" t="str">
            <v>Resistor</v>
          </cell>
          <cell r="F90">
            <v>20</v>
          </cell>
          <cell r="G90">
            <v>20</v>
          </cell>
        </row>
        <row r="91">
          <cell r="A91" t="str">
            <v>668-B17515-003</v>
          </cell>
          <cell r="B91" t="str">
            <v>CONN,RCPT,M8,SHLD,3POSN,3A,PCB/PNL MT</v>
          </cell>
          <cell r="C91" t="str">
            <v>T4041037031-001</v>
          </cell>
          <cell r="D91" t="str">
            <v>TE CONNECTIVITY</v>
          </cell>
          <cell r="E91" t="str">
            <v>Connector</v>
          </cell>
          <cell r="F91">
            <v>55</v>
          </cell>
          <cell r="G91">
            <v>55</v>
          </cell>
        </row>
        <row r="92">
          <cell r="A92" t="str">
            <v>668-007087-009</v>
          </cell>
          <cell r="B92" t="str">
            <v>CONN,HDR,PCB,M-ST,UNV M-N-LOK,9P,ROHS</v>
          </cell>
          <cell r="C92" t="str">
            <v>350712-4</v>
          </cell>
          <cell r="D92" t="str">
            <v>TE CONNECTIVITY</v>
          </cell>
          <cell r="E92" t="str">
            <v>Connector</v>
          </cell>
          <cell r="F92">
            <v>80</v>
          </cell>
          <cell r="G92">
            <v>80</v>
          </cell>
          <cell r="I92">
            <v>1.7234995</v>
          </cell>
        </row>
        <row r="93">
          <cell r="A93" t="str">
            <v>668-099029-026</v>
          </cell>
          <cell r="B93" t="str">
            <v>CONN,PIN,26P,DSUB,HD,VERT,ROHS</v>
          </cell>
          <cell r="C93" t="str">
            <v>K86X-AD-26P-BR</v>
          </cell>
          <cell r="D93" t="str">
            <v>KYCON, INC</v>
          </cell>
          <cell r="E93" t="str">
            <v>Connector</v>
          </cell>
          <cell r="F93">
            <v>85</v>
          </cell>
          <cell r="G93">
            <v>85</v>
          </cell>
          <cell r="I93">
            <v>4.1837009999999992</v>
          </cell>
        </row>
        <row r="94">
          <cell r="A94" t="str">
            <v>630-293745-001</v>
          </cell>
          <cell r="B94" t="str">
            <v>IC,SMD,DRIVER,LO/HI SIDE,8 CH</v>
          </cell>
          <cell r="C94" t="str">
            <v>NCV7608DQR2G</v>
          </cell>
          <cell r="D94" t="str">
            <v>ON SEMICONDUCTOR</v>
          </cell>
          <cell r="E94" t="str">
            <v>IC/Semi</v>
          </cell>
          <cell r="F94">
            <v>130</v>
          </cell>
          <cell r="G94">
            <v>130</v>
          </cell>
          <cell r="I94">
            <v>2.2632479999999999</v>
          </cell>
        </row>
        <row r="95">
          <cell r="A95" t="str">
            <v>668-007087-015</v>
          </cell>
          <cell r="B95" t="str">
            <v>CONN,HDR,PCB,M-ST,UNV M-N-LOK,15P,ROHS</v>
          </cell>
          <cell r="C95" t="str">
            <v>350714-4</v>
          </cell>
          <cell r="D95" t="str">
            <v>TE CONNECTIVITY</v>
          </cell>
          <cell r="E95" t="str">
            <v>Connector</v>
          </cell>
          <cell r="F95">
            <v>40</v>
          </cell>
          <cell r="G95">
            <v>40</v>
          </cell>
          <cell r="I95">
            <v>7.5449950000000001</v>
          </cell>
        </row>
        <row r="96">
          <cell r="A96" t="str">
            <v>641-B77115-360</v>
          </cell>
          <cell r="B96" t="str">
            <v>IDCTR,AIR CORE,360NH,5%,4.5A,0.0135OHM</v>
          </cell>
          <cell r="C96" t="str">
            <v>2929SQ-361JEC</v>
          </cell>
          <cell r="D96" t="str">
            <v>COILCRAFT</v>
          </cell>
          <cell r="E96" t="str">
            <v>Other</v>
          </cell>
          <cell r="F96">
            <v>230</v>
          </cell>
          <cell r="G96">
            <v>230</v>
          </cell>
          <cell r="I96">
            <v>1.297685</v>
          </cell>
        </row>
        <row r="97">
          <cell r="A97" t="str">
            <v>630-132127-001</v>
          </cell>
          <cell r="B97" t="str">
            <v>IC,SMD,IC OP AMP INSTM 8SOIC,ROHS</v>
          </cell>
          <cell r="C97" t="str">
            <v>AD8421ARZ</v>
          </cell>
          <cell r="D97" t="str">
            <v>ANALOG DEVICES INC.</v>
          </cell>
          <cell r="E97" t="str">
            <v>IC/Semi</v>
          </cell>
          <cell r="F97">
            <v>30</v>
          </cell>
          <cell r="G97">
            <v>30</v>
          </cell>
          <cell r="I97">
            <v>4.6457179999999996</v>
          </cell>
        </row>
        <row r="98">
          <cell r="A98" t="str">
            <v>630-337161-001</v>
          </cell>
          <cell r="B98" t="str">
            <v>IC,SMD,CPLD,980MACROCELL,6.2NS,TQFP-144</v>
          </cell>
          <cell r="C98" t="str">
            <v>5M1270ZT144C5N</v>
          </cell>
          <cell r="D98" t="str">
            <v>INTEL</v>
          </cell>
          <cell r="E98" t="str">
            <v>IC/Semi</v>
          </cell>
          <cell r="F98">
            <v>10</v>
          </cell>
          <cell r="G98">
            <v>10</v>
          </cell>
          <cell r="I98">
            <v>11.4050335</v>
          </cell>
        </row>
        <row r="99">
          <cell r="A99" t="str">
            <v>615-B65677-001</v>
          </cell>
          <cell r="B99" t="str">
            <v>RES,SMD,20K,0.01%TOL,0.1W,0603,ROHS</v>
          </cell>
          <cell r="C99" t="str">
            <v>RNCF0603TKY20K0</v>
          </cell>
          <cell r="D99" t="str">
            <v>STACKPOLE ELECTRONICS</v>
          </cell>
          <cell r="E99" t="str">
            <v>Resistor</v>
          </cell>
          <cell r="F99">
            <v>265</v>
          </cell>
          <cell r="G99">
            <v>265</v>
          </cell>
          <cell r="I99">
            <v>1.0117320000000001</v>
          </cell>
        </row>
        <row r="100">
          <cell r="A100" t="str">
            <v>630-260287-001</v>
          </cell>
          <cell r="B100" t="str">
            <v>IC,SMD,ADC,12-BIT,2.5MSPS,TSOT-23</v>
          </cell>
          <cell r="C100" t="str">
            <v>LTC2313CTS8-12#TRMPBF</v>
          </cell>
          <cell r="D100" t="str">
            <v>ANALOG DEVICES INC.</v>
          </cell>
          <cell r="E100" t="str">
            <v>IC/Semi</v>
          </cell>
          <cell r="F100">
            <v>30</v>
          </cell>
          <cell r="G100">
            <v>30</v>
          </cell>
          <cell r="I100">
            <v>7.3864919999999996</v>
          </cell>
        </row>
        <row r="101">
          <cell r="A101" t="str">
            <v>668-B64376-032</v>
          </cell>
          <cell r="B101" t="str">
            <v>CONN,HDR,RTANG,2ROW,32POSN,2MM PITCH,TH</v>
          </cell>
          <cell r="C101" t="str">
            <v>2086593240</v>
          </cell>
          <cell r="D101" t="str">
            <v>MOLEX, LLC</v>
          </cell>
          <cell r="E101" t="str">
            <v>Connector</v>
          </cell>
          <cell r="F101">
            <v>120</v>
          </cell>
          <cell r="G101">
            <v>120</v>
          </cell>
          <cell r="I101">
            <v>2.7471480000000001</v>
          </cell>
        </row>
        <row r="102">
          <cell r="A102" t="str">
            <v>630-017595-001</v>
          </cell>
          <cell r="B102" t="str">
            <v>C,SMD, REG 102UA-3.3, SOIC8, ROHS</v>
          </cell>
          <cell r="C102" t="str">
            <v>REG102UA-3.3</v>
          </cell>
          <cell r="D102" t="str">
            <v>TEXAS INSTRUMENTS</v>
          </cell>
          <cell r="E102" t="str">
            <v>Other</v>
          </cell>
          <cell r="F102">
            <v>100</v>
          </cell>
          <cell r="G102">
            <v>100</v>
          </cell>
          <cell r="I102">
            <v>1.887991</v>
          </cell>
        </row>
        <row r="103">
          <cell r="A103" t="str">
            <v>639-C00547-150</v>
          </cell>
          <cell r="B103" t="str">
            <v>IDCTR,SMD,15UH,20%,0.0143OHM,16A</v>
          </cell>
          <cell r="C103" t="str">
            <v>CSEG1010-150M</v>
          </cell>
          <cell r="D103" t="str">
            <v>CODACA</v>
          </cell>
          <cell r="E103" t="str">
            <v>Other</v>
          </cell>
          <cell r="F103">
            <v>50</v>
          </cell>
          <cell r="G103">
            <v>50</v>
          </cell>
          <cell r="I103">
            <v>5.4164744999999996</v>
          </cell>
        </row>
        <row r="104">
          <cell r="A104" t="str">
            <v>668-311384-004</v>
          </cell>
          <cell r="B104" t="str">
            <v>CONN,HDR,VERTICAL,8POS</v>
          </cell>
          <cell r="C104" t="str">
            <v>1720420802</v>
          </cell>
          <cell r="D104" t="str">
            <v>MOLEX, LLC</v>
          </cell>
          <cell r="E104" t="str">
            <v>Connector</v>
          </cell>
          <cell r="F104">
            <v>60</v>
          </cell>
          <cell r="G104">
            <v>60</v>
          </cell>
          <cell r="I104">
            <v>3.9339979999999999</v>
          </cell>
        </row>
        <row r="105">
          <cell r="A105" t="str">
            <v>723-084496-010</v>
          </cell>
          <cell r="B105" t="str">
            <v>STDF,HEX,6MM,M/F,SST,M4X.7X10MM</v>
          </cell>
          <cell r="C105" t="str">
            <v>M2145-4007-SS-20</v>
          </cell>
          <cell r="D105" t="str">
            <v>RAF</v>
          </cell>
          <cell r="E105" t="str">
            <v>Other</v>
          </cell>
          <cell r="F105">
            <v>20</v>
          </cell>
          <cell r="G105">
            <v>20</v>
          </cell>
        </row>
        <row r="106">
          <cell r="A106" t="str">
            <v>630-B70151-001</v>
          </cell>
          <cell r="B106" t="str">
            <v>IC,SMD,OP AMP,CMOS,DUAL,2.7-5.5V,SOIC-8</v>
          </cell>
          <cell r="C106" t="str">
            <v>ADA4891-2ARZ</v>
          </cell>
          <cell r="D106" t="str">
            <v>ANALOG DEVICES INC.</v>
          </cell>
          <cell r="E106" t="str">
            <v>IC/Semi</v>
          </cell>
          <cell r="F106">
            <v>120</v>
          </cell>
          <cell r="G106">
            <v>120</v>
          </cell>
          <cell r="I106">
            <v>1.420061</v>
          </cell>
        </row>
        <row r="107">
          <cell r="A107" t="str">
            <v>616-052546-005</v>
          </cell>
          <cell r="B107" t="str">
            <v>RES,LOAD,5 OHM,100W,1%TOL,TO-247</v>
          </cell>
          <cell r="C107" t="str">
            <v>MP9100-5.00-1%</v>
          </cell>
          <cell r="D107" t="str">
            <v>CADDOCK ELECTRONICS INC.</v>
          </cell>
          <cell r="E107" t="str">
            <v>Resistor</v>
          </cell>
          <cell r="F107">
            <v>20</v>
          </cell>
          <cell r="G107">
            <v>20</v>
          </cell>
          <cell r="I107">
            <v>10.665072</v>
          </cell>
        </row>
        <row r="108">
          <cell r="A108" t="str">
            <v>645-313806-001</v>
          </cell>
          <cell r="B108" t="str">
            <v>SW,DIP,MINIATURE,ROTARY,WASHABLE</v>
          </cell>
          <cell r="C108" t="str">
            <v>DRR7016C</v>
          </cell>
          <cell r="D108" t="str">
            <v>NIDEC</v>
          </cell>
          <cell r="E108" t="str">
            <v>Other</v>
          </cell>
          <cell r="F108">
            <v>85</v>
          </cell>
          <cell r="G108">
            <v>85</v>
          </cell>
          <cell r="I108">
            <v>2.4331255000000001</v>
          </cell>
        </row>
        <row r="109">
          <cell r="A109" t="str">
            <v>630-017794-002</v>
          </cell>
          <cell r="B109" t="str">
            <v>IC,SMD,SWITCHING REG,LT1376HVIS, ROHS</v>
          </cell>
          <cell r="C109" t="str">
            <v>LT1376HVIS#PBF</v>
          </cell>
          <cell r="D109" t="str">
            <v>ANALOG DEVICES</v>
          </cell>
          <cell r="E109" t="str">
            <v>IC/Semi</v>
          </cell>
          <cell r="F109">
            <v>20</v>
          </cell>
          <cell r="G109">
            <v>20</v>
          </cell>
          <cell r="I109">
            <v>10.6613715</v>
          </cell>
        </row>
        <row r="110">
          <cell r="A110" t="str">
            <v>630-248896-001</v>
          </cell>
          <cell r="B110" t="str">
            <v>IC,SMD,FLASH,128M,QPI/QSPI</v>
          </cell>
          <cell r="C110" t="str">
            <v>IS25LP128-JBLE</v>
          </cell>
          <cell r="D110" t="str">
            <v>INTEGRATED SILICON SOLUTION</v>
          </cell>
          <cell r="E110" t="str">
            <v>IC/Semi</v>
          </cell>
          <cell r="F110">
            <v>130</v>
          </cell>
          <cell r="G110">
            <v>130</v>
          </cell>
          <cell r="I110">
            <v>1.634341</v>
          </cell>
        </row>
        <row r="111">
          <cell r="A111" t="str">
            <v>630-079678-001</v>
          </cell>
          <cell r="B111" t="str">
            <v>IC,SMD,OCT BFR,SCHMITT,74HC7541,ROHS</v>
          </cell>
          <cell r="C111" t="str">
            <v>74HC7541D</v>
          </cell>
          <cell r="D111" t="str">
            <v>NXP</v>
          </cell>
          <cell r="E111" t="str">
            <v>IC/Semi</v>
          </cell>
          <cell r="F111">
            <v>70</v>
          </cell>
          <cell r="G111">
            <v>2000</v>
          </cell>
          <cell r="H111" t="str">
            <v>YES</v>
          </cell>
          <cell r="I111">
            <v>0.65922099999999995</v>
          </cell>
        </row>
        <row r="112">
          <cell r="A112" t="str">
            <v>630-228108-001</v>
          </cell>
          <cell r="B112" t="str">
            <v>IC,SMD,BI,DIR,LEVEL TRANSL,6CH</v>
          </cell>
          <cell r="C112" t="str">
            <v>MAX13035EETE+</v>
          </cell>
          <cell r="D112" t="str">
            <v>MAXIM INTEGRATED</v>
          </cell>
          <cell r="E112" t="str">
            <v>IC/Semi</v>
          </cell>
          <cell r="F112">
            <v>30</v>
          </cell>
          <cell r="G112">
            <v>30</v>
          </cell>
          <cell r="I112">
            <v>8.2814185000000009</v>
          </cell>
        </row>
        <row r="113">
          <cell r="A113" t="str">
            <v>616-052546-003</v>
          </cell>
          <cell r="B113" t="str">
            <v>RES,LOAD,20 OHM,100W,1%TOL,TO-247</v>
          </cell>
          <cell r="C113" t="str">
            <v>MP9100-20.0-1%</v>
          </cell>
          <cell r="D113" t="str">
            <v>CADDOCK ELECTRONICS INC.</v>
          </cell>
          <cell r="E113" t="str">
            <v>Resistor</v>
          </cell>
          <cell r="F113">
            <v>20</v>
          </cell>
          <cell r="G113">
            <v>20</v>
          </cell>
          <cell r="I113">
            <v>10.348936</v>
          </cell>
        </row>
        <row r="114">
          <cell r="A114" t="str">
            <v>668-B17520-003</v>
          </cell>
          <cell r="B114" t="str">
            <v>CONN,PLUG,M8,SHLD,3POSN,3A,PCB/PNL MT</v>
          </cell>
          <cell r="C114" t="str">
            <v>T4040034031-001</v>
          </cell>
          <cell r="D114" t="str">
            <v>TE CONNECTIVITY</v>
          </cell>
          <cell r="E114" t="str">
            <v>Connector</v>
          </cell>
          <cell r="F114">
            <v>55</v>
          </cell>
          <cell r="G114">
            <v>55</v>
          </cell>
        </row>
        <row r="115">
          <cell r="A115" t="str">
            <v>616-052546-006</v>
          </cell>
          <cell r="B115" t="str">
            <v>RES,LOAD,10 OHM,100W,1%TOL,TO-247</v>
          </cell>
          <cell r="C115" t="str">
            <v>MP9100-10.0-1%</v>
          </cell>
          <cell r="D115" t="str">
            <v>CADDOCK ELECTRONICS INC.</v>
          </cell>
          <cell r="E115" t="str">
            <v>Resistor</v>
          </cell>
          <cell r="F115">
            <v>20</v>
          </cell>
          <cell r="G115">
            <v>20</v>
          </cell>
          <cell r="I115">
            <v>10.0059515</v>
          </cell>
        </row>
        <row r="116">
          <cell r="A116" t="str">
            <v>648-C06198-303</v>
          </cell>
          <cell r="B116" t="str">
            <v>CAP,SMD,MLCC,0.03UF,10%,X7R,3KVDC</v>
          </cell>
          <cell r="C116" t="str">
            <v>C2220C303KHRLCAUTO</v>
          </cell>
          <cell r="D116" t="str">
            <v>KEMET</v>
          </cell>
          <cell r="E116" t="str">
            <v>Capacitor</v>
          </cell>
          <cell r="F116">
            <v>80</v>
          </cell>
          <cell r="G116">
            <v>80</v>
          </cell>
          <cell r="I116">
            <v>2.2518310000000001</v>
          </cell>
        </row>
        <row r="117">
          <cell r="A117" t="str">
            <v>668-035473-020</v>
          </cell>
          <cell r="B117" t="str">
            <v>CONN,INTCON STRIP, MALE 20 PIN</v>
          </cell>
          <cell r="C117" t="str">
            <v>BBS-120-G-A</v>
          </cell>
          <cell r="D117" t="str">
            <v>SAMTEC</v>
          </cell>
          <cell r="E117" t="str">
            <v>Connector</v>
          </cell>
          <cell r="F117">
            <v>20</v>
          </cell>
          <cell r="G117">
            <v>20</v>
          </cell>
          <cell r="I117">
            <v>3.4877595000000001</v>
          </cell>
        </row>
        <row r="118">
          <cell r="A118" t="str">
            <v>668-230911-009</v>
          </cell>
          <cell r="B118" t="str">
            <v>CONN,HDR,8POS,.100",ROHS</v>
          </cell>
          <cell r="C118" t="str">
            <v>TSW-108-17-G-S</v>
          </cell>
          <cell r="D118" t="str">
            <v>SAMTEC</v>
          </cell>
          <cell r="E118" t="str">
            <v>Connector</v>
          </cell>
          <cell r="F118">
            <v>80</v>
          </cell>
          <cell r="G118">
            <v>80</v>
          </cell>
          <cell r="I118">
            <v>0.77649950000000001</v>
          </cell>
        </row>
        <row r="119">
          <cell r="A119" t="str">
            <v>630-B94226-030</v>
          </cell>
          <cell r="B119" t="str">
            <v>IC,SMD,CUR SNSR,4.75-5.5V,30A,SOIC-8</v>
          </cell>
          <cell r="C119" t="str">
            <v>CT418-HSN830DR</v>
          </cell>
          <cell r="D119" t="str">
            <v>ALLEGRO MICROSYSTEMS LLC</v>
          </cell>
          <cell r="E119" t="str">
            <v>IC/Semi</v>
          </cell>
          <cell r="F119">
            <v>105</v>
          </cell>
          <cell r="G119">
            <v>105</v>
          </cell>
          <cell r="I119">
            <v>1.9450745</v>
          </cell>
        </row>
        <row r="120">
          <cell r="A120" t="str">
            <v>615-A31517-001</v>
          </cell>
          <cell r="B120" t="str">
            <v>RES,SMD,49.9OHM,±0.1%,1W,±25PPM,0805</v>
          </cell>
          <cell r="C120" t="str">
            <v>PCAN0805E49R9BST5</v>
          </cell>
          <cell r="D120" t="str">
            <v>VISHAY</v>
          </cell>
          <cell r="E120" t="str">
            <v>Resistor</v>
          </cell>
          <cell r="F120">
            <v>160</v>
          </cell>
          <cell r="G120">
            <v>160</v>
          </cell>
          <cell r="I120">
            <v>0.64899799999999996</v>
          </cell>
        </row>
        <row r="121">
          <cell r="A121" t="str">
            <v>668-007087-012</v>
          </cell>
          <cell r="B121" t="str">
            <v>CONN,HDR,PCB,M-ST,UNV M-N-LOK,12P,ROHS</v>
          </cell>
          <cell r="C121" t="str">
            <v>350713-4</v>
          </cell>
          <cell r="D121" t="str">
            <v>TE CONNECTIVITY</v>
          </cell>
          <cell r="E121" t="str">
            <v>Connector</v>
          </cell>
          <cell r="F121">
            <v>40</v>
          </cell>
          <cell r="G121">
            <v>40</v>
          </cell>
          <cell r="I121">
            <v>3.8125979999999999</v>
          </cell>
        </row>
        <row r="122">
          <cell r="A122" t="str">
            <v>630-311294-001</v>
          </cell>
          <cell r="B122" t="str">
            <v>IC,SMD,REG,BUCK,ADJ,7A,65V,32LQFN</v>
          </cell>
          <cell r="C122" t="str">
            <v>LT8645SEV#PBF</v>
          </cell>
          <cell r="D122" t="str">
            <v>ANALOG DEVICES</v>
          </cell>
          <cell r="E122" t="str">
            <v>IC/Semi</v>
          </cell>
          <cell r="F122">
            <v>20</v>
          </cell>
          <cell r="G122">
            <v>20</v>
          </cell>
          <cell r="I122">
            <v>7.4799959999999999</v>
          </cell>
        </row>
        <row r="123">
          <cell r="A123" t="str">
            <v>630-121394-001</v>
          </cell>
          <cell r="B123" t="str">
            <v>IC,SMD,ETHERNET PHY,10/100 MB/S,ROHS</v>
          </cell>
          <cell r="C123" t="str">
            <v>TLK110PTR</v>
          </cell>
          <cell r="D123" t="str">
            <v>TEXAS INSTRUMENTS</v>
          </cell>
          <cell r="E123" t="str">
            <v>IC/Semi</v>
          </cell>
          <cell r="F123">
            <v>30</v>
          </cell>
          <cell r="G123">
            <v>30</v>
          </cell>
          <cell r="I123">
            <v>5.0705730000000004</v>
          </cell>
        </row>
        <row r="124">
          <cell r="A124" t="str">
            <v>670-338640-050</v>
          </cell>
          <cell r="B124" t="str">
            <v>FUSE,CRTG,0.5A,600VAC/400DC,5X20MM</v>
          </cell>
          <cell r="C124" t="str">
            <v>S505H-500-R</v>
          </cell>
          <cell r="D124" t="str">
            <v>EATON</v>
          </cell>
          <cell r="E124" t="str">
            <v>Fuse</v>
          </cell>
          <cell r="F124">
            <v>170</v>
          </cell>
          <cell r="G124">
            <v>170</v>
          </cell>
          <cell r="I124">
            <v>0.90099899999999999</v>
          </cell>
        </row>
        <row r="125">
          <cell r="A125" t="str">
            <v>635-B65663-160</v>
          </cell>
          <cell r="B125" t="str">
            <v>OSC,SMD,XTAL,16MHZ,2.5PPM,1.7-3.6V</v>
          </cell>
          <cell r="C125" t="str">
            <v>ECS-TXO-3225MV-160-TR</v>
          </cell>
          <cell r="D125" t="str">
            <v>ECS INC. INTERNATIONAL</v>
          </cell>
          <cell r="E125" t="str">
            <v>Other</v>
          </cell>
          <cell r="F125">
            <v>120</v>
          </cell>
          <cell r="G125">
            <v>120</v>
          </cell>
          <cell r="I125">
            <v>1.416901</v>
          </cell>
        </row>
        <row r="126">
          <cell r="A126" t="str">
            <v>616-052546-007</v>
          </cell>
          <cell r="B126" t="str">
            <v>RES,LOAD,40 OHM,100W,1%TOL,TO-247</v>
          </cell>
          <cell r="C126" t="str">
            <v>MP9100-40.0-1%</v>
          </cell>
          <cell r="D126" t="str">
            <v>CADDOCK ELECTRONICS INC.</v>
          </cell>
          <cell r="E126" t="str">
            <v>Resistor</v>
          </cell>
          <cell r="F126">
            <v>20</v>
          </cell>
          <cell r="G126">
            <v>20</v>
          </cell>
          <cell r="I126">
            <v>9.3502945000000004</v>
          </cell>
        </row>
        <row r="127">
          <cell r="A127" t="str">
            <v>648-325821-431</v>
          </cell>
          <cell r="B127" t="str">
            <v>CAP,SMD,CER,430PF,1% TOL,50VDC,C0G,0805</v>
          </cell>
          <cell r="C127" t="str">
            <v>C0805C431F5GACTU</v>
          </cell>
          <cell r="D127" t="str">
            <v>KEMET</v>
          </cell>
          <cell r="E127" t="str">
            <v>Capacitor</v>
          </cell>
          <cell r="F127">
            <v>230</v>
          </cell>
          <cell r="G127">
            <v>230</v>
          </cell>
          <cell r="I127">
            <v>0.50106850000000003</v>
          </cell>
        </row>
        <row r="128">
          <cell r="A128" t="str">
            <v>630-198438-001</v>
          </cell>
          <cell r="B128" t="str">
            <v>IC,SMD,QUAD 16BIT DAC,I2C INTFC</v>
          </cell>
          <cell r="C128" t="str">
            <v>AD5696RBRUZ</v>
          </cell>
          <cell r="D128" t="str">
            <v>ANALOG DEVICES INC.</v>
          </cell>
          <cell r="E128" t="str">
            <v>IC/Semi</v>
          </cell>
          <cell r="F128">
            <v>10</v>
          </cell>
          <cell r="G128">
            <v>10</v>
          </cell>
          <cell r="I128">
            <v>19.053176000000001</v>
          </cell>
        </row>
        <row r="129">
          <cell r="A129" t="str">
            <v>631-099702-003</v>
          </cell>
          <cell r="B129" t="str">
            <v>IC,FO RECVR, HORZ, ROHS</v>
          </cell>
          <cell r="C129" t="str">
            <v>HFBR-2531ETZ</v>
          </cell>
          <cell r="D129" t="str">
            <v>BROADCOM INC.</v>
          </cell>
          <cell r="E129" t="str">
            <v>IC/Semi</v>
          </cell>
          <cell r="F129">
            <v>10</v>
          </cell>
          <cell r="G129">
            <v>10</v>
          </cell>
          <cell r="I129">
            <v>15.02961</v>
          </cell>
        </row>
        <row r="130">
          <cell r="A130" t="str">
            <v>615-B53766-002</v>
          </cell>
          <cell r="B130" t="str">
            <v>RES,SMD,THIN FILM,200 OHM,.1%,.5W,0603</v>
          </cell>
          <cell r="C130" t="str">
            <v>RA73F1J200RBTDF</v>
          </cell>
          <cell r="D130" t="str">
            <v>TE CONNECTIVITY</v>
          </cell>
          <cell r="E130" t="str">
            <v>Resistor</v>
          </cell>
          <cell r="F130">
            <v>120</v>
          </cell>
          <cell r="G130">
            <v>120</v>
          </cell>
          <cell r="I130">
            <v>0.82896499999999995</v>
          </cell>
        </row>
        <row r="131">
          <cell r="A131" t="str">
            <v>631-099701-003</v>
          </cell>
          <cell r="B131" t="str">
            <v>IC,XMTR,FIBER OPTIC,ROHS</v>
          </cell>
          <cell r="C131" t="str">
            <v>HFBR-1531ETZ</v>
          </cell>
          <cell r="D131" t="str">
            <v>BROADCOM INC.</v>
          </cell>
          <cell r="E131" t="str">
            <v>IC/Semi</v>
          </cell>
          <cell r="F131">
            <v>10</v>
          </cell>
          <cell r="G131">
            <v>10</v>
          </cell>
          <cell r="I131">
            <v>15.514632000000001</v>
          </cell>
        </row>
        <row r="132">
          <cell r="A132" t="str">
            <v>648-047973-105</v>
          </cell>
          <cell r="B132" t="str">
            <v>CAP,SMD,1UF,Y5V,0805</v>
          </cell>
          <cell r="C132" t="str">
            <v>08053G105ZAT2A</v>
          </cell>
          <cell r="D132" t="str">
            <v>AVX</v>
          </cell>
          <cell r="E132" t="str">
            <v>Capacitor</v>
          </cell>
          <cell r="F132">
            <v>1040</v>
          </cell>
          <cell r="G132">
            <v>1040</v>
          </cell>
          <cell r="I132">
            <v>2.3556500000000001E-2</v>
          </cell>
        </row>
        <row r="133">
          <cell r="A133" t="str">
            <v>630-039454-001</v>
          </cell>
          <cell r="B133" t="str">
            <v>IC,SMD,DUAL VOLT-REG,TPS767D301</v>
          </cell>
          <cell r="C133" t="str">
            <v>TPS767D301PWP</v>
          </cell>
          <cell r="D133" t="str">
            <v>TEXAS INSTRUMENTS</v>
          </cell>
          <cell r="E133" t="str">
            <v>IC/Semi</v>
          </cell>
          <cell r="F133">
            <v>20</v>
          </cell>
          <cell r="G133">
            <v>20</v>
          </cell>
          <cell r="I133">
            <v>4.1295349999999997</v>
          </cell>
        </row>
        <row r="134">
          <cell r="A134" t="str">
            <v>668-089643-020</v>
          </cell>
          <cell r="B134" t="str">
            <v>CONN,RCPT,LOW PROFILE STRIP 20P,ROHS</v>
          </cell>
          <cell r="C134" t="str">
            <v>SL-120-G-10</v>
          </cell>
          <cell r="D134" t="str">
            <v>SAMTEC</v>
          </cell>
          <cell r="E134" t="str">
            <v>Connector</v>
          </cell>
          <cell r="F134">
            <v>20</v>
          </cell>
          <cell r="G134">
            <v>20</v>
          </cell>
          <cell r="I134">
            <v>5.4100999999999999</v>
          </cell>
        </row>
        <row r="135">
          <cell r="A135" t="str">
            <v>630-099973-001</v>
          </cell>
          <cell r="B135" t="str">
            <v>IC,ADG431 QUAD ANLG SW,SO16, ROHS</v>
          </cell>
          <cell r="C135" t="str">
            <v>ADG431BRZ</v>
          </cell>
          <cell r="D135" t="str">
            <v>ANALOG DEVICES INC.</v>
          </cell>
          <cell r="E135" t="str">
            <v>IC/Semi</v>
          </cell>
          <cell r="F135">
            <v>20</v>
          </cell>
          <cell r="G135">
            <v>20</v>
          </cell>
          <cell r="I135">
            <v>3.951498</v>
          </cell>
        </row>
        <row r="136">
          <cell r="A136" t="str">
            <v>668-277308-002</v>
          </cell>
          <cell r="B136" t="str">
            <v>CONN,PLUG,DSUB,09POS,VERT,7.5A,125V</v>
          </cell>
          <cell r="C136" t="str">
            <v>163A16159X</v>
          </cell>
          <cell r="D136" t="str">
            <v>CONEC ELEKTRONISCHE BAUELEMENTE GMBH</v>
          </cell>
          <cell r="E136" t="str">
            <v>Connector</v>
          </cell>
          <cell r="F136">
            <v>20</v>
          </cell>
          <cell r="G136">
            <v>20</v>
          </cell>
          <cell r="I136">
            <v>6.4882600000000004</v>
          </cell>
        </row>
        <row r="137">
          <cell r="A137" t="str">
            <v>668-270723-001</v>
          </cell>
          <cell r="B137" t="str">
            <v>CONN,PLUG,MALE,D-SUB,7POSN,2ROW,7W2</v>
          </cell>
          <cell r="C137" t="str">
            <v>3007W2PCT56N40X</v>
          </cell>
          <cell r="D137" t="str">
            <v>CONEC ELEKTRONISCHE BAUELEMENTE GMBH</v>
          </cell>
          <cell r="E137" t="str">
            <v>Connector</v>
          </cell>
          <cell r="F137">
            <v>10</v>
          </cell>
          <cell r="G137">
            <v>10</v>
          </cell>
          <cell r="I137">
            <v>14.9010505</v>
          </cell>
        </row>
        <row r="138">
          <cell r="A138" t="str">
            <v>630-176855-001</v>
          </cell>
          <cell r="B138" t="str">
            <v>IC,SMD,LTC6994,DELAY LINE8TAP PROG,ROHS</v>
          </cell>
          <cell r="C138" t="str">
            <v>LTC6994IS6-1#TRMPBF</v>
          </cell>
          <cell r="D138" t="str">
            <v>ANALOG DEVICES</v>
          </cell>
          <cell r="E138" t="str">
            <v>IC/Semi</v>
          </cell>
          <cell r="F138">
            <v>30</v>
          </cell>
          <cell r="G138">
            <v>30</v>
          </cell>
          <cell r="I138">
            <v>2.9412929999999999</v>
          </cell>
        </row>
        <row r="139">
          <cell r="A139" t="str">
            <v>639-065795-001</v>
          </cell>
          <cell r="B139" t="str">
            <v>IDCTR,SMD,COM MODE FLTR,ROHS</v>
          </cell>
          <cell r="C139" t="str">
            <v>M2022-ALC</v>
          </cell>
          <cell r="D139" t="str">
            <v>COILCRAFT</v>
          </cell>
          <cell r="E139" t="str">
            <v>Other</v>
          </cell>
          <cell r="F139">
            <v>85</v>
          </cell>
          <cell r="G139">
            <v>85</v>
          </cell>
          <cell r="I139">
            <v>1.7007840000000001</v>
          </cell>
        </row>
        <row r="140">
          <cell r="A140" t="str">
            <v>668-269583-002</v>
          </cell>
          <cell r="B140" t="str">
            <v>CONN,PLUG HSG,DIN,SIG,32P,TYPE 2Q,ROHS</v>
          </cell>
          <cell r="C140" t="str">
            <v>09271326903</v>
          </cell>
          <cell r="D140" t="str">
            <v>HARTING TECHNOLOGY GROUP</v>
          </cell>
          <cell r="E140" t="str">
            <v>Connector</v>
          </cell>
          <cell r="F140">
            <v>20</v>
          </cell>
          <cell r="G140">
            <v>20</v>
          </cell>
          <cell r="I140">
            <v>4.4781060000000004</v>
          </cell>
        </row>
        <row r="141">
          <cell r="A141" t="str">
            <v>648-241285-001</v>
          </cell>
          <cell r="B141" t="str">
            <v>CAP,SMD,CER,1000PF,2.5KV,NP0,1825</v>
          </cell>
          <cell r="C141" t="str">
            <v>1825WA102KAT2A</v>
          </cell>
          <cell r="D141" t="str">
            <v>AVX</v>
          </cell>
          <cell r="E141" t="str">
            <v>Capacitor</v>
          </cell>
          <cell r="F141">
            <v>80</v>
          </cell>
          <cell r="G141">
            <v>80</v>
          </cell>
          <cell r="I141">
            <v>1.1811739999999999</v>
          </cell>
        </row>
        <row r="142">
          <cell r="A142" t="str">
            <v>615-122309-100</v>
          </cell>
          <cell r="B142" t="str">
            <v>RES,0805,TF,0.1W,0.01%,10.0K ROHS</v>
          </cell>
          <cell r="C142" t="str">
            <v>RNCF0805TTT10K0</v>
          </cell>
          <cell r="D142" t="str">
            <v>STACKPOLE ELECTRONICS</v>
          </cell>
          <cell r="E142" t="str">
            <v>Resistor</v>
          </cell>
          <cell r="F142">
            <v>160</v>
          </cell>
          <cell r="G142">
            <v>5000</v>
          </cell>
          <cell r="H142" t="str">
            <v>YES</v>
          </cell>
          <cell r="I142">
            <v>0.58490900000000001</v>
          </cell>
        </row>
        <row r="143">
          <cell r="A143" t="str">
            <v>648-067080-001</v>
          </cell>
          <cell r="B143" t="str">
            <v>CAP,SMD,CER,X7R,50V,20%,10UF ROHS</v>
          </cell>
          <cell r="C143" t="str">
            <v>CKG57NX7R1H106M500JH</v>
          </cell>
          <cell r="D143" t="str">
            <v>TDK</v>
          </cell>
          <cell r="E143" t="str">
            <v>Capacitor</v>
          </cell>
          <cell r="F143">
            <v>40</v>
          </cell>
          <cell r="G143">
            <v>40</v>
          </cell>
          <cell r="I143">
            <v>2.4827764999999999</v>
          </cell>
        </row>
        <row r="144">
          <cell r="A144" t="str">
            <v>630-343681-001</v>
          </cell>
          <cell r="B144" t="str">
            <v>IC,POT,DGTL,20K,1%TOL,1024POS,TSSOP-14</v>
          </cell>
          <cell r="C144" t="str">
            <v>AD5292BRUZ-20</v>
          </cell>
          <cell r="D144" t="str">
            <v>ANALOG DEVICES INC.</v>
          </cell>
          <cell r="E144" t="str">
            <v>IC/Semi</v>
          </cell>
          <cell r="F144">
            <v>20</v>
          </cell>
          <cell r="G144">
            <v>20</v>
          </cell>
          <cell r="I144">
            <v>4.0799969999999997</v>
          </cell>
        </row>
        <row r="145">
          <cell r="A145" t="str">
            <v>639-004556-390</v>
          </cell>
          <cell r="B145" t="str">
            <v>IDCTR,SMD,0.5" X 0.25", 390 UH,ROHS</v>
          </cell>
          <cell r="C145" t="str">
            <v>4922R-32L</v>
          </cell>
          <cell r="D145" t="str">
            <v>API DELEVAN</v>
          </cell>
          <cell r="E145" t="str">
            <v>Other</v>
          </cell>
          <cell r="F145">
            <v>30</v>
          </cell>
          <cell r="G145">
            <v>30</v>
          </cell>
          <cell r="I145">
            <v>2.8558374999999998</v>
          </cell>
        </row>
        <row r="146">
          <cell r="A146" t="str">
            <v>630-120971-001</v>
          </cell>
          <cell r="B146" t="str">
            <v>IC,SMD,DDR2 SDRAM,2GB,128MX16,1.8V</v>
          </cell>
          <cell r="C146" t="str">
            <v>MT47H128M16RT-25E:C TR</v>
          </cell>
          <cell r="D146" t="str">
            <v>MICRON TECHNOLOGY, INC.</v>
          </cell>
          <cell r="E146" t="str">
            <v>IC/Semi</v>
          </cell>
          <cell r="F146">
            <v>10</v>
          </cell>
          <cell r="G146">
            <v>10</v>
          </cell>
          <cell r="I146">
            <v>14.598144</v>
          </cell>
        </row>
        <row r="147">
          <cell r="A147" t="str">
            <v>630-227022-001</v>
          </cell>
          <cell r="B147" t="str">
            <v>IC,SMD,ILD223T,DC DUAL OPTOCPLR SO8,ROHS</v>
          </cell>
          <cell r="C147" t="str">
            <v>ILD223T</v>
          </cell>
          <cell r="D147" t="str">
            <v>VISHAY</v>
          </cell>
          <cell r="E147" t="str">
            <v>IC/Semi</v>
          </cell>
          <cell r="F147">
            <v>90</v>
          </cell>
          <cell r="G147">
            <v>90</v>
          </cell>
          <cell r="I147">
            <v>0.83660449999999997</v>
          </cell>
        </row>
        <row r="148">
          <cell r="A148" t="str">
            <v>626-A75408-001</v>
          </cell>
          <cell r="B148" t="str">
            <v>XSTR,SMD,FIELD EFT,P-CHAN,40V,TO-263-3</v>
          </cell>
          <cell r="C148" t="str">
            <v>SQM120P04-04L_GE3</v>
          </cell>
          <cell r="D148" t="str">
            <v>VISHAY</v>
          </cell>
          <cell r="E148" t="str">
            <v>Other</v>
          </cell>
          <cell r="F148">
            <v>40</v>
          </cell>
          <cell r="G148">
            <v>40</v>
          </cell>
          <cell r="I148">
            <v>2.0749985</v>
          </cell>
        </row>
        <row r="149">
          <cell r="A149" t="str">
            <v>668-267052-006</v>
          </cell>
          <cell r="B149" t="str">
            <v>CONN,HDR,PCB,6CKT,1ROW,600V,50A,10MM,BLK</v>
          </cell>
          <cell r="C149" t="str">
            <v>428196223</v>
          </cell>
          <cell r="D149" t="str">
            <v>MOLEX, LLC</v>
          </cell>
          <cell r="E149" t="str">
            <v>Connector</v>
          </cell>
          <cell r="F149">
            <v>10</v>
          </cell>
          <cell r="G149">
            <v>10</v>
          </cell>
          <cell r="I149">
            <v>10.409749</v>
          </cell>
        </row>
        <row r="150">
          <cell r="A150" t="str">
            <v>648-B65715-473</v>
          </cell>
          <cell r="B150" t="str">
            <v>CAP,SMD,MLCC,47NF,1% TOL,25VDC,C0G,0805</v>
          </cell>
          <cell r="C150" t="str">
            <v>C0805C473F3GECAUTO7210</v>
          </cell>
          <cell r="D150" t="str">
            <v>KEMET</v>
          </cell>
          <cell r="E150" t="str">
            <v>Capacitor</v>
          </cell>
          <cell r="F150">
            <v>120</v>
          </cell>
          <cell r="G150">
            <v>120</v>
          </cell>
          <cell r="I150">
            <v>0.562558</v>
          </cell>
        </row>
        <row r="151">
          <cell r="A151" t="str">
            <v>630-900073-001</v>
          </cell>
          <cell r="B151" t="str">
            <v>IC,AD586 VREF 5V SO8</v>
          </cell>
          <cell r="C151" t="str">
            <v>AD586KRZ</v>
          </cell>
          <cell r="D151" t="str">
            <v>ANALOG DEVICES INC.</v>
          </cell>
          <cell r="E151" t="str">
            <v>IC/Semi</v>
          </cell>
          <cell r="F151">
            <v>10</v>
          </cell>
          <cell r="G151">
            <v>10</v>
          </cell>
          <cell r="I151">
            <v>7.1449954999999994</v>
          </cell>
        </row>
        <row r="152">
          <cell r="A152" t="str">
            <v>630-165765-018</v>
          </cell>
          <cell r="B152" t="str">
            <v>IC,SMD,1.5A,1.8V, LIN REG,TPS78618</v>
          </cell>
          <cell r="C152" t="str">
            <v>TPS78618DCQR</v>
          </cell>
          <cell r="D152" t="str">
            <v>TEXAS INSTRUMENT</v>
          </cell>
          <cell r="E152" t="str">
            <v>IC/Semi</v>
          </cell>
          <cell r="F152">
            <v>25</v>
          </cell>
          <cell r="G152">
            <v>25</v>
          </cell>
          <cell r="I152">
            <v>1.8916599999999999</v>
          </cell>
        </row>
        <row r="153">
          <cell r="A153" t="str">
            <v>668-121742-012</v>
          </cell>
          <cell r="B153" t="str">
            <v>CONN,MAG45 MOD JACK GRN/YEL PCB,ROHS</v>
          </cell>
          <cell r="C153" t="str">
            <v>2250067-1</v>
          </cell>
          <cell r="D153" t="str">
            <v>TRP CONNECTOR B.V.</v>
          </cell>
          <cell r="E153" t="str">
            <v>Connector</v>
          </cell>
          <cell r="F153">
            <v>20</v>
          </cell>
          <cell r="G153">
            <v>20</v>
          </cell>
          <cell r="I153">
            <v>4.0999974999999997</v>
          </cell>
        </row>
        <row r="154">
          <cell r="A154" t="str">
            <v>639-A21747-001</v>
          </cell>
          <cell r="B154" t="str">
            <v>XFMR,SMD,GATE DRIVE,1:1:1,1500VDC</v>
          </cell>
          <cell r="C154" t="str">
            <v>X-1569</v>
          </cell>
          <cell r="D154" t="str">
            <v>PULSER LLC.</v>
          </cell>
          <cell r="E154" t="str">
            <v>Other</v>
          </cell>
          <cell r="F154">
            <v>10</v>
          </cell>
          <cell r="G154">
            <v>10</v>
          </cell>
          <cell r="I154">
            <v>13.25822</v>
          </cell>
        </row>
        <row r="155">
          <cell r="A155" t="str">
            <v>668-267052-004</v>
          </cell>
          <cell r="B155" t="str">
            <v>CONN,HDR,PCB,5CKT,1ROW,600V,50A,10MM,BLK</v>
          </cell>
          <cell r="C155" t="str">
            <v>428195223</v>
          </cell>
          <cell r="D155" t="str">
            <v>MOLEX, LLC</v>
          </cell>
          <cell r="E155" t="str">
            <v>Connector</v>
          </cell>
          <cell r="F155">
            <v>10</v>
          </cell>
          <cell r="G155">
            <v>10</v>
          </cell>
          <cell r="I155">
            <v>9.0378260000000008</v>
          </cell>
        </row>
        <row r="156">
          <cell r="A156" t="str">
            <v>639-311328-002</v>
          </cell>
          <cell r="B156" t="str">
            <v>IDCTR,SMD,POWER,SHIELDED,0.82UH</v>
          </cell>
          <cell r="C156" t="str">
            <v>XEL6060-821MEC</v>
          </cell>
          <cell r="D156" t="str">
            <v>COILCRAFT</v>
          </cell>
          <cell r="E156" t="str">
            <v>Other</v>
          </cell>
          <cell r="F156">
            <v>40</v>
          </cell>
          <cell r="G156">
            <v>40</v>
          </cell>
          <cell r="I156">
            <v>2.9475790000000002</v>
          </cell>
        </row>
        <row r="157">
          <cell r="A157" t="str">
            <v>667-B77583-001</v>
          </cell>
          <cell r="B157" t="str">
            <v>CONN,SMD,DSUB,RCPT,9P,SHL SIZE E,RTANG</v>
          </cell>
          <cell r="C157" t="str">
            <v>K202XHT-E9S-N</v>
          </cell>
          <cell r="D157" t="str">
            <v>KYCON INC.</v>
          </cell>
          <cell r="E157" t="str">
            <v>Connector</v>
          </cell>
          <cell r="F157">
            <v>35</v>
          </cell>
          <cell r="G157">
            <v>35</v>
          </cell>
          <cell r="I157">
            <v>3.0828384999999998</v>
          </cell>
        </row>
        <row r="158">
          <cell r="A158" t="str">
            <v>648-A42164-224</v>
          </cell>
          <cell r="B158" t="str">
            <v>CAP,SMD,CER,X7R,0.22UF,±5%,100V,1812</v>
          </cell>
          <cell r="C158" t="str">
            <v>C1812C224J1RACTU</v>
          </cell>
          <cell r="D158" t="str">
            <v>KEMET</v>
          </cell>
          <cell r="E158" t="str">
            <v>Capacitor</v>
          </cell>
          <cell r="F158">
            <v>120</v>
          </cell>
          <cell r="G158">
            <v>120</v>
          </cell>
          <cell r="I158">
            <v>0.62406700000000004</v>
          </cell>
        </row>
        <row r="159">
          <cell r="A159" t="str">
            <v>630-268428-001</v>
          </cell>
          <cell r="B159" t="str">
            <v>IC,SMD,USB BRIDGE TO UART,DFN12</v>
          </cell>
          <cell r="C159" t="str">
            <v>FT234XD-R</v>
          </cell>
          <cell r="D159" t="str">
            <v>FUTURE TECHNOLOGY DEVICES INTERNATIONAL (FTDI) LTD.</v>
          </cell>
          <cell r="E159" t="str">
            <v>IC/Semi</v>
          </cell>
          <cell r="F159">
            <v>45</v>
          </cell>
          <cell r="G159">
            <v>45</v>
          </cell>
          <cell r="I159">
            <v>1.9096325000000001</v>
          </cell>
        </row>
        <row r="160">
          <cell r="A160" t="str">
            <v>668-A01540-026</v>
          </cell>
          <cell r="B160" t="str">
            <v>CONN,PLUG,D-SUB,26POSN,3ROW,3A,SLDR,STR</v>
          </cell>
          <cell r="C160" t="str">
            <v>163A16959X</v>
          </cell>
          <cell r="D160" t="str">
            <v>CONEC ELEKTRONISCHE BAUELEMENTE GMBH</v>
          </cell>
          <cell r="E160" t="str">
            <v>Connector</v>
          </cell>
          <cell r="F160">
            <v>10</v>
          </cell>
          <cell r="G160">
            <v>10</v>
          </cell>
          <cell r="I160">
            <v>12.0986005</v>
          </cell>
        </row>
        <row r="161">
          <cell r="A161" t="str">
            <v>630-204173-001</v>
          </cell>
          <cell r="B161" t="str">
            <v>IC,SMD,CLK BUFFER</v>
          </cell>
          <cell r="C161" t="str">
            <v>524MILF</v>
          </cell>
          <cell r="D161" t="str">
            <v>IDT</v>
          </cell>
          <cell r="E161" t="str">
            <v>IC/Semi</v>
          </cell>
          <cell r="F161">
            <v>30</v>
          </cell>
          <cell r="G161">
            <v>30</v>
          </cell>
          <cell r="I161">
            <v>1.7833254999999999</v>
          </cell>
        </row>
        <row r="162">
          <cell r="A162" t="str">
            <v>667-281523-008</v>
          </cell>
          <cell r="B162" t="str">
            <v>CONN,SMD,PWR,SHROUDED,24POS,ROHS</v>
          </cell>
          <cell r="C162" t="str">
            <v>IPL1-112-02-L-D-K</v>
          </cell>
          <cell r="D162" t="str">
            <v>SAMTEC</v>
          </cell>
          <cell r="E162" t="str">
            <v>Connector</v>
          </cell>
          <cell r="F162">
            <v>20</v>
          </cell>
          <cell r="G162">
            <v>20</v>
          </cell>
          <cell r="I162">
            <v>3.3314729999999999</v>
          </cell>
        </row>
        <row r="163">
          <cell r="A163" t="str">
            <v>608-096583-504</v>
          </cell>
          <cell r="B163" t="str">
            <v>RES,SMD,POT,12T,T-ADJ,0.25SQ,500K,ROHS</v>
          </cell>
          <cell r="C163" t="str">
            <v>TS63Y504KR10</v>
          </cell>
          <cell r="D163" t="str">
            <v>VISHAY</v>
          </cell>
          <cell r="E163" t="str">
            <v>Resistor</v>
          </cell>
          <cell r="F163">
            <v>40</v>
          </cell>
          <cell r="G163">
            <v>500</v>
          </cell>
          <cell r="H163" t="str">
            <v>YES</v>
          </cell>
          <cell r="I163">
            <v>1.507528</v>
          </cell>
        </row>
        <row r="164">
          <cell r="A164" t="str">
            <v>648-326249-001</v>
          </cell>
          <cell r="B164" t="str">
            <v>CAP,SMD,AL ELCTLT,2200UF,±20% TOL,35V</v>
          </cell>
          <cell r="C164" t="str">
            <v>EEEFK1V222SM</v>
          </cell>
          <cell r="D164" t="str">
            <v>PANASONIC</v>
          </cell>
          <cell r="E164" t="str">
            <v>Capacitor</v>
          </cell>
          <cell r="F164">
            <v>40</v>
          </cell>
          <cell r="G164">
            <v>40</v>
          </cell>
          <cell r="I164">
            <v>1.7141759999999999</v>
          </cell>
        </row>
        <row r="165">
          <cell r="A165" t="str">
            <v>668-A51618-026</v>
          </cell>
          <cell r="B165" t="str">
            <v>CONN,PLUG,D-SUB,H DENSITY,26POSN,3A,60V</v>
          </cell>
          <cell r="C165" t="str">
            <v>163A17059X</v>
          </cell>
          <cell r="D165" t="str">
            <v>CONEC ELEKTRONISCHE BAUELEMENTE GMBH</v>
          </cell>
          <cell r="E165" t="str">
            <v>Connector</v>
          </cell>
          <cell r="F165">
            <v>10</v>
          </cell>
          <cell r="G165">
            <v>10</v>
          </cell>
          <cell r="I165">
            <v>11.826877</v>
          </cell>
        </row>
        <row r="166">
          <cell r="A166" t="str">
            <v>670-263372-010</v>
          </cell>
          <cell r="B166" t="str">
            <v>FUSE,CRTG,CER,FAST-ACT,10A,250V,5X20MM</v>
          </cell>
          <cell r="C166" t="str">
            <v>0216010.HXP</v>
          </cell>
          <cell r="D166" t="str">
            <v>LITTELFUSE</v>
          </cell>
          <cell r="E166" t="str">
            <v>Fuse</v>
          </cell>
          <cell r="F166">
            <v>40</v>
          </cell>
          <cell r="G166">
            <v>40</v>
          </cell>
          <cell r="I166">
            <v>0.20463600000000001</v>
          </cell>
        </row>
        <row r="167">
          <cell r="A167" t="str">
            <v>615-A40066-001</v>
          </cell>
          <cell r="B167" t="str">
            <v>RES,SMD,PWR,.004OHM,±.5%,3W,±150PPM,2512</v>
          </cell>
          <cell r="C167" t="str">
            <v>WSLP25124L000DEA</v>
          </cell>
          <cell r="D167" t="str">
            <v>VISHAY</v>
          </cell>
          <cell r="E167" t="str">
            <v>Resistor</v>
          </cell>
          <cell r="F167">
            <v>30</v>
          </cell>
          <cell r="G167">
            <v>30</v>
          </cell>
          <cell r="I167">
            <v>2.0445159999999998</v>
          </cell>
        </row>
        <row r="168">
          <cell r="A168" t="str">
            <v>615-B36708-002</v>
          </cell>
          <cell r="B168" t="str">
            <v>RES,SMD,2.43K OHM,0.1%,0.063W,0402</v>
          </cell>
          <cell r="C168" t="str">
            <v>ERA2ARB2431X</v>
          </cell>
          <cell r="D168" t="str">
            <v>PANASONIC</v>
          </cell>
          <cell r="E168" t="str">
            <v>Resistor</v>
          </cell>
          <cell r="F168">
            <v>240</v>
          </cell>
          <cell r="G168">
            <v>10000</v>
          </cell>
          <cell r="H168" t="str">
            <v>YES</v>
          </cell>
          <cell r="I168">
            <v>0.20105400000000001</v>
          </cell>
        </row>
        <row r="169">
          <cell r="A169" t="str">
            <v>626-A21861-001</v>
          </cell>
          <cell r="B169" t="str">
            <v>XSTR,SMD,MOSFET,N-CH,300V,26A,TO-252</v>
          </cell>
          <cell r="C169" t="str">
            <v>IXFY26N30X3</v>
          </cell>
          <cell r="D169" t="str">
            <v>LITTELFUSE</v>
          </cell>
          <cell r="E169" t="str">
            <v>Transistor</v>
          </cell>
          <cell r="F169">
            <v>20</v>
          </cell>
          <cell r="G169">
            <v>20</v>
          </cell>
          <cell r="I169">
            <v>2.5444800000000001</v>
          </cell>
        </row>
        <row r="170">
          <cell r="A170" t="str">
            <v>648-005168-022</v>
          </cell>
          <cell r="B170" t="str">
            <v>CAP,SMD,AL,ELECTROLYTIC,22UF,35VDC,ROHS</v>
          </cell>
          <cell r="C170" t="str">
            <v>EEEFC1V220P</v>
          </cell>
          <cell r="D170" t="str">
            <v>PANASONIC</v>
          </cell>
          <cell r="E170" t="str">
            <v>Capacitor</v>
          </cell>
          <cell r="F170">
            <v>140</v>
          </cell>
          <cell r="G170">
            <v>140</v>
          </cell>
          <cell r="I170">
            <v>9.4272500000000009E-2</v>
          </cell>
        </row>
        <row r="171">
          <cell r="A171" t="str">
            <v>668-097649-064</v>
          </cell>
          <cell r="B171" t="str">
            <v>CONN,DIN,STR,64 POS,MALE, ROHS</v>
          </cell>
          <cell r="C171" t="str">
            <v>100-064-133</v>
          </cell>
          <cell r="D171" t="str">
            <v>PANCON</v>
          </cell>
          <cell r="E171" t="str">
            <v>Connector</v>
          </cell>
          <cell r="F171">
            <v>20</v>
          </cell>
          <cell r="G171">
            <v>20</v>
          </cell>
          <cell r="I171">
            <v>4.5985585000000002</v>
          </cell>
        </row>
        <row r="172">
          <cell r="A172" t="str">
            <v>670-A40551-025</v>
          </cell>
          <cell r="B172" t="str">
            <v>FUSE,CRTG,FAST ACT,500VDC/AC,25A,6X32MM</v>
          </cell>
          <cell r="C172" t="str">
            <v>0ADEC9250-BE</v>
          </cell>
          <cell r="D172" t="str">
            <v>BEL FUSE INC.</v>
          </cell>
          <cell r="E172" t="str">
            <v>Fuse</v>
          </cell>
          <cell r="F172">
            <v>20</v>
          </cell>
          <cell r="G172">
            <v>20</v>
          </cell>
          <cell r="I172">
            <v>1.8519355</v>
          </cell>
        </row>
        <row r="173">
          <cell r="A173" t="str">
            <v>630-341691-001</v>
          </cell>
          <cell r="B173" t="str">
            <v>IC,SMD,HOT SWAP CONT,2.7-36V,4UA,12-MSOP</v>
          </cell>
          <cell r="C173" t="str">
            <v>LTC4231HMS-1#PBF</v>
          </cell>
          <cell r="D173" t="str">
            <v>ANALOG DEVICES INC.</v>
          </cell>
          <cell r="E173" t="str">
            <v>IC/Semi</v>
          </cell>
          <cell r="F173">
            <v>10</v>
          </cell>
          <cell r="G173">
            <v>10</v>
          </cell>
          <cell r="I173">
            <v>5.7599970000000003</v>
          </cell>
        </row>
        <row r="174">
          <cell r="A174" t="str">
            <v>630-A21745-001</v>
          </cell>
          <cell r="B174" t="str">
            <v>IC,SMD,PWM CONT,2-OUT,5.05-5.15V,SOIC-16</v>
          </cell>
          <cell r="C174" t="str">
            <v>UC2825AQDWREP</v>
          </cell>
          <cell r="D174" t="str">
            <v>TEXAS INSTRUMENTS</v>
          </cell>
          <cell r="E174" t="str">
            <v>IC/Semi</v>
          </cell>
          <cell r="F174">
            <v>10</v>
          </cell>
          <cell r="G174">
            <v>10</v>
          </cell>
          <cell r="I174">
            <v>6.1096835</v>
          </cell>
        </row>
        <row r="175">
          <cell r="A175" t="str">
            <v>668-160560-040</v>
          </cell>
          <cell r="B175" t="str">
            <v>CONN,RCPT,SMD,VERT,40P,DUAL ROW,2MM</v>
          </cell>
          <cell r="C175" t="str">
            <v>0791091019</v>
          </cell>
          <cell r="D175" t="str">
            <v>MOLEX, LLC</v>
          </cell>
          <cell r="E175" t="str">
            <v>Connector</v>
          </cell>
          <cell r="F175">
            <v>10</v>
          </cell>
          <cell r="G175">
            <v>10</v>
          </cell>
          <cell r="I175">
            <v>6.7928375000000001</v>
          </cell>
        </row>
        <row r="176">
          <cell r="A176" t="str">
            <v>609-185158-001</v>
          </cell>
          <cell r="B176" t="str">
            <v>DIO,SMD,TVS,25.6V,1.5KW,SMCJ1.5KE,ROHS</v>
          </cell>
          <cell r="C176" t="str">
            <v>SMCJ1.5KE30A-TP</v>
          </cell>
          <cell r="D176" t="str">
            <v>MICRO COMMERCIAL CO</v>
          </cell>
          <cell r="E176" t="str">
            <v>Diode/LED</v>
          </cell>
          <cell r="F176">
            <v>180</v>
          </cell>
          <cell r="G176">
            <v>180</v>
          </cell>
          <cell r="I176">
            <v>0.233985</v>
          </cell>
        </row>
        <row r="177">
          <cell r="A177" t="str">
            <v>630-339886-001</v>
          </cell>
          <cell r="B177" t="str">
            <v>IC,SMD,DC/DC,STEP DN MDL,4-36V,0.5A</v>
          </cell>
          <cell r="C177" t="str">
            <v>LMZM23600SILT</v>
          </cell>
          <cell r="D177" t="str">
            <v>TEXAS INSTRUMENTS</v>
          </cell>
          <cell r="E177" t="str">
            <v>IC/Semi</v>
          </cell>
          <cell r="F177">
            <v>10</v>
          </cell>
          <cell r="G177">
            <v>10</v>
          </cell>
          <cell r="I177">
            <v>4.561985</v>
          </cell>
        </row>
        <row r="178">
          <cell r="A178" t="str">
            <v>630-039459-004</v>
          </cell>
          <cell r="B178" t="str">
            <v>IC,SMD,SUPERVISORY CKT,TPS3837K33</v>
          </cell>
          <cell r="C178" t="str">
            <v>TPS3837K33DBVT</v>
          </cell>
          <cell r="D178" t="str">
            <v>TEXAS INSTRUMENTS</v>
          </cell>
          <cell r="E178" t="str">
            <v>IC/Semi</v>
          </cell>
          <cell r="F178">
            <v>15</v>
          </cell>
          <cell r="G178">
            <v>15</v>
          </cell>
          <cell r="I178">
            <v>2.4400225</v>
          </cell>
        </row>
        <row r="179">
          <cell r="A179" t="str">
            <v>630-026177-001</v>
          </cell>
          <cell r="B179" t="str">
            <v>IC,SMD,HOT SWAP SWITCH,POS 65V,ROHS</v>
          </cell>
          <cell r="C179" t="str">
            <v>MAX5917AESE+</v>
          </cell>
          <cell r="D179" t="str">
            <v>MAXIM INTEGRATED</v>
          </cell>
          <cell r="E179" t="str">
            <v>IC/Semi</v>
          </cell>
          <cell r="F179">
            <v>10</v>
          </cell>
          <cell r="G179">
            <v>10</v>
          </cell>
          <cell r="I179">
            <v>1.689999</v>
          </cell>
        </row>
        <row r="180">
          <cell r="A180" t="str">
            <v>630-173321-001</v>
          </cell>
          <cell r="B180" t="str">
            <v>IC,SMD,SRAM,256Kx16,TSOP,ROHS</v>
          </cell>
          <cell r="C180" t="str">
            <v>AS7C34098A-10TCN</v>
          </cell>
          <cell r="D180" t="str">
            <v>ALLIANCE MEMORY</v>
          </cell>
          <cell r="E180" t="str">
            <v>IC/Semi</v>
          </cell>
          <cell r="F180">
            <v>10</v>
          </cell>
          <cell r="G180">
            <v>10</v>
          </cell>
          <cell r="I180">
            <v>6.4348559999999999</v>
          </cell>
        </row>
        <row r="181">
          <cell r="A181" t="str">
            <v>639-B70524-101</v>
          </cell>
          <cell r="B181" t="str">
            <v>IDCTR,SMD,FERRITE,100UH,10%TOL,1.5A,SHLD</v>
          </cell>
          <cell r="C181" t="str">
            <v>SRR1208-101KL</v>
          </cell>
          <cell r="D181" t="str">
            <v>BOURNS</v>
          </cell>
          <cell r="E181" t="str">
            <v>Inductor</v>
          </cell>
          <cell r="F181">
            <v>60</v>
          </cell>
          <cell r="G181">
            <v>60</v>
          </cell>
          <cell r="I181">
            <v>0.51135649999999999</v>
          </cell>
        </row>
        <row r="182">
          <cell r="A182" t="str">
            <v>631-092431-002</v>
          </cell>
          <cell r="B182" t="str">
            <v>IC,SMD, REGULATOR,ADJUSTABLE,LM317S,ROHS</v>
          </cell>
          <cell r="C182" t="str">
            <v>LM317S/NOPB</v>
          </cell>
          <cell r="D182" t="str">
            <v>TEXAS INSTRUMENTS</v>
          </cell>
          <cell r="E182" t="str">
            <v>IC/Semi</v>
          </cell>
          <cell r="F182">
            <v>20</v>
          </cell>
          <cell r="G182">
            <v>20</v>
          </cell>
          <cell r="I182">
            <v>0.4435115</v>
          </cell>
        </row>
        <row r="183">
          <cell r="A183" t="str">
            <v>667-281523-006</v>
          </cell>
          <cell r="B183" t="str">
            <v>CONN,SMD,PWR,SHROUDED,16POS,ROHS</v>
          </cell>
          <cell r="C183" t="str">
            <v>IPL1-108-02-L-D-K</v>
          </cell>
          <cell r="D183" t="str">
            <v>SAMTEC</v>
          </cell>
          <cell r="E183" t="str">
            <v>Connector</v>
          </cell>
          <cell r="F183">
            <v>20</v>
          </cell>
          <cell r="G183">
            <v>20</v>
          </cell>
          <cell r="I183">
            <v>2.2249989999999999</v>
          </cell>
        </row>
        <row r="184">
          <cell r="A184" t="str">
            <v>630-068465-004</v>
          </cell>
          <cell r="B184" t="str">
            <v>IC,SMD,VOLTAGE REF,0.1%,4.096V ROHS</v>
          </cell>
          <cell r="C184" t="str">
            <v>REF5040AID</v>
          </cell>
          <cell r="D184" t="str">
            <v>TEXAS INSTRUMENTS</v>
          </cell>
          <cell r="E184" t="str">
            <v>IC/Semi</v>
          </cell>
          <cell r="F184">
            <v>10</v>
          </cell>
          <cell r="G184">
            <v>10</v>
          </cell>
          <cell r="I184">
            <v>2.4553699999999998</v>
          </cell>
        </row>
        <row r="185">
          <cell r="A185" t="str">
            <v>648-054586-331</v>
          </cell>
          <cell r="B185" t="str">
            <v>CAP,SMD,AL,ELCTLT,330UF,20%,35V,ROHS</v>
          </cell>
          <cell r="C185" t="str">
            <v>EEE1VA331P</v>
          </cell>
          <cell r="D185" t="str">
            <v>PANASONIC</v>
          </cell>
          <cell r="E185" t="str">
            <v>Capacitor</v>
          </cell>
          <cell r="F185">
            <v>60</v>
          </cell>
          <cell r="G185">
            <v>60</v>
          </cell>
          <cell r="I185">
            <v>0.29267799999999999</v>
          </cell>
        </row>
        <row r="186">
          <cell r="A186" t="str">
            <v>635-102422-002</v>
          </cell>
          <cell r="B186" t="str">
            <v>OSC,SMD,XTAL,3.072MHZ,3.3VDC,25PPM,JS6</v>
          </cell>
          <cell r="C186" t="str">
            <v>XLH536003.072000I</v>
          </cell>
          <cell r="D186" t="str">
            <v>RENESAS</v>
          </cell>
          <cell r="E186" t="str">
            <v>Other</v>
          </cell>
          <cell r="F186">
            <v>25</v>
          </cell>
          <cell r="G186">
            <v>25</v>
          </cell>
          <cell r="I186">
            <v>1.694088</v>
          </cell>
        </row>
        <row r="187">
          <cell r="A187" t="str">
            <v>639-311328-001</v>
          </cell>
          <cell r="B187" t="str">
            <v>IDCTR,SMD,POWER,SHIELDED,4.7UH</v>
          </cell>
          <cell r="C187" t="str">
            <v>XEL6060-472MEC</v>
          </cell>
          <cell r="D187" t="str">
            <v>COILCRAFT</v>
          </cell>
          <cell r="E187" t="str">
            <v>Other</v>
          </cell>
          <cell r="F187">
            <v>20</v>
          </cell>
          <cell r="G187">
            <v>20</v>
          </cell>
          <cell r="I187">
            <v>2.9529359999999998</v>
          </cell>
        </row>
        <row r="188">
          <cell r="A188" t="str">
            <v>668-064219-015</v>
          </cell>
          <cell r="B188" t="str">
            <v>CONN,RCPT HD D-SUB,RA,15 PIN FEMALE,ROHS</v>
          </cell>
          <cell r="C188" t="str">
            <v>K66X-E15S-N</v>
          </cell>
          <cell r="D188" t="str">
            <v>KYCON, INC</v>
          </cell>
          <cell r="E188" t="str">
            <v>Connector</v>
          </cell>
          <cell r="F188">
            <v>20</v>
          </cell>
          <cell r="G188">
            <v>20</v>
          </cell>
          <cell r="I188">
            <v>2.4835465000000001</v>
          </cell>
        </row>
        <row r="189">
          <cell r="A189" t="str">
            <v>670-006780-038</v>
          </cell>
          <cell r="B189" t="str">
            <v>FUSE .25x1.25 12A 250VAC,ROHS</v>
          </cell>
          <cell r="C189" t="str">
            <v>#ABC-12</v>
          </cell>
          <cell r="D189" t="str">
            <v>EATON</v>
          </cell>
          <cell r="E189" t="str">
            <v>Fuse</v>
          </cell>
          <cell r="F189">
            <v>20</v>
          </cell>
          <cell r="G189">
            <v>20</v>
          </cell>
          <cell r="I189">
            <v>0.21</v>
          </cell>
        </row>
        <row r="190">
          <cell r="A190" t="str">
            <v>630-121244-001</v>
          </cell>
          <cell r="B190" t="str">
            <v>IC,SMD,BUFFER CLOSED LOOP HS SOT-23</v>
          </cell>
          <cell r="C190" t="str">
            <v>LMH6559MFX/NOPB</v>
          </cell>
          <cell r="D190" t="str">
            <v>TEXAS INSTRUMENTS</v>
          </cell>
          <cell r="E190" t="str">
            <v>IC/Semi</v>
          </cell>
          <cell r="F190">
            <v>20</v>
          </cell>
          <cell r="G190">
            <v>20</v>
          </cell>
          <cell r="I190">
            <v>2.2151375</v>
          </cell>
        </row>
        <row r="191">
          <cell r="A191" t="str">
            <v>668-B94693-003</v>
          </cell>
          <cell r="B191" t="str">
            <v>CONN,HDR,3POSN,RTANG,30A,PCB,W/ BD LOCK</v>
          </cell>
          <cell r="C191" t="str">
            <v>172043-0302</v>
          </cell>
          <cell r="D191" t="str">
            <v>MOLEX, LLC</v>
          </cell>
          <cell r="E191" t="str">
            <v>Connector</v>
          </cell>
          <cell r="F191">
            <v>10</v>
          </cell>
          <cell r="G191">
            <v>10</v>
          </cell>
          <cell r="I191">
            <v>2.5189935000000001</v>
          </cell>
        </row>
        <row r="192">
          <cell r="A192" t="str">
            <v>723-299192-001</v>
          </cell>
          <cell r="B192" t="str">
            <v>STDF,RND,SMT,0.125 LONG</v>
          </cell>
          <cell r="C192" t="str">
            <v>SMTSO-143-4ET</v>
          </cell>
          <cell r="D192" t="str">
            <v>PENN ENGINEERING</v>
          </cell>
          <cell r="E192" t="str">
            <v>Other</v>
          </cell>
          <cell r="F192">
            <v>60</v>
          </cell>
          <cell r="G192">
            <v>60</v>
          </cell>
          <cell r="I192">
            <v>0.66089500000000001</v>
          </cell>
        </row>
        <row r="193">
          <cell r="A193" t="str">
            <v>670-263372-008</v>
          </cell>
          <cell r="B193" t="str">
            <v>FUSE,CRTG,CER,FAST-ACT,0.2A,250V,5X20MM</v>
          </cell>
          <cell r="C193" t="str">
            <v>0216.200MXP</v>
          </cell>
          <cell r="D193" t="str">
            <v>LITTELFUSE</v>
          </cell>
          <cell r="E193" t="str">
            <v>Fuse</v>
          </cell>
          <cell r="F193">
            <v>40</v>
          </cell>
          <cell r="G193">
            <v>40</v>
          </cell>
          <cell r="I193">
            <v>0.9549494999999999</v>
          </cell>
        </row>
        <row r="194">
          <cell r="A194" t="str">
            <v>630-344409-001</v>
          </cell>
          <cell r="B194" t="str">
            <v>IC,OPAMP,HV,350UA SPLY,700KHZ GBW,SO8</v>
          </cell>
          <cell r="C194" t="str">
            <v>LT1097S8</v>
          </cell>
          <cell r="D194" t="str">
            <v>ANALOG DEVICES INC.</v>
          </cell>
          <cell r="E194" t="str">
            <v>IC/Semi</v>
          </cell>
          <cell r="F194">
            <v>10</v>
          </cell>
          <cell r="G194">
            <v>10</v>
          </cell>
          <cell r="I194">
            <v>3.9638979999999999</v>
          </cell>
        </row>
        <row r="195">
          <cell r="A195" t="str">
            <v>648-083577-106</v>
          </cell>
          <cell r="B195" t="str">
            <v>CAP,SMD,1206,CER,X7R,10%,25V,10UF ROHS</v>
          </cell>
          <cell r="C195" t="str">
            <v>C1206C106K3RAC</v>
          </cell>
          <cell r="D195" t="str">
            <v>KEMET</v>
          </cell>
          <cell r="E195" t="str">
            <v>Capacitor</v>
          </cell>
          <cell r="F195">
            <v>140</v>
          </cell>
          <cell r="G195">
            <v>140</v>
          </cell>
          <cell r="I195">
            <v>0.23330000000000001</v>
          </cell>
        </row>
        <row r="196">
          <cell r="A196" t="str">
            <v>630-340553-001</v>
          </cell>
          <cell r="B196" t="str">
            <v>IC,SMD,CLOCK BFR,1-4,8PIN,1.8-3.3V,DFN</v>
          </cell>
          <cell r="C196" t="str">
            <v>551SCMGI</v>
          </cell>
          <cell r="D196" t="str">
            <v>RENESAS</v>
          </cell>
          <cell r="E196" t="str">
            <v>IC/Semi</v>
          </cell>
          <cell r="F196">
            <v>25</v>
          </cell>
          <cell r="G196">
            <v>25</v>
          </cell>
          <cell r="I196">
            <v>1.27532</v>
          </cell>
        </row>
        <row r="197">
          <cell r="A197" t="str">
            <v>668-033594-008</v>
          </cell>
          <cell r="B197" t="str">
            <v>CONN,HEADER,RT ANGLE, 8 POS</v>
          </cell>
          <cell r="C197" t="str">
            <v>103361-6</v>
          </cell>
          <cell r="D197" t="str">
            <v>TE CONNECTIVITY</v>
          </cell>
          <cell r="E197" t="str">
            <v>Connector</v>
          </cell>
          <cell r="F197">
            <v>10</v>
          </cell>
          <cell r="G197">
            <v>10</v>
          </cell>
          <cell r="I197">
            <v>2.7580075000000002</v>
          </cell>
        </row>
        <row r="198">
          <cell r="A198" t="str">
            <v>615-109462-191</v>
          </cell>
          <cell r="B198" t="str">
            <v>RES,SMD,0805,1.91K,0.1%,1/10W,ROHS</v>
          </cell>
          <cell r="C198" t="str">
            <v>TNPW08051K91BEEN</v>
          </cell>
          <cell r="D198" t="str">
            <v>VISHAY</v>
          </cell>
          <cell r="E198" t="str">
            <v>Resistor</v>
          </cell>
          <cell r="F198">
            <v>100</v>
          </cell>
          <cell r="G198">
            <v>100</v>
          </cell>
          <cell r="I198">
            <v>0.31135249999999998</v>
          </cell>
        </row>
        <row r="199">
          <cell r="A199" t="str">
            <v>668-A12469-004</v>
          </cell>
          <cell r="B199" t="str">
            <v>CONN,RCPT,4POSN,2.54MM PITCH,SGL ROW</v>
          </cell>
          <cell r="C199" t="str">
            <v>SSW-104-06-G-S</v>
          </cell>
          <cell r="D199" t="str">
            <v>SAMTEC</v>
          </cell>
          <cell r="E199" t="str">
            <v>Connector</v>
          </cell>
          <cell r="F199">
            <v>10</v>
          </cell>
          <cell r="G199">
            <v>10</v>
          </cell>
          <cell r="I199">
            <v>0.95459950000000005</v>
          </cell>
        </row>
        <row r="200">
          <cell r="A200" t="str">
            <v>630-232598-001</v>
          </cell>
          <cell r="B200" t="str">
            <v>IC,SMD,2.93V,SUPPLY,MONITOR</v>
          </cell>
          <cell r="C200" t="str">
            <v>TLC7733IPWR</v>
          </cell>
          <cell r="D200" t="str">
            <v>TEXAS INSTRUMENTS</v>
          </cell>
          <cell r="E200" t="str">
            <v>IC/Semi</v>
          </cell>
          <cell r="F200">
            <v>20</v>
          </cell>
          <cell r="G200">
            <v>20</v>
          </cell>
          <cell r="I200">
            <v>1.3782445000000001</v>
          </cell>
        </row>
        <row r="201">
          <cell r="A201" t="str">
            <v>723-036612-002</v>
          </cell>
          <cell r="B201" t="str">
            <v>STDF,SST,PEMNUT,PC BOARD,2-56,KFS2</v>
          </cell>
          <cell r="C201" t="str">
            <v>KFS2-256</v>
          </cell>
          <cell r="D201" t="str">
            <v>PENN ENGINEERING</v>
          </cell>
          <cell r="E201" t="str">
            <v>Other</v>
          </cell>
          <cell r="F201">
            <v>50</v>
          </cell>
          <cell r="G201">
            <v>50</v>
          </cell>
          <cell r="I201">
            <v>0.44327549999999999</v>
          </cell>
        </row>
        <row r="202">
          <cell r="A202" t="str">
            <v>615-B72620-005</v>
          </cell>
          <cell r="B202" t="str">
            <v>RES,SMD,CUR SNS,0.005OHM,1% TOL,4W,3518</v>
          </cell>
          <cell r="C202" t="str">
            <v>FC4L90R005FER</v>
          </cell>
          <cell r="D202" t="str">
            <v>OHMITE MANUFACTURING COMPANY</v>
          </cell>
          <cell r="E202" t="str">
            <v>Resistor</v>
          </cell>
          <cell r="F202">
            <v>20</v>
          </cell>
          <cell r="G202">
            <v>20</v>
          </cell>
          <cell r="I202">
            <v>0.58399999999999996</v>
          </cell>
        </row>
        <row r="203">
          <cell r="A203" t="str">
            <v>639-B45787-001</v>
          </cell>
          <cell r="B203" t="str">
            <v>IDCTR,SMD,H CUR,2.8UH,20%TOL,3.3MOHM,20A</v>
          </cell>
          <cell r="C203" t="str">
            <v>7443551280</v>
          </cell>
          <cell r="D203" t="str">
            <v>WURTH ELEKTRONIK</v>
          </cell>
          <cell r="E203" t="str">
            <v>Other</v>
          </cell>
          <cell r="F203">
            <v>10</v>
          </cell>
          <cell r="G203">
            <v>10</v>
          </cell>
          <cell r="I203">
            <v>1.7799990000000001</v>
          </cell>
        </row>
        <row r="204">
          <cell r="A204" t="str">
            <v>670-A39955-001</v>
          </cell>
          <cell r="B204" t="str">
            <v>CLIP,1/4 IN DIA FU,ANGLED LEAD,CRTG BRS</v>
          </cell>
          <cell r="C204" t="str">
            <v>1A1119-10-R</v>
          </cell>
          <cell r="D204" t="str">
            <v>EATON</v>
          </cell>
          <cell r="E204" t="str">
            <v>Diode/LED</v>
          </cell>
          <cell r="F204">
            <v>105</v>
          </cell>
          <cell r="G204">
            <v>105</v>
          </cell>
          <cell r="I204">
            <v>8.8200000000000001E-2</v>
          </cell>
        </row>
        <row r="205">
          <cell r="A205" t="str">
            <v>668-033594-006</v>
          </cell>
          <cell r="B205" t="str">
            <v>CONN,HEADER,RT ANGLE, 6 POS</v>
          </cell>
          <cell r="C205" t="str">
            <v>5-103361-4</v>
          </cell>
          <cell r="D205" t="str">
            <v>TE CONNECTIVITY</v>
          </cell>
          <cell r="E205" t="str">
            <v>Connector</v>
          </cell>
          <cell r="F205">
            <v>10</v>
          </cell>
          <cell r="G205">
            <v>10</v>
          </cell>
          <cell r="I205">
            <v>1.3499989999999999</v>
          </cell>
        </row>
        <row r="206">
          <cell r="A206" t="str">
            <v>668-005463-026</v>
          </cell>
          <cell r="B206" t="str">
            <v>HEADER,STRAIGHT,DOUBLE ROW,26C,ROHS</v>
          </cell>
          <cell r="C206" t="str">
            <v>67997-126HLF</v>
          </cell>
          <cell r="D206" t="str">
            <v>FCI</v>
          </cell>
          <cell r="E206" t="str">
            <v>Connector</v>
          </cell>
          <cell r="F206">
            <v>15</v>
          </cell>
          <cell r="G206">
            <v>15</v>
          </cell>
          <cell r="I206">
            <v>1.5703125</v>
          </cell>
        </row>
        <row r="207">
          <cell r="A207" t="str">
            <v>723-265786-001</v>
          </cell>
          <cell r="B207" t="str">
            <v>STDF,RND,M3,6 MM LG,CS</v>
          </cell>
          <cell r="C207" t="str">
            <v>KFE-M3-6ET</v>
          </cell>
          <cell r="D207" t="str">
            <v>PENN ENGINEERING</v>
          </cell>
          <cell r="E207" t="str">
            <v>Other</v>
          </cell>
          <cell r="F207">
            <v>40</v>
          </cell>
          <cell r="G207">
            <v>40</v>
          </cell>
          <cell r="I207">
            <v>0.42519600000000002</v>
          </cell>
        </row>
        <row r="208">
          <cell r="A208" t="str">
            <v>670-260022-006</v>
          </cell>
          <cell r="B208" t="str">
            <v>FUSE,CRTG,0.8AMP,500VAC/400VDC,5X20MM</v>
          </cell>
          <cell r="C208" t="str">
            <v>0477.800MXP</v>
          </cell>
          <cell r="D208" t="str">
            <v>LITTELFUSE</v>
          </cell>
          <cell r="E208" t="str">
            <v>Fuse</v>
          </cell>
          <cell r="F208">
            <v>20</v>
          </cell>
          <cell r="G208">
            <v>20</v>
          </cell>
          <cell r="I208">
            <v>1.4074990000000001</v>
          </cell>
        </row>
        <row r="209">
          <cell r="A209" t="str">
            <v>662-060106-012</v>
          </cell>
          <cell r="B209" t="str">
            <v>L.E.D., RT ANGLE, YLW 2.2V,RoHS</v>
          </cell>
          <cell r="C209" t="str">
            <v>555-2401F</v>
          </cell>
          <cell r="D209" t="str">
            <v>DIALIGHT</v>
          </cell>
          <cell r="E209" t="str">
            <v>Other</v>
          </cell>
          <cell r="F209">
            <v>20</v>
          </cell>
          <cell r="G209">
            <v>20</v>
          </cell>
          <cell r="I209">
            <v>1.0718795000000001</v>
          </cell>
        </row>
        <row r="210">
          <cell r="A210" t="str">
            <v>626-124659-001</v>
          </cell>
          <cell r="B210" t="str">
            <v>XSTR,SMD,NPN,HI GAIN 45V SOT23,ROHS</v>
          </cell>
          <cell r="C210" t="str">
            <v>ZXTN07045EFFTA</v>
          </cell>
          <cell r="D210" t="str">
            <v>DIODES</v>
          </cell>
          <cell r="E210" t="str">
            <v>Other</v>
          </cell>
          <cell r="F210">
            <v>15</v>
          </cell>
          <cell r="G210">
            <v>15</v>
          </cell>
          <cell r="I210">
            <v>0.36771500000000001</v>
          </cell>
        </row>
        <row r="211">
          <cell r="A211" t="str">
            <v>648-243376-039</v>
          </cell>
          <cell r="B211" t="str">
            <v>CAP,SMD,CER,1000PF,±5%,X7R,630V,0805</v>
          </cell>
          <cell r="C211" t="str">
            <v>C0805C102JBRACTU</v>
          </cell>
          <cell r="D211" t="str">
            <v>KEMET</v>
          </cell>
          <cell r="E211" t="str">
            <v>Capacitor</v>
          </cell>
          <cell r="F211">
            <v>100</v>
          </cell>
          <cell r="G211">
            <v>100</v>
          </cell>
          <cell r="I211">
            <v>6.2399999999999997E-2</v>
          </cell>
        </row>
        <row r="212">
          <cell r="A212" t="str">
            <v>609-B81538-001</v>
          </cell>
          <cell r="B212" t="str">
            <v>DIO,SMD,ARR,SCHOTTKY,200V,15A,TO263AC</v>
          </cell>
          <cell r="C212" t="str">
            <v>MBRBF30200CT-TP</v>
          </cell>
          <cell r="D212" t="str">
            <v>MCC</v>
          </cell>
          <cell r="E212" t="str">
            <v>Diode/LED</v>
          </cell>
          <cell r="F212">
            <v>10</v>
          </cell>
          <cell r="G212">
            <v>10</v>
          </cell>
          <cell r="I212">
            <v>1.7120264999999999</v>
          </cell>
        </row>
        <row r="213">
          <cell r="A213" t="str">
            <v>630-098352-001</v>
          </cell>
          <cell r="B213" t="str">
            <v>IC,74LVX4245 5V-3.3V XCVR QSOP</v>
          </cell>
          <cell r="C213" t="str">
            <v>74LVX4245QSC</v>
          </cell>
          <cell r="D213" t="str">
            <v>ON SEMICONDUCTOR</v>
          </cell>
          <cell r="E213" t="str">
            <v>IC/Semi</v>
          </cell>
          <cell r="F213">
            <v>30</v>
          </cell>
          <cell r="G213">
            <v>5400</v>
          </cell>
          <cell r="H213" t="str">
            <v>YES</v>
          </cell>
          <cell r="I213">
            <v>0.86780199999999996</v>
          </cell>
        </row>
        <row r="214">
          <cell r="A214" t="str">
            <v>630-223433-001</v>
          </cell>
          <cell r="B214" t="str">
            <v>IC,SMD,I2C IO EXPANDER,8B</v>
          </cell>
          <cell r="C214" t="str">
            <v>MAX7325ATG+</v>
          </cell>
          <cell r="D214" t="str">
            <v>MAXIM INTEGRATED</v>
          </cell>
          <cell r="E214" t="str">
            <v>IC/Semi</v>
          </cell>
          <cell r="F214">
            <v>10</v>
          </cell>
          <cell r="G214">
            <v>10</v>
          </cell>
          <cell r="I214">
            <v>2.2709350000000001</v>
          </cell>
        </row>
        <row r="215">
          <cell r="A215" t="str">
            <v>639-121560-001</v>
          </cell>
          <cell r="B215" t="str">
            <v>IDCTR,SMD,PWR,2.2UH,30% TOL,1.45A</v>
          </cell>
          <cell r="C215" t="str">
            <v>SRU2013-2R2Y</v>
          </cell>
          <cell r="D215" t="str">
            <v>BOURNS</v>
          </cell>
          <cell r="E215" t="str">
            <v>Other</v>
          </cell>
          <cell r="F215">
            <v>30</v>
          </cell>
          <cell r="G215">
            <v>30</v>
          </cell>
          <cell r="I215">
            <v>0.50159750000000003</v>
          </cell>
        </row>
        <row r="216">
          <cell r="A216" t="str">
            <v>668-A44871-006</v>
          </cell>
          <cell r="B216" t="str">
            <v>CONN,HDR,6CKT,7.5MM PITCH,18A,600V,TH</v>
          </cell>
          <cell r="C216" t="str">
            <v>43160-0306</v>
          </cell>
          <cell r="D216" t="str">
            <v>MOLEX, LLC</v>
          </cell>
          <cell r="E216" t="str">
            <v>Connector</v>
          </cell>
          <cell r="F216">
            <v>10</v>
          </cell>
          <cell r="G216">
            <v>10</v>
          </cell>
          <cell r="I216">
            <v>1.7299994999999999</v>
          </cell>
        </row>
        <row r="217">
          <cell r="A217" t="str">
            <v>639-A21737-001</v>
          </cell>
          <cell r="B217" t="str">
            <v>IDCTR,SMD,22UH,18MHZ,2.5A,AEC-Q200</v>
          </cell>
          <cell r="C217" t="str">
            <v>DO3316T-223MLD</v>
          </cell>
          <cell r="D217" t="str">
            <v>COILCRAFT</v>
          </cell>
          <cell r="E217" t="str">
            <v>Other</v>
          </cell>
          <cell r="F217">
            <v>10</v>
          </cell>
          <cell r="G217">
            <v>10</v>
          </cell>
          <cell r="I217">
            <v>2.7319680000000002</v>
          </cell>
        </row>
        <row r="218">
          <cell r="A218" t="str">
            <v>668-A21735-001</v>
          </cell>
          <cell r="B218" t="str">
            <v>CONN,HDR,PLUG,STR,1ROW,4POSN,.1IN PITCH</v>
          </cell>
          <cell r="C218" t="str">
            <v>MTSW-104-23-G-S-255</v>
          </cell>
          <cell r="D218" t="str">
            <v>SAMTEC</v>
          </cell>
          <cell r="E218" t="str">
            <v>Connector</v>
          </cell>
          <cell r="F218">
            <v>10</v>
          </cell>
          <cell r="G218">
            <v>10</v>
          </cell>
          <cell r="I218">
            <v>0.39126</v>
          </cell>
        </row>
        <row r="219">
          <cell r="A219" t="str">
            <v>618-007480-237</v>
          </cell>
          <cell r="B219" t="str">
            <v>RESSTR,FXD,1/4W,1%,MTL FLM,237,ROHS</v>
          </cell>
          <cell r="C219" t="str">
            <v>CMF55237R00 FHEB</v>
          </cell>
          <cell r="D219" t="str">
            <v>VISHAY/DALE</v>
          </cell>
          <cell r="E219" t="str">
            <v>Other</v>
          </cell>
          <cell r="F219">
            <v>45</v>
          </cell>
          <cell r="G219">
            <v>45</v>
          </cell>
          <cell r="I219">
            <v>0.29296349999999999</v>
          </cell>
        </row>
        <row r="220">
          <cell r="A220" t="str">
            <v>630-259131-001</v>
          </cell>
          <cell r="B220" t="str">
            <v>IC,SMD,CMOS,VREF SERIES,1.25V,SOT23-3</v>
          </cell>
          <cell r="C220" t="str">
            <v>REF3012AIDBZR</v>
          </cell>
          <cell r="D220" t="str">
            <v>TEXAS INSTRUMENTS</v>
          </cell>
          <cell r="E220" t="str">
            <v>IC/Semi</v>
          </cell>
          <cell r="F220">
            <v>30</v>
          </cell>
          <cell r="G220">
            <v>30</v>
          </cell>
          <cell r="I220">
            <v>0.60762850000000002</v>
          </cell>
        </row>
        <row r="221">
          <cell r="A221" t="str">
            <v>648-B66447-472</v>
          </cell>
          <cell r="B221" t="str">
            <v>CAP,SMD,4700PF,+/-10%TOL,100VDC,0805</v>
          </cell>
          <cell r="C221" t="str">
            <v>CDR31BX472BKUS</v>
          </cell>
          <cell r="D221" t="str">
            <v>KEMET</v>
          </cell>
          <cell r="E221" t="str">
            <v>Capacitor</v>
          </cell>
          <cell r="F221">
            <v>30</v>
          </cell>
          <cell r="G221">
            <v>30</v>
          </cell>
          <cell r="I221">
            <v>0.46565000000000001</v>
          </cell>
        </row>
        <row r="222">
          <cell r="A222" t="str">
            <v>648-243934-001</v>
          </cell>
          <cell r="B222" t="str">
            <v>CAP,SMD,CER,750PF,±2% TOL,50V,NPO,0402</v>
          </cell>
          <cell r="C222" t="str">
            <v>C0402C751G5GACTU</v>
          </cell>
          <cell r="D222" t="str">
            <v>KEMET</v>
          </cell>
          <cell r="E222" t="str">
            <v>Capacitor</v>
          </cell>
          <cell r="F222">
            <v>25</v>
          </cell>
          <cell r="G222">
            <v>25</v>
          </cell>
          <cell r="I222">
            <v>0.47526849999999998</v>
          </cell>
        </row>
        <row r="223">
          <cell r="A223" t="str">
            <v>630-221563-002</v>
          </cell>
          <cell r="B223" t="str">
            <v>IC,TC74,A1,TMP SNSR,I2C,TO220-5</v>
          </cell>
          <cell r="C223" t="str">
            <v>TC74A1-3.3VAT</v>
          </cell>
          <cell r="D223" t="str">
            <v>MICROCHIP TECHNOLOGY INC.</v>
          </cell>
          <cell r="E223" t="str">
            <v>IC/Semi</v>
          </cell>
          <cell r="F223">
            <v>10</v>
          </cell>
          <cell r="G223">
            <v>10</v>
          </cell>
          <cell r="I223">
            <v>1.5505675000000001</v>
          </cell>
        </row>
        <row r="224">
          <cell r="A224" t="str">
            <v>630-221563-003</v>
          </cell>
          <cell r="B224" t="str">
            <v>IC,TC74,A2,TMP SNSR,I2C,TO220-5</v>
          </cell>
          <cell r="C224" t="str">
            <v>TC74A2-3.3VAT</v>
          </cell>
          <cell r="D224" t="str">
            <v>MICROCHIP TECHNOLOGY INC.</v>
          </cell>
          <cell r="E224" t="str">
            <v>IC/Semi</v>
          </cell>
          <cell r="F224">
            <v>10</v>
          </cell>
          <cell r="G224">
            <v>10</v>
          </cell>
          <cell r="I224">
            <v>1.3399989999999999</v>
          </cell>
        </row>
        <row r="225">
          <cell r="A225" t="str">
            <v>621-266358-001</v>
          </cell>
          <cell r="B225" t="str">
            <v>POT,2K OHM,0.5W,25T,SIDE ADJUST</v>
          </cell>
          <cell r="C225" t="str">
            <v>3299Z-1-202LF</v>
          </cell>
          <cell r="D225" t="str">
            <v>BOURNS</v>
          </cell>
          <cell r="E225" t="str">
            <v>Other</v>
          </cell>
          <cell r="F225">
            <v>10</v>
          </cell>
          <cell r="G225">
            <v>10</v>
          </cell>
          <cell r="I225">
            <v>0.249</v>
          </cell>
        </row>
        <row r="226">
          <cell r="A226" t="str">
            <v>615-122309-612</v>
          </cell>
          <cell r="B226" t="str">
            <v>RES,0805,TF,0.1W,0.01%,61.2K ROHS</v>
          </cell>
          <cell r="C226" t="str">
            <v>RNCF0805TTT61K2</v>
          </cell>
          <cell r="D226" t="str">
            <v>STACKPOLE ELECTRONICS</v>
          </cell>
          <cell r="E226" t="str">
            <v>Resistor</v>
          </cell>
          <cell r="F226">
            <v>20</v>
          </cell>
          <cell r="G226">
            <v>5000</v>
          </cell>
          <cell r="H226" t="str">
            <v>YES</v>
          </cell>
          <cell r="I226">
            <v>0.58490900000000001</v>
          </cell>
        </row>
        <row r="227">
          <cell r="A227" t="str">
            <v>639-A21749-001</v>
          </cell>
          <cell r="B227" t="str">
            <v>XFMR,SMD,CUR,0.0017 H,4A,1:50 TURNS R</v>
          </cell>
          <cell r="C227" t="str">
            <v>PA0368.050NL</v>
          </cell>
          <cell r="D227" t="str">
            <v>PULSE ELECTRONICS</v>
          </cell>
          <cell r="E227" t="str">
            <v>Other</v>
          </cell>
          <cell r="F227">
            <v>10</v>
          </cell>
          <cell r="G227">
            <v>10</v>
          </cell>
          <cell r="I227">
            <v>1.5242505</v>
          </cell>
        </row>
        <row r="228">
          <cell r="A228" t="str">
            <v>615-B39027-001</v>
          </cell>
          <cell r="B228" t="str">
            <v>RES,SMD,THIN FILM,249OHM,.1%,1/16W,0402</v>
          </cell>
          <cell r="C228" t="str">
            <v>TNPW0402249RBYEP</v>
          </cell>
          <cell r="D228" t="str">
            <v>VISHAY</v>
          </cell>
          <cell r="E228" t="str">
            <v>Resistor</v>
          </cell>
          <cell r="F228">
            <v>40</v>
          </cell>
          <cell r="G228">
            <v>40</v>
          </cell>
          <cell r="I228">
            <v>0.34971000000000002</v>
          </cell>
        </row>
        <row r="229">
          <cell r="A229" t="str">
            <v>615-064170-210</v>
          </cell>
          <cell r="B229" t="str">
            <v>RES,SMD,0805,RG,MF,0.1%,1/10W,2.10K</v>
          </cell>
          <cell r="C229" t="str">
            <v>RG2012P-2101-B-T5</v>
          </cell>
          <cell r="D229" t="str">
            <v>SUSUMU</v>
          </cell>
          <cell r="E229" t="str">
            <v>Resistor</v>
          </cell>
          <cell r="F229">
            <v>170</v>
          </cell>
          <cell r="G229">
            <v>170</v>
          </cell>
          <cell r="I229">
            <v>8.1021999999999997E-2</v>
          </cell>
        </row>
        <row r="230">
          <cell r="A230" t="str">
            <v>635-073861-024</v>
          </cell>
          <cell r="B230" t="str">
            <v>OSC,SMD,XTAL,CB3LV,24MHz,ROHS</v>
          </cell>
          <cell r="C230" t="str">
            <v>CB3LV-3C-24M000000</v>
          </cell>
          <cell r="D230" t="str">
            <v>CTS CORPORATION</v>
          </cell>
          <cell r="E230" t="str">
            <v>Other</v>
          </cell>
          <cell r="F230">
            <v>10</v>
          </cell>
          <cell r="G230">
            <v>10</v>
          </cell>
          <cell r="I230">
            <v>0.96300800000000009</v>
          </cell>
        </row>
        <row r="231">
          <cell r="A231" t="str">
            <v>630-067077-002</v>
          </cell>
          <cell r="B231" t="str">
            <v>IC,SMD,OPT, 1MHZ,6P, ,H11N1SR2M ROHS</v>
          </cell>
          <cell r="C231" t="str">
            <v>H11N1SR2M</v>
          </cell>
          <cell r="D231" t="str">
            <v>ON SEMICONDUCTOR</v>
          </cell>
          <cell r="E231" t="str">
            <v>IC/Semi</v>
          </cell>
          <cell r="F231">
            <v>10</v>
          </cell>
          <cell r="G231">
            <v>10</v>
          </cell>
          <cell r="I231">
            <v>1.1039095000000001</v>
          </cell>
        </row>
        <row r="232">
          <cell r="A232" t="str">
            <v>630-A56167-001</v>
          </cell>
          <cell r="B232" t="str">
            <v>IC,SMD,COMP,CMOS,MOS,TTL,SOT-23-5</v>
          </cell>
          <cell r="C232" t="str">
            <v>TL391BIDBVR</v>
          </cell>
          <cell r="D232" t="str">
            <v>TEXAS INSTRUMENTS</v>
          </cell>
          <cell r="E232" t="str">
            <v>IC/Semi</v>
          </cell>
          <cell r="F232">
            <v>35</v>
          </cell>
          <cell r="G232">
            <v>35</v>
          </cell>
          <cell r="I232">
            <v>0.29844700000000002</v>
          </cell>
        </row>
        <row r="233">
          <cell r="A233" t="str">
            <v>615-901294-101</v>
          </cell>
          <cell r="B233" t="str">
            <v>RES,SMD,THK FILM,100OHM,5%,1/8W,0805</v>
          </cell>
          <cell r="C233" t="str">
            <v>CRCW0805100RJNEA</v>
          </cell>
          <cell r="D233" t="str">
            <v>VISHAY</v>
          </cell>
          <cell r="E233" t="str">
            <v>Resistor</v>
          </cell>
          <cell r="F233">
            <v>110</v>
          </cell>
          <cell r="G233">
            <v>110</v>
          </cell>
          <cell r="I233">
            <v>1.8109999999999999E-3</v>
          </cell>
        </row>
        <row r="234">
          <cell r="A234" t="str">
            <v>615-064170-107</v>
          </cell>
          <cell r="B234" t="str">
            <v>RES,SMD,0805,RG,MF,0.1%,1/10W,1.07K ROHS</v>
          </cell>
          <cell r="C234" t="str">
            <v>RG2012P-1071-B-T5</v>
          </cell>
          <cell r="D234" t="str">
            <v>SUSUMU</v>
          </cell>
          <cell r="E234" t="str">
            <v>Resistor</v>
          </cell>
          <cell r="F234">
            <v>125</v>
          </cell>
          <cell r="G234">
            <v>125</v>
          </cell>
          <cell r="I234">
            <v>6.7857500000000001E-2</v>
          </cell>
        </row>
        <row r="235">
          <cell r="A235" t="str">
            <v>615-A37741-001</v>
          </cell>
          <cell r="B235" t="str">
            <v>RES,SMD,442OHM,±0.1%,25PPM,1/16W,0402</v>
          </cell>
          <cell r="C235" t="str">
            <v>CPF0402B442RE1</v>
          </cell>
          <cell r="D235" t="str">
            <v>TE CONNECTIVITY</v>
          </cell>
          <cell r="E235" t="str">
            <v>Resistor</v>
          </cell>
          <cell r="F235">
            <v>20</v>
          </cell>
          <cell r="G235">
            <v>20</v>
          </cell>
          <cell r="I235">
            <v>0.16820750000000001</v>
          </cell>
        </row>
        <row r="236">
          <cell r="A236" t="str">
            <v>615-267477-001</v>
          </cell>
          <cell r="B236" t="str">
            <v>RES,SMD,2512,THKF,5%,1W,160K OHM,ROHS</v>
          </cell>
          <cell r="C236" t="str">
            <v>CRCW2512160KJNEG</v>
          </cell>
          <cell r="D236" t="str">
            <v>VISHAY</v>
          </cell>
          <cell r="E236" t="str">
            <v>Resistor</v>
          </cell>
          <cell r="F236">
            <v>70</v>
          </cell>
          <cell r="G236">
            <v>70</v>
          </cell>
          <cell r="I236">
            <v>6.8312499999999998E-2</v>
          </cell>
        </row>
        <row r="237">
          <cell r="A237" t="str">
            <v>668-A44871-002</v>
          </cell>
          <cell r="B237" t="str">
            <v>CONN,HDR,2CKT,7.5MM PITCH,18A,600V,TH</v>
          </cell>
          <cell r="C237" t="str">
            <v>43160-0302</v>
          </cell>
          <cell r="D237" t="str">
            <v>MOLEX, LLC</v>
          </cell>
          <cell r="E237" t="str">
            <v>Connector</v>
          </cell>
          <cell r="F237">
            <v>10</v>
          </cell>
          <cell r="G237">
            <v>10</v>
          </cell>
          <cell r="I237">
            <v>1.1497035</v>
          </cell>
        </row>
        <row r="238">
          <cell r="A238" t="str">
            <v>630-122316-001</v>
          </cell>
          <cell r="B238" t="str">
            <v>IC,SMD,SINGLE POS AND GATE SC-70</v>
          </cell>
          <cell r="C238" t="str">
            <v>SN74LVC1G08DCKR</v>
          </cell>
          <cell r="D238" t="str">
            <v>TEXAS INSTRUMENTS</v>
          </cell>
          <cell r="E238" t="str">
            <v>IC/Semi</v>
          </cell>
          <cell r="F238">
            <v>125</v>
          </cell>
          <cell r="G238">
            <v>125</v>
          </cell>
          <cell r="I238">
            <v>4.0591000000000002E-2</v>
          </cell>
        </row>
        <row r="239">
          <cell r="A239" t="str">
            <v>615-901294-473</v>
          </cell>
          <cell r="B239" t="str">
            <v>RES,SMD,THK FILM,47KOHM,5%,1/8W,0805</v>
          </cell>
          <cell r="C239" t="str">
            <v>CRCW080547K0JNEA</v>
          </cell>
          <cell r="D239" t="str">
            <v>VISHAY</v>
          </cell>
          <cell r="E239" t="str">
            <v>Resistor</v>
          </cell>
          <cell r="F239">
            <v>80</v>
          </cell>
          <cell r="G239">
            <v>80</v>
          </cell>
          <cell r="I239">
            <v>1.6230000000000001E-3</v>
          </cell>
        </row>
        <row r="240">
          <cell r="A240" t="str">
            <v>615-049171-124</v>
          </cell>
          <cell r="B240" t="str">
            <v>RES,SMD,0805,12.4K OHMS,ROHS</v>
          </cell>
          <cell r="C240" t="str">
            <v>RG2012P-1242-B-T5</v>
          </cell>
          <cell r="D240" t="str">
            <v>SUSUMU</v>
          </cell>
          <cell r="E240" t="str">
            <v>Resistor</v>
          </cell>
          <cell r="F240">
            <v>60</v>
          </cell>
          <cell r="G240">
            <v>60</v>
          </cell>
          <cell r="I240">
            <v>0.16070400000000001</v>
          </cell>
        </row>
        <row r="241">
          <cell r="A241" t="str">
            <v>615-224835-017</v>
          </cell>
          <cell r="B241" t="str">
            <v>RES,0603,TF,0.1%,25 PPM,0.15W,49.9K</v>
          </cell>
          <cell r="C241" t="str">
            <v>PATT0603E4992BGT1</v>
          </cell>
          <cell r="D241" t="str">
            <v>VISHAY</v>
          </cell>
          <cell r="E241" t="str">
            <v>Resistor</v>
          </cell>
          <cell r="F241">
            <v>10</v>
          </cell>
          <cell r="G241">
            <v>10</v>
          </cell>
          <cell r="I241">
            <v>0.7417895000000001</v>
          </cell>
        </row>
        <row r="242">
          <cell r="A242" t="str">
            <v>648-162121-063</v>
          </cell>
          <cell r="B242" t="str">
            <v>CAP,0603,CER,X7R,5%,50V,0.12UF,ROHS</v>
          </cell>
          <cell r="C242" t="str">
            <v>C0603C124J5RACTU</v>
          </cell>
          <cell r="D242" t="str">
            <v>KEMET</v>
          </cell>
          <cell r="E242" t="str">
            <v>Capacitor</v>
          </cell>
          <cell r="F242">
            <v>25</v>
          </cell>
          <cell r="G242">
            <v>25</v>
          </cell>
          <cell r="I242">
            <v>0.14993049999999999</v>
          </cell>
        </row>
        <row r="243">
          <cell r="A243" t="str">
            <v>615-041833-203</v>
          </cell>
          <cell r="B243" t="str">
            <v>RES,SMD,2010,PTF,1%,1/2W,20K</v>
          </cell>
          <cell r="C243" t="str">
            <v>ERJ-12SF2002U</v>
          </cell>
          <cell r="D243" t="str">
            <v>PANASONIC</v>
          </cell>
          <cell r="E243" t="str">
            <v>Resistor</v>
          </cell>
          <cell r="F243">
            <v>20</v>
          </cell>
          <cell r="G243">
            <v>10000</v>
          </cell>
          <cell r="H243" t="str">
            <v>YES</v>
          </cell>
          <cell r="I243">
            <v>7.8584000000000001E-2</v>
          </cell>
        </row>
        <row r="244">
          <cell r="A244" t="str">
            <v>630-B06281-001</v>
          </cell>
          <cell r="B244" t="str">
            <v>IC,SMD,BFR,3 STATE,8-BIT,6V,TSSOP20</v>
          </cell>
          <cell r="C244" t="str">
            <v>74HCT7541PW118</v>
          </cell>
          <cell r="D244" t="str">
            <v>NEXPERIA</v>
          </cell>
          <cell r="E244" t="str">
            <v>IC/Semi</v>
          </cell>
          <cell r="F244">
            <v>10</v>
          </cell>
          <cell r="G244">
            <v>10</v>
          </cell>
          <cell r="I244">
            <v>0.36076049999999998</v>
          </cell>
        </row>
        <row r="245">
          <cell r="A245" t="str">
            <v>648-051878-224</v>
          </cell>
          <cell r="B245" t="str">
            <v>CAP,SMD,0603,0.22UF,50V,10%,ROHS</v>
          </cell>
          <cell r="C245" t="str">
            <v>NMC0603X7R224K50TRPF</v>
          </cell>
          <cell r="D245" t="str">
            <v>NIC COMPONENTS</v>
          </cell>
          <cell r="E245" t="str">
            <v>Capacitor</v>
          </cell>
          <cell r="F245">
            <v>245</v>
          </cell>
          <cell r="G245">
            <v>245</v>
          </cell>
          <cell r="I245">
            <v>1.3299999999999999E-2</v>
          </cell>
        </row>
        <row r="246">
          <cell r="A246" t="str">
            <v>615-049171-274</v>
          </cell>
          <cell r="B246" t="str">
            <v>RES,SMD,0805,27.4K OHMS,ROHS</v>
          </cell>
          <cell r="C246" t="str">
            <v>RG2012P-2742-B-T5</v>
          </cell>
          <cell r="D246" t="str">
            <v>SUSUMU</v>
          </cell>
          <cell r="E246" t="str">
            <v>Resistor</v>
          </cell>
          <cell r="F246">
            <v>20</v>
          </cell>
          <cell r="G246">
            <v>20</v>
          </cell>
          <cell r="I246">
            <v>7.1539999999999992E-2</v>
          </cell>
        </row>
        <row r="247">
          <cell r="A247" t="str">
            <v>648-082038-390</v>
          </cell>
          <cell r="B247" t="str">
            <v>CAP,CER,0805,NPO,±5%,250V,39PF</v>
          </cell>
          <cell r="C247" t="str">
            <v>251R15S390JV4E</v>
          </cell>
          <cell r="D247" t="str">
            <v>JOHANSON TECHNOLOGY</v>
          </cell>
          <cell r="E247" t="str">
            <v>Capacitor</v>
          </cell>
          <cell r="F247">
            <v>10</v>
          </cell>
          <cell r="G247">
            <v>10</v>
          </cell>
          <cell r="I247">
            <v>0.186302</v>
          </cell>
        </row>
        <row r="248">
          <cell r="A248" t="str">
            <v>615-A40653-909</v>
          </cell>
          <cell r="B248" t="str">
            <v>RES,SMD,1206,0.1%,0.4W,90.9K,ROHS</v>
          </cell>
          <cell r="C248" t="str">
            <v>TNPW120690K9BEEA</v>
          </cell>
          <cell r="D248" t="str">
            <v>VISHAY</v>
          </cell>
          <cell r="E248" t="str">
            <v>Resistor</v>
          </cell>
          <cell r="F248">
            <v>10</v>
          </cell>
          <cell r="G248">
            <v>10</v>
          </cell>
          <cell r="I248">
            <v>0.41582150000000001</v>
          </cell>
        </row>
        <row r="249">
          <cell r="A249" t="str">
            <v>615-901294-332</v>
          </cell>
          <cell r="B249" t="str">
            <v>RES,SMD,THK FILM,3.3KOHM,5%,1/8W,0805</v>
          </cell>
          <cell r="C249" t="str">
            <v>CRCW08053K30JNEA</v>
          </cell>
          <cell r="D249" t="str">
            <v>VISHAY</v>
          </cell>
          <cell r="E249" t="str">
            <v>Resistor</v>
          </cell>
          <cell r="F249">
            <v>40</v>
          </cell>
          <cell r="G249">
            <v>40</v>
          </cell>
          <cell r="I249">
            <v>2.2315E-3</v>
          </cell>
        </row>
        <row r="250">
          <cell r="A250" t="str">
            <v>615-A00422-464</v>
          </cell>
          <cell r="B250" t="str">
            <v>RES SMD 464 OHM 0.1% 1/16W 0402</v>
          </cell>
          <cell r="C250" t="str">
            <v>RT0402BRD07464RL</v>
          </cell>
          <cell r="D250" t="str">
            <v>YAGEO</v>
          </cell>
          <cell r="E250" t="str">
            <v>Resistor</v>
          </cell>
          <cell r="F250">
            <v>40</v>
          </cell>
          <cell r="G250">
            <v>40</v>
          </cell>
          <cell r="I250">
            <v>4.3283000000000002E-2</v>
          </cell>
        </row>
        <row r="251">
          <cell r="A251" t="str">
            <v>644-059699-005</v>
          </cell>
          <cell r="B251" t="str">
            <v>RLY,HV,REED,DPDT</v>
          </cell>
          <cell r="C251" t="str">
            <v>500-231</v>
          </cell>
          <cell r="D251" t="str">
            <v>COMPUTER COMPONENTS,INC</v>
          </cell>
          <cell r="E251" t="str">
            <v>Relay</v>
          </cell>
          <cell r="F251">
            <v>10</v>
          </cell>
          <cell r="G251">
            <v>2000</v>
          </cell>
          <cell r="H251" t="str">
            <v>YES</v>
          </cell>
          <cell r="I251">
            <v>0.24298400000000001</v>
          </cell>
        </row>
        <row r="252">
          <cell r="A252" t="str">
            <v>615-064170-237</v>
          </cell>
          <cell r="B252" t="str">
            <v>RES,SMD,0805,RG,MF,0.1%,1/10W,2.37K ROHS</v>
          </cell>
          <cell r="C252" t="str">
            <v>RG2012P-2371-B-T5</v>
          </cell>
          <cell r="D252" t="str">
            <v>SUSUMU</v>
          </cell>
          <cell r="E252" t="str">
            <v>Resistor</v>
          </cell>
          <cell r="F252">
            <v>40</v>
          </cell>
          <cell r="G252">
            <v>40</v>
          </cell>
          <cell r="I252">
            <v>7.1539999999999992E-2</v>
          </cell>
        </row>
        <row r="253">
          <cell r="A253" t="str">
            <v>615-901294-913</v>
          </cell>
          <cell r="B253" t="str">
            <v>RES,SMD,THK FILM,91KOHM,5%,1/8W,0805</v>
          </cell>
          <cell r="C253" t="str">
            <v>CRCW080591K0JNEA</v>
          </cell>
          <cell r="D253" t="str">
            <v>VISHAY</v>
          </cell>
          <cell r="E253" t="str">
            <v>Resistor</v>
          </cell>
          <cell r="F253">
            <v>30</v>
          </cell>
          <cell r="G253">
            <v>30</v>
          </cell>
          <cell r="I253">
            <v>4.0055000000000004E-3</v>
          </cell>
        </row>
        <row r="254">
          <cell r="A254" t="str">
            <v>615-064170-196</v>
          </cell>
          <cell r="B254" t="str">
            <v>RES,SMD,0805,RG,MF,0.1%,1/10W,1.96K ROHS</v>
          </cell>
          <cell r="C254" t="str">
            <v>RG2012P-1961-B-T5</v>
          </cell>
          <cell r="D254" t="str">
            <v>SUSUMU</v>
          </cell>
          <cell r="E254" t="str">
            <v>Resistor</v>
          </cell>
          <cell r="F254">
            <v>20</v>
          </cell>
          <cell r="G254">
            <v>20</v>
          </cell>
          <cell r="I254">
            <v>0.18012249999999999</v>
          </cell>
        </row>
        <row r="255">
          <cell r="A255" t="str">
            <v>648-051878-333</v>
          </cell>
          <cell r="B255" t="str">
            <v>CAP,SMD,0603,.033UF,50V,10%,X7R,ROHS</v>
          </cell>
          <cell r="C255" t="str">
            <v>C0603T333K5RACTU</v>
          </cell>
          <cell r="D255" t="str">
            <v>KEMET</v>
          </cell>
          <cell r="E255" t="str">
            <v>Capacitor</v>
          </cell>
          <cell r="F255">
            <v>10</v>
          </cell>
          <cell r="G255">
            <v>10</v>
          </cell>
          <cell r="I255">
            <v>0.49416500000000002</v>
          </cell>
        </row>
        <row r="256">
          <cell r="A256" t="str">
            <v>615-901294-752</v>
          </cell>
          <cell r="B256" t="str">
            <v>RES,SMD,THK FILM,7.5KOHM,5%,1/8W,0805</v>
          </cell>
          <cell r="C256" t="str">
            <v>CRCW08057K50JNEA</v>
          </cell>
          <cell r="D256" t="str">
            <v>VISHAY</v>
          </cell>
          <cell r="E256" t="str">
            <v>Resistor</v>
          </cell>
          <cell r="F256">
            <v>20</v>
          </cell>
          <cell r="G256">
            <v>20</v>
          </cell>
          <cell r="I256">
            <v>1.6115000000000001E-3</v>
          </cell>
        </row>
        <row r="257">
          <cell r="A257" t="str">
            <v>615-080145-047</v>
          </cell>
          <cell r="B257" t="str">
            <v>RES,1206,TF,0.1%,25 PPM,174K ROHS</v>
          </cell>
          <cell r="C257" t="str">
            <v>TNPW1206174KBETA</v>
          </cell>
          <cell r="D257" t="str">
            <v>VISHAY</v>
          </cell>
          <cell r="E257" t="str">
            <v>Resistor</v>
          </cell>
          <cell r="F257">
            <v>10</v>
          </cell>
          <cell r="G257">
            <v>5000</v>
          </cell>
          <cell r="H257" t="str">
            <v>YES</v>
          </cell>
          <cell r="I257">
            <v>0.28595900000000002</v>
          </cell>
        </row>
        <row r="258">
          <cell r="A258" t="str">
            <v>609-034003-045</v>
          </cell>
          <cell r="B258" t="str">
            <v>DIO,SMD,PWR,TVS,600W 160V ROHS</v>
          </cell>
          <cell r="C258" t="str">
            <v>SMBJ160A</v>
          </cell>
          <cell r="D258" t="str">
            <v>LITTELFUSE</v>
          </cell>
          <cell r="E258" t="str">
            <v>Diode/LED</v>
          </cell>
          <cell r="F258">
            <v>10</v>
          </cell>
          <cell r="G258">
            <v>10</v>
          </cell>
          <cell r="I258">
            <v>0.11798350000000001</v>
          </cell>
        </row>
        <row r="259">
          <cell r="A259" t="str">
            <v>615-901294-242</v>
          </cell>
          <cell r="B259" t="str">
            <v>RES,SMD,THK FILM,2.4KOHM,5%,1/8W,0805</v>
          </cell>
          <cell r="C259" t="str">
            <v>CRCW08052K40JNEA</v>
          </cell>
          <cell r="D259" t="str">
            <v>VISHAY</v>
          </cell>
          <cell r="E259" t="str">
            <v>Resistor</v>
          </cell>
          <cell r="F259">
            <v>10</v>
          </cell>
          <cell r="G259">
            <v>10</v>
          </cell>
          <cell r="I259">
            <v>1.4495000000000001E-3</v>
          </cell>
        </row>
        <row r="260">
          <cell r="A260" t="str">
            <v>615-099609-806</v>
          </cell>
          <cell r="B260" t="str">
            <v>RES,SMD,2010,80.6,1%,1/2W,ROHS</v>
          </cell>
          <cell r="C260" t="str">
            <v>RK73H2HTTE80R6F</v>
          </cell>
          <cell r="D260" t="str">
            <v>KOA SPEER</v>
          </cell>
          <cell r="E260" t="str">
            <v>Resistor</v>
          </cell>
          <cell r="F260">
            <v>10</v>
          </cell>
          <cell r="G260">
            <v>10</v>
          </cell>
          <cell r="I260">
            <v>8.8146500000000003E-2</v>
          </cell>
        </row>
        <row r="261">
          <cell r="A261" t="str">
            <v>723-008848-003</v>
          </cell>
          <cell r="B261" t="str">
            <v>STDF,3/16 HEX,M/F,2-56, .250LG,ROHS</v>
          </cell>
          <cell r="C261" t="str">
            <v>9724-SS-7</v>
          </cell>
          <cell r="D261" t="str">
            <v>AMATOM ELECTRONIC HARDWARE</v>
          </cell>
          <cell r="E261" t="str">
            <v>Other</v>
          </cell>
          <cell r="F261">
            <v>15</v>
          </cell>
          <cell r="G261">
            <v>15</v>
          </cell>
        </row>
        <row r="262">
          <cell r="A262" t="str">
            <v>785-061226-001</v>
          </cell>
          <cell r="B262" t="str">
            <v>LABEL, .5 X 1.00</v>
          </cell>
          <cell r="C262" t="str">
            <v>TAG 15-400</v>
          </cell>
          <cell r="D262" t="str">
            <v>HELLERMANNTYTON</v>
          </cell>
          <cell r="E262" t="str">
            <v>Other</v>
          </cell>
          <cell r="F262">
            <v>5</v>
          </cell>
          <cell r="G262">
            <v>5</v>
          </cell>
          <cell r="I262">
            <v>233.864496</v>
          </cell>
        </row>
        <row r="263">
          <cell r="A263" t="str">
            <v>723-097621-068</v>
          </cell>
          <cell r="B263" t="str">
            <v>STDF,SWG,9/32 RND,F,6-32,.687</v>
          </cell>
          <cell r="C263" t="str">
            <v>18130B-S-0632-28</v>
          </cell>
          <cell r="D263" t="str">
            <v>AMATOM ELECTRONIC HARDWARE</v>
          </cell>
          <cell r="E263" t="str">
            <v>Other</v>
          </cell>
          <cell r="F263">
            <v>35</v>
          </cell>
          <cell r="G263">
            <v>35</v>
          </cell>
        </row>
        <row r="264">
          <cell r="A264" t="str">
            <v>723-097621-043</v>
          </cell>
          <cell r="B264" t="str">
            <v>STDF,SWG,9/32 RND,F,6-32</v>
          </cell>
          <cell r="C264" t="str">
            <v>18126B-S-0632-28</v>
          </cell>
          <cell r="D264" t="str">
            <v>AMATOM ELECTRONIC HARDWARE</v>
          </cell>
          <cell r="E264" t="str">
            <v>Other</v>
          </cell>
          <cell r="F264">
            <v>30</v>
          </cell>
          <cell r="G264">
            <v>30</v>
          </cell>
        </row>
        <row r="265">
          <cell r="A265" t="str">
            <v>615-080142-198</v>
          </cell>
          <cell r="B265" t="str">
            <v>RES,1206,TF,0.1%,+/- 25 PPM,198 ROHS</v>
          </cell>
          <cell r="C265" t="str">
            <v>TNPW1206198RBEEA</v>
          </cell>
          <cell r="D265" t="str">
            <v>VISHAY</v>
          </cell>
          <cell r="E265" t="str">
            <v>Resistor</v>
          </cell>
          <cell r="F265">
            <v>0</v>
          </cell>
          <cell r="G265">
            <v>0</v>
          </cell>
          <cell r="I265">
            <v>0.16582</v>
          </cell>
        </row>
        <row r="266">
          <cell r="A266" t="str">
            <v>31-10099-00</v>
          </cell>
          <cell r="B266" t="str">
            <v>KEYING PLUG,D CONN</v>
          </cell>
          <cell r="C266" t="str">
            <v>206509-1</v>
          </cell>
          <cell r="D266" t="str">
            <v>TE CONNECTIVITY (P)</v>
          </cell>
          <cell r="E266" t="str">
            <v>Connector</v>
          </cell>
          <cell r="F266">
            <v>0</v>
          </cell>
          <cell r="G266">
            <v>0</v>
          </cell>
          <cell r="I266">
            <v>0.49291849999999998</v>
          </cell>
        </row>
        <row r="267">
          <cell r="A267" t="str">
            <v>615-131264-001</v>
          </cell>
          <cell r="B267" t="str">
            <v>RES,SMD,THK FILM,10K,1%,100PPM,5020</v>
          </cell>
          <cell r="C267" t="str">
            <v>HVC5020K1002FT</v>
          </cell>
          <cell r="D267" t="str">
            <v>OHMITE MANUFACTURING COMPANY</v>
          </cell>
          <cell r="E267" t="str">
            <v>Resistor</v>
          </cell>
          <cell r="F267">
            <v>0</v>
          </cell>
          <cell r="G267">
            <v>0</v>
          </cell>
        </row>
        <row r="268">
          <cell r="A268" t="str">
            <v>615-131307-001</v>
          </cell>
          <cell r="B268" t="str">
            <v>RES,SMD,THK FILM,20M,1%,25PPM,5020</v>
          </cell>
          <cell r="C268" t="str">
            <v>HVC5020E2005FT</v>
          </cell>
          <cell r="D268" t="str">
            <v>OHMITE MANUFACTURING COMPANY</v>
          </cell>
          <cell r="E268" t="str">
            <v>Resistor</v>
          </cell>
          <cell r="F268">
            <v>0</v>
          </cell>
          <cell r="G268">
            <v>0</v>
          </cell>
        </row>
        <row r="269">
          <cell r="A269" t="str">
            <v>615-131307-002</v>
          </cell>
          <cell r="B269" t="str">
            <v>RES,SMD,THK FILM,50M,1%,25PPM,5020</v>
          </cell>
          <cell r="C269" t="str">
            <v>HVC5020E5005FT</v>
          </cell>
          <cell r="D269" t="str">
            <v>OHMITE MANUFACTURING COMPANY</v>
          </cell>
          <cell r="E269" t="str">
            <v>Resistor</v>
          </cell>
          <cell r="F269">
            <v>0</v>
          </cell>
          <cell r="G269">
            <v>0</v>
          </cell>
        </row>
        <row r="270">
          <cell r="A270" t="str">
            <v>615-218819-001</v>
          </cell>
          <cell r="B270" t="str">
            <v>RES,SMD,2.5MEG,1%,25PPM,2W</v>
          </cell>
          <cell r="C270" t="str">
            <v>HVC2512E2504FT</v>
          </cell>
          <cell r="D270" t="str">
            <v>OHMITE MANUFACTURING COMPANY</v>
          </cell>
          <cell r="E270" t="str">
            <v>Resistor</v>
          </cell>
          <cell r="F270">
            <v>0</v>
          </cell>
          <cell r="G270">
            <v>0</v>
          </cell>
        </row>
        <row r="271">
          <cell r="A271" t="str">
            <v>615-901301-237</v>
          </cell>
          <cell r="B271" t="str">
            <v>RES,SMD,0805,2.37K,1%,1/8W,ROHS</v>
          </cell>
          <cell r="C271" t="str">
            <v>RC0805FR-072K37L
CRCW08052K37FKEA
WCR-WCR0805LF-2371-F-P-LT</v>
          </cell>
          <cell r="D271" t="str">
            <v>YAGEO (A)
VISHAY (P)
TT ELECTRONICS (A)</v>
          </cell>
          <cell r="E271" t="str">
            <v>Resistor</v>
          </cell>
          <cell r="F271">
            <v>0</v>
          </cell>
          <cell r="G271">
            <v>0</v>
          </cell>
        </row>
        <row r="272">
          <cell r="A272" t="str">
            <v>615-A18150-001</v>
          </cell>
          <cell r="B272" t="str">
            <v>RES,SMD,HV,THK,100MOHM,±1%,25PPM,3512</v>
          </cell>
          <cell r="C272" t="str">
            <v>HVCD3512Y1006FT-R294</v>
          </cell>
          <cell r="D272" t="str">
            <v>MICROPEN TECHNOLOGIES CORPORATION</v>
          </cell>
          <cell r="E272" t="str">
            <v>Resistor</v>
          </cell>
          <cell r="F272">
            <v>0</v>
          </cell>
          <cell r="G272">
            <v>0</v>
          </cell>
        </row>
        <row r="273">
          <cell r="A273" t="str">
            <v>615-B31543-001</v>
          </cell>
          <cell r="B273" t="str">
            <v>RES,HV,100MEG,1%,2W,25PPM,VCR&lt;1PPM,4020</v>
          </cell>
          <cell r="C273" t="str">
            <v>HVC4020E1006FT-1790</v>
          </cell>
          <cell r="D273" t="str">
            <v>OHMITE MANUFACTURING COMPANY</v>
          </cell>
          <cell r="E273" t="str">
            <v>Resistor</v>
          </cell>
          <cell r="F273">
            <v>0</v>
          </cell>
          <cell r="G273">
            <v>0</v>
          </cell>
        </row>
        <row r="274">
          <cell r="A274" t="str">
            <v>616-052546-008</v>
          </cell>
          <cell r="B274" t="str">
            <v>RES,LOAD,80 OHM,100W,1%TOL,TO-247</v>
          </cell>
          <cell r="C274" t="str">
            <v>MP9100-80.0-1%</v>
          </cell>
          <cell r="D274" t="str">
            <v>CADDOCK ELECTRONICS INC.</v>
          </cell>
          <cell r="E274" t="str">
            <v>Resistor</v>
          </cell>
          <cell r="F274">
            <v>0</v>
          </cell>
          <cell r="G274">
            <v>0</v>
          </cell>
        </row>
        <row r="275">
          <cell r="A275" t="str">
            <v>618-B67173-524</v>
          </cell>
          <cell r="B275" t="str">
            <v>RES,METAL FILM,524.288K,6W,0.1%,2KV,THT</v>
          </cell>
          <cell r="C275" t="str">
            <v>MS260-524.288K-0.1%</v>
          </cell>
          <cell r="D275" t="str">
            <v>CADDOCK ELECTRONICS INC.</v>
          </cell>
          <cell r="E275" t="str">
            <v>Resistor</v>
          </cell>
          <cell r="F275">
            <v>0</v>
          </cell>
          <cell r="G275">
            <v>0</v>
          </cell>
        </row>
        <row r="276">
          <cell r="A276" t="str">
            <v>618-B67755-001</v>
          </cell>
          <cell r="B276" t="str">
            <v>RES,METAL FILM,550 OHM,15W,1% TOL,THT</v>
          </cell>
          <cell r="C276" t="str">
            <v>MS315-550-1%</v>
          </cell>
          <cell r="D276" t="str">
            <v>CADDOCK ELECTRONICS INC.</v>
          </cell>
          <cell r="E276" t="str">
            <v>Resistor</v>
          </cell>
          <cell r="F276">
            <v>0</v>
          </cell>
          <cell r="G276">
            <v>0</v>
          </cell>
        </row>
        <row r="277">
          <cell r="A277" t="str">
            <v>618-B98892-001</v>
          </cell>
          <cell r="B277" t="str">
            <v>RES,PWR,160OHM,1%TOL,50W,THT</v>
          </cell>
          <cell r="C277" t="str">
            <v>MDN1512-01</v>
          </cell>
          <cell r="D277" t="str">
            <v>CADDOCK ELECTRONICS INC.</v>
          </cell>
          <cell r="E277" t="str">
            <v>Resistor</v>
          </cell>
          <cell r="F277">
            <v>0</v>
          </cell>
          <cell r="G277">
            <v>0</v>
          </cell>
        </row>
        <row r="278">
          <cell r="A278" t="str">
            <v>618-B98892-002</v>
          </cell>
          <cell r="B278" t="str">
            <v>RES,PWR,320OHM,1%TOL,50W,THT</v>
          </cell>
          <cell r="C278" t="str">
            <v>MDN1512-02</v>
          </cell>
          <cell r="D278" t="str">
            <v>CADDOCK ELECTRONICS INC.</v>
          </cell>
          <cell r="E278" t="str">
            <v>Resistor</v>
          </cell>
          <cell r="F278">
            <v>0</v>
          </cell>
          <cell r="G278">
            <v>0</v>
          </cell>
        </row>
        <row r="279">
          <cell r="A279" t="str">
            <v>619-095611-104</v>
          </cell>
          <cell r="B279" t="str">
            <v>RES,6KV,15W,1%,100K,NON-1ND</v>
          </cell>
          <cell r="C279" t="str">
            <v>MS315-100K-1.0%</v>
          </cell>
          <cell r="D279" t="str">
            <v>CADDOCK ELECTRONICS INC.</v>
          </cell>
          <cell r="E279" t="str">
            <v>Resistor</v>
          </cell>
          <cell r="F279">
            <v>0</v>
          </cell>
          <cell r="G279">
            <v>0</v>
          </cell>
        </row>
        <row r="280">
          <cell r="A280" t="str">
            <v>621-092237-102</v>
          </cell>
          <cell r="B280" t="str">
            <v>POT,MULT TURN 1/4W,10%,1K</v>
          </cell>
          <cell r="C280" t="str">
            <v>67F5846</v>
          </cell>
          <cell r="D280" t="str">
            <v>VISHAY</v>
          </cell>
          <cell r="E280" t="str">
            <v>Other</v>
          </cell>
          <cell r="F280">
            <v>0</v>
          </cell>
          <cell r="G280">
            <v>0</v>
          </cell>
        </row>
        <row r="281">
          <cell r="A281" t="str">
            <v>622-A00763-001</v>
          </cell>
          <cell r="B281" t="str">
            <v>RES,NTWK,HV 1000:1 DIVDR,100 MOHM,±1.0%</v>
          </cell>
          <cell r="C281" t="str">
            <v>HVD-W10-AE-1006-F-4</v>
          </cell>
          <cell r="D281" t="str">
            <v>OHMITE MANUFACTURING COMPANY</v>
          </cell>
          <cell r="E281" t="str">
            <v>Resistor</v>
          </cell>
          <cell r="F281">
            <v>0</v>
          </cell>
          <cell r="G281">
            <v>0</v>
          </cell>
        </row>
        <row r="282">
          <cell r="A282" t="str">
            <v>622-A78896-001</v>
          </cell>
          <cell r="B282" t="str">
            <v>RES,NTWK,THRU,5M,294:1,0.05%</v>
          </cell>
          <cell r="C282" t="str">
            <v>T1794-675</v>
          </cell>
          <cell r="D282" t="str">
            <v>CADDOCK ELECTRONICS INC.</v>
          </cell>
          <cell r="E282" t="str">
            <v>Resistor</v>
          </cell>
          <cell r="F282">
            <v>0</v>
          </cell>
          <cell r="G282">
            <v>0</v>
          </cell>
        </row>
        <row r="283">
          <cell r="A283" t="str">
            <v>630-087790-001</v>
          </cell>
          <cell r="B283" t="str">
            <v>IC,SMD,ECAT CONT,ET1100,128BGA,ROHS</v>
          </cell>
          <cell r="C283" t="str">
            <v>ET1100</v>
          </cell>
          <cell r="D283" t="str">
            <v>BECKHOFF AUTOMATION LLC</v>
          </cell>
          <cell r="E283" t="str">
            <v>IC/Semi</v>
          </cell>
          <cell r="F283">
            <v>0</v>
          </cell>
          <cell r="G283">
            <v>0</v>
          </cell>
          <cell r="I283">
            <v>9.8221000000000003E-2</v>
          </cell>
        </row>
        <row r="284">
          <cell r="A284" t="str">
            <v>630-197619-001</v>
          </cell>
          <cell r="B284" t="str">
            <v>IC,SMD,DRIVER,LOW SIDE,DPAK-3,ROHS</v>
          </cell>
          <cell r="C284" t="str">
            <v>NCV8405BDTRKG</v>
          </cell>
          <cell r="D284" t="str">
            <v>ON SEMICONDUCTOR</v>
          </cell>
          <cell r="E284" t="str">
            <v>IC/Semi</v>
          </cell>
          <cell r="F284">
            <v>0</v>
          </cell>
          <cell r="G284">
            <v>0</v>
          </cell>
          <cell r="I284">
            <v>0.76139999999999997</v>
          </cell>
        </row>
        <row r="285">
          <cell r="A285" t="str">
            <v>630-251535-003</v>
          </cell>
          <cell r="B285" t="str">
            <v>IC,SMD,VREF,SHUNT,5V,SOT23-3</v>
          </cell>
          <cell r="C285" t="str">
            <v>ADR550BRTZ-REEL7</v>
          </cell>
          <cell r="D285" t="str">
            <v>ANALOG DEVICES INC. (P)</v>
          </cell>
          <cell r="E285" t="str">
            <v>IC/Semi</v>
          </cell>
          <cell r="F285">
            <v>0</v>
          </cell>
          <cell r="G285">
            <v>0</v>
          </cell>
          <cell r="I285">
            <v>3.0279980000000002</v>
          </cell>
        </row>
        <row r="286">
          <cell r="A286" t="str">
            <v>630-C10158-001</v>
          </cell>
          <cell r="B286" t="str">
            <v>IC,SMD,TRANSLATOR,PECL/LVDS TO TTL,SOIC8</v>
          </cell>
          <cell r="C286" t="str">
            <v>SN65EPT21DR
SN65EPT21DR.B</v>
          </cell>
          <cell r="D286" t="str">
            <v>TEXAS INSTRUMENTS (P)
TEXAS INSTRUMENTS (A)</v>
          </cell>
          <cell r="E286" t="str">
            <v>IC/Semi</v>
          </cell>
          <cell r="F286">
            <v>0</v>
          </cell>
          <cell r="G286">
            <v>0</v>
          </cell>
        </row>
        <row r="287">
          <cell r="A287" t="str">
            <v>639-A21769-001</v>
          </cell>
          <cell r="B287" t="str">
            <v>XFMR,SMD,FORWARD,1.70:1</v>
          </cell>
          <cell r="C287" t="str">
            <v>WCM6788</v>
          </cell>
          <cell r="D287" t="str">
            <v>WEST COAST MAGNETICS</v>
          </cell>
          <cell r="E287" t="str">
            <v>Other</v>
          </cell>
          <cell r="F287">
            <v>0</v>
          </cell>
          <cell r="G287">
            <v>0</v>
          </cell>
        </row>
        <row r="288">
          <cell r="A288" t="str">
            <v>648-004248-471</v>
          </cell>
          <cell r="B288" t="str">
            <v>CAP,SMD,CERAMIC,RF,PWR,470PF,2%</v>
          </cell>
          <cell r="C288" t="str">
            <v>100E471GW2500X</v>
          </cell>
          <cell r="D288" t="str">
            <v>AMERICAN TECHNICAL CERAMIC</v>
          </cell>
          <cell r="E288" t="str">
            <v>Capacitor</v>
          </cell>
          <cell r="F288">
            <v>0</v>
          </cell>
          <cell r="G288">
            <v>0</v>
          </cell>
          <cell r="I288">
            <v>39.169975999999998</v>
          </cell>
        </row>
        <row r="289">
          <cell r="A289" t="str">
            <v>648-218816-003</v>
          </cell>
          <cell r="B289" t="str">
            <v>CAP,SMD,220PF,1%,500V,NPO</v>
          </cell>
          <cell r="C289" t="str">
            <v>1111C221FP501X</v>
          </cell>
          <cell r="D289" t="str">
            <v>PASSIVE PLUS INC.</v>
          </cell>
          <cell r="E289" t="str">
            <v>Capacitor</v>
          </cell>
          <cell r="F289">
            <v>0</v>
          </cell>
          <cell r="G289">
            <v>0</v>
          </cell>
        </row>
        <row r="290">
          <cell r="A290" t="str">
            <v>648-218817-001</v>
          </cell>
          <cell r="B290" t="str">
            <v>CAP,SMD,+/-0.05PF,7200V,NPO,2PF</v>
          </cell>
          <cell r="C290" t="str">
            <v>3838C2R0AP722X</v>
          </cell>
          <cell r="D290" t="str">
            <v>PASSIVE PLUS INC.</v>
          </cell>
          <cell r="E290" t="str">
            <v>Capacitor</v>
          </cell>
          <cell r="F290">
            <v>0</v>
          </cell>
          <cell r="G290">
            <v>0</v>
          </cell>
        </row>
        <row r="291">
          <cell r="A291" t="str">
            <v>648-221599-001</v>
          </cell>
          <cell r="B291" t="str">
            <v>CAP,SMD,1.1NF,5%,10KV,NPO,ROHS</v>
          </cell>
          <cell r="C291" t="str">
            <v>ST4040N112J103TJXW-1R</v>
          </cell>
          <cell r="D291" t="str">
            <v>NOVACAP</v>
          </cell>
          <cell r="E291" t="str">
            <v>Capacitor</v>
          </cell>
          <cell r="F291">
            <v>0</v>
          </cell>
          <cell r="G291">
            <v>0</v>
          </cell>
        </row>
        <row r="292">
          <cell r="A292" t="str">
            <v>648-249226-001</v>
          </cell>
          <cell r="B292" t="str">
            <v>CAP,SMD,PWR TRANSMITTER,5KV,5%,NP0,1NF</v>
          </cell>
          <cell r="C292" t="str">
            <v>7676C102JW502X</v>
          </cell>
          <cell r="D292" t="str">
            <v>PASSIVE PLUS INC.</v>
          </cell>
          <cell r="E292" t="str">
            <v>Capacitor</v>
          </cell>
          <cell r="F292">
            <v>0</v>
          </cell>
          <cell r="G292">
            <v>0</v>
          </cell>
        </row>
        <row r="293">
          <cell r="A293" t="str">
            <v>648-250610-470</v>
          </cell>
          <cell r="B293" t="str">
            <v>CAP,SMD,ALUM ELECTROLYTIC 47UF 50V</v>
          </cell>
          <cell r="C293" t="str">
            <v>EEEFT1H470AP</v>
          </cell>
          <cell r="D293" t="str">
            <v>PANASONIC (P)</v>
          </cell>
          <cell r="E293" t="str">
            <v>Capacitor</v>
          </cell>
          <cell r="F293">
            <v>0</v>
          </cell>
          <cell r="G293">
            <v>0</v>
          </cell>
          <cell r="I293">
            <v>0.32952599999999999</v>
          </cell>
        </row>
        <row r="294">
          <cell r="A294" t="str">
            <v>648-339430-001</v>
          </cell>
          <cell r="B294" t="str">
            <v>CAP,SMD,100PF,±0.5% TOL,500V,NP0,1111</v>
          </cell>
          <cell r="C294" t="str">
            <v>1111C101EP501X</v>
          </cell>
          <cell r="D294" t="str">
            <v>PPI</v>
          </cell>
          <cell r="E294" t="str">
            <v>Capacitor</v>
          </cell>
          <cell r="F294">
            <v>0</v>
          </cell>
          <cell r="G294">
            <v>0</v>
          </cell>
        </row>
        <row r="295">
          <cell r="A295" t="str">
            <v>648-345343-016</v>
          </cell>
          <cell r="B295" t="str">
            <v>CAP,SMD,+/-0.25PF,7200V,NPO,2.0PF</v>
          </cell>
          <cell r="C295" t="str">
            <v>3838C2R0CP722X</v>
          </cell>
          <cell r="D295" t="str">
            <v>PASSIVE PLUS INC.</v>
          </cell>
          <cell r="E295" t="str">
            <v>Capacitor</v>
          </cell>
          <cell r="F295">
            <v>0</v>
          </cell>
          <cell r="G295">
            <v>0</v>
          </cell>
        </row>
        <row r="296">
          <cell r="A296" t="str">
            <v>648-B62204-001</v>
          </cell>
          <cell r="B296" t="str">
            <v>CAP,SMD,PWR TRANSMITTER,1NF,5KV,2%,NP0</v>
          </cell>
          <cell r="C296" t="str">
            <v>7676C102GP502X</v>
          </cell>
          <cell r="D296" t="str">
            <v>PASSIVE PLUS INC.</v>
          </cell>
          <cell r="E296" t="str">
            <v>Capacitor</v>
          </cell>
          <cell r="F296">
            <v>0</v>
          </cell>
          <cell r="G296">
            <v>0</v>
          </cell>
        </row>
        <row r="297">
          <cell r="A297" t="str">
            <v>648-B64083-047</v>
          </cell>
          <cell r="B297" t="str">
            <v>CAP,SMD,CER,4.7PF,+/-0.1%TOL,3.6KV,3838</v>
          </cell>
          <cell r="C297" t="str">
            <v>3838C4R7BW362X</v>
          </cell>
          <cell r="D297" t="str">
            <v>PASSIVE PLUS INC.</v>
          </cell>
          <cell r="E297" t="str">
            <v>Capacitor</v>
          </cell>
          <cell r="F297">
            <v>0</v>
          </cell>
          <cell r="G297">
            <v>0</v>
          </cell>
        </row>
        <row r="298">
          <cell r="A298" t="str">
            <v>648-B67704-121</v>
          </cell>
          <cell r="B298" t="str">
            <v>CAP,SMD,MLCC,120PF,1% TOL,2500V,NP0</v>
          </cell>
          <cell r="C298" t="str">
            <v>2225C121FW252X</v>
          </cell>
          <cell r="D298" t="str">
            <v>PASSIVE PLUS INC.</v>
          </cell>
          <cell r="E298" t="str">
            <v>Capacitor</v>
          </cell>
          <cell r="F298">
            <v>0</v>
          </cell>
          <cell r="G298">
            <v>0</v>
          </cell>
        </row>
        <row r="299">
          <cell r="A299" t="str">
            <v>648-B67704-241</v>
          </cell>
          <cell r="B299" t="str">
            <v>CAP,SMD,MLCC,240PF,1% TOL,2500V,NP0</v>
          </cell>
          <cell r="C299" t="str">
            <v>2225C241FW252X</v>
          </cell>
          <cell r="D299" t="str">
            <v>PASSIVE PLUS INC.</v>
          </cell>
          <cell r="E299" t="str">
            <v>Capacitor</v>
          </cell>
          <cell r="F299">
            <v>0</v>
          </cell>
          <cell r="G299">
            <v>0</v>
          </cell>
        </row>
        <row r="300">
          <cell r="A300" t="str">
            <v>648-B67704-300</v>
          </cell>
          <cell r="B300" t="str">
            <v>CAP,SMD,MLCC,30PF,1% TOL,2500V,NP0</v>
          </cell>
          <cell r="C300" t="str">
            <v>2225C300FW252X</v>
          </cell>
          <cell r="D300" t="str">
            <v>PASSIVE PLUS INC.</v>
          </cell>
          <cell r="E300" t="str">
            <v>Capacitor</v>
          </cell>
          <cell r="F300">
            <v>0</v>
          </cell>
          <cell r="G300">
            <v>0</v>
          </cell>
        </row>
        <row r="301">
          <cell r="A301" t="str">
            <v>648-B67704-620</v>
          </cell>
          <cell r="B301" t="str">
            <v>CAP,SMD,MLCC,62PF,1% TOL,2500V,NP0</v>
          </cell>
          <cell r="C301" t="str">
            <v>2225C620FW252X</v>
          </cell>
          <cell r="D301" t="str">
            <v>PASSIVE PLUS INC.</v>
          </cell>
          <cell r="E301" t="str">
            <v>Capacitor</v>
          </cell>
          <cell r="F301">
            <v>0</v>
          </cell>
          <cell r="G301">
            <v>0</v>
          </cell>
        </row>
        <row r="302">
          <cell r="A302" t="str">
            <v>648-B67732-820</v>
          </cell>
          <cell r="B302" t="str">
            <v>CAP,SMD,MLCC,82PF,5% TOL,3600V,NP0,3838</v>
          </cell>
          <cell r="C302" t="str">
            <v>3838C820JW362X</v>
          </cell>
          <cell r="D302" t="str">
            <v>PASSIVE PLUS INC.</v>
          </cell>
          <cell r="E302" t="str">
            <v>Capacitor</v>
          </cell>
          <cell r="F302">
            <v>0</v>
          </cell>
          <cell r="G302">
            <v>0</v>
          </cell>
        </row>
        <row r="303">
          <cell r="A303" t="str">
            <v>660-121917-001</v>
          </cell>
          <cell r="B303" t="str">
            <v>PS,DC-DC CONV,HV,12V INPUT,-2KV OUT,4W</v>
          </cell>
          <cell r="C303" t="str">
            <v>2AA12-N4-I10-Y83-M</v>
          </cell>
          <cell r="D303" t="str">
            <v>ULTRAVOLT</v>
          </cell>
          <cell r="E303" t="str">
            <v>Other</v>
          </cell>
          <cell r="F303">
            <v>0</v>
          </cell>
          <cell r="G303">
            <v>0</v>
          </cell>
        </row>
        <row r="304">
          <cell r="A304" t="str">
            <v>660-165469-001</v>
          </cell>
          <cell r="B304" t="str">
            <v>PS,HV,DC-DC,8KV CT,15W</v>
          </cell>
          <cell r="C304" t="str">
            <v>4FLHV24-BP15-I10-25PPM</v>
          </cell>
          <cell r="D304" t="str">
            <v>ULTRAVOLT</v>
          </cell>
          <cell r="E304" t="str">
            <v>Other</v>
          </cell>
          <cell r="F304">
            <v>0</v>
          </cell>
          <cell r="G304">
            <v>0</v>
          </cell>
        </row>
        <row r="305">
          <cell r="A305" t="str">
            <v>660-169194-001</v>
          </cell>
          <cell r="B305" t="str">
            <v>PS,HV,DC-DC,8KV CT,10W</v>
          </cell>
          <cell r="C305" t="str">
            <v>E10590</v>
          </cell>
          <cell r="D305" t="str">
            <v>XP POWER</v>
          </cell>
          <cell r="E305" t="str">
            <v>Other</v>
          </cell>
          <cell r="F305">
            <v>0</v>
          </cell>
          <cell r="G305">
            <v>0</v>
          </cell>
          <cell r="I305">
            <v>10.19533</v>
          </cell>
        </row>
        <row r="306">
          <cell r="A306" t="str">
            <v>668-032731-001</v>
          </cell>
          <cell r="B306" t="str">
            <v>CONN,HI VOLT,RT ANGLE,RED,37 INCH</v>
          </cell>
          <cell r="C306" t="str">
            <v>10483-56</v>
          </cell>
          <cell r="D306" t="str">
            <v>CONNECTRONICS</v>
          </cell>
          <cell r="E306" t="str">
            <v>Connector</v>
          </cell>
          <cell r="F306">
            <v>0</v>
          </cell>
          <cell r="G306">
            <v>0</v>
          </cell>
        </row>
        <row r="307">
          <cell r="A307" t="str">
            <v>668-096777-009</v>
          </cell>
          <cell r="B307" t="str">
            <v>CONN,DSUB,9P,M,STR,BRD LCK,ROHS</v>
          </cell>
          <cell r="C307" t="str">
            <v>K85X-ED-9P-CBR</v>
          </cell>
          <cell r="D307" t="str">
            <v>KYCON, INC</v>
          </cell>
          <cell r="E307" t="str">
            <v>Connector</v>
          </cell>
          <cell r="F307">
            <v>0</v>
          </cell>
          <cell r="G307">
            <v>0</v>
          </cell>
        </row>
        <row r="308">
          <cell r="A308" t="str">
            <v>668-096777-025</v>
          </cell>
          <cell r="B308" t="str">
            <v>CONN,DSUB,25P,M,STR,BRD LCK,ROHS</v>
          </cell>
          <cell r="C308" t="str">
            <v>K85X-BD-25P-CBR</v>
          </cell>
          <cell r="D308" t="str">
            <v>KYCON, INC</v>
          </cell>
          <cell r="E308" t="str">
            <v>Connector</v>
          </cell>
          <cell r="F308">
            <v>0</v>
          </cell>
          <cell r="G308">
            <v>0</v>
          </cell>
        </row>
        <row r="309">
          <cell r="A309" t="str">
            <v>668-096777-037</v>
          </cell>
          <cell r="B309" t="str">
            <v>CONN,DSUB,37P,M,STR,BRD LCK,ROHS</v>
          </cell>
          <cell r="C309" t="str">
            <v>K85X-CD-37P-CBR</v>
          </cell>
          <cell r="D309" t="str">
            <v>KYCON, INC</v>
          </cell>
          <cell r="E309" t="str">
            <v>Connector</v>
          </cell>
          <cell r="F309">
            <v>0</v>
          </cell>
          <cell r="G309">
            <v>0</v>
          </cell>
        </row>
        <row r="310">
          <cell r="A310" t="str">
            <v>668-107631-001</v>
          </cell>
          <cell r="B310" t="str">
            <v>CONN,PLUG,DSUB,RA,5W5P,5P,15A,ROHS</v>
          </cell>
          <cell r="C310" t="str">
            <v>3005W5PXX55N40X</v>
          </cell>
          <cell r="D310" t="str">
            <v>CONEC ELEKTRONISCHE BAUELEMENTE GMBH</v>
          </cell>
          <cell r="E310" t="str">
            <v>Connector</v>
          </cell>
          <cell r="F310">
            <v>0</v>
          </cell>
          <cell r="G310">
            <v>0</v>
          </cell>
        </row>
        <row r="311">
          <cell r="A311" t="str">
            <v>668-314221-001</v>
          </cell>
          <cell r="B311" t="str">
            <v>CONN,RCPT,PWR ENTRY,5.7MM PIN</v>
          </cell>
          <cell r="C311" t="str">
            <v>C10-738244-100</v>
          </cell>
          <cell r="D311" t="str">
            <v>AMPHENOL</v>
          </cell>
          <cell r="E311" t="str">
            <v>Connector</v>
          </cell>
          <cell r="F311">
            <v>0</v>
          </cell>
          <cell r="G311">
            <v>0</v>
          </cell>
        </row>
        <row r="312">
          <cell r="A312" t="str">
            <v>668-318161-001</v>
          </cell>
          <cell r="B312" t="str">
            <v>CONN,PLUG,COMBO D-SUB,M/F,2P,30A</v>
          </cell>
          <cell r="C312" t="str">
            <v>302W2CPXX57N40X</v>
          </cell>
          <cell r="D312" t="str">
            <v>CONEC ELEKTRONISCHE BAUELEMENTE GMBH</v>
          </cell>
          <cell r="E312" t="str">
            <v>Connector</v>
          </cell>
          <cell r="F312">
            <v>0</v>
          </cell>
          <cell r="G312">
            <v>0</v>
          </cell>
        </row>
        <row r="313">
          <cell r="A313" t="str">
            <v>668-340337-001</v>
          </cell>
          <cell r="B313" t="str">
            <v>CONN,RCPT,DSUB,COMBO FEM,2POS,30A,CU ALY</v>
          </cell>
          <cell r="C313" t="str">
            <v>302W2CSXX51E40X</v>
          </cell>
          <cell r="D313" t="str">
            <v>CONEC ELEKTRONISCHE BAUELEMENTE GMBH</v>
          </cell>
          <cell r="E313" t="str">
            <v>Connector</v>
          </cell>
          <cell r="F313">
            <v>0</v>
          </cell>
          <cell r="G313">
            <v>0</v>
          </cell>
        </row>
        <row r="314">
          <cell r="A314" t="str">
            <v>668-900417-001</v>
          </cell>
          <cell r="B314" t="str">
            <v>CONN,RECPT,12KVDC/3AMP PCB MT</v>
          </cell>
          <cell r="C314" t="str">
            <v>10654-01</v>
          </cell>
          <cell r="D314" t="str">
            <v>CONNECTRONICS</v>
          </cell>
          <cell r="E314" t="str">
            <v>Connector</v>
          </cell>
          <cell r="F314">
            <v>0</v>
          </cell>
          <cell r="G314">
            <v>0</v>
          </cell>
        </row>
        <row r="315">
          <cell r="A315" t="str">
            <v>668-B66386-001</v>
          </cell>
          <cell r="B315" t="str">
            <v>CONN,RCPT,COMBO DSUB,STR,7W2S,7.5/30A</v>
          </cell>
          <cell r="C315" t="str">
            <v>3007W2SCR51E40X</v>
          </cell>
          <cell r="D315" t="str">
            <v>CONEC ELEKTRONISCHE BAUELEMENTE GMBH</v>
          </cell>
          <cell r="E315" t="str">
            <v>Connector</v>
          </cell>
          <cell r="F315">
            <v>0</v>
          </cell>
          <cell r="G315">
            <v>0</v>
          </cell>
        </row>
        <row r="316">
          <cell r="A316" t="str">
            <v>668-C13091-001</v>
          </cell>
          <cell r="B316" t="str">
            <v>CONN,RCPT,D-SUB,13W3,7.5A/30A,SLDR PIN</v>
          </cell>
          <cell r="C316" t="str">
            <v>3013W3SCR51F40X</v>
          </cell>
          <cell r="D316" t="str">
            <v>CONEC ELEKTRONISCHE BAUELEMENTE GMBH (P)</v>
          </cell>
          <cell r="E316" t="str">
            <v>Connector</v>
          </cell>
          <cell r="F316">
            <v>0</v>
          </cell>
          <cell r="G316">
            <v>0</v>
          </cell>
        </row>
        <row r="317">
          <cell r="A317" t="str">
            <v>669-C00309-007</v>
          </cell>
          <cell r="B317" t="str">
            <v>CONT,PIN,600V,140A,6MM DIA,48MM LG</v>
          </cell>
          <cell r="C317" t="str">
            <v>203263-0066</v>
          </cell>
          <cell r="D317" t="str">
            <v>MOLEX, LLC</v>
          </cell>
          <cell r="E317" t="str">
            <v>Other</v>
          </cell>
          <cell r="F317">
            <v>0</v>
          </cell>
          <cell r="G317">
            <v>0</v>
          </cell>
          <cell r="I317">
            <v>3.0935519999999999</v>
          </cell>
        </row>
        <row r="318">
          <cell r="A318" t="str">
            <v>673-060116-001</v>
          </cell>
          <cell r="B318" t="str">
            <v>TERM,PCB,PWR,W-INSULATOR,6-32,10P ROHS</v>
          </cell>
          <cell r="C318" t="str">
            <v>121-14204-01-260</v>
          </cell>
          <cell r="D318" t="str">
            <v>WINCHESTER INTERCONNECT</v>
          </cell>
          <cell r="E318" t="str">
            <v>Other</v>
          </cell>
          <cell r="F318">
            <v>0</v>
          </cell>
          <cell r="G318">
            <v>0</v>
          </cell>
        </row>
        <row r="319">
          <cell r="A319" t="str">
            <v>681-006802-210</v>
          </cell>
          <cell r="B319" t="str">
            <v>WIRE,22AWG,300V,105C,UL1569,RED/BLK</v>
          </cell>
          <cell r="C319" t="str">
            <v>ORDER BY DESCRIPTION</v>
          </cell>
          <cell r="D319" t="str">
            <v>ORDER BY DESCRIPTION</v>
          </cell>
          <cell r="E319" t="str">
            <v>Other</v>
          </cell>
          <cell r="F319">
            <v>0</v>
          </cell>
          <cell r="G319">
            <v>0</v>
          </cell>
          <cell r="I319">
            <v>0.25846599999999997</v>
          </cell>
        </row>
        <row r="320">
          <cell r="A320" t="str">
            <v>681-236697-004</v>
          </cell>
          <cell r="B320" t="str">
            <v>WIRE,22 AWG,300V,105C,AWM,1569,BLU</v>
          </cell>
          <cell r="C320" t="str">
            <v>ORDER TO SPECIFICATION</v>
          </cell>
          <cell r="D320" t="str">
            <v>ORDER TO SPECIFICATION</v>
          </cell>
          <cell r="E320" t="str">
            <v>Other</v>
          </cell>
          <cell r="F320">
            <v>0</v>
          </cell>
          <cell r="G320">
            <v>0</v>
          </cell>
        </row>
        <row r="321">
          <cell r="A321" t="str">
            <v>686-001219-001</v>
          </cell>
          <cell r="B321" t="str">
            <v>TIE WRAP,.87IN BUNDLE DIA,3.9IN LG,WHT</v>
          </cell>
          <cell r="C321" t="str">
            <v>ORDER TO SPECIFICATION</v>
          </cell>
          <cell r="D321" t="str">
            <v>ORDER TO SPECIFICATION</v>
          </cell>
          <cell r="E321" t="str">
            <v>Other</v>
          </cell>
          <cell r="F321">
            <v>0</v>
          </cell>
          <cell r="G321">
            <v>0</v>
          </cell>
        </row>
        <row r="322">
          <cell r="A322" t="str">
            <v>687-C11587-001</v>
          </cell>
          <cell r="B322" t="str">
            <v>SPCR,SLF-RTNG,1.6MM PNL THK,PA66,NATURAL</v>
          </cell>
          <cell r="C322" t="str">
            <v>702910000</v>
          </cell>
          <cell r="D322" t="str">
            <v>WURTH ELEKTRONIK (P)</v>
          </cell>
          <cell r="E322" t="str">
            <v>Other</v>
          </cell>
          <cell r="F322">
            <v>0</v>
          </cell>
          <cell r="G322">
            <v>0</v>
          </cell>
          <cell r="I322">
            <v>0.19753200000000001</v>
          </cell>
        </row>
        <row r="323">
          <cell r="A323" t="str">
            <v>713-047856-002</v>
          </cell>
          <cell r="B323" t="str">
            <v>COV,PROT, PCB</v>
          </cell>
          <cell r="C323" t="str">
            <v>BUILD TO PRINT</v>
          </cell>
          <cell r="D323" t="str">
            <v>BUILD TO PRINT</v>
          </cell>
          <cell r="E323" t="str">
            <v>Other</v>
          </cell>
          <cell r="F323">
            <v>0</v>
          </cell>
          <cell r="G323">
            <v>0</v>
          </cell>
        </row>
        <row r="324">
          <cell r="A324" t="str">
            <v>714-084061-001</v>
          </cell>
          <cell r="B324" t="str">
            <v>STRAP,PWR,DC</v>
          </cell>
          <cell r="C324" t="str">
            <v>BUILD TO PRINT</v>
          </cell>
          <cell r="D324" t="str">
            <v>BUILD TO PRINT</v>
          </cell>
          <cell r="E324" t="str">
            <v>Other</v>
          </cell>
          <cell r="F324">
            <v>0</v>
          </cell>
          <cell r="G324">
            <v>0</v>
          </cell>
        </row>
        <row r="325">
          <cell r="A325" t="str">
            <v>714-084061-002</v>
          </cell>
          <cell r="B325" t="str">
            <v>STRAP,PWR,DC</v>
          </cell>
          <cell r="C325" t="str">
            <v>BUILD TO PRINT</v>
          </cell>
          <cell r="D325" t="str">
            <v>BUILD TO PRINT</v>
          </cell>
          <cell r="E325" t="str">
            <v>Other</v>
          </cell>
          <cell r="F325">
            <v>0</v>
          </cell>
          <cell r="G325">
            <v>0</v>
          </cell>
        </row>
        <row r="326">
          <cell r="A326" t="str">
            <v>714-084061-010</v>
          </cell>
          <cell r="B326" t="str">
            <v>STRAP,PWR,DC</v>
          </cell>
          <cell r="C326" t="str">
            <v>BUILD TO PRINT</v>
          </cell>
          <cell r="D326" t="str">
            <v>BUILD TO PRINT</v>
          </cell>
          <cell r="E326" t="str">
            <v>Other</v>
          </cell>
          <cell r="F326">
            <v>0</v>
          </cell>
          <cell r="G326">
            <v>0</v>
          </cell>
        </row>
        <row r="327">
          <cell r="A327" t="str">
            <v>714-084061-011</v>
          </cell>
          <cell r="B327" t="str">
            <v>STRAP,PWR,DC</v>
          </cell>
          <cell r="C327" t="str">
            <v>BUILD TO PRINT</v>
          </cell>
          <cell r="D327" t="str">
            <v>BUILD TO PRINT</v>
          </cell>
          <cell r="E327" t="str">
            <v>Other</v>
          </cell>
          <cell r="F327">
            <v>0</v>
          </cell>
          <cell r="G327">
            <v>0</v>
          </cell>
        </row>
        <row r="328">
          <cell r="A328" t="str">
            <v>714-084061-012</v>
          </cell>
          <cell r="B328" t="str">
            <v>STRAP,PWR,DC</v>
          </cell>
          <cell r="C328" t="str">
            <v>BUILD TO PRINT</v>
          </cell>
          <cell r="D328" t="str">
            <v>BUILD TO PRINT</v>
          </cell>
          <cell r="E328" t="str">
            <v>Other</v>
          </cell>
          <cell r="F328">
            <v>0</v>
          </cell>
          <cell r="G328">
            <v>0</v>
          </cell>
        </row>
        <row r="329">
          <cell r="A329" t="str">
            <v>714-084061-013</v>
          </cell>
          <cell r="B329" t="str">
            <v>STRAP,PWR,DC</v>
          </cell>
          <cell r="C329" t="str">
            <v>BUILD TO PRINT</v>
          </cell>
          <cell r="D329" t="str">
            <v>BUILD TO PRINT</v>
          </cell>
          <cell r="E329" t="str">
            <v>Other</v>
          </cell>
          <cell r="F329">
            <v>0</v>
          </cell>
          <cell r="G329">
            <v>0</v>
          </cell>
        </row>
        <row r="330">
          <cell r="A330" t="str">
            <v>720-000912-004</v>
          </cell>
          <cell r="B330" t="str">
            <v>SCREW  PAN HD SST  2-56 X   1/</v>
          </cell>
          <cell r="C330" t="str">
            <v>BUILD TO PRINT</v>
          </cell>
          <cell r="D330" t="str">
            <v>BUILD TO PRINT</v>
          </cell>
          <cell r="E330" t="str">
            <v>Other</v>
          </cell>
          <cell r="F330">
            <v>0</v>
          </cell>
          <cell r="G330">
            <v>0</v>
          </cell>
        </row>
        <row r="331">
          <cell r="A331" t="str">
            <v>720-000930-004</v>
          </cell>
          <cell r="B331" t="str">
            <v>SCR,SCH CAP,6-32x1/4"LG,SST</v>
          </cell>
          <cell r="C331" t="str">
            <v>ORDER TO SPECIFICATION</v>
          </cell>
          <cell r="D331" t="str">
            <v>ORDER TO SPECIFICATION</v>
          </cell>
          <cell r="E331" t="str">
            <v>Capacitor</v>
          </cell>
          <cell r="F331">
            <v>0</v>
          </cell>
          <cell r="G331">
            <v>0</v>
          </cell>
        </row>
        <row r="332">
          <cell r="A332" t="str">
            <v>720-000930-006</v>
          </cell>
          <cell r="B332" t="str">
            <v>SCR,SCH CAP,6-32x3/8"LG,SST</v>
          </cell>
          <cell r="C332" t="str">
            <v>ORDER TO SPECIFICATION</v>
          </cell>
          <cell r="D332" t="str">
            <v>ORDER TO SPECIFICATION</v>
          </cell>
          <cell r="E332" t="str">
            <v>Capacitor</v>
          </cell>
          <cell r="F332">
            <v>0</v>
          </cell>
          <cell r="G332">
            <v>0</v>
          </cell>
        </row>
        <row r="333">
          <cell r="A333" t="str">
            <v>720-001001-005</v>
          </cell>
          <cell r="B333" t="str">
            <v>SCREW,PN HD,6-32X5/16</v>
          </cell>
          <cell r="C333" t="str">
            <v>ORDER TO SPECIFICATION</v>
          </cell>
          <cell r="D333" t="str">
            <v>ORDER TO SPECIFICATION</v>
          </cell>
          <cell r="E333" t="str">
            <v>Other</v>
          </cell>
          <cell r="F333">
            <v>0</v>
          </cell>
          <cell r="G333">
            <v>0</v>
          </cell>
        </row>
        <row r="334">
          <cell r="A334" t="str">
            <v>720-900692-006</v>
          </cell>
          <cell r="B334" t="str">
            <v>SCR,PNH,SLTD,6-32X.375LG,NYL</v>
          </cell>
          <cell r="C334" t="str">
            <v>BUILD TO PRINT</v>
          </cell>
          <cell r="D334" t="str">
            <v>BUILD TO PRINT</v>
          </cell>
          <cell r="E334" t="str">
            <v>Other</v>
          </cell>
          <cell r="F334">
            <v>0</v>
          </cell>
          <cell r="G334">
            <v>0</v>
          </cell>
        </row>
        <row r="335">
          <cell r="A335" t="str">
            <v>721-000916-001</v>
          </cell>
          <cell r="B335" t="str">
            <v>WSHR, FLT, #2</v>
          </cell>
          <cell r="C335" t="str">
            <v>BUILD TO PRINT</v>
          </cell>
          <cell r="D335" t="str">
            <v>BUILD TO PRINT</v>
          </cell>
          <cell r="E335" t="str">
            <v>Other</v>
          </cell>
          <cell r="F335">
            <v>0</v>
          </cell>
          <cell r="G335">
            <v>0</v>
          </cell>
        </row>
        <row r="336">
          <cell r="A336" t="str">
            <v>721-000936-001</v>
          </cell>
          <cell r="B336" t="str">
            <v>WSHR, FLT,#6</v>
          </cell>
          <cell r="C336" t="str">
            <v>ORDER TO SPECIFICATION</v>
          </cell>
          <cell r="D336" t="str">
            <v>ORDER TO SPECIFICATION</v>
          </cell>
          <cell r="E336" t="str">
            <v>Other</v>
          </cell>
          <cell r="F336">
            <v>0</v>
          </cell>
          <cell r="G336">
            <v>0</v>
          </cell>
        </row>
        <row r="337">
          <cell r="A337" t="str">
            <v>721-000936-002</v>
          </cell>
          <cell r="B337" t="str">
            <v>WSHR, LK, #6</v>
          </cell>
          <cell r="C337" t="str">
            <v>ORDER TO SPECIFICATION</v>
          </cell>
          <cell r="D337" t="str">
            <v>ORDER TO SPECIFICATION</v>
          </cell>
          <cell r="E337" t="str">
            <v>Other</v>
          </cell>
          <cell r="F337">
            <v>0</v>
          </cell>
          <cell r="G337">
            <v>0</v>
          </cell>
        </row>
        <row r="338">
          <cell r="A338" t="str">
            <v>723-062412-007</v>
          </cell>
          <cell r="B338" t="str">
            <v>STDF,NYLON,M/F,1/4 HEX 1.000</v>
          </cell>
          <cell r="C338" t="str">
            <v>ORDER TO SPECIFICATION</v>
          </cell>
          <cell r="D338" t="str">
            <v>ORDER TO SPECIFICATION</v>
          </cell>
          <cell r="E338" t="str">
            <v>Other</v>
          </cell>
          <cell r="F338">
            <v>0</v>
          </cell>
          <cell r="G338">
            <v>0</v>
          </cell>
        </row>
        <row r="339">
          <cell r="A339" t="str">
            <v>723-308078-009</v>
          </cell>
          <cell r="B339" t="str">
            <v>STDF,RND,SWAGE1/4 3/32" 6-32,0.105",ROHS</v>
          </cell>
          <cell r="C339" t="str">
            <v>3045A-B-632-B-16</v>
          </cell>
          <cell r="D339" t="str">
            <v>RAF</v>
          </cell>
          <cell r="E339" t="str">
            <v>Other</v>
          </cell>
          <cell r="F339">
            <v>0</v>
          </cell>
          <cell r="G339">
            <v>0</v>
          </cell>
        </row>
        <row r="340">
          <cell r="A340" t="str">
            <v>723-308078-046</v>
          </cell>
          <cell r="B340" t="str">
            <v>STDF,RND,SWAGE,1/4,15/32",6-32,.105,ROHS</v>
          </cell>
          <cell r="C340" t="str">
            <v>3050T-B-632-B-16</v>
          </cell>
          <cell r="D340" t="str">
            <v>RAF</v>
          </cell>
          <cell r="E340" t="str">
            <v>Other</v>
          </cell>
          <cell r="F340">
            <v>0</v>
          </cell>
          <cell r="G340">
            <v>0</v>
          </cell>
        </row>
        <row r="341">
          <cell r="A341" t="str">
            <v>723-A64642-001</v>
          </cell>
          <cell r="B341" t="str">
            <v>SPCR,BRS,POGO</v>
          </cell>
          <cell r="C341" t="str">
            <v>YSMTSOB-81515-GN</v>
          </cell>
          <cell r="D341" t="str">
            <v>PENN ENGINEERING</v>
          </cell>
          <cell r="E341" t="str">
            <v>Other</v>
          </cell>
          <cell r="F341">
            <v>0</v>
          </cell>
          <cell r="G341">
            <v>0</v>
          </cell>
        </row>
        <row r="342">
          <cell r="A342" t="str">
            <v>723-B82446-002</v>
          </cell>
          <cell r="B342" t="str">
            <v>STDF,SURF MTG,M3X0.5 THD,2MM LG,STL</v>
          </cell>
          <cell r="C342" t="str">
            <v>SMTSO-M3-2ET</v>
          </cell>
          <cell r="D342" t="str">
            <v>PENN ENGINEERING (P)</v>
          </cell>
          <cell r="E342" t="str">
            <v>Other</v>
          </cell>
          <cell r="F342">
            <v>0</v>
          </cell>
          <cell r="G342">
            <v>0</v>
          </cell>
          <cell r="I342">
            <v>0.69504500000000002</v>
          </cell>
        </row>
        <row r="343">
          <cell r="A343" t="str">
            <v>728-061063-008</v>
          </cell>
          <cell r="B343" t="str">
            <v>SCR,SOC HD,M4 X .7 X 8MM,DIN 912,SST</v>
          </cell>
          <cell r="C343" t="str">
            <v>ORDER TO SPECIFICATION</v>
          </cell>
          <cell r="D343" t="str">
            <v>ORDER TO SPECIFICATION</v>
          </cell>
          <cell r="E343" t="str">
            <v>Other</v>
          </cell>
          <cell r="F343">
            <v>0</v>
          </cell>
          <cell r="G343">
            <v>0</v>
          </cell>
        </row>
        <row r="344">
          <cell r="A344" t="str">
            <v>728-340899-006</v>
          </cell>
          <cell r="B344" t="str">
            <v>SCR,SCH CAP,M3X0.5 THD,6MM LG,PEEK</v>
          </cell>
          <cell r="C344" t="str">
            <v>ORDER TO SPECIFICATION</v>
          </cell>
          <cell r="D344" t="str">
            <v>ORDER TO SPECIFICATION</v>
          </cell>
          <cell r="E344" t="str">
            <v>Capacitor</v>
          </cell>
          <cell r="F344">
            <v>0</v>
          </cell>
          <cell r="G344">
            <v>0</v>
          </cell>
        </row>
        <row r="345">
          <cell r="A345" t="str">
            <v>729-061056-004</v>
          </cell>
          <cell r="B345" t="str">
            <v>WASHER,FLAT,M4</v>
          </cell>
          <cell r="C345" t="str">
            <v>ORDER TO SPECIFICATION</v>
          </cell>
          <cell r="D345" t="str">
            <v>ORDER TO SPECIFICATION</v>
          </cell>
          <cell r="E345" t="str">
            <v>Other</v>
          </cell>
          <cell r="F345">
            <v>0</v>
          </cell>
          <cell r="G345">
            <v>0</v>
          </cell>
        </row>
        <row r="346">
          <cell r="A346" t="str">
            <v>729-061057-004</v>
          </cell>
          <cell r="B346" t="str">
            <v>WASHER,SPLIT-LOCK,M4</v>
          </cell>
          <cell r="C346" t="str">
            <v>ORDER TO SPECIFICATION</v>
          </cell>
          <cell r="D346" t="str">
            <v>ORDER TO SPECIFICATION</v>
          </cell>
          <cell r="E346" t="str">
            <v>Other</v>
          </cell>
          <cell r="F346">
            <v>0</v>
          </cell>
          <cell r="G346">
            <v>0</v>
          </cell>
        </row>
        <row r="347">
          <cell r="A347" t="str">
            <v>730-061071-004</v>
          </cell>
          <cell r="B347" t="str">
            <v>NUT,HEX,M4 X .7 X 3.2</v>
          </cell>
          <cell r="C347" t="str">
            <v>ORDER TO SPECIFICATION</v>
          </cell>
          <cell r="D347" t="str">
            <v>ORDER TO SPECIFICATION</v>
          </cell>
          <cell r="E347" t="str">
            <v>Other</v>
          </cell>
          <cell r="F347">
            <v>0</v>
          </cell>
          <cell r="G347">
            <v>0</v>
          </cell>
        </row>
        <row r="348">
          <cell r="A348" t="str">
            <v>779-002694-001</v>
          </cell>
          <cell r="B348" t="str">
            <v>HTSK,THERMAL CONDUCTOR,TO-220</v>
          </cell>
          <cell r="C348" t="str">
            <v>QII-0.006-00-61</v>
          </cell>
          <cell r="D348" t="str">
            <v>HENKEL</v>
          </cell>
          <cell r="E348" t="str">
            <v>Other</v>
          </cell>
          <cell r="F348">
            <v>0</v>
          </cell>
          <cell r="G348">
            <v>0</v>
          </cell>
          <cell r="I348">
            <v>8.3030000000000007E-2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68FE4-DE69-46E9-80D5-858F1F9950B8}">
  <dimension ref="A1:AM209"/>
  <sheetViews>
    <sheetView tabSelected="1" zoomScaleNormal="100" workbookViewId="0">
      <pane ySplit="2" topLeftCell="A162" activePane="bottomLeft" state="frozen"/>
      <selection pane="bottomLeft" activeCell="E167" sqref="E167"/>
    </sheetView>
  </sheetViews>
  <sheetFormatPr defaultRowHeight="15" x14ac:dyDescent="0.25"/>
  <cols>
    <col min="1" max="1" width="16" customWidth="1"/>
    <col min="2" max="2" width="45" bestFit="1" customWidth="1"/>
    <col min="3" max="3" width="22.5703125" bestFit="1" customWidth="1"/>
    <col min="4" max="4" width="27.140625" customWidth="1"/>
    <col min="5" max="5" width="12.140625" customWidth="1"/>
    <col min="6" max="6" width="9.7109375" bestFit="1" customWidth="1"/>
    <col min="7" max="7" width="15.28515625" customWidth="1"/>
    <col min="8" max="8" width="12.5703125" bestFit="1" customWidth="1"/>
    <col min="9" max="9" width="12.85546875" customWidth="1"/>
    <col min="10" max="10" width="12.5703125" customWidth="1"/>
    <col min="11" max="11" width="17.28515625" bestFit="1" customWidth="1"/>
    <col min="12" max="12" width="19" style="21" bestFit="1" customWidth="1"/>
    <col min="13" max="13" width="15.85546875" style="21" customWidth="1"/>
    <col min="14" max="14" width="16.140625" bestFit="1" customWidth="1"/>
    <col min="15" max="15" width="12.85546875" bestFit="1" customWidth="1"/>
    <col min="16" max="16" width="20.28515625" bestFit="1" customWidth="1"/>
    <col min="17" max="17" width="15.7109375" bestFit="1" customWidth="1"/>
    <col min="18" max="18" width="15.5703125" bestFit="1" customWidth="1"/>
    <col min="19" max="19" width="22.7109375" bestFit="1" customWidth="1"/>
    <col min="20" max="20" width="15.28515625" bestFit="1" customWidth="1"/>
    <col min="21" max="21" width="15.140625" bestFit="1" customWidth="1"/>
    <col min="22" max="22" width="9.7109375" bestFit="1" customWidth="1"/>
    <col min="23" max="23" width="7.7109375" bestFit="1" customWidth="1"/>
    <col min="24" max="24" width="8.28515625" customWidth="1"/>
    <col min="25" max="25" width="15" bestFit="1" customWidth="1"/>
    <col min="26" max="26" width="13.28515625" customWidth="1"/>
    <col min="27" max="27" width="15" bestFit="1" customWidth="1"/>
    <col min="28" max="28" width="18.7109375" bestFit="1" customWidth="1"/>
    <col min="29" max="29" width="13.5703125" bestFit="1" customWidth="1"/>
    <col min="30" max="30" width="11" bestFit="1" customWidth="1"/>
    <col min="31" max="31" width="15.28515625" bestFit="1" customWidth="1"/>
    <col min="32" max="32" width="16.5703125" bestFit="1" customWidth="1"/>
    <col min="33" max="33" width="6.85546875" bestFit="1" customWidth="1"/>
    <col min="34" max="35" width="11" bestFit="1" customWidth="1"/>
    <col min="36" max="36" width="13.7109375" bestFit="1" customWidth="1"/>
    <col min="37" max="37" width="19" bestFit="1" customWidth="1"/>
    <col min="38" max="38" width="8.5703125" bestFit="1" customWidth="1"/>
    <col min="39" max="39" width="11.42578125" bestFit="1" customWidth="1"/>
  </cols>
  <sheetData>
    <row r="1" spans="1:39" x14ac:dyDescent="0.25">
      <c r="H1" s="6">
        <f>SUM(H3:H941)</f>
        <v>222198.92975000013</v>
      </c>
      <c r="I1" s="1">
        <f>1-(H1/K1)</f>
        <v>0.18000000000000016</v>
      </c>
      <c r="K1" s="6">
        <f>SUM(K3:K941)</f>
        <v>270974.30457317096</v>
      </c>
      <c r="L1" s="6">
        <f>K1-V1</f>
        <v>270974.30457317096</v>
      </c>
      <c r="M1" s="6"/>
      <c r="N1" s="7" t="s">
        <v>0</v>
      </c>
      <c r="O1" s="1">
        <f>(COUNTA(AA4:AA938,"'*"))/936</f>
        <v>1.0683760683760685E-3</v>
      </c>
      <c r="P1" s="2" t="s">
        <v>1</v>
      </c>
      <c r="Q1" s="1">
        <f>(COUNTA(P3:P941,"'*"))/936</f>
        <v>1.0683760683760685E-3</v>
      </c>
      <c r="R1" t="s">
        <v>2</v>
      </c>
      <c r="S1">
        <f>COUNTBLANK(AA4:AA938)</f>
        <v>935</v>
      </c>
      <c r="U1" t="s">
        <v>3</v>
      </c>
      <c r="V1" s="6">
        <f>SUM(V4:V941)</f>
        <v>0</v>
      </c>
      <c r="W1" s="6">
        <f>SUM(W4:W941)</f>
        <v>0</v>
      </c>
      <c r="X1" s="3">
        <f>1-(V1/K1)</f>
        <v>1</v>
      </c>
      <c r="Y1" t="s">
        <v>4</v>
      </c>
      <c r="Z1" t="s">
        <v>5</v>
      </c>
      <c r="AA1" t="s">
        <v>6</v>
      </c>
      <c r="AB1" t="s">
        <v>7</v>
      </c>
      <c r="AC1" t="s">
        <v>5</v>
      </c>
      <c r="AD1" t="s">
        <v>5</v>
      </c>
      <c r="AE1" t="s">
        <v>8</v>
      </c>
      <c r="AH1" t="s">
        <v>5</v>
      </c>
      <c r="AI1" s="8" t="s">
        <v>5</v>
      </c>
      <c r="AJ1" t="s">
        <v>8</v>
      </c>
    </row>
    <row r="2" spans="1:39" s="15" customFormat="1" ht="15" customHeight="1" x14ac:dyDescent="0.25">
      <c r="A2" s="9" t="s">
        <v>9</v>
      </c>
      <c r="B2" s="9" t="s">
        <v>10</v>
      </c>
      <c r="C2" s="10" t="s">
        <v>11</v>
      </c>
      <c r="D2" s="9" t="s">
        <v>12</v>
      </c>
      <c r="E2" s="11" t="s">
        <v>13</v>
      </c>
      <c r="F2" s="12" t="s">
        <v>14</v>
      </c>
      <c r="G2" s="13" t="s">
        <v>15</v>
      </c>
      <c r="H2" s="13" t="s">
        <v>16</v>
      </c>
      <c r="I2" s="14" t="s">
        <v>17</v>
      </c>
      <c r="J2" s="4" t="s">
        <v>18</v>
      </c>
      <c r="K2" s="4" t="s">
        <v>19</v>
      </c>
      <c r="L2" s="22" t="s">
        <v>20</v>
      </c>
      <c r="M2" s="22" t="s">
        <v>21</v>
      </c>
      <c r="N2" s="15" t="s">
        <v>22</v>
      </c>
      <c r="O2" s="15" t="s">
        <v>23</v>
      </c>
      <c r="P2" s="15" t="s">
        <v>24</v>
      </c>
      <c r="Q2" s="5" t="s">
        <v>25</v>
      </c>
      <c r="R2" s="15" t="s">
        <v>26</v>
      </c>
      <c r="S2" s="15" t="s">
        <v>27</v>
      </c>
      <c r="T2" s="15" t="s">
        <v>28</v>
      </c>
      <c r="U2" s="15" t="s">
        <v>29</v>
      </c>
      <c r="V2" s="15" t="s">
        <v>16</v>
      </c>
      <c r="W2" s="15" t="s">
        <v>30</v>
      </c>
      <c r="X2" s="15" t="s">
        <v>31</v>
      </c>
      <c r="Y2" s="15" t="s">
        <v>32</v>
      </c>
      <c r="Z2" s="15" t="s">
        <v>33</v>
      </c>
      <c r="AA2" s="15" t="s">
        <v>34</v>
      </c>
      <c r="AB2" s="15" t="s">
        <v>35</v>
      </c>
      <c r="AC2" s="15" t="s">
        <v>36</v>
      </c>
      <c r="AD2" s="15" t="s">
        <v>37</v>
      </c>
      <c r="AE2" s="15" t="s">
        <v>38</v>
      </c>
      <c r="AF2" s="15" t="s">
        <v>39</v>
      </c>
      <c r="AG2" s="15" t="s">
        <v>40</v>
      </c>
      <c r="AH2" s="15" t="s">
        <v>41</v>
      </c>
      <c r="AI2" s="16" t="s">
        <v>42</v>
      </c>
      <c r="AJ2" s="15" t="s">
        <v>43</v>
      </c>
      <c r="AK2" s="15" t="s">
        <v>44</v>
      </c>
      <c r="AL2" s="15" t="s">
        <v>45</v>
      </c>
      <c r="AM2" s="15" t="s">
        <v>46</v>
      </c>
    </row>
    <row r="3" spans="1:39" x14ac:dyDescent="0.25">
      <c r="A3" t="s">
        <v>47</v>
      </c>
      <c r="B3" t="s">
        <v>48</v>
      </c>
      <c r="C3" t="s">
        <v>49</v>
      </c>
      <c r="D3" t="s">
        <v>50</v>
      </c>
      <c r="E3" t="s">
        <v>51</v>
      </c>
      <c r="F3">
        <v>800</v>
      </c>
      <c r="G3" s="17">
        <v>45.155999999999999</v>
      </c>
      <c r="H3" s="6">
        <f>G3*F3</f>
        <v>36124.799999999996</v>
      </c>
      <c r="I3" s="6">
        <f>G3/0.82</f>
        <v>55.068292682926831</v>
      </c>
      <c r="J3" s="6">
        <f>K3-H3</f>
        <v>7929.834146341469</v>
      </c>
      <c r="K3" s="6">
        <f>I3*F3</f>
        <v>44054.634146341465</v>
      </c>
      <c r="L3" s="21">
        <v>36.130000000000003</v>
      </c>
      <c r="M3" s="21">
        <f>VLOOKUP(A3,'[1]LAM NewParts Analysis'!$A:$I,9,FALSE)</f>
        <v>44.193987999999997</v>
      </c>
    </row>
    <row r="4" spans="1:39" x14ac:dyDescent="0.25">
      <c r="A4" t="s">
        <v>52</v>
      </c>
      <c r="B4" t="s">
        <v>53</v>
      </c>
      <c r="C4" t="s">
        <v>54</v>
      </c>
      <c r="D4" t="s">
        <v>55</v>
      </c>
      <c r="E4" t="s">
        <v>56</v>
      </c>
      <c r="F4">
        <v>15</v>
      </c>
      <c r="G4" s="17">
        <v>1532.595</v>
      </c>
      <c r="H4" s="6">
        <f t="shared" ref="H4:H67" si="0">G4*F4</f>
        <v>22988.924999999999</v>
      </c>
      <c r="I4" s="6">
        <f t="shared" ref="I4:I67" si="1">G4/0.82</f>
        <v>1869.018292682927</v>
      </c>
      <c r="J4" s="6">
        <f t="shared" ref="J4:J67" si="2">K4-H4</f>
        <v>5046.3493902439077</v>
      </c>
      <c r="K4" s="6">
        <f t="shared" ref="K4:K67" si="3">I4*F4</f>
        <v>28035.274390243907</v>
      </c>
      <c r="L4" s="21">
        <v>1464.89</v>
      </c>
      <c r="M4" s="21">
        <f>VLOOKUP(A4,'[1]LAM NewParts Analysis'!$A:$I,9,FALSE)</f>
        <v>1464.8891040000001</v>
      </c>
    </row>
    <row r="5" spans="1:39" x14ac:dyDescent="0.25">
      <c r="A5" t="s">
        <v>57</v>
      </c>
      <c r="B5" t="s">
        <v>58</v>
      </c>
      <c r="C5" t="s">
        <v>59</v>
      </c>
      <c r="D5" t="s">
        <v>60</v>
      </c>
      <c r="E5" t="s">
        <v>61</v>
      </c>
      <c r="F5">
        <v>500</v>
      </c>
      <c r="G5" s="17">
        <v>21.697500000000002</v>
      </c>
      <c r="H5" s="6">
        <f t="shared" si="0"/>
        <v>10848.75</v>
      </c>
      <c r="I5" s="6">
        <f t="shared" si="1"/>
        <v>26.460365853658541</v>
      </c>
      <c r="J5" s="6">
        <f t="shared" si="2"/>
        <v>2381.4329268292695</v>
      </c>
      <c r="K5" s="6">
        <f t="shared" si="3"/>
        <v>13230.182926829269</v>
      </c>
      <c r="L5" s="21">
        <v>9.9499999999999993</v>
      </c>
      <c r="M5" s="21">
        <f>VLOOKUP(A5,'[1]LAM NewParts Analysis'!$A:$I,9,FALSE)</f>
        <v>10.365993</v>
      </c>
    </row>
    <row r="6" spans="1:39" x14ac:dyDescent="0.25">
      <c r="A6" t="s">
        <v>62</v>
      </c>
      <c r="B6" t="s">
        <v>63</v>
      </c>
      <c r="C6" t="s">
        <v>64</v>
      </c>
      <c r="D6" t="s">
        <v>65</v>
      </c>
      <c r="E6" t="s">
        <v>66</v>
      </c>
      <c r="F6">
        <v>1000</v>
      </c>
      <c r="G6" s="17">
        <v>9.6300000000000008</v>
      </c>
      <c r="H6" s="6">
        <f t="shared" si="0"/>
        <v>9630</v>
      </c>
      <c r="I6" s="6">
        <f t="shared" si="1"/>
        <v>11.743902439024392</v>
      </c>
      <c r="J6" s="6">
        <f t="shared" si="2"/>
        <v>2113.9024390243922</v>
      </c>
      <c r="K6" s="6">
        <f t="shared" si="3"/>
        <v>11743.902439024392</v>
      </c>
      <c r="L6" s="21">
        <v>8.2720000000000002</v>
      </c>
      <c r="M6" s="21">
        <f>VLOOKUP(A6,'[1]LAM NewParts Analysis'!$A:$I,9,FALSE)</f>
        <v>8.1909939999999999</v>
      </c>
    </row>
    <row r="7" spans="1:39" x14ac:dyDescent="0.25">
      <c r="A7" t="s">
        <v>67</v>
      </c>
      <c r="B7" t="s">
        <v>68</v>
      </c>
      <c r="C7" t="s">
        <v>69</v>
      </c>
      <c r="D7" t="s">
        <v>70</v>
      </c>
      <c r="E7" t="s">
        <v>56</v>
      </c>
      <c r="F7">
        <v>2000</v>
      </c>
      <c r="G7" s="17">
        <v>3.5449999999999999</v>
      </c>
      <c r="H7" s="6">
        <f t="shared" si="0"/>
        <v>7090</v>
      </c>
      <c r="I7" s="6">
        <f t="shared" si="1"/>
        <v>4.3231707317073171</v>
      </c>
      <c r="J7" s="6">
        <f t="shared" si="2"/>
        <v>1556.3414634146338</v>
      </c>
      <c r="K7" s="6">
        <f t="shared" si="3"/>
        <v>8646.3414634146338</v>
      </c>
      <c r="L7" s="21">
        <v>1.7</v>
      </c>
      <c r="M7" s="21">
        <f>VLOOKUP(A7,'[1]LAM NewParts Analysis'!$A:$I,9,FALSE)</f>
        <v>0</v>
      </c>
    </row>
    <row r="8" spans="1:39" x14ac:dyDescent="0.25">
      <c r="A8" t="s">
        <v>71</v>
      </c>
      <c r="B8" t="s">
        <v>72</v>
      </c>
      <c r="C8" t="s">
        <v>73</v>
      </c>
      <c r="D8" t="s">
        <v>55</v>
      </c>
      <c r="E8" t="s">
        <v>56</v>
      </c>
      <c r="F8">
        <v>5</v>
      </c>
      <c r="G8" s="17">
        <v>1354</v>
      </c>
      <c r="H8" s="6">
        <f t="shared" si="0"/>
        <v>6770</v>
      </c>
      <c r="I8" s="6">
        <f t="shared" si="1"/>
        <v>1651.219512195122</v>
      </c>
      <c r="J8" s="6">
        <f t="shared" si="2"/>
        <v>1486.0975609756097</v>
      </c>
      <c r="K8" s="6">
        <f t="shared" si="3"/>
        <v>8256.0975609756097</v>
      </c>
      <c r="L8" s="21">
        <v>925.82</v>
      </c>
      <c r="M8" s="21">
        <f>VLOOKUP(A8,'[1]LAM NewParts Analysis'!$A:$I,9,FALSE)</f>
        <v>925.819433</v>
      </c>
    </row>
    <row r="9" spans="1:39" x14ac:dyDescent="0.25">
      <c r="A9" t="s">
        <v>74</v>
      </c>
      <c r="B9" t="s">
        <v>75</v>
      </c>
      <c r="C9" t="s">
        <v>76</v>
      </c>
      <c r="D9" t="s">
        <v>77</v>
      </c>
      <c r="E9" t="s">
        <v>78</v>
      </c>
      <c r="F9">
        <v>200</v>
      </c>
      <c r="G9" s="17">
        <v>29.696200000000001</v>
      </c>
      <c r="H9" s="6">
        <f t="shared" si="0"/>
        <v>5939.24</v>
      </c>
      <c r="I9" s="6">
        <f t="shared" si="1"/>
        <v>36.214878048780491</v>
      </c>
      <c r="J9" s="6">
        <f t="shared" si="2"/>
        <v>1303.7356097560987</v>
      </c>
      <c r="K9" s="6">
        <f t="shared" si="3"/>
        <v>7242.9756097560985</v>
      </c>
      <c r="L9" s="21">
        <v>22.43</v>
      </c>
      <c r="M9" s="21">
        <f>VLOOKUP(A9,'[1]LAM NewParts Analysis'!$A:$I,9,FALSE)</f>
        <v>27.661638499999999</v>
      </c>
    </row>
    <row r="10" spans="1:39" x14ac:dyDescent="0.25">
      <c r="A10" s="18" t="s">
        <v>79</v>
      </c>
      <c r="B10" s="18" t="s">
        <v>80</v>
      </c>
      <c r="C10" s="19" t="s">
        <v>81</v>
      </c>
      <c r="D10" s="19" t="s">
        <v>82</v>
      </c>
      <c r="E10" t="s">
        <v>66</v>
      </c>
      <c r="F10">
        <v>25</v>
      </c>
      <c r="G10" s="17">
        <v>162.91</v>
      </c>
      <c r="H10" s="6">
        <f t="shared" si="0"/>
        <v>4072.75</v>
      </c>
      <c r="I10" s="6">
        <f t="shared" si="1"/>
        <v>198.67073170731709</v>
      </c>
      <c r="J10" s="6">
        <f t="shared" si="2"/>
        <v>894.01829268292749</v>
      </c>
      <c r="K10" s="6">
        <f t="shared" si="3"/>
        <v>4966.7682926829275</v>
      </c>
      <c r="L10" s="21">
        <v>26.33</v>
      </c>
      <c r="M10" s="21">
        <f>VLOOKUP(A10,'[1]LAM NewParts Analysis'!$A:$I,9,FALSE)</f>
        <v>42.987907499999999</v>
      </c>
    </row>
    <row r="11" spans="1:39" x14ac:dyDescent="0.25">
      <c r="A11" t="s">
        <v>83</v>
      </c>
      <c r="B11" t="s">
        <v>84</v>
      </c>
      <c r="C11" t="s">
        <v>85</v>
      </c>
      <c r="D11" t="s">
        <v>86</v>
      </c>
      <c r="E11" t="s">
        <v>87</v>
      </c>
      <c r="F11">
        <v>150</v>
      </c>
      <c r="G11" s="17">
        <v>25.290099999999999</v>
      </c>
      <c r="H11" s="6">
        <f t="shared" si="0"/>
        <v>3793.5149999999999</v>
      </c>
      <c r="I11" s="6">
        <f t="shared" si="1"/>
        <v>30.841585365853661</v>
      </c>
      <c r="J11" s="6">
        <f t="shared" si="2"/>
        <v>832.72280487804937</v>
      </c>
      <c r="K11" s="6">
        <f t="shared" si="3"/>
        <v>4626.2378048780492</v>
      </c>
      <c r="L11" s="21">
        <v>24.38</v>
      </c>
      <c r="M11" s="21">
        <f>VLOOKUP(A11,'[1]LAM NewParts Analysis'!$A:$I,9,FALSE)</f>
        <v>24.379985000000001</v>
      </c>
    </row>
    <row r="12" spans="1:39" x14ac:dyDescent="0.25">
      <c r="A12" t="s">
        <v>88</v>
      </c>
      <c r="B12" t="s">
        <v>89</v>
      </c>
      <c r="C12" t="s">
        <v>90</v>
      </c>
      <c r="D12" t="s">
        <v>91</v>
      </c>
      <c r="E12" t="s">
        <v>92</v>
      </c>
      <c r="F12">
        <v>500</v>
      </c>
      <c r="G12" s="17">
        <v>6.173</v>
      </c>
      <c r="H12" s="6">
        <f t="shared" si="0"/>
        <v>3086.5</v>
      </c>
      <c r="I12" s="6">
        <f t="shared" si="1"/>
        <v>7.5280487804878051</v>
      </c>
      <c r="J12" s="6">
        <f t="shared" si="2"/>
        <v>677.52439024390242</v>
      </c>
      <c r="K12" s="6">
        <f t="shared" si="3"/>
        <v>3764.0243902439024</v>
      </c>
      <c r="L12" s="21">
        <v>4.1210000000000004</v>
      </c>
      <c r="M12" s="21">
        <f>VLOOKUP(A12,'[1]LAM NewParts Analysis'!$A:$I,9,FALSE)</f>
        <v>4.3586574999999996</v>
      </c>
    </row>
    <row r="13" spans="1:39" x14ac:dyDescent="0.25">
      <c r="A13" t="s">
        <v>93</v>
      </c>
      <c r="B13" t="s">
        <v>94</v>
      </c>
      <c r="C13" t="s">
        <v>95</v>
      </c>
      <c r="D13" t="s">
        <v>96</v>
      </c>
      <c r="E13" t="s">
        <v>97</v>
      </c>
      <c r="F13">
        <v>50</v>
      </c>
      <c r="G13" s="17">
        <v>60.614600000000003</v>
      </c>
      <c r="H13" s="6">
        <f t="shared" si="0"/>
        <v>3030.73</v>
      </c>
      <c r="I13" s="6">
        <f t="shared" si="1"/>
        <v>73.920243902439026</v>
      </c>
      <c r="J13" s="6">
        <f t="shared" si="2"/>
        <v>665.28219512195119</v>
      </c>
      <c r="K13" s="6">
        <f t="shared" si="3"/>
        <v>3696.0121951219512</v>
      </c>
      <c r="L13" s="21">
        <v>24.6419</v>
      </c>
      <c r="M13" s="21">
        <f>VLOOKUP(A13,'[1]LAM NewParts Analysis'!$A:$I,9,FALSE)</f>
        <v>37.4553005</v>
      </c>
    </row>
    <row r="14" spans="1:39" x14ac:dyDescent="0.25">
      <c r="A14" t="s">
        <v>98</v>
      </c>
      <c r="B14" t="s">
        <v>99</v>
      </c>
      <c r="C14" t="s">
        <v>100</v>
      </c>
      <c r="D14" t="s">
        <v>101</v>
      </c>
      <c r="E14" t="s">
        <v>102</v>
      </c>
      <c r="F14">
        <v>50</v>
      </c>
      <c r="G14" s="20">
        <v>59.534199999999998</v>
      </c>
      <c r="H14" s="6">
        <f t="shared" si="0"/>
        <v>2976.71</v>
      </c>
      <c r="I14" s="6">
        <f t="shared" si="1"/>
        <v>72.602682926829274</v>
      </c>
      <c r="J14" s="6">
        <f t="shared" si="2"/>
        <v>653.42414634146371</v>
      </c>
      <c r="K14" s="6">
        <f t="shared" si="3"/>
        <v>3630.1341463414637</v>
      </c>
      <c r="L14" s="21">
        <v>32.811100000000003</v>
      </c>
      <c r="M14" s="21">
        <f>VLOOKUP(A14,'[1]LAM NewParts Analysis'!$A:$I,9,FALSE)</f>
        <v>48.709970499999997</v>
      </c>
    </row>
    <row r="15" spans="1:39" x14ac:dyDescent="0.25">
      <c r="A15" t="s">
        <v>103</v>
      </c>
      <c r="B15" t="s">
        <v>104</v>
      </c>
      <c r="C15" t="s">
        <v>105</v>
      </c>
      <c r="D15" t="s">
        <v>70</v>
      </c>
      <c r="E15" t="s">
        <v>56</v>
      </c>
      <c r="F15">
        <v>1000</v>
      </c>
      <c r="G15" s="17">
        <v>2.8250000000000002</v>
      </c>
      <c r="H15" s="6">
        <f t="shared" si="0"/>
        <v>2825</v>
      </c>
      <c r="I15" s="6">
        <f t="shared" si="1"/>
        <v>3.4451219512195128</v>
      </c>
      <c r="J15" s="6">
        <f t="shared" si="2"/>
        <v>620.12195121951299</v>
      </c>
      <c r="K15" s="6">
        <f t="shared" si="3"/>
        <v>3445.121951219513</v>
      </c>
      <c r="L15" s="21">
        <v>2.34</v>
      </c>
      <c r="M15" s="21">
        <f>VLOOKUP(A15,'[1]LAM NewParts Analysis'!$A:$I,9,FALSE)</f>
        <v>0</v>
      </c>
    </row>
    <row r="16" spans="1:39" x14ac:dyDescent="0.25">
      <c r="A16" t="s">
        <v>106</v>
      </c>
      <c r="B16" t="s">
        <v>107</v>
      </c>
      <c r="C16" t="s">
        <v>108</v>
      </c>
      <c r="D16" t="s">
        <v>109</v>
      </c>
      <c r="E16" t="s">
        <v>110</v>
      </c>
      <c r="F16">
        <v>200</v>
      </c>
      <c r="G16" s="17">
        <v>13.566890000000001</v>
      </c>
      <c r="H16" s="6">
        <f t="shared" si="0"/>
        <v>2713.3780000000002</v>
      </c>
      <c r="I16" s="6">
        <f t="shared" si="1"/>
        <v>16.544987804878051</v>
      </c>
      <c r="J16" s="6">
        <f t="shared" si="2"/>
        <v>595.61956097561006</v>
      </c>
      <c r="K16" s="6">
        <f t="shared" si="3"/>
        <v>3308.9975609756102</v>
      </c>
      <c r="L16" s="21">
        <v>8.9280000000000008</v>
      </c>
      <c r="M16" s="21">
        <f>VLOOKUP(A16,'[1]LAM NewParts Analysis'!$A:$I,9,FALSE)</f>
        <v>11.450011999999999</v>
      </c>
    </row>
    <row r="17" spans="1:13" x14ac:dyDescent="0.25">
      <c r="A17" t="s">
        <v>111</v>
      </c>
      <c r="B17" t="s">
        <v>112</v>
      </c>
      <c r="C17" t="s">
        <v>113</v>
      </c>
      <c r="D17" t="s">
        <v>55</v>
      </c>
      <c r="E17" t="s">
        <v>78</v>
      </c>
      <c r="F17">
        <v>10</v>
      </c>
      <c r="G17" s="17">
        <v>256.09500000000003</v>
      </c>
      <c r="H17" s="6">
        <f t="shared" si="0"/>
        <v>2560.9500000000003</v>
      </c>
      <c r="I17" s="6">
        <f t="shared" si="1"/>
        <v>312.31097560975616</v>
      </c>
      <c r="J17" s="6">
        <f t="shared" si="2"/>
        <v>562.15975609756106</v>
      </c>
      <c r="K17" s="6">
        <f t="shared" si="3"/>
        <v>3123.1097560975613</v>
      </c>
      <c r="L17" s="21">
        <v>241.92</v>
      </c>
      <c r="M17" s="21">
        <f>VLOOKUP(A17,'[1]LAM NewParts Analysis'!$A:$I,9,FALSE)</f>
        <v>253.21262200000001</v>
      </c>
    </row>
    <row r="18" spans="1:13" x14ac:dyDescent="0.25">
      <c r="A18" t="s">
        <v>114</v>
      </c>
      <c r="B18" t="s">
        <v>115</v>
      </c>
      <c r="C18" t="s">
        <v>116</v>
      </c>
      <c r="D18" t="s">
        <v>117</v>
      </c>
      <c r="E18" t="s">
        <v>118</v>
      </c>
      <c r="F18">
        <v>50</v>
      </c>
      <c r="G18" s="17">
        <v>49.875700000000002</v>
      </c>
      <c r="H18" s="6">
        <f t="shared" si="0"/>
        <v>2493.7850000000003</v>
      </c>
      <c r="I18" s="6">
        <f t="shared" si="1"/>
        <v>60.824024390243906</v>
      </c>
      <c r="J18" s="6">
        <f t="shared" si="2"/>
        <v>547.41621951219486</v>
      </c>
      <c r="K18" s="6">
        <f t="shared" si="3"/>
        <v>3041.2012195121952</v>
      </c>
      <c r="L18" s="21">
        <v>31</v>
      </c>
      <c r="M18" s="21">
        <f>VLOOKUP(A18,'[1]LAM NewParts Analysis'!$A:$I,9,FALSE)</f>
        <v>34.713844999999999</v>
      </c>
    </row>
    <row r="19" spans="1:13" x14ac:dyDescent="0.25">
      <c r="A19" s="18" t="s">
        <v>119</v>
      </c>
      <c r="B19" s="18" t="s">
        <v>120</v>
      </c>
      <c r="C19" s="19" t="s">
        <v>121</v>
      </c>
      <c r="D19" s="19" t="s">
        <v>70</v>
      </c>
      <c r="E19" t="s">
        <v>122</v>
      </c>
      <c r="F19">
        <v>250</v>
      </c>
      <c r="G19" s="17">
        <v>9.59</v>
      </c>
      <c r="H19" s="6">
        <f t="shared" si="0"/>
        <v>2397.5</v>
      </c>
      <c r="I19" s="6">
        <f t="shared" si="1"/>
        <v>11.695121951219512</v>
      </c>
      <c r="J19" s="6">
        <f t="shared" si="2"/>
        <v>526.28048780487825</v>
      </c>
      <c r="K19" s="6">
        <f t="shared" si="3"/>
        <v>2923.7804878048782</v>
      </c>
      <c r="L19" s="21">
        <v>5.88</v>
      </c>
      <c r="M19" s="21">
        <f>VLOOKUP(A19,'[1]LAM NewParts Analysis'!$A:$I,9,FALSE)</f>
        <v>6.1978375000000003</v>
      </c>
    </row>
    <row r="20" spans="1:13" x14ac:dyDescent="0.25">
      <c r="A20" t="s">
        <v>123</v>
      </c>
      <c r="B20" t="s">
        <v>124</v>
      </c>
      <c r="C20" t="s">
        <v>125</v>
      </c>
      <c r="D20" t="s">
        <v>126</v>
      </c>
      <c r="E20" t="s">
        <v>78</v>
      </c>
      <c r="F20">
        <v>250</v>
      </c>
      <c r="G20" s="17">
        <v>8.8840000000000003</v>
      </c>
      <c r="H20" s="6">
        <f t="shared" si="0"/>
        <v>2221</v>
      </c>
      <c r="I20" s="6">
        <f t="shared" si="1"/>
        <v>10.834146341463416</v>
      </c>
      <c r="J20" s="6">
        <f t="shared" si="2"/>
        <v>487.53658536585408</v>
      </c>
      <c r="K20" s="6">
        <f t="shared" si="3"/>
        <v>2708.5365853658541</v>
      </c>
      <c r="L20" s="21">
        <v>5.99</v>
      </c>
      <c r="M20" s="21">
        <f>VLOOKUP(A20,'[1]LAM NewParts Analysis'!$A:$I,9,FALSE)</f>
        <v>7.2849959999999996</v>
      </c>
    </row>
    <row r="21" spans="1:13" x14ac:dyDescent="0.25">
      <c r="A21" t="s">
        <v>127</v>
      </c>
      <c r="B21" t="s">
        <v>128</v>
      </c>
      <c r="C21" t="s">
        <v>129</v>
      </c>
      <c r="D21" t="s">
        <v>130</v>
      </c>
      <c r="E21" t="s">
        <v>56</v>
      </c>
      <c r="F21">
        <v>200</v>
      </c>
      <c r="G21" s="17">
        <v>10.8241</v>
      </c>
      <c r="H21" s="6">
        <f t="shared" si="0"/>
        <v>2164.8199999999997</v>
      </c>
      <c r="I21" s="6">
        <f t="shared" si="1"/>
        <v>13.200121951219513</v>
      </c>
      <c r="J21" s="6">
        <f t="shared" si="2"/>
        <v>475.20439024390271</v>
      </c>
      <c r="K21" s="6">
        <f t="shared" si="3"/>
        <v>2640.0243902439024</v>
      </c>
      <c r="L21" s="21">
        <v>7.5085499999999996</v>
      </c>
      <c r="M21" s="21">
        <f>VLOOKUP(A21,'[1]LAM NewParts Analysis'!$A:$I,9,FALSE)</f>
        <v>10.316888499999999</v>
      </c>
    </row>
    <row r="22" spans="1:13" x14ac:dyDescent="0.25">
      <c r="A22" t="s">
        <v>131</v>
      </c>
      <c r="B22" t="s">
        <v>132</v>
      </c>
      <c r="C22" t="s">
        <v>133</v>
      </c>
      <c r="D22" t="s">
        <v>134</v>
      </c>
      <c r="E22" t="s">
        <v>78</v>
      </c>
      <c r="F22">
        <v>60</v>
      </c>
      <c r="G22" s="20">
        <v>36.069000000000003</v>
      </c>
      <c r="H22" s="6">
        <f t="shared" si="0"/>
        <v>2164.1400000000003</v>
      </c>
      <c r="I22" s="6">
        <f t="shared" si="1"/>
        <v>43.986585365853664</v>
      </c>
      <c r="J22" s="6">
        <f t="shared" si="2"/>
        <v>475.05512195121946</v>
      </c>
      <c r="K22" s="6">
        <f t="shared" si="3"/>
        <v>2639.1951219512198</v>
      </c>
      <c r="M22" s="21">
        <f>VLOOKUP(A22,'[1]LAM NewParts Analysis'!$A:$I,9,FALSE)</f>
        <v>35.239079500000003</v>
      </c>
    </row>
    <row r="23" spans="1:13" x14ac:dyDescent="0.25">
      <c r="A23" t="s">
        <v>135</v>
      </c>
      <c r="B23" t="s">
        <v>136</v>
      </c>
      <c r="C23" t="s">
        <v>137</v>
      </c>
      <c r="D23" t="s">
        <v>138</v>
      </c>
      <c r="E23" t="s">
        <v>139</v>
      </c>
      <c r="F23">
        <v>80</v>
      </c>
      <c r="G23" s="17">
        <v>25.715</v>
      </c>
      <c r="H23" s="6">
        <f t="shared" si="0"/>
        <v>2057.1999999999998</v>
      </c>
      <c r="I23" s="6">
        <f t="shared" si="1"/>
        <v>31.359756097560979</v>
      </c>
      <c r="J23" s="6">
        <f t="shared" si="2"/>
        <v>451.58048780487843</v>
      </c>
      <c r="K23" s="6">
        <f t="shared" si="3"/>
        <v>2508.7804878048782</v>
      </c>
      <c r="L23" s="21">
        <v>11.398</v>
      </c>
      <c r="M23" s="21">
        <f>VLOOKUP(A23,'[1]LAM NewParts Analysis'!$A:$I,9,FALSE)</f>
        <v>12.642992</v>
      </c>
    </row>
    <row r="24" spans="1:13" x14ac:dyDescent="0.25">
      <c r="A24" t="s">
        <v>140</v>
      </c>
      <c r="B24" t="s">
        <v>141</v>
      </c>
      <c r="C24" t="s">
        <v>142</v>
      </c>
      <c r="D24" t="s">
        <v>143</v>
      </c>
      <c r="E24" t="s">
        <v>144</v>
      </c>
      <c r="F24">
        <v>30</v>
      </c>
      <c r="G24" s="20">
        <v>65.38</v>
      </c>
      <c r="H24" s="6">
        <f t="shared" si="0"/>
        <v>1961.3999999999999</v>
      </c>
      <c r="I24" s="6">
        <f t="shared" si="1"/>
        <v>79.731707317073173</v>
      </c>
      <c r="J24" s="6">
        <f t="shared" si="2"/>
        <v>430.5512195121953</v>
      </c>
      <c r="K24" s="6">
        <f t="shared" si="3"/>
        <v>2391.9512195121952</v>
      </c>
      <c r="L24" s="21">
        <v>47.4</v>
      </c>
      <c r="M24" s="21">
        <f>VLOOKUP(A24,'[1]LAM NewParts Analysis'!$A:$I,9,FALSE)</f>
        <v>58.161456000000001</v>
      </c>
    </row>
    <row r="25" spans="1:13" x14ac:dyDescent="0.25">
      <c r="A25" t="s">
        <v>145</v>
      </c>
      <c r="B25" t="s">
        <v>146</v>
      </c>
      <c r="C25" t="s">
        <v>147</v>
      </c>
      <c r="D25" t="s">
        <v>148</v>
      </c>
      <c r="E25" t="s">
        <v>149</v>
      </c>
      <c r="F25">
        <v>100</v>
      </c>
      <c r="G25" s="17">
        <v>18.4892</v>
      </c>
      <c r="H25" s="6">
        <f t="shared" si="0"/>
        <v>1848.92</v>
      </c>
      <c r="I25" s="6">
        <f t="shared" si="1"/>
        <v>22.547804878048783</v>
      </c>
      <c r="J25" s="6">
        <f t="shared" si="2"/>
        <v>405.86048780487818</v>
      </c>
      <c r="K25" s="6">
        <f t="shared" si="3"/>
        <v>2254.7804878048782</v>
      </c>
      <c r="L25" s="21">
        <v>12.86</v>
      </c>
      <c r="M25" s="21">
        <f>VLOOKUP(A25,'[1]LAM NewParts Analysis'!$A:$I,9,FALSE)</f>
        <v>17.389444999999998</v>
      </c>
    </row>
    <row r="26" spans="1:13" x14ac:dyDescent="0.25">
      <c r="A26" s="18" t="s">
        <v>150</v>
      </c>
      <c r="B26" s="18" t="s">
        <v>151</v>
      </c>
      <c r="C26" s="19" t="s">
        <v>152</v>
      </c>
      <c r="D26" s="19" t="s">
        <v>153</v>
      </c>
      <c r="E26" t="s">
        <v>154</v>
      </c>
      <c r="F26">
        <v>105</v>
      </c>
      <c r="G26" s="20">
        <v>17.5</v>
      </c>
      <c r="H26" s="6">
        <f t="shared" si="0"/>
        <v>1837.5</v>
      </c>
      <c r="I26" s="6">
        <f t="shared" si="1"/>
        <v>21.341463414634148</v>
      </c>
      <c r="J26" s="6">
        <f t="shared" si="2"/>
        <v>403.3536585365855</v>
      </c>
      <c r="K26" s="6">
        <f t="shared" si="3"/>
        <v>2240.8536585365855</v>
      </c>
      <c r="M26" s="21">
        <f>VLOOKUP(A26,'[1]LAM NewParts Analysis'!$A:$I,9,FALSE)</f>
        <v>0</v>
      </c>
    </row>
    <row r="27" spans="1:13" x14ac:dyDescent="0.25">
      <c r="A27" s="18" t="s">
        <v>155</v>
      </c>
      <c r="B27" s="18" t="s">
        <v>156</v>
      </c>
      <c r="C27" s="19" t="s">
        <v>157</v>
      </c>
      <c r="D27" s="19" t="s">
        <v>153</v>
      </c>
      <c r="E27" t="s">
        <v>110</v>
      </c>
      <c r="F27">
        <v>50</v>
      </c>
      <c r="G27" s="20">
        <v>34.799999999999997</v>
      </c>
      <c r="H27" s="6">
        <f t="shared" si="0"/>
        <v>1739.9999999999998</v>
      </c>
      <c r="I27" s="6">
        <f t="shared" si="1"/>
        <v>42.439024390243901</v>
      </c>
      <c r="J27" s="6">
        <f t="shared" si="2"/>
        <v>381.95121951219539</v>
      </c>
      <c r="K27" s="6">
        <f t="shared" si="3"/>
        <v>2121.9512195121952</v>
      </c>
      <c r="M27" s="21">
        <f>VLOOKUP(A27,'[1]LAM NewParts Analysis'!$A:$I,9,FALSE)</f>
        <v>0</v>
      </c>
    </row>
    <row r="28" spans="1:13" x14ac:dyDescent="0.25">
      <c r="A28" t="s">
        <v>158</v>
      </c>
      <c r="B28" t="s">
        <v>159</v>
      </c>
      <c r="C28" t="s">
        <v>160</v>
      </c>
      <c r="D28" t="s">
        <v>70</v>
      </c>
      <c r="E28" t="s">
        <v>161</v>
      </c>
      <c r="F28">
        <v>300</v>
      </c>
      <c r="G28" s="17">
        <v>5.62</v>
      </c>
      <c r="H28" s="6">
        <f t="shared" si="0"/>
        <v>1686</v>
      </c>
      <c r="I28" s="6">
        <f t="shared" si="1"/>
        <v>6.8536585365853666</v>
      </c>
      <c r="J28" s="6">
        <f t="shared" si="2"/>
        <v>370.09756097561012</v>
      </c>
      <c r="K28" s="6">
        <f t="shared" si="3"/>
        <v>2056.0975609756101</v>
      </c>
      <c r="L28" s="21">
        <v>2.52</v>
      </c>
      <c r="M28" s="21">
        <f>VLOOKUP(A28,'[1]LAM NewParts Analysis'!$A:$I,9,FALSE)</f>
        <v>0</v>
      </c>
    </row>
    <row r="29" spans="1:13" x14ac:dyDescent="0.25">
      <c r="A29" s="18" t="s">
        <v>162</v>
      </c>
      <c r="B29" s="18" t="s">
        <v>163</v>
      </c>
      <c r="C29" s="19" t="s">
        <v>164</v>
      </c>
      <c r="D29" s="19" t="s">
        <v>153</v>
      </c>
      <c r="E29" t="s">
        <v>154</v>
      </c>
      <c r="F29">
        <v>85</v>
      </c>
      <c r="G29" s="20">
        <v>19.75</v>
      </c>
      <c r="H29" s="6">
        <f t="shared" si="0"/>
        <v>1678.75</v>
      </c>
      <c r="I29" s="6">
        <f t="shared" si="1"/>
        <v>24.085365853658537</v>
      </c>
      <c r="J29" s="6">
        <f t="shared" si="2"/>
        <v>368.5060975609756</v>
      </c>
      <c r="K29" s="6">
        <f t="shared" si="3"/>
        <v>2047.2560975609756</v>
      </c>
      <c r="M29" s="21">
        <f>VLOOKUP(A29,'[1]LAM NewParts Analysis'!$A:$I,9,FALSE)</f>
        <v>0</v>
      </c>
    </row>
    <row r="30" spans="1:13" x14ac:dyDescent="0.25">
      <c r="A30" t="s">
        <v>165</v>
      </c>
      <c r="B30" t="s">
        <v>166</v>
      </c>
      <c r="C30" t="s">
        <v>167</v>
      </c>
      <c r="D30" t="s">
        <v>70</v>
      </c>
      <c r="E30" t="s">
        <v>168</v>
      </c>
      <c r="F30">
        <v>200</v>
      </c>
      <c r="G30" s="17">
        <v>8</v>
      </c>
      <c r="H30" s="6">
        <f t="shared" si="0"/>
        <v>1600</v>
      </c>
      <c r="I30" s="6">
        <f t="shared" si="1"/>
        <v>9.7560975609756095</v>
      </c>
      <c r="J30" s="6">
        <f t="shared" si="2"/>
        <v>351.21951219512198</v>
      </c>
      <c r="K30" s="6">
        <f t="shared" si="3"/>
        <v>1951.219512195122</v>
      </c>
      <c r="L30" s="21">
        <v>4.88</v>
      </c>
      <c r="M30" s="21">
        <f>VLOOKUP(A30,'[1]LAM NewParts Analysis'!$A:$I,9,FALSE)</f>
        <v>0</v>
      </c>
    </row>
    <row r="31" spans="1:13" x14ac:dyDescent="0.25">
      <c r="A31" t="s">
        <v>169</v>
      </c>
      <c r="B31" t="s">
        <v>170</v>
      </c>
      <c r="C31" t="s">
        <v>171</v>
      </c>
      <c r="D31" t="s">
        <v>101</v>
      </c>
      <c r="E31" t="s">
        <v>172</v>
      </c>
      <c r="F31">
        <v>25</v>
      </c>
      <c r="G31" s="20">
        <v>63.3</v>
      </c>
      <c r="H31" s="6">
        <f t="shared" si="0"/>
        <v>1582.5</v>
      </c>
      <c r="I31" s="6">
        <f t="shared" si="1"/>
        <v>77.195121951219519</v>
      </c>
      <c r="J31" s="6">
        <f t="shared" si="2"/>
        <v>347.37804878048792</v>
      </c>
      <c r="K31" s="6">
        <f t="shared" si="3"/>
        <v>1929.8780487804879</v>
      </c>
      <c r="L31" s="21">
        <v>35.01</v>
      </c>
      <c r="M31" s="21">
        <f>VLOOKUP(A31,'[1]LAM NewParts Analysis'!$A:$I,9,FALSE)</f>
        <v>44.534973000000001</v>
      </c>
    </row>
    <row r="32" spans="1:13" x14ac:dyDescent="0.25">
      <c r="A32" s="18" t="s">
        <v>173</v>
      </c>
      <c r="B32" s="18" t="s">
        <v>174</v>
      </c>
      <c r="C32" s="19" t="s">
        <v>175</v>
      </c>
      <c r="D32" s="19" t="s">
        <v>176</v>
      </c>
      <c r="E32" t="s">
        <v>87</v>
      </c>
      <c r="F32">
        <v>40</v>
      </c>
      <c r="G32" s="17">
        <v>37.92</v>
      </c>
      <c r="H32" s="6">
        <f t="shared" si="0"/>
        <v>1516.8000000000002</v>
      </c>
      <c r="I32" s="6">
        <f t="shared" si="1"/>
        <v>46.243902439024396</v>
      </c>
      <c r="J32" s="6">
        <f t="shared" si="2"/>
        <v>332.95609756097565</v>
      </c>
      <c r="K32" s="6">
        <f t="shared" si="3"/>
        <v>1849.7560975609758</v>
      </c>
      <c r="L32" s="21">
        <v>15.2019</v>
      </c>
      <c r="M32" s="21">
        <f>VLOOKUP(A32,'[1]LAM NewParts Analysis'!$A:$I,9,FALSE)</f>
        <v>32.296683000000002</v>
      </c>
    </row>
    <row r="33" spans="1:13" x14ac:dyDescent="0.25">
      <c r="A33" t="s">
        <v>177</v>
      </c>
      <c r="B33" t="s">
        <v>178</v>
      </c>
      <c r="C33" t="s">
        <v>179</v>
      </c>
      <c r="D33" t="s">
        <v>180</v>
      </c>
      <c r="E33" t="s">
        <v>181</v>
      </c>
      <c r="F33">
        <v>120</v>
      </c>
      <c r="G33" s="17">
        <v>12.43</v>
      </c>
      <c r="H33" s="6">
        <f t="shared" si="0"/>
        <v>1491.6</v>
      </c>
      <c r="I33" s="6">
        <f t="shared" si="1"/>
        <v>15.158536585365853</v>
      </c>
      <c r="J33" s="6">
        <f t="shared" si="2"/>
        <v>327.42439024390251</v>
      </c>
      <c r="K33" s="6">
        <f t="shared" si="3"/>
        <v>1819.0243902439024</v>
      </c>
      <c r="L33" s="21">
        <v>7.2389999999999999</v>
      </c>
      <c r="M33" s="21">
        <f>VLOOKUP(A33,'[1]LAM NewParts Analysis'!$A:$I,9,FALSE)</f>
        <v>9.7364519999999999</v>
      </c>
    </row>
    <row r="34" spans="1:13" x14ac:dyDescent="0.25">
      <c r="A34" t="s">
        <v>182</v>
      </c>
      <c r="B34" t="s">
        <v>183</v>
      </c>
      <c r="C34" t="s">
        <v>184</v>
      </c>
      <c r="D34" t="s">
        <v>50</v>
      </c>
      <c r="E34" t="s">
        <v>92</v>
      </c>
      <c r="F34">
        <v>300</v>
      </c>
      <c r="G34" s="17">
        <v>4.95</v>
      </c>
      <c r="H34" s="6">
        <f t="shared" si="0"/>
        <v>1485</v>
      </c>
      <c r="I34" s="6">
        <f t="shared" si="1"/>
        <v>6.036585365853659</v>
      </c>
      <c r="J34" s="6">
        <f t="shared" si="2"/>
        <v>325.97560975609781</v>
      </c>
      <c r="K34" s="6">
        <f t="shared" si="3"/>
        <v>1810.9756097560978</v>
      </c>
      <c r="L34" s="21">
        <v>1.9152</v>
      </c>
      <c r="M34" s="21">
        <f>VLOOKUP(A34,'[1]LAM NewParts Analysis'!$A:$I,9,FALSE)</f>
        <v>4.834994</v>
      </c>
    </row>
    <row r="35" spans="1:13" x14ac:dyDescent="0.25">
      <c r="A35" t="s">
        <v>185</v>
      </c>
      <c r="B35" t="s">
        <v>186</v>
      </c>
      <c r="C35" t="s">
        <v>187</v>
      </c>
      <c r="D35" t="s">
        <v>188</v>
      </c>
      <c r="E35" t="s">
        <v>66</v>
      </c>
      <c r="F35">
        <v>100</v>
      </c>
      <c r="G35" s="17">
        <v>13.908200000000001</v>
      </c>
      <c r="H35" s="6">
        <f t="shared" si="0"/>
        <v>1390.8200000000002</v>
      </c>
      <c r="I35" s="6">
        <f t="shared" si="1"/>
        <v>16.961219512195125</v>
      </c>
      <c r="J35" s="6">
        <f t="shared" si="2"/>
        <v>305.30195121951238</v>
      </c>
      <c r="K35" s="6">
        <f t="shared" si="3"/>
        <v>1696.1219512195125</v>
      </c>
      <c r="L35" s="21">
        <v>11.26</v>
      </c>
      <c r="M35" s="21">
        <f>VLOOKUP(A35,'[1]LAM NewParts Analysis'!$A:$I,9,FALSE)</f>
        <v>12.788257</v>
      </c>
    </row>
    <row r="36" spans="1:13" x14ac:dyDescent="0.25">
      <c r="A36" t="s">
        <v>189</v>
      </c>
      <c r="B36" t="s">
        <v>190</v>
      </c>
      <c r="C36" t="s">
        <v>191</v>
      </c>
      <c r="D36" t="s">
        <v>192</v>
      </c>
      <c r="E36" t="s">
        <v>87</v>
      </c>
      <c r="F36">
        <v>750</v>
      </c>
      <c r="G36" s="17">
        <v>1.7897000000000001</v>
      </c>
      <c r="H36" s="6">
        <f t="shared" si="0"/>
        <v>1342.2750000000001</v>
      </c>
      <c r="I36" s="6">
        <f t="shared" si="1"/>
        <v>2.1825609756097561</v>
      </c>
      <c r="J36" s="6">
        <f t="shared" si="2"/>
        <v>294.64573170731705</v>
      </c>
      <c r="K36" s="6">
        <f t="shared" si="3"/>
        <v>1636.9207317073171</v>
      </c>
      <c r="L36" s="21">
        <v>1.4095</v>
      </c>
      <c r="M36" s="21">
        <f>VLOOKUP(A36,'[1]LAM NewParts Analysis'!$A:$I,9,FALSE)</f>
        <v>1.524999</v>
      </c>
    </row>
    <row r="37" spans="1:13" x14ac:dyDescent="0.25">
      <c r="A37" t="s">
        <v>193</v>
      </c>
      <c r="B37" t="s">
        <v>194</v>
      </c>
      <c r="C37" t="s">
        <v>195</v>
      </c>
      <c r="D37" t="s">
        <v>196</v>
      </c>
      <c r="E37" t="s">
        <v>172</v>
      </c>
      <c r="F37">
        <v>1000</v>
      </c>
      <c r="G37" s="17">
        <v>1.0391999999999999</v>
      </c>
      <c r="H37" s="6">
        <f t="shared" si="0"/>
        <v>1039.1999999999998</v>
      </c>
      <c r="I37" s="6">
        <f t="shared" si="1"/>
        <v>1.2673170731707317</v>
      </c>
      <c r="J37" s="6">
        <f t="shared" si="2"/>
        <v>228.11707317073183</v>
      </c>
      <c r="K37" s="6">
        <f t="shared" si="3"/>
        <v>1267.3170731707316</v>
      </c>
      <c r="L37" s="21">
        <v>0.4612</v>
      </c>
      <c r="M37" s="21">
        <f>VLOOKUP(A37,'[1]LAM NewParts Analysis'!$A:$I,9,FALSE)</f>
        <v>0.60665800000000003</v>
      </c>
    </row>
    <row r="38" spans="1:13" x14ac:dyDescent="0.25">
      <c r="A38" t="s">
        <v>197</v>
      </c>
      <c r="B38" t="s">
        <v>198</v>
      </c>
      <c r="C38" t="s">
        <v>199</v>
      </c>
      <c r="D38" t="s">
        <v>138</v>
      </c>
      <c r="E38" t="s">
        <v>149</v>
      </c>
      <c r="F38">
        <v>40</v>
      </c>
      <c r="G38" s="17">
        <v>25.66</v>
      </c>
      <c r="H38" s="6">
        <f t="shared" si="0"/>
        <v>1026.4000000000001</v>
      </c>
      <c r="I38" s="6">
        <f t="shared" si="1"/>
        <v>31.292682926829272</v>
      </c>
      <c r="J38" s="6">
        <f t="shared" si="2"/>
        <v>225.30731707317091</v>
      </c>
      <c r="K38" s="6">
        <f t="shared" si="3"/>
        <v>1251.707317073171</v>
      </c>
      <c r="L38" s="21">
        <v>9.9540000000000006</v>
      </c>
      <c r="M38" s="21">
        <f>VLOOKUP(A38,'[1]LAM NewParts Analysis'!$A:$I,9,FALSE)</f>
        <v>12.831992</v>
      </c>
    </row>
    <row r="39" spans="1:13" x14ac:dyDescent="0.25">
      <c r="A39" t="s">
        <v>200</v>
      </c>
      <c r="B39" t="s">
        <v>201</v>
      </c>
      <c r="C39" t="s">
        <v>202</v>
      </c>
      <c r="D39" t="s">
        <v>203</v>
      </c>
      <c r="E39" t="s">
        <v>204</v>
      </c>
      <c r="F39">
        <v>80</v>
      </c>
      <c r="G39" s="20">
        <v>12.565200000000001</v>
      </c>
      <c r="H39" s="6">
        <f t="shared" si="0"/>
        <v>1005.2160000000001</v>
      </c>
      <c r="I39" s="6">
        <f t="shared" si="1"/>
        <v>15.323414634146344</v>
      </c>
      <c r="J39" s="6">
        <f t="shared" si="2"/>
        <v>220.65717073170731</v>
      </c>
      <c r="K39" s="6">
        <f t="shared" si="3"/>
        <v>1225.8731707317074</v>
      </c>
      <c r="L39" s="21">
        <v>7.9370000000000003</v>
      </c>
      <c r="M39" s="21">
        <f>VLOOKUP(A39,'[1]LAM NewParts Analysis'!$A:$I,9,FALSE)</f>
        <v>7.2499960000000003</v>
      </c>
    </row>
    <row r="40" spans="1:13" x14ac:dyDescent="0.25">
      <c r="A40" s="18" t="s">
        <v>205</v>
      </c>
      <c r="B40" s="18" t="s">
        <v>206</v>
      </c>
      <c r="C40" s="19" t="s">
        <v>207</v>
      </c>
      <c r="D40" s="19" t="s">
        <v>60</v>
      </c>
      <c r="E40" t="s">
        <v>208</v>
      </c>
      <c r="F40">
        <v>20</v>
      </c>
      <c r="G40" s="17">
        <v>49.707999999999998</v>
      </c>
      <c r="H40" s="6">
        <f t="shared" si="0"/>
        <v>994.16</v>
      </c>
      <c r="I40" s="6">
        <f t="shared" si="1"/>
        <v>60.619512195121956</v>
      </c>
      <c r="J40" s="6">
        <f t="shared" si="2"/>
        <v>218.23024390243916</v>
      </c>
      <c r="K40" s="6">
        <f t="shared" si="3"/>
        <v>1212.3902439024391</v>
      </c>
      <c r="L40" s="21">
        <v>11.939</v>
      </c>
      <c r="M40" s="21">
        <f>VLOOKUP(A40,'[1]LAM NewParts Analysis'!$A:$I,9,FALSE)</f>
        <v>40.830198000000003</v>
      </c>
    </row>
    <row r="41" spans="1:13" x14ac:dyDescent="0.25">
      <c r="A41" t="s">
        <v>209</v>
      </c>
      <c r="B41" t="s">
        <v>210</v>
      </c>
      <c r="C41" t="s">
        <v>211</v>
      </c>
      <c r="D41" t="s">
        <v>212</v>
      </c>
      <c r="E41" t="s">
        <v>139</v>
      </c>
      <c r="F41">
        <v>105</v>
      </c>
      <c r="G41" s="17">
        <v>9.17</v>
      </c>
      <c r="H41" s="6">
        <f t="shared" si="0"/>
        <v>962.85</v>
      </c>
      <c r="I41" s="6">
        <f t="shared" si="1"/>
        <v>11.182926829268293</v>
      </c>
      <c r="J41" s="6">
        <f t="shared" si="2"/>
        <v>211.35731707317075</v>
      </c>
      <c r="K41" s="6">
        <f t="shared" si="3"/>
        <v>1174.2073170731708</v>
      </c>
      <c r="L41" s="21">
        <v>7.93</v>
      </c>
      <c r="M41" s="21">
        <f>VLOOKUP(A41,'[1]LAM NewParts Analysis'!$A:$I,9,FALSE)</f>
        <v>0</v>
      </c>
    </row>
    <row r="42" spans="1:13" x14ac:dyDescent="0.25">
      <c r="A42" t="s">
        <v>213</v>
      </c>
      <c r="B42" t="s">
        <v>214</v>
      </c>
      <c r="C42" t="s">
        <v>215</v>
      </c>
      <c r="D42" t="s">
        <v>126</v>
      </c>
      <c r="E42" t="s">
        <v>102</v>
      </c>
      <c r="F42">
        <v>200</v>
      </c>
      <c r="G42" s="17">
        <v>4.7610000000000001</v>
      </c>
      <c r="H42" s="6">
        <f t="shared" si="0"/>
        <v>952.2</v>
      </c>
      <c r="I42" s="6">
        <f t="shared" si="1"/>
        <v>5.8060975609756103</v>
      </c>
      <c r="J42" s="6">
        <f t="shared" si="2"/>
        <v>209.01951219512193</v>
      </c>
      <c r="K42" s="6">
        <f t="shared" si="3"/>
        <v>1161.219512195122</v>
      </c>
      <c r="L42" s="21">
        <v>3.1920000000000002</v>
      </c>
      <c r="M42" s="21">
        <f>VLOOKUP(A42,'[1]LAM NewParts Analysis'!$A:$I,9,FALSE)</f>
        <v>4.1992224999999994</v>
      </c>
    </row>
    <row r="43" spans="1:13" x14ac:dyDescent="0.25">
      <c r="A43" s="18" t="s">
        <v>216</v>
      </c>
      <c r="B43" s="18" t="s">
        <v>217</v>
      </c>
      <c r="C43" s="19" t="s">
        <v>218</v>
      </c>
      <c r="D43" s="19" t="s">
        <v>188</v>
      </c>
      <c r="E43" t="s">
        <v>219</v>
      </c>
      <c r="F43">
        <v>20</v>
      </c>
      <c r="G43" s="17">
        <v>43.33</v>
      </c>
      <c r="H43" s="6">
        <f t="shared" si="0"/>
        <v>866.59999999999991</v>
      </c>
      <c r="I43" s="6">
        <f t="shared" si="1"/>
        <v>52.841463414634148</v>
      </c>
      <c r="J43" s="6">
        <f t="shared" si="2"/>
        <v>190.22926829268317</v>
      </c>
      <c r="K43" s="6">
        <f t="shared" si="3"/>
        <v>1056.8292682926831</v>
      </c>
      <c r="L43" s="21">
        <v>8.7899999999999991</v>
      </c>
      <c r="M43" s="21">
        <f>VLOOKUP(A43,'[1]LAM NewParts Analysis'!$A:$I,9,FALSE)</f>
        <v>24.879985000000001</v>
      </c>
    </row>
    <row r="44" spans="1:13" x14ac:dyDescent="0.25">
      <c r="A44" t="s">
        <v>220</v>
      </c>
      <c r="B44" t="s">
        <v>221</v>
      </c>
      <c r="C44" t="s">
        <v>222</v>
      </c>
      <c r="D44" t="s">
        <v>180</v>
      </c>
      <c r="E44" t="s">
        <v>154</v>
      </c>
      <c r="F44">
        <v>120</v>
      </c>
      <c r="G44" s="17">
        <v>7.2</v>
      </c>
      <c r="H44" s="6">
        <f t="shared" si="0"/>
        <v>864</v>
      </c>
      <c r="I44" s="6">
        <f t="shared" si="1"/>
        <v>8.7804878048780495</v>
      </c>
      <c r="J44" s="6">
        <f t="shared" si="2"/>
        <v>189.65853658536594</v>
      </c>
      <c r="K44" s="6">
        <f t="shared" si="3"/>
        <v>1053.6585365853659</v>
      </c>
      <c r="L44" s="21">
        <v>7.2</v>
      </c>
      <c r="M44" s="21">
        <f>VLOOKUP(A44,'[1]LAM NewParts Analysis'!$A:$I,9,FALSE)</f>
        <v>0</v>
      </c>
    </row>
    <row r="45" spans="1:13" x14ac:dyDescent="0.25">
      <c r="A45" s="18" t="s">
        <v>223</v>
      </c>
      <c r="B45" s="18" t="s">
        <v>224</v>
      </c>
      <c r="C45" s="19" t="s">
        <v>225</v>
      </c>
      <c r="D45" s="19" t="s">
        <v>226</v>
      </c>
      <c r="E45" t="s">
        <v>172</v>
      </c>
      <c r="F45">
        <v>10</v>
      </c>
      <c r="G45" s="20">
        <v>85.83</v>
      </c>
      <c r="H45" s="6">
        <f t="shared" si="0"/>
        <v>858.3</v>
      </c>
      <c r="I45" s="6">
        <f t="shared" si="1"/>
        <v>104.67073170731707</v>
      </c>
      <c r="J45" s="6">
        <f t="shared" si="2"/>
        <v>188.40731707317082</v>
      </c>
      <c r="K45" s="6">
        <f t="shared" si="3"/>
        <v>1046.7073170731708</v>
      </c>
      <c r="L45" s="21">
        <v>77.25</v>
      </c>
      <c r="M45" s="21">
        <f>VLOOKUP(A45,'[1]LAM NewParts Analysis'!$A:$I,9,FALSE)</f>
        <v>82.285269</v>
      </c>
    </row>
    <row r="46" spans="1:13" x14ac:dyDescent="0.25">
      <c r="A46" t="s">
        <v>227</v>
      </c>
      <c r="B46" t="s">
        <v>228</v>
      </c>
      <c r="C46" t="s">
        <v>229</v>
      </c>
      <c r="D46" t="s">
        <v>230</v>
      </c>
      <c r="E46" t="s">
        <v>231</v>
      </c>
      <c r="F46">
        <v>40</v>
      </c>
      <c r="G46" s="17">
        <v>21.1782</v>
      </c>
      <c r="H46" s="6">
        <f t="shared" si="0"/>
        <v>847.12800000000004</v>
      </c>
      <c r="I46" s="6">
        <f t="shared" si="1"/>
        <v>25.827073170731708</v>
      </c>
      <c r="J46" s="6">
        <f t="shared" si="2"/>
        <v>185.95492682926817</v>
      </c>
      <c r="K46" s="6">
        <f t="shared" si="3"/>
        <v>1033.0829268292682</v>
      </c>
      <c r="L46" s="21">
        <v>7.18</v>
      </c>
      <c r="M46" s="21">
        <f>VLOOKUP(A46,'[1]LAM NewParts Analysis'!$A:$I,9,FALSE)</f>
        <v>19.443845</v>
      </c>
    </row>
    <row r="47" spans="1:13" x14ac:dyDescent="0.25">
      <c r="A47" t="s">
        <v>232</v>
      </c>
      <c r="B47" t="s">
        <v>233</v>
      </c>
      <c r="C47" t="s">
        <v>234</v>
      </c>
      <c r="D47" t="s">
        <v>235</v>
      </c>
      <c r="E47" t="s">
        <v>87</v>
      </c>
      <c r="F47">
        <v>105</v>
      </c>
      <c r="G47" s="17">
        <v>7.8357999999999999</v>
      </c>
      <c r="H47" s="6">
        <f t="shared" si="0"/>
        <v>822.75900000000001</v>
      </c>
      <c r="I47" s="6">
        <f t="shared" si="1"/>
        <v>9.5558536585365861</v>
      </c>
      <c r="J47" s="6">
        <f t="shared" si="2"/>
        <v>180.60563414634157</v>
      </c>
      <c r="K47" s="6">
        <f t="shared" si="3"/>
        <v>1003.3646341463416</v>
      </c>
      <c r="L47" s="21">
        <v>3.8986000000000001</v>
      </c>
      <c r="M47" s="21">
        <f>VLOOKUP(A47,'[1]LAM NewParts Analysis'!$A:$I,9,FALSE)</f>
        <v>4.5272595000000004</v>
      </c>
    </row>
    <row r="48" spans="1:13" x14ac:dyDescent="0.25">
      <c r="A48" t="s">
        <v>236</v>
      </c>
      <c r="B48" t="s">
        <v>237</v>
      </c>
      <c r="C48" t="s">
        <v>238</v>
      </c>
      <c r="D48" t="s">
        <v>60</v>
      </c>
      <c r="E48" t="s">
        <v>239</v>
      </c>
      <c r="F48">
        <v>50</v>
      </c>
      <c r="G48" s="17">
        <v>16.4438</v>
      </c>
      <c r="H48" s="6">
        <f t="shared" si="0"/>
        <v>822.18999999999994</v>
      </c>
      <c r="I48" s="6">
        <f t="shared" si="1"/>
        <v>20.053414634146343</v>
      </c>
      <c r="J48" s="6">
        <f t="shared" si="2"/>
        <v>180.4807317073172</v>
      </c>
      <c r="K48" s="6">
        <f t="shared" si="3"/>
        <v>1002.6707317073171</v>
      </c>
      <c r="L48" s="21">
        <v>10.33</v>
      </c>
      <c r="M48" s="21">
        <f>VLOOKUP(A48,'[1]LAM NewParts Analysis'!$A:$I,9,FALSE)</f>
        <v>11.329993999999999</v>
      </c>
    </row>
    <row r="49" spans="1:13" x14ac:dyDescent="0.25">
      <c r="A49" t="s">
        <v>240</v>
      </c>
      <c r="B49" t="s">
        <v>241</v>
      </c>
      <c r="C49" t="s">
        <v>242</v>
      </c>
      <c r="D49" t="s">
        <v>180</v>
      </c>
      <c r="E49" t="s">
        <v>102</v>
      </c>
      <c r="F49">
        <v>90</v>
      </c>
      <c r="G49" s="17">
        <v>9.0679999999999996</v>
      </c>
      <c r="H49" s="6">
        <f t="shared" si="0"/>
        <v>816.12</v>
      </c>
      <c r="I49" s="6">
        <f t="shared" si="1"/>
        <v>11.058536585365854</v>
      </c>
      <c r="J49" s="6">
        <f t="shared" si="2"/>
        <v>179.14829268292681</v>
      </c>
      <c r="K49" s="6">
        <f t="shared" si="3"/>
        <v>995.26829268292681</v>
      </c>
      <c r="L49" s="21">
        <v>4.3390000000000004</v>
      </c>
      <c r="M49" s="21">
        <f>VLOOKUP(A49,'[1]LAM NewParts Analysis'!$A:$I,9,FALSE)</f>
        <v>4.0761729999999998</v>
      </c>
    </row>
    <row r="50" spans="1:13" x14ac:dyDescent="0.25">
      <c r="A50" s="18" t="s">
        <v>243</v>
      </c>
      <c r="B50" s="18" t="s">
        <v>244</v>
      </c>
      <c r="C50" s="19" t="s">
        <v>245</v>
      </c>
      <c r="D50" s="19" t="s">
        <v>148</v>
      </c>
      <c r="E50" t="s">
        <v>122</v>
      </c>
      <c r="F50">
        <v>50</v>
      </c>
      <c r="G50" s="17">
        <v>15.576599999999999</v>
      </c>
      <c r="H50" s="6">
        <f t="shared" si="0"/>
        <v>778.82999999999993</v>
      </c>
      <c r="I50" s="6">
        <f t="shared" si="1"/>
        <v>18.995853658536586</v>
      </c>
      <c r="J50" s="6">
        <f t="shared" si="2"/>
        <v>170.9626829268293</v>
      </c>
      <c r="K50" s="6">
        <f t="shared" si="3"/>
        <v>949.79268292682923</v>
      </c>
      <c r="L50" s="21">
        <v>8.02</v>
      </c>
      <c r="M50" s="21">
        <f>VLOOKUP(A50,'[1]LAM NewParts Analysis'!$A:$I,9,FALSE)</f>
        <v>9.1249940000000009</v>
      </c>
    </row>
    <row r="51" spans="1:13" x14ac:dyDescent="0.25">
      <c r="A51" t="s">
        <v>246</v>
      </c>
      <c r="B51" t="s">
        <v>247</v>
      </c>
      <c r="C51" t="s">
        <v>248</v>
      </c>
      <c r="D51" t="s">
        <v>60</v>
      </c>
      <c r="E51" t="s">
        <v>139</v>
      </c>
      <c r="F51">
        <v>40</v>
      </c>
      <c r="G51" s="17">
        <v>19.206499999999998</v>
      </c>
      <c r="H51" s="6">
        <f t="shared" si="0"/>
        <v>768.26</v>
      </c>
      <c r="I51" s="6">
        <f t="shared" si="1"/>
        <v>23.422560975609755</v>
      </c>
      <c r="J51" s="6">
        <f t="shared" si="2"/>
        <v>168.64243902439023</v>
      </c>
      <c r="K51" s="6">
        <f t="shared" si="3"/>
        <v>936.90243902439022</v>
      </c>
      <c r="L51" s="21">
        <v>8.11</v>
      </c>
      <c r="M51" s="21">
        <f>VLOOKUP(A51,'[1]LAM NewParts Analysis'!$A:$I,9,FALSE)</f>
        <v>9.6411684999999991</v>
      </c>
    </row>
    <row r="52" spans="1:13" x14ac:dyDescent="0.25">
      <c r="A52" t="s">
        <v>249</v>
      </c>
      <c r="B52" t="s">
        <v>250</v>
      </c>
      <c r="C52" t="s">
        <v>251</v>
      </c>
      <c r="D52" t="s">
        <v>252</v>
      </c>
      <c r="E52" t="s">
        <v>149</v>
      </c>
      <c r="F52">
        <v>45</v>
      </c>
      <c r="G52" s="17">
        <v>17.024999999999999</v>
      </c>
      <c r="H52" s="6">
        <f t="shared" si="0"/>
        <v>766.12499999999989</v>
      </c>
      <c r="I52" s="6">
        <f t="shared" si="1"/>
        <v>20.762195121951219</v>
      </c>
      <c r="J52" s="6">
        <f t="shared" si="2"/>
        <v>168.17378048780495</v>
      </c>
      <c r="K52" s="6">
        <f t="shared" si="3"/>
        <v>934.29878048780483</v>
      </c>
      <c r="L52" s="21">
        <v>7.92</v>
      </c>
      <c r="M52" s="21">
        <f>VLOOKUP(A52,'[1]LAM NewParts Analysis'!$A:$I,9,FALSE)</f>
        <v>8.5419944999999995</v>
      </c>
    </row>
    <row r="53" spans="1:13" x14ac:dyDescent="0.25">
      <c r="A53" t="s">
        <v>253</v>
      </c>
      <c r="B53" t="s">
        <v>254</v>
      </c>
      <c r="C53" t="s">
        <v>255</v>
      </c>
      <c r="D53" t="s">
        <v>192</v>
      </c>
      <c r="E53" t="s">
        <v>87</v>
      </c>
      <c r="F53">
        <v>355</v>
      </c>
      <c r="G53" s="17">
        <v>2.1</v>
      </c>
      <c r="H53" s="6">
        <f t="shared" si="0"/>
        <v>745.5</v>
      </c>
      <c r="I53" s="6">
        <f t="shared" si="1"/>
        <v>2.5609756097560976</v>
      </c>
      <c r="J53" s="6">
        <f t="shared" si="2"/>
        <v>163.64634146341461</v>
      </c>
      <c r="K53" s="6">
        <f t="shared" si="3"/>
        <v>909.14634146341461</v>
      </c>
      <c r="L53" s="21">
        <v>1.78</v>
      </c>
      <c r="M53" s="21">
        <f>VLOOKUP(A53,'[1]LAM NewParts Analysis'!$A:$I,9,FALSE)</f>
        <v>2.070999</v>
      </c>
    </row>
    <row r="54" spans="1:13" x14ac:dyDescent="0.25">
      <c r="A54" t="s">
        <v>256</v>
      </c>
      <c r="B54" t="s">
        <v>257</v>
      </c>
      <c r="C54" t="s">
        <v>258</v>
      </c>
      <c r="D54" t="s">
        <v>259</v>
      </c>
      <c r="E54" t="s">
        <v>78</v>
      </c>
      <c r="F54">
        <v>150</v>
      </c>
      <c r="G54" s="20">
        <v>4.9476000000000004</v>
      </c>
      <c r="H54" s="6">
        <f t="shared" si="0"/>
        <v>742.1400000000001</v>
      </c>
      <c r="I54" s="6">
        <f t="shared" si="1"/>
        <v>6.0336585365853663</v>
      </c>
      <c r="J54" s="6">
        <f t="shared" si="2"/>
        <v>162.90878048780485</v>
      </c>
      <c r="K54" s="6">
        <f t="shared" si="3"/>
        <v>905.04878048780495</v>
      </c>
      <c r="L54" s="21">
        <v>2.08</v>
      </c>
      <c r="M54" s="21">
        <f>VLOOKUP(A54,'[1]LAM NewParts Analysis'!$A:$I,9,FALSE)</f>
        <v>1.6212124999999999</v>
      </c>
    </row>
    <row r="55" spans="1:13" x14ac:dyDescent="0.25">
      <c r="A55" t="s">
        <v>260</v>
      </c>
      <c r="B55" t="s">
        <v>261</v>
      </c>
      <c r="C55" t="s">
        <v>262</v>
      </c>
      <c r="D55" t="s">
        <v>263</v>
      </c>
      <c r="E55" t="s">
        <v>264</v>
      </c>
      <c r="F55">
        <v>50</v>
      </c>
      <c r="G55" s="20">
        <v>13.87</v>
      </c>
      <c r="H55" s="6">
        <f t="shared" si="0"/>
        <v>693.5</v>
      </c>
      <c r="I55" s="6">
        <f t="shared" si="1"/>
        <v>16.914634146341463</v>
      </c>
      <c r="J55" s="6">
        <f t="shared" si="2"/>
        <v>152.23170731707319</v>
      </c>
      <c r="K55" s="6">
        <f t="shared" si="3"/>
        <v>845.73170731707319</v>
      </c>
      <c r="L55" s="21">
        <v>0</v>
      </c>
      <c r="M55" s="21">
        <f>VLOOKUP(A55,'[1]LAM NewParts Analysis'!$A:$I,9,FALSE)</f>
        <v>0</v>
      </c>
    </row>
    <row r="56" spans="1:13" x14ac:dyDescent="0.25">
      <c r="A56" t="s">
        <v>265</v>
      </c>
      <c r="B56" t="s">
        <v>266</v>
      </c>
      <c r="C56" t="s">
        <v>267</v>
      </c>
      <c r="D56" t="s">
        <v>60</v>
      </c>
      <c r="E56" t="s">
        <v>139</v>
      </c>
      <c r="F56">
        <v>155</v>
      </c>
      <c r="G56" s="17">
        <v>4.4623999999999997</v>
      </c>
      <c r="H56" s="6">
        <f t="shared" si="0"/>
        <v>691.67199999999991</v>
      </c>
      <c r="I56" s="6">
        <f t="shared" si="1"/>
        <v>5.4419512195121955</v>
      </c>
      <c r="J56" s="6">
        <f t="shared" si="2"/>
        <v>151.83043902439044</v>
      </c>
      <c r="K56" s="6">
        <f t="shared" si="3"/>
        <v>843.50243902439036</v>
      </c>
      <c r="L56" s="21">
        <v>1.6060000000000001</v>
      </c>
      <c r="M56" s="21">
        <f>VLOOKUP(A56,'[1]LAM NewParts Analysis'!$A:$I,9,FALSE)</f>
        <v>2.635707</v>
      </c>
    </row>
    <row r="57" spans="1:13" x14ac:dyDescent="0.25">
      <c r="A57" t="s">
        <v>268</v>
      </c>
      <c r="B57" t="s">
        <v>269</v>
      </c>
      <c r="C57" t="s">
        <v>270</v>
      </c>
      <c r="D57" t="s">
        <v>230</v>
      </c>
      <c r="E57" t="s">
        <v>92</v>
      </c>
      <c r="F57">
        <v>150</v>
      </c>
      <c r="G57" s="17">
        <v>4.5617999999999999</v>
      </c>
      <c r="H57" s="6">
        <f t="shared" si="0"/>
        <v>684.27</v>
      </c>
      <c r="I57" s="6">
        <f t="shared" si="1"/>
        <v>5.5631707317073174</v>
      </c>
      <c r="J57" s="6">
        <f t="shared" si="2"/>
        <v>150.2056097560976</v>
      </c>
      <c r="K57" s="6">
        <f t="shared" si="3"/>
        <v>834.47560975609758</v>
      </c>
      <c r="L57" s="21">
        <v>3.2389999999999999</v>
      </c>
      <c r="M57" s="21">
        <f>VLOOKUP(A57,'[1]LAM NewParts Analysis'!$A:$I,9,FALSE)</f>
        <v>3.5164979999999999</v>
      </c>
    </row>
    <row r="58" spans="1:13" x14ac:dyDescent="0.25">
      <c r="A58" t="s">
        <v>271</v>
      </c>
      <c r="B58" t="s">
        <v>272</v>
      </c>
      <c r="C58" t="s">
        <v>273</v>
      </c>
      <c r="D58" t="s">
        <v>138</v>
      </c>
      <c r="E58" t="s">
        <v>78</v>
      </c>
      <c r="F58">
        <v>160</v>
      </c>
      <c r="G58" s="17">
        <v>4.1962000000000002</v>
      </c>
      <c r="H58" s="6">
        <f t="shared" si="0"/>
        <v>671.39200000000005</v>
      </c>
      <c r="I58" s="6">
        <f t="shared" si="1"/>
        <v>5.1173170731707325</v>
      </c>
      <c r="J58" s="6">
        <f t="shared" si="2"/>
        <v>147.37873170731712</v>
      </c>
      <c r="K58" s="6">
        <f t="shared" si="3"/>
        <v>818.77073170731717</v>
      </c>
      <c r="L58" s="21">
        <v>2.04</v>
      </c>
      <c r="M58" s="21">
        <f>VLOOKUP(A58,'[1]LAM NewParts Analysis'!$A:$I,9,FALSE)</f>
        <v>2.8657005</v>
      </c>
    </row>
    <row r="59" spans="1:13" x14ac:dyDescent="0.25">
      <c r="A59" t="s">
        <v>274</v>
      </c>
      <c r="B59" t="s">
        <v>275</v>
      </c>
      <c r="C59" t="s">
        <v>276</v>
      </c>
      <c r="D59" t="s">
        <v>277</v>
      </c>
      <c r="E59" t="s">
        <v>161</v>
      </c>
      <c r="F59">
        <v>60</v>
      </c>
      <c r="G59" s="17">
        <v>10.8491</v>
      </c>
      <c r="H59" s="6">
        <f t="shared" si="0"/>
        <v>650.94600000000003</v>
      </c>
      <c r="I59" s="6">
        <f t="shared" si="1"/>
        <v>13.230609756097561</v>
      </c>
      <c r="J59" s="6">
        <f t="shared" si="2"/>
        <v>142.89058536585367</v>
      </c>
      <c r="K59" s="6">
        <f t="shared" si="3"/>
        <v>793.83658536585369</v>
      </c>
      <c r="L59" s="21">
        <v>8.2881999999999998</v>
      </c>
      <c r="M59" s="21">
        <f>VLOOKUP(A59,'[1]LAM NewParts Analysis'!$A:$I,9,FALSE)</f>
        <v>9.2589609999999993</v>
      </c>
    </row>
    <row r="60" spans="1:13" x14ac:dyDescent="0.25">
      <c r="A60" t="s">
        <v>278</v>
      </c>
      <c r="B60" t="s">
        <v>279</v>
      </c>
      <c r="C60" t="s">
        <v>280</v>
      </c>
      <c r="D60" t="s">
        <v>281</v>
      </c>
      <c r="E60" t="s">
        <v>122</v>
      </c>
      <c r="F60">
        <v>220</v>
      </c>
      <c r="G60" s="17">
        <v>2.8149999999999999</v>
      </c>
      <c r="H60" s="6">
        <f t="shared" si="0"/>
        <v>619.29999999999995</v>
      </c>
      <c r="I60" s="6">
        <f t="shared" si="1"/>
        <v>3.4329268292682928</v>
      </c>
      <c r="J60" s="6">
        <f t="shared" si="2"/>
        <v>135.94390243902444</v>
      </c>
      <c r="K60" s="6">
        <f t="shared" si="3"/>
        <v>755.2439024390244</v>
      </c>
      <c r="L60" s="21">
        <v>1.85</v>
      </c>
      <c r="M60" s="21">
        <f>VLOOKUP(A60,'[1]LAM NewParts Analysis'!$A:$I,9,FALSE)</f>
        <v>2.368576</v>
      </c>
    </row>
    <row r="61" spans="1:13" x14ac:dyDescent="0.25">
      <c r="A61" t="s">
        <v>282</v>
      </c>
      <c r="B61" t="s">
        <v>283</v>
      </c>
      <c r="C61" t="s">
        <v>284</v>
      </c>
      <c r="D61" t="s">
        <v>277</v>
      </c>
      <c r="E61" t="s">
        <v>161</v>
      </c>
      <c r="F61">
        <v>60</v>
      </c>
      <c r="G61" s="17">
        <v>9.5105000000000004</v>
      </c>
      <c r="H61" s="6">
        <f t="shared" si="0"/>
        <v>570.63</v>
      </c>
      <c r="I61" s="6">
        <f t="shared" si="1"/>
        <v>11.598170731707318</v>
      </c>
      <c r="J61" s="6">
        <f t="shared" si="2"/>
        <v>125.26024390243913</v>
      </c>
      <c r="K61" s="6">
        <f t="shared" si="3"/>
        <v>695.89024390243912</v>
      </c>
      <c r="L61" s="21">
        <v>7.2210000000000001</v>
      </c>
      <c r="M61" s="21">
        <f>VLOOKUP(A61,'[1]LAM NewParts Analysis'!$A:$I,9,FALSE)</f>
        <v>8.0925180000000001</v>
      </c>
    </row>
    <row r="62" spans="1:13" x14ac:dyDescent="0.25">
      <c r="A62" t="s">
        <v>285</v>
      </c>
      <c r="B62" t="s">
        <v>286</v>
      </c>
      <c r="C62" t="s">
        <v>287</v>
      </c>
      <c r="D62" t="s">
        <v>288</v>
      </c>
      <c r="E62" t="s">
        <v>289</v>
      </c>
      <c r="F62">
        <v>40</v>
      </c>
      <c r="G62" s="17">
        <v>13.223000000000001</v>
      </c>
      <c r="H62" s="6">
        <f t="shared" si="0"/>
        <v>528.92000000000007</v>
      </c>
      <c r="I62" s="6">
        <f t="shared" si="1"/>
        <v>16.125609756097564</v>
      </c>
      <c r="J62" s="6">
        <f t="shared" si="2"/>
        <v>116.10439024390246</v>
      </c>
      <c r="K62" s="6">
        <f t="shared" si="3"/>
        <v>645.02439024390253</v>
      </c>
      <c r="L62" s="21">
        <v>5.2760999999999996</v>
      </c>
      <c r="M62" s="21">
        <f>VLOOKUP(A62,'[1]LAM NewParts Analysis'!$A:$I,9,FALSE)</f>
        <v>6.4007334999999994</v>
      </c>
    </row>
    <row r="63" spans="1:13" x14ac:dyDescent="0.25">
      <c r="A63" t="s">
        <v>290</v>
      </c>
      <c r="B63" t="s">
        <v>291</v>
      </c>
      <c r="C63" t="s">
        <v>292</v>
      </c>
      <c r="D63" t="s">
        <v>293</v>
      </c>
      <c r="E63" t="s">
        <v>219</v>
      </c>
      <c r="F63">
        <v>40</v>
      </c>
      <c r="G63" s="20">
        <v>13.2</v>
      </c>
      <c r="H63" s="6">
        <f t="shared" si="0"/>
        <v>528</v>
      </c>
      <c r="I63" s="6">
        <f t="shared" si="1"/>
        <v>16.097560975609756</v>
      </c>
      <c r="J63" s="6">
        <f t="shared" si="2"/>
        <v>115.90243902439022</v>
      </c>
      <c r="K63" s="6">
        <f t="shared" si="3"/>
        <v>643.90243902439022</v>
      </c>
      <c r="L63" s="21">
        <v>9.85</v>
      </c>
      <c r="M63" s="21">
        <f>VLOOKUP(A63,'[1]LAM NewParts Analysis'!$A:$I,9,FALSE)</f>
        <v>11.5179235</v>
      </c>
    </row>
    <row r="64" spans="1:13" x14ac:dyDescent="0.25">
      <c r="A64" t="s">
        <v>294</v>
      </c>
      <c r="B64" t="s">
        <v>295</v>
      </c>
      <c r="C64" t="s">
        <v>296</v>
      </c>
      <c r="D64" t="s">
        <v>109</v>
      </c>
      <c r="E64" t="s">
        <v>264</v>
      </c>
      <c r="F64">
        <v>20</v>
      </c>
      <c r="G64" s="17">
        <v>25.78</v>
      </c>
      <c r="H64" s="6">
        <f t="shared" si="0"/>
        <v>515.6</v>
      </c>
      <c r="I64" s="6">
        <f t="shared" si="1"/>
        <v>31.439024390243905</v>
      </c>
      <c r="J64" s="6">
        <f t="shared" si="2"/>
        <v>113.18048780487811</v>
      </c>
      <c r="K64" s="6">
        <f t="shared" si="3"/>
        <v>628.78048780487813</v>
      </c>
      <c r="L64" s="21">
        <v>16.427</v>
      </c>
      <c r="M64" s="21">
        <f>VLOOKUP(A64,'[1]LAM NewParts Analysis'!$A:$I,9,FALSE)</f>
        <v>25.706111499999999</v>
      </c>
    </row>
    <row r="65" spans="1:13" x14ac:dyDescent="0.25">
      <c r="A65" t="s">
        <v>297</v>
      </c>
      <c r="B65" t="s">
        <v>298</v>
      </c>
      <c r="C65" t="s">
        <v>299</v>
      </c>
      <c r="D65" t="s">
        <v>300</v>
      </c>
      <c r="E65" t="s">
        <v>301</v>
      </c>
      <c r="F65">
        <v>10</v>
      </c>
      <c r="G65" s="17">
        <v>47.51</v>
      </c>
      <c r="H65" s="6">
        <f t="shared" si="0"/>
        <v>475.09999999999997</v>
      </c>
      <c r="I65" s="6">
        <f t="shared" si="1"/>
        <v>57.939024390243901</v>
      </c>
      <c r="J65" s="6">
        <f t="shared" si="2"/>
        <v>104.29024390243904</v>
      </c>
      <c r="K65" s="6">
        <f t="shared" si="3"/>
        <v>579.39024390243901</v>
      </c>
      <c r="L65" s="21">
        <v>38.29</v>
      </c>
      <c r="M65" s="21">
        <f>VLOOKUP(A65,'[1]LAM NewParts Analysis'!$A:$I,9,FALSE)</f>
        <v>39.169975999999998</v>
      </c>
    </row>
    <row r="66" spans="1:13" x14ac:dyDescent="0.25">
      <c r="A66" t="s">
        <v>302</v>
      </c>
      <c r="B66" t="s">
        <v>303</v>
      </c>
      <c r="C66" t="s">
        <v>304</v>
      </c>
      <c r="D66" t="s">
        <v>109</v>
      </c>
      <c r="E66" t="s">
        <v>172</v>
      </c>
      <c r="F66">
        <v>155</v>
      </c>
      <c r="G66" s="17">
        <v>3.0150000000000001</v>
      </c>
      <c r="H66" s="6">
        <f t="shared" si="0"/>
        <v>467.32500000000005</v>
      </c>
      <c r="I66" s="6">
        <f t="shared" si="1"/>
        <v>3.6768292682926833</v>
      </c>
      <c r="J66" s="6">
        <f t="shared" si="2"/>
        <v>102.58353658536589</v>
      </c>
      <c r="K66" s="6">
        <f t="shared" si="3"/>
        <v>569.90853658536594</v>
      </c>
      <c r="L66" s="21">
        <v>1.548</v>
      </c>
      <c r="M66" s="21">
        <f>VLOOKUP(A66,'[1]LAM NewParts Analysis'!$A:$I,9,FALSE)</f>
        <v>2.3861870000000001</v>
      </c>
    </row>
    <row r="67" spans="1:13" x14ac:dyDescent="0.25">
      <c r="A67" t="s">
        <v>305</v>
      </c>
      <c r="B67" t="s">
        <v>306</v>
      </c>
      <c r="C67" t="s">
        <v>307</v>
      </c>
      <c r="D67" t="s">
        <v>308</v>
      </c>
      <c r="E67" t="s">
        <v>219</v>
      </c>
      <c r="F67">
        <v>120</v>
      </c>
      <c r="G67" s="17">
        <v>3.76</v>
      </c>
      <c r="H67" s="6">
        <f t="shared" si="0"/>
        <v>451.2</v>
      </c>
      <c r="I67" s="6">
        <f t="shared" si="1"/>
        <v>4.5853658536585362</v>
      </c>
      <c r="J67" s="6">
        <f t="shared" si="2"/>
        <v>99.043902439024407</v>
      </c>
      <c r="K67" s="6">
        <f t="shared" si="3"/>
        <v>550.2439024390244</v>
      </c>
      <c r="M67" s="21">
        <f>VLOOKUP(A67,'[1]LAM NewParts Analysis'!$A:$I,9,FALSE)</f>
        <v>2.4310230000000002</v>
      </c>
    </row>
    <row r="68" spans="1:13" x14ac:dyDescent="0.25">
      <c r="A68" s="18" t="s">
        <v>309</v>
      </c>
      <c r="B68" s="18" t="s">
        <v>310</v>
      </c>
      <c r="C68" s="19" t="s">
        <v>311</v>
      </c>
      <c r="D68" s="19" t="s">
        <v>226</v>
      </c>
      <c r="E68" t="s">
        <v>102</v>
      </c>
      <c r="F68">
        <v>20</v>
      </c>
      <c r="G68" s="20">
        <v>22.39</v>
      </c>
      <c r="H68" s="6">
        <f t="shared" ref="H68:H131" si="4">G68*F68</f>
        <v>447.8</v>
      </c>
      <c r="I68" s="6">
        <f t="shared" ref="I68:I131" si="5">G68/0.82</f>
        <v>27.304878048780491</v>
      </c>
      <c r="J68" s="6">
        <f t="shared" ref="J68:J131" si="6">K68-H68</f>
        <v>98.29756097560977</v>
      </c>
      <c r="K68" s="6">
        <f t="shared" ref="K68:K131" si="7">I68*F68</f>
        <v>546.09756097560978</v>
      </c>
      <c r="L68" s="21">
        <v>10.041499999999999</v>
      </c>
      <c r="M68" s="21">
        <f>VLOOKUP(A68,'[1]LAM NewParts Analysis'!$A:$I,9,FALSE)</f>
        <v>21.524425999999998</v>
      </c>
    </row>
    <row r="69" spans="1:13" x14ac:dyDescent="0.25">
      <c r="A69" t="s">
        <v>312</v>
      </c>
      <c r="B69" t="s">
        <v>313</v>
      </c>
      <c r="C69" t="s">
        <v>314</v>
      </c>
      <c r="D69" t="s">
        <v>315</v>
      </c>
      <c r="E69" t="s">
        <v>154</v>
      </c>
      <c r="F69">
        <v>2950</v>
      </c>
      <c r="G69" s="17">
        <v>0.15</v>
      </c>
      <c r="H69" s="6">
        <f t="shared" si="4"/>
        <v>442.5</v>
      </c>
      <c r="I69" s="6">
        <f t="shared" si="5"/>
        <v>0.18292682926829268</v>
      </c>
      <c r="J69" s="6">
        <f t="shared" si="6"/>
        <v>97.134146341463406</v>
      </c>
      <c r="K69" s="6">
        <f t="shared" si="7"/>
        <v>539.63414634146341</v>
      </c>
      <c r="M69" s="21">
        <f>VLOOKUP(A69,'[1]LAM NewParts Analysis'!$A:$I,9,FALSE)</f>
        <v>0</v>
      </c>
    </row>
    <row r="70" spans="1:13" x14ac:dyDescent="0.25">
      <c r="A70" t="s">
        <v>316</v>
      </c>
      <c r="B70" t="s">
        <v>317</v>
      </c>
      <c r="C70" t="s">
        <v>318</v>
      </c>
      <c r="D70" t="s">
        <v>319</v>
      </c>
      <c r="E70" t="s">
        <v>320</v>
      </c>
      <c r="F70">
        <v>40</v>
      </c>
      <c r="G70" s="17">
        <v>10.935</v>
      </c>
      <c r="H70" s="6">
        <f t="shared" si="4"/>
        <v>437.40000000000003</v>
      </c>
      <c r="I70" s="6">
        <f t="shared" si="5"/>
        <v>13.335365853658537</v>
      </c>
      <c r="J70" s="6">
        <f t="shared" si="6"/>
        <v>96.014634146341507</v>
      </c>
      <c r="K70" s="6">
        <f t="shared" si="7"/>
        <v>533.41463414634154</v>
      </c>
      <c r="L70" s="21">
        <v>6.19</v>
      </c>
      <c r="M70" s="21">
        <f>VLOOKUP(A70,'[1]LAM NewParts Analysis'!$A:$I,9,FALSE)</f>
        <v>9.3327969999999993</v>
      </c>
    </row>
    <row r="71" spans="1:13" x14ac:dyDescent="0.25">
      <c r="A71" t="s">
        <v>321</v>
      </c>
      <c r="B71" t="s">
        <v>322</v>
      </c>
      <c r="C71" t="s">
        <v>323</v>
      </c>
      <c r="D71" t="s">
        <v>324</v>
      </c>
      <c r="E71" t="s">
        <v>172</v>
      </c>
      <c r="F71">
        <v>530</v>
      </c>
      <c r="G71" s="17">
        <v>0.81399999999999995</v>
      </c>
      <c r="H71" s="6">
        <f t="shared" si="4"/>
        <v>431.41999999999996</v>
      </c>
      <c r="I71" s="6">
        <f t="shared" si="5"/>
        <v>0.99268292682926829</v>
      </c>
      <c r="J71" s="6">
        <f t="shared" si="6"/>
        <v>94.701951219512239</v>
      </c>
      <c r="K71" s="6">
        <f t="shared" si="7"/>
        <v>526.1219512195122</v>
      </c>
      <c r="L71" s="21">
        <v>0.54600000000000004</v>
      </c>
      <c r="M71" s="21">
        <f>VLOOKUP(A71,'[1]LAM NewParts Analysis'!$A:$I,9,FALSE)</f>
        <v>0.58490900000000001</v>
      </c>
    </row>
    <row r="72" spans="1:13" x14ac:dyDescent="0.25">
      <c r="A72" t="s">
        <v>325</v>
      </c>
      <c r="B72" t="s">
        <v>326</v>
      </c>
      <c r="C72" t="s">
        <v>327</v>
      </c>
      <c r="D72" t="s">
        <v>180</v>
      </c>
      <c r="E72" t="s">
        <v>154</v>
      </c>
      <c r="F72">
        <v>55</v>
      </c>
      <c r="G72" s="20">
        <v>7.2</v>
      </c>
      <c r="H72" s="6">
        <f t="shared" si="4"/>
        <v>396</v>
      </c>
      <c r="I72" s="6">
        <f t="shared" si="5"/>
        <v>8.7804878048780495</v>
      </c>
      <c r="J72" s="6">
        <f t="shared" si="6"/>
        <v>86.926829268292749</v>
      </c>
      <c r="K72" s="6">
        <f t="shared" si="7"/>
        <v>482.92682926829275</v>
      </c>
      <c r="L72" s="21">
        <v>7.2</v>
      </c>
      <c r="M72" s="21">
        <f>VLOOKUP(A72,'[1]LAM NewParts Analysis'!$A:$I,9,FALSE)</f>
        <v>0</v>
      </c>
    </row>
    <row r="73" spans="1:13" x14ac:dyDescent="0.25">
      <c r="A73" t="s">
        <v>328</v>
      </c>
      <c r="B73" t="s">
        <v>329</v>
      </c>
      <c r="C73" t="s">
        <v>330</v>
      </c>
      <c r="D73" t="s">
        <v>180</v>
      </c>
      <c r="E73" t="s">
        <v>168</v>
      </c>
      <c r="F73">
        <v>80</v>
      </c>
      <c r="G73" s="17">
        <v>4.8137999999999996</v>
      </c>
      <c r="H73" s="6">
        <f t="shared" si="4"/>
        <v>385.10399999999998</v>
      </c>
      <c r="I73" s="6">
        <f t="shared" si="5"/>
        <v>5.8704878048780484</v>
      </c>
      <c r="J73" s="6">
        <f t="shared" si="6"/>
        <v>84.535024390243905</v>
      </c>
      <c r="K73" s="6">
        <f t="shared" si="7"/>
        <v>469.63902439024389</v>
      </c>
      <c r="L73" s="21">
        <v>2.57</v>
      </c>
      <c r="M73" s="21">
        <f>VLOOKUP(A73,'[1]LAM NewParts Analysis'!$A:$I,9,FALSE)</f>
        <v>1.7234995</v>
      </c>
    </row>
    <row r="74" spans="1:13" x14ac:dyDescent="0.25">
      <c r="A74" t="s">
        <v>331</v>
      </c>
      <c r="B74" t="s">
        <v>332</v>
      </c>
      <c r="C74" t="s">
        <v>333</v>
      </c>
      <c r="D74" t="s">
        <v>70</v>
      </c>
      <c r="E74" t="s">
        <v>56</v>
      </c>
      <c r="F74">
        <v>85</v>
      </c>
      <c r="G74" s="17">
        <v>4.3359500000000004</v>
      </c>
      <c r="H74" s="6">
        <f t="shared" si="4"/>
        <v>368.55575000000005</v>
      </c>
      <c r="I74" s="6">
        <f t="shared" si="5"/>
        <v>5.2877439024390256</v>
      </c>
      <c r="J74" s="6">
        <f t="shared" si="6"/>
        <v>80.902481707317122</v>
      </c>
      <c r="K74" s="6">
        <f t="shared" si="7"/>
        <v>449.45823170731717</v>
      </c>
      <c r="L74" s="21">
        <v>3.41</v>
      </c>
      <c r="M74" s="21">
        <f>VLOOKUP(A74,'[1]LAM NewParts Analysis'!$A:$I,9,FALSE)</f>
        <v>4.1837009999999992</v>
      </c>
    </row>
    <row r="75" spans="1:13" x14ac:dyDescent="0.25">
      <c r="A75" t="s">
        <v>334</v>
      </c>
      <c r="B75" t="s">
        <v>335</v>
      </c>
      <c r="C75" t="s">
        <v>336</v>
      </c>
      <c r="D75" t="s">
        <v>126</v>
      </c>
      <c r="E75" t="s">
        <v>102</v>
      </c>
      <c r="F75">
        <v>150</v>
      </c>
      <c r="G75" s="17">
        <v>2.38</v>
      </c>
      <c r="H75" s="6">
        <f t="shared" si="4"/>
        <v>357</v>
      </c>
      <c r="I75" s="6">
        <f t="shared" si="5"/>
        <v>2.9024390243902438</v>
      </c>
      <c r="J75" s="6">
        <f t="shared" si="6"/>
        <v>78.365853658536594</v>
      </c>
      <c r="K75" s="6">
        <f t="shared" si="7"/>
        <v>435.36585365853659</v>
      </c>
      <c r="L75" s="21">
        <v>1.54</v>
      </c>
      <c r="M75" s="21">
        <f>VLOOKUP(A75,'[1]LAM NewParts Analysis'!$A:$I,9,FALSE)</f>
        <v>2.2709350000000001</v>
      </c>
    </row>
    <row r="76" spans="1:13" x14ac:dyDescent="0.25">
      <c r="A76" t="s">
        <v>337</v>
      </c>
      <c r="B76" t="s">
        <v>338</v>
      </c>
      <c r="C76" t="s">
        <v>339</v>
      </c>
      <c r="D76" t="s">
        <v>130</v>
      </c>
      <c r="E76" t="s">
        <v>340</v>
      </c>
      <c r="F76">
        <v>120</v>
      </c>
      <c r="G76" s="17">
        <v>2.964</v>
      </c>
      <c r="H76" s="6">
        <f t="shared" si="4"/>
        <v>355.68</v>
      </c>
      <c r="I76" s="6">
        <f t="shared" si="5"/>
        <v>3.6146341463414635</v>
      </c>
      <c r="J76" s="6">
        <f t="shared" si="6"/>
        <v>78.076097560975597</v>
      </c>
      <c r="K76" s="6">
        <f t="shared" si="7"/>
        <v>433.7560975609756</v>
      </c>
      <c r="L76" s="21">
        <v>1.99</v>
      </c>
      <c r="M76" s="21">
        <f>VLOOKUP(A76,'[1]LAM NewParts Analysis'!$A:$I,9,FALSE)</f>
        <v>2.7471480000000001</v>
      </c>
    </row>
    <row r="77" spans="1:13" x14ac:dyDescent="0.25">
      <c r="A77" t="s">
        <v>341</v>
      </c>
      <c r="B77" t="s">
        <v>342</v>
      </c>
      <c r="C77" t="s">
        <v>343</v>
      </c>
      <c r="D77" t="s">
        <v>180</v>
      </c>
      <c r="E77" t="s">
        <v>219</v>
      </c>
      <c r="F77">
        <v>40</v>
      </c>
      <c r="G77" s="17">
        <v>8.7850000000000001</v>
      </c>
      <c r="H77" s="6">
        <f t="shared" si="4"/>
        <v>351.4</v>
      </c>
      <c r="I77" s="6">
        <f t="shared" si="5"/>
        <v>10.713414634146343</v>
      </c>
      <c r="J77" s="6">
        <f t="shared" si="6"/>
        <v>77.136585365853762</v>
      </c>
      <c r="K77" s="6">
        <f t="shared" si="7"/>
        <v>428.53658536585374</v>
      </c>
      <c r="L77" s="21">
        <v>4.9450000000000003</v>
      </c>
      <c r="M77" s="21">
        <f>VLOOKUP(A77,'[1]LAM NewParts Analysis'!$A:$I,9,FALSE)</f>
        <v>7.5449950000000001</v>
      </c>
    </row>
    <row r="78" spans="1:13" x14ac:dyDescent="0.25">
      <c r="A78" t="s">
        <v>344</v>
      </c>
      <c r="B78" t="s">
        <v>345</v>
      </c>
      <c r="C78" t="s">
        <v>346</v>
      </c>
      <c r="D78" t="s">
        <v>347</v>
      </c>
      <c r="E78" t="s">
        <v>239</v>
      </c>
      <c r="F78">
        <v>230</v>
      </c>
      <c r="G78" s="17">
        <v>1.51</v>
      </c>
      <c r="H78" s="6">
        <f t="shared" si="4"/>
        <v>347.3</v>
      </c>
      <c r="I78" s="6">
        <f t="shared" si="5"/>
        <v>1.8414634146341464</v>
      </c>
      <c r="J78" s="6">
        <f t="shared" si="6"/>
        <v>76.236585365853671</v>
      </c>
      <c r="K78" s="6">
        <f t="shared" si="7"/>
        <v>423.53658536585368</v>
      </c>
      <c r="L78" s="21">
        <v>0.74609999999999999</v>
      </c>
      <c r="M78" s="21">
        <f>VLOOKUP(A78,'[1]LAM NewParts Analysis'!$A:$I,9,FALSE)</f>
        <v>1.297685</v>
      </c>
    </row>
    <row r="79" spans="1:13" x14ac:dyDescent="0.25">
      <c r="A79" s="18" t="s">
        <v>348</v>
      </c>
      <c r="B79" s="18" t="s">
        <v>349</v>
      </c>
      <c r="C79" s="19" t="s">
        <v>350</v>
      </c>
      <c r="D79" s="19" t="s">
        <v>351</v>
      </c>
      <c r="E79" t="s">
        <v>168</v>
      </c>
      <c r="F79">
        <v>10</v>
      </c>
      <c r="G79" s="17">
        <v>33.337200000000003</v>
      </c>
      <c r="H79" s="6">
        <f t="shared" si="4"/>
        <v>333.37200000000001</v>
      </c>
      <c r="I79" s="6">
        <f t="shared" si="5"/>
        <v>40.65512195121952</v>
      </c>
      <c r="J79" s="6">
        <f t="shared" si="6"/>
        <v>73.179219512195175</v>
      </c>
      <c r="K79" s="6">
        <f t="shared" si="7"/>
        <v>406.55121951219519</v>
      </c>
      <c r="L79" s="21">
        <v>13.14</v>
      </c>
      <c r="M79" s="21">
        <f>VLOOKUP(A79,'[1]LAM NewParts Analysis'!$A:$I,9,FALSE)</f>
        <v>11.4050335</v>
      </c>
    </row>
    <row r="80" spans="1:13" x14ac:dyDescent="0.25">
      <c r="A80" t="s">
        <v>352</v>
      </c>
      <c r="B80" t="s">
        <v>353</v>
      </c>
      <c r="C80" t="s">
        <v>354</v>
      </c>
      <c r="D80" t="s">
        <v>355</v>
      </c>
      <c r="E80" t="s">
        <v>356</v>
      </c>
      <c r="F80">
        <v>2000</v>
      </c>
      <c r="G80" s="17">
        <v>0.16070000000000001</v>
      </c>
      <c r="H80" s="6">
        <f t="shared" si="4"/>
        <v>321.40000000000003</v>
      </c>
      <c r="I80" s="6">
        <f t="shared" si="5"/>
        <v>0.1959756097560976</v>
      </c>
      <c r="J80" s="6">
        <f t="shared" si="6"/>
        <v>70.551219512195132</v>
      </c>
      <c r="K80" s="6">
        <f t="shared" si="7"/>
        <v>391.95121951219517</v>
      </c>
      <c r="L80" s="21">
        <v>5.0700000000000002E-2</v>
      </c>
      <c r="M80" s="21">
        <f>VLOOKUP(A80,'[1]LAM NewParts Analysis'!$A:$I,9,FALSE)</f>
        <v>0.16070400000000001</v>
      </c>
    </row>
    <row r="81" spans="1:13" x14ac:dyDescent="0.25">
      <c r="A81" s="18" t="s">
        <v>357</v>
      </c>
      <c r="B81" s="18" t="s">
        <v>358</v>
      </c>
      <c r="C81" s="19" t="s">
        <v>359</v>
      </c>
      <c r="D81" s="19" t="s">
        <v>360</v>
      </c>
      <c r="E81" t="s">
        <v>168</v>
      </c>
      <c r="F81">
        <v>30</v>
      </c>
      <c r="G81" s="17">
        <v>10.67</v>
      </c>
      <c r="H81" s="6">
        <f t="shared" si="4"/>
        <v>320.10000000000002</v>
      </c>
      <c r="I81" s="6">
        <f t="shared" si="5"/>
        <v>13.012195121951221</v>
      </c>
      <c r="J81" s="6">
        <f t="shared" si="6"/>
        <v>70.265853658536628</v>
      </c>
      <c r="K81" s="6">
        <f t="shared" si="7"/>
        <v>390.36585365853665</v>
      </c>
      <c r="L81" s="21">
        <v>4.5999999999999996</v>
      </c>
      <c r="M81" s="21">
        <f>VLOOKUP(A81,'[1]LAM NewParts Analysis'!$A:$I,9,FALSE)</f>
        <v>7.3864919999999996</v>
      </c>
    </row>
    <row r="82" spans="1:13" x14ac:dyDescent="0.25">
      <c r="A82" t="s">
        <v>361</v>
      </c>
      <c r="B82" t="s">
        <v>362</v>
      </c>
      <c r="C82" t="s">
        <v>363</v>
      </c>
      <c r="D82" t="s">
        <v>109</v>
      </c>
      <c r="E82" t="s">
        <v>264</v>
      </c>
      <c r="F82">
        <v>100</v>
      </c>
      <c r="G82" s="17">
        <v>3.1385000000000001</v>
      </c>
      <c r="H82" s="6">
        <f t="shared" si="4"/>
        <v>313.85000000000002</v>
      </c>
      <c r="I82" s="6">
        <f t="shared" si="5"/>
        <v>3.8274390243902441</v>
      </c>
      <c r="J82" s="6">
        <f t="shared" si="6"/>
        <v>68.893902439024373</v>
      </c>
      <c r="K82" s="6">
        <f t="shared" si="7"/>
        <v>382.7439024390244</v>
      </c>
      <c r="L82" s="21">
        <v>1.607</v>
      </c>
      <c r="M82" s="21">
        <f>VLOOKUP(A82,'[1]LAM NewParts Analysis'!$A:$I,9,FALSE)</f>
        <v>1.887991</v>
      </c>
    </row>
    <row r="83" spans="1:13" x14ac:dyDescent="0.25">
      <c r="A83" t="s">
        <v>364</v>
      </c>
      <c r="B83" t="s">
        <v>365</v>
      </c>
      <c r="C83" t="s">
        <v>366</v>
      </c>
      <c r="D83" t="s">
        <v>367</v>
      </c>
      <c r="E83" t="s">
        <v>320</v>
      </c>
      <c r="F83">
        <v>50</v>
      </c>
      <c r="G83" s="20">
        <v>6.2312000000000003</v>
      </c>
      <c r="H83" s="6">
        <f t="shared" si="4"/>
        <v>311.56</v>
      </c>
      <c r="I83" s="6">
        <f t="shared" si="5"/>
        <v>7.599024390243903</v>
      </c>
      <c r="J83" s="6">
        <f t="shared" si="6"/>
        <v>68.391219512195164</v>
      </c>
      <c r="K83" s="6">
        <f t="shared" si="7"/>
        <v>379.95121951219517</v>
      </c>
      <c r="L83" s="21">
        <v>4.6224999999999996</v>
      </c>
      <c r="M83" s="21">
        <f>VLOOKUP(A83,'[1]LAM NewParts Analysis'!$A:$I,9,FALSE)</f>
        <v>5.4164744999999996</v>
      </c>
    </row>
    <row r="84" spans="1:13" x14ac:dyDescent="0.25">
      <c r="A84" t="s">
        <v>368</v>
      </c>
      <c r="B84" t="s">
        <v>369</v>
      </c>
      <c r="C84" t="s">
        <v>370</v>
      </c>
      <c r="D84" t="s">
        <v>130</v>
      </c>
      <c r="E84" t="s">
        <v>168</v>
      </c>
      <c r="F84">
        <v>60</v>
      </c>
      <c r="G84" s="17">
        <v>5.1532</v>
      </c>
      <c r="H84" s="6">
        <f t="shared" si="4"/>
        <v>309.19200000000001</v>
      </c>
      <c r="I84" s="6">
        <f t="shared" si="5"/>
        <v>6.2843902439024397</v>
      </c>
      <c r="J84" s="6">
        <f t="shared" si="6"/>
        <v>67.87141463414639</v>
      </c>
      <c r="K84" s="6">
        <f t="shared" si="7"/>
        <v>377.0634146341464</v>
      </c>
      <c r="L84" s="21">
        <v>2.9125000000000001</v>
      </c>
      <c r="M84" s="21">
        <f>VLOOKUP(A84,'[1]LAM NewParts Analysis'!$A:$I,9,FALSE)</f>
        <v>3.9339979999999999</v>
      </c>
    </row>
    <row r="85" spans="1:13" x14ac:dyDescent="0.25">
      <c r="A85" t="s">
        <v>371</v>
      </c>
      <c r="B85" t="s">
        <v>372</v>
      </c>
      <c r="C85" t="s">
        <v>373</v>
      </c>
      <c r="D85" t="s">
        <v>70</v>
      </c>
      <c r="E85" t="s">
        <v>161</v>
      </c>
      <c r="F85">
        <v>55</v>
      </c>
      <c r="G85" s="17">
        <v>5.62</v>
      </c>
      <c r="H85" s="6">
        <f t="shared" si="4"/>
        <v>309.10000000000002</v>
      </c>
      <c r="I85" s="6">
        <f t="shared" si="5"/>
        <v>6.8536585365853666</v>
      </c>
      <c r="J85" s="6">
        <f t="shared" si="6"/>
        <v>67.851219512195144</v>
      </c>
      <c r="K85" s="6">
        <f t="shared" si="7"/>
        <v>376.95121951219517</v>
      </c>
      <c r="L85" s="21">
        <v>3.35</v>
      </c>
    </row>
    <row r="86" spans="1:13" x14ac:dyDescent="0.25">
      <c r="A86" t="s">
        <v>374</v>
      </c>
      <c r="B86" t="s">
        <v>375</v>
      </c>
      <c r="C86" t="s">
        <v>376</v>
      </c>
      <c r="D86" t="s">
        <v>324</v>
      </c>
      <c r="E86" t="s">
        <v>139</v>
      </c>
      <c r="F86">
        <v>250</v>
      </c>
      <c r="G86" s="20">
        <v>1.2284999999999999</v>
      </c>
      <c r="H86" s="6">
        <f t="shared" si="4"/>
        <v>307.125</v>
      </c>
      <c r="I86" s="6">
        <f t="shared" si="5"/>
        <v>1.498170731707317</v>
      </c>
      <c r="J86" s="6">
        <f t="shared" si="6"/>
        <v>67.417682926829229</v>
      </c>
      <c r="K86" s="6">
        <f t="shared" si="7"/>
        <v>374.54268292682923</v>
      </c>
      <c r="L86" s="21">
        <v>0.82940000000000003</v>
      </c>
      <c r="M86" s="21">
        <f>VLOOKUP(A86,'[1]LAM NewParts Analysis'!$A:$I,9,FALSE)</f>
        <v>1.0117320000000001</v>
      </c>
    </row>
    <row r="87" spans="1:13" x14ac:dyDescent="0.25">
      <c r="A87" t="s">
        <v>377</v>
      </c>
      <c r="B87" t="s">
        <v>378</v>
      </c>
      <c r="C87" t="s">
        <v>379</v>
      </c>
      <c r="D87" t="s">
        <v>380</v>
      </c>
      <c r="E87" t="s">
        <v>168</v>
      </c>
      <c r="F87">
        <v>150</v>
      </c>
      <c r="G87" s="17">
        <v>2.04</v>
      </c>
      <c r="H87" s="6">
        <f t="shared" si="4"/>
        <v>306</v>
      </c>
      <c r="I87" s="6">
        <f t="shared" si="5"/>
        <v>2.4878048780487805</v>
      </c>
      <c r="J87" s="6">
        <f t="shared" si="6"/>
        <v>67.170731707317088</v>
      </c>
      <c r="K87" s="6">
        <f t="shared" si="7"/>
        <v>373.17073170731709</v>
      </c>
      <c r="L87" s="21">
        <v>1.3095000000000001</v>
      </c>
      <c r="M87" s="21">
        <f>VLOOKUP(A87,'[1]LAM NewParts Analysis'!$A:$I,9,FALSE)</f>
        <v>1.694088</v>
      </c>
    </row>
    <row r="88" spans="1:13" x14ac:dyDescent="0.25">
      <c r="A88" s="18" t="s">
        <v>381</v>
      </c>
      <c r="B88" s="18" t="s">
        <v>382</v>
      </c>
      <c r="C88" s="19" t="s">
        <v>383</v>
      </c>
      <c r="D88" s="19" t="s">
        <v>180</v>
      </c>
      <c r="E88" t="s">
        <v>66</v>
      </c>
      <c r="F88">
        <v>75</v>
      </c>
      <c r="G88" s="20">
        <v>4.07</v>
      </c>
      <c r="H88" s="6">
        <f t="shared" si="4"/>
        <v>305.25</v>
      </c>
      <c r="I88" s="6">
        <f t="shared" si="5"/>
        <v>4.9634146341463419</v>
      </c>
      <c r="J88" s="6">
        <f t="shared" si="6"/>
        <v>67.006097560975661</v>
      </c>
      <c r="K88" s="6">
        <f t="shared" si="7"/>
        <v>372.25609756097566</v>
      </c>
      <c r="L88" s="21">
        <v>1.53</v>
      </c>
      <c r="M88" s="21">
        <f>VLOOKUP(A88,'[1]LAM NewParts Analysis'!$A:$I,9,FALSE)</f>
        <v>2.7580075000000002</v>
      </c>
    </row>
    <row r="89" spans="1:13" x14ac:dyDescent="0.25">
      <c r="A89" t="s">
        <v>384</v>
      </c>
      <c r="B89" t="s">
        <v>385</v>
      </c>
      <c r="C89" t="s">
        <v>386</v>
      </c>
      <c r="D89" t="s">
        <v>180</v>
      </c>
      <c r="E89" t="s">
        <v>154</v>
      </c>
      <c r="F89">
        <v>55</v>
      </c>
      <c r="G89" s="20">
        <v>5.5</v>
      </c>
      <c r="H89" s="6">
        <f t="shared" si="4"/>
        <v>302.5</v>
      </c>
      <c r="I89" s="6">
        <f t="shared" si="5"/>
        <v>6.7073170731707323</v>
      </c>
      <c r="J89" s="6">
        <f t="shared" si="6"/>
        <v>66.402439024390276</v>
      </c>
      <c r="K89" s="6">
        <f t="shared" si="7"/>
        <v>368.90243902439028</v>
      </c>
      <c r="L89" s="21">
        <v>4.18</v>
      </c>
    </row>
    <row r="90" spans="1:13" x14ac:dyDescent="0.25">
      <c r="A90" t="s">
        <v>387</v>
      </c>
      <c r="B90" t="s">
        <v>388</v>
      </c>
      <c r="C90" t="s">
        <v>389</v>
      </c>
      <c r="D90" t="s">
        <v>390</v>
      </c>
      <c r="E90" t="s">
        <v>92</v>
      </c>
      <c r="F90">
        <v>25</v>
      </c>
      <c r="G90" s="17">
        <v>12.098599999999999</v>
      </c>
      <c r="H90" s="6">
        <f t="shared" si="4"/>
        <v>302.46499999999997</v>
      </c>
      <c r="I90" s="6">
        <f t="shared" si="5"/>
        <v>14.754390243902439</v>
      </c>
      <c r="J90" s="6">
        <f t="shared" si="6"/>
        <v>66.394756097561014</v>
      </c>
      <c r="K90" s="6">
        <f t="shared" si="7"/>
        <v>368.85975609756099</v>
      </c>
      <c r="L90" s="21">
        <v>6.45</v>
      </c>
      <c r="M90" s="21">
        <f>VLOOKUP(A90,'[1]LAM NewParts Analysis'!$A:$I,9,FALSE)</f>
        <v>12.0986005</v>
      </c>
    </row>
    <row r="91" spans="1:13" x14ac:dyDescent="0.25">
      <c r="A91" t="s">
        <v>391</v>
      </c>
      <c r="B91" t="s">
        <v>392</v>
      </c>
      <c r="C91" t="s">
        <v>393</v>
      </c>
      <c r="D91" t="s">
        <v>390</v>
      </c>
      <c r="E91" t="s">
        <v>320</v>
      </c>
      <c r="F91">
        <v>20</v>
      </c>
      <c r="G91" s="20">
        <v>15.06</v>
      </c>
      <c r="H91" s="6">
        <f t="shared" si="4"/>
        <v>301.2</v>
      </c>
      <c r="I91" s="6">
        <f t="shared" si="5"/>
        <v>18.365853658536587</v>
      </c>
      <c r="J91" s="6">
        <f t="shared" si="6"/>
        <v>66.117073170731771</v>
      </c>
      <c r="K91" s="6">
        <f t="shared" si="7"/>
        <v>367.31707317073176</v>
      </c>
      <c r="L91" s="21">
        <v>10.0031</v>
      </c>
      <c r="M91" s="21">
        <f>VLOOKUP(A91,'[1]LAM NewParts Analysis'!$A:$I,9,FALSE)</f>
        <v>14.9010505</v>
      </c>
    </row>
    <row r="92" spans="1:13" x14ac:dyDescent="0.25">
      <c r="A92" t="s">
        <v>394</v>
      </c>
      <c r="B92" t="s">
        <v>395</v>
      </c>
      <c r="C92" t="s">
        <v>396</v>
      </c>
      <c r="D92" t="s">
        <v>397</v>
      </c>
      <c r="E92" t="s">
        <v>208</v>
      </c>
      <c r="F92">
        <v>20</v>
      </c>
      <c r="G92" s="17">
        <v>15.028</v>
      </c>
      <c r="H92" s="6">
        <f t="shared" si="4"/>
        <v>300.56</v>
      </c>
      <c r="I92" s="6">
        <f t="shared" si="5"/>
        <v>18.326829268292684</v>
      </c>
      <c r="J92" s="6">
        <f t="shared" si="6"/>
        <v>65.97658536585368</v>
      </c>
      <c r="K92" s="6">
        <f t="shared" si="7"/>
        <v>366.53658536585368</v>
      </c>
      <c r="L92" s="21">
        <v>10.35</v>
      </c>
    </row>
    <row r="93" spans="1:13" x14ac:dyDescent="0.25">
      <c r="A93" t="s">
        <v>398</v>
      </c>
      <c r="B93" t="s">
        <v>399</v>
      </c>
      <c r="C93" t="s">
        <v>400</v>
      </c>
      <c r="D93" t="s">
        <v>180</v>
      </c>
      <c r="E93" t="s">
        <v>122</v>
      </c>
      <c r="F93">
        <v>50</v>
      </c>
      <c r="G93" s="17">
        <v>5.9989999999999997</v>
      </c>
      <c r="H93" s="6">
        <f t="shared" si="4"/>
        <v>299.95</v>
      </c>
      <c r="I93" s="6">
        <f t="shared" si="5"/>
        <v>7.315853658536585</v>
      </c>
      <c r="J93" s="6">
        <f t="shared" si="6"/>
        <v>65.842682926829241</v>
      </c>
      <c r="K93" s="6">
        <f t="shared" si="7"/>
        <v>365.79268292682923</v>
      </c>
      <c r="L93" s="21">
        <v>2.7749999999999999</v>
      </c>
      <c r="M93" s="21">
        <f>VLOOKUP(A93,'[1]LAM NewParts Analysis'!$A:$I,9,FALSE)</f>
        <v>3.8125979999999999</v>
      </c>
    </row>
    <row r="94" spans="1:13" x14ac:dyDescent="0.25">
      <c r="A94" t="s">
        <v>401</v>
      </c>
      <c r="B94" t="s">
        <v>402</v>
      </c>
      <c r="C94" t="s">
        <v>403</v>
      </c>
      <c r="D94" t="s">
        <v>360</v>
      </c>
      <c r="E94" t="s">
        <v>92</v>
      </c>
      <c r="F94">
        <v>120</v>
      </c>
      <c r="G94" s="17">
        <v>2.4971999999999999</v>
      </c>
      <c r="H94" s="6">
        <f t="shared" si="4"/>
        <v>299.66399999999999</v>
      </c>
      <c r="I94" s="6">
        <f t="shared" si="5"/>
        <v>3.0453658536585366</v>
      </c>
      <c r="J94" s="6">
        <f t="shared" si="6"/>
        <v>65.779902439024397</v>
      </c>
      <c r="K94" s="6">
        <f t="shared" si="7"/>
        <v>365.44390243902438</v>
      </c>
      <c r="L94" s="21">
        <v>0.98</v>
      </c>
      <c r="M94" s="21">
        <f>VLOOKUP(A94,'[1]LAM NewParts Analysis'!$A:$I,9,FALSE)</f>
        <v>1.420061</v>
      </c>
    </row>
    <row r="95" spans="1:13" x14ac:dyDescent="0.25">
      <c r="A95" t="s">
        <v>404</v>
      </c>
      <c r="B95" t="s">
        <v>405</v>
      </c>
      <c r="C95" t="s">
        <v>406</v>
      </c>
      <c r="D95" t="s">
        <v>407</v>
      </c>
      <c r="E95" t="s">
        <v>87</v>
      </c>
      <c r="F95">
        <v>30</v>
      </c>
      <c r="G95" s="17">
        <v>9.92</v>
      </c>
      <c r="H95" s="6">
        <f t="shared" si="4"/>
        <v>297.60000000000002</v>
      </c>
      <c r="I95" s="6">
        <f t="shared" si="5"/>
        <v>12.097560975609756</v>
      </c>
      <c r="J95" s="6">
        <f t="shared" si="6"/>
        <v>65.32682926829267</v>
      </c>
      <c r="K95" s="6">
        <f t="shared" si="7"/>
        <v>362.92682926829269</v>
      </c>
      <c r="L95" s="21">
        <v>8.39</v>
      </c>
      <c r="M95" s="21">
        <f>VLOOKUP(A95,'[1]LAM NewParts Analysis'!$A:$I,9,FALSE)</f>
        <v>9.3502945000000004</v>
      </c>
    </row>
    <row r="96" spans="1:13" x14ac:dyDescent="0.25">
      <c r="A96" t="s">
        <v>408</v>
      </c>
      <c r="B96" t="s">
        <v>409</v>
      </c>
      <c r="C96" t="s">
        <v>410</v>
      </c>
      <c r="D96" t="s">
        <v>390</v>
      </c>
      <c r="E96" t="s">
        <v>172</v>
      </c>
      <c r="F96">
        <v>25</v>
      </c>
      <c r="G96" s="17">
        <v>11.83</v>
      </c>
      <c r="H96" s="6">
        <f t="shared" si="4"/>
        <v>295.75</v>
      </c>
      <c r="I96" s="6">
        <f t="shared" si="5"/>
        <v>14.426829268292684</v>
      </c>
      <c r="J96" s="6">
        <f t="shared" si="6"/>
        <v>64.920731707317088</v>
      </c>
      <c r="K96" s="6">
        <f t="shared" si="7"/>
        <v>360.67073170731709</v>
      </c>
      <c r="L96" s="21">
        <v>6.33</v>
      </c>
      <c r="M96" s="21">
        <f>VLOOKUP(A96,'[1]LAM NewParts Analysis'!$A:$I,9,FALSE)</f>
        <v>11.826877</v>
      </c>
    </row>
    <row r="97" spans="1:13" x14ac:dyDescent="0.25">
      <c r="A97" t="s">
        <v>411</v>
      </c>
      <c r="B97" t="s">
        <v>412</v>
      </c>
      <c r="C97" t="s">
        <v>413</v>
      </c>
      <c r="D97" t="s">
        <v>143</v>
      </c>
      <c r="E97" t="s">
        <v>414</v>
      </c>
      <c r="F97">
        <v>20</v>
      </c>
      <c r="G97" s="20">
        <v>14.779199999999999</v>
      </c>
      <c r="H97" s="6">
        <f t="shared" si="4"/>
        <v>295.584</v>
      </c>
      <c r="I97" s="6">
        <f t="shared" si="5"/>
        <v>18.023414634146341</v>
      </c>
      <c r="J97" s="6">
        <f t="shared" si="6"/>
        <v>64.884292682926855</v>
      </c>
      <c r="K97" s="6">
        <f t="shared" si="7"/>
        <v>360.46829268292686</v>
      </c>
      <c r="L97" s="21">
        <v>11.938499999999999</v>
      </c>
      <c r="M97" s="21">
        <f>VLOOKUP(A97,'[1]LAM NewParts Analysis'!$A:$I,9,FALSE)</f>
        <v>14.598144</v>
      </c>
    </row>
    <row r="98" spans="1:13" x14ac:dyDescent="0.25">
      <c r="A98" t="s">
        <v>415</v>
      </c>
      <c r="B98" t="s">
        <v>416</v>
      </c>
      <c r="C98" t="s">
        <v>417</v>
      </c>
      <c r="D98" t="s">
        <v>148</v>
      </c>
      <c r="E98" t="s">
        <v>219</v>
      </c>
      <c r="F98">
        <v>25</v>
      </c>
      <c r="G98" s="17">
        <v>11.798</v>
      </c>
      <c r="H98" s="6">
        <f t="shared" si="4"/>
        <v>294.95</v>
      </c>
      <c r="I98" s="6">
        <f t="shared" si="5"/>
        <v>14.387804878048781</v>
      </c>
      <c r="J98" s="6">
        <f t="shared" si="6"/>
        <v>64.745121951219517</v>
      </c>
      <c r="K98" s="6">
        <f t="shared" si="7"/>
        <v>359.69512195121951</v>
      </c>
      <c r="L98" s="21">
        <v>6.7</v>
      </c>
      <c r="M98" s="21">
        <f>VLOOKUP(A98,'[1]LAM NewParts Analysis'!$A:$I,9,FALSE)</f>
        <v>7.4799959999999999</v>
      </c>
    </row>
    <row r="99" spans="1:13" x14ac:dyDescent="0.25">
      <c r="A99" t="s">
        <v>418</v>
      </c>
      <c r="B99" t="s">
        <v>419</v>
      </c>
      <c r="C99" t="s">
        <v>420</v>
      </c>
      <c r="D99" t="s">
        <v>60</v>
      </c>
      <c r="E99" t="s">
        <v>414</v>
      </c>
      <c r="F99">
        <v>75</v>
      </c>
      <c r="G99" s="17">
        <v>3.9310999999999998</v>
      </c>
      <c r="H99" s="6">
        <f t="shared" si="4"/>
        <v>294.83249999999998</v>
      </c>
      <c r="I99" s="6">
        <f t="shared" si="5"/>
        <v>4.7940243902439024</v>
      </c>
      <c r="J99" s="6">
        <f t="shared" si="6"/>
        <v>64.719329268292711</v>
      </c>
      <c r="K99" s="6">
        <f t="shared" si="7"/>
        <v>359.55182926829269</v>
      </c>
      <c r="L99" s="21">
        <v>0.38500000000000001</v>
      </c>
      <c r="M99" s="21">
        <f>VLOOKUP(A99,'[1]LAM NewParts Analysis'!$A:$I,9,FALSE)</f>
        <v>0.95459950000000005</v>
      </c>
    </row>
    <row r="100" spans="1:13" x14ac:dyDescent="0.25">
      <c r="A100" t="s">
        <v>421</v>
      </c>
      <c r="B100" t="s">
        <v>422</v>
      </c>
      <c r="C100" t="s">
        <v>423</v>
      </c>
      <c r="D100" t="s">
        <v>424</v>
      </c>
      <c r="E100" t="s">
        <v>172</v>
      </c>
      <c r="F100">
        <v>2000</v>
      </c>
      <c r="G100" s="17">
        <v>0.1472</v>
      </c>
      <c r="H100" s="6">
        <f t="shared" si="4"/>
        <v>294.39999999999998</v>
      </c>
      <c r="I100" s="6">
        <f t="shared" si="5"/>
        <v>0.17951219512195124</v>
      </c>
      <c r="J100" s="6">
        <f t="shared" si="6"/>
        <v>64.624390243902496</v>
      </c>
      <c r="K100" s="6">
        <f t="shared" si="7"/>
        <v>359.02439024390247</v>
      </c>
      <c r="L100" s="21">
        <v>3.44E-2</v>
      </c>
      <c r="M100" s="21">
        <f>VLOOKUP(A100,'[1]LAM NewParts Analysis'!$A:$I,9,FALSE)</f>
        <v>6.8312499999999998E-2</v>
      </c>
    </row>
    <row r="101" spans="1:13" x14ac:dyDescent="0.25">
      <c r="A101" t="s">
        <v>425</v>
      </c>
      <c r="B101" t="s">
        <v>426</v>
      </c>
      <c r="C101" t="s">
        <v>427</v>
      </c>
      <c r="D101" t="s">
        <v>60</v>
      </c>
      <c r="E101" t="s">
        <v>239</v>
      </c>
      <c r="F101">
        <v>150</v>
      </c>
      <c r="G101" s="17">
        <v>1.9616</v>
      </c>
      <c r="H101" s="6">
        <f t="shared" si="4"/>
        <v>294.24</v>
      </c>
      <c r="I101" s="6">
        <f t="shared" si="5"/>
        <v>2.3921951219512199</v>
      </c>
      <c r="J101" s="6">
        <f t="shared" si="6"/>
        <v>64.589268292682959</v>
      </c>
      <c r="K101" s="6">
        <f t="shared" si="7"/>
        <v>358.82926829268297</v>
      </c>
      <c r="L101" s="21">
        <v>0.15840000000000001</v>
      </c>
      <c r="M101" s="21">
        <f>VLOOKUP(A101,'[1]LAM NewParts Analysis'!$A:$I,9,FALSE)</f>
        <v>0.39126</v>
      </c>
    </row>
    <row r="102" spans="1:13" x14ac:dyDescent="0.25">
      <c r="A102" t="s">
        <v>428</v>
      </c>
      <c r="B102" t="s">
        <v>429</v>
      </c>
      <c r="C102" t="s">
        <v>430</v>
      </c>
      <c r="D102" t="s">
        <v>360</v>
      </c>
      <c r="E102" t="s">
        <v>78</v>
      </c>
      <c r="F102">
        <v>15</v>
      </c>
      <c r="G102" s="17">
        <v>19.532</v>
      </c>
      <c r="H102" s="6">
        <f t="shared" si="4"/>
        <v>292.98</v>
      </c>
      <c r="I102" s="6">
        <f t="shared" si="5"/>
        <v>23.819512195121952</v>
      </c>
      <c r="J102" s="6">
        <f t="shared" si="6"/>
        <v>64.312682926829268</v>
      </c>
      <c r="K102" s="6">
        <f t="shared" si="7"/>
        <v>357.29268292682929</v>
      </c>
      <c r="L102" s="21">
        <v>12.55</v>
      </c>
      <c r="M102" s="21">
        <f>VLOOKUP(A102,'[1]LAM NewParts Analysis'!$A:$I,9,FALSE)</f>
        <v>19.053176000000001</v>
      </c>
    </row>
    <row r="103" spans="1:13" x14ac:dyDescent="0.25">
      <c r="A103" t="s">
        <v>431</v>
      </c>
      <c r="B103" t="s">
        <v>432</v>
      </c>
      <c r="C103" t="s">
        <v>433</v>
      </c>
      <c r="D103" t="s">
        <v>407</v>
      </c>
      <c r="E103" t="s">
        <v>78</v>
      </c>
      <c r="F103">
        <v>20</v>
      </c>
      <c r="G103" s="17">
        <v>14.6318</v>
      </c>
      <c r="H103" s="6">
        <f t="shared" si="4"/>
        <v>292.63600000000002</v>
      </c>
      <c r="I103" s="6">
        <f t="shared" si="5"/>
        <v>17.843658536585366</v>
      </c>
      <c r="J103" s="6">
        <f t="shared" si="6"/>
        <v>64.237170731707295</v>
      </c>
      <c r="K103" s="6">
        <f t="shared" si="7"/>
        <v>356.87317073170732</v>
      </c>
      <c r="L103" s="21">
        <v>9.5250000000000004</v>
      </c>
      <c r="M103" s="21">
        <f>VLOOKUP(A103,'[1]LAM NewParts Analysis'!$A:$I,9,FALSE)</f>
        <v>10.665072</v>
      </c>
    </row>
    <row r="104" spans="1:13" x14ac:dyDescent="0.25">
      <c r="A104" t="s">
        <v>434</v>
      </c>
      <c r="B104" t="s">
        <v>435</v>
      </c>
      <c r="C104" t="s">
        <v>436</v>
      </c>
      <c r="D104" t="s">
        <v>437</v>
      </c>
      <c r="E104" t="s">
        <v>102</v>
      </c>
      <c r="F104">
        <v>175</v>
      </c>
      <c r="G104" s="17">
        <v>1.6598999999999999</v>
      </c>
      <c r="H104" s="6">
        <f t="shared" si="4"/>
        <v>290.48250000000002</v>
      </c>
      <c r="I104" s="6">
        <f t="shared" si="5"/>
        <v>2.024268292682927</v>
      </c>
      <c r="J104" s="6">
        <f t="shared" si="6"/>
        <v>63.764451219512182</v>
      </c>
      <c r="K104" s="6">
        <f t="shared" si="7"/>
        <v>354.2469512195122</v>
      </c>
      <c r="L104" s="21">
        <v>0.79169999999999996</v>
      </c>
      <c r="M104" s="21">
        <f>VLOOKUP(A104,'[1]LAM NewParts Analysis'!$A:$I,9,FALSE)</f>
        <v>0.249</v>
      </c>
    </row>
    <row r="105" spans="1:13" x14ac:dyDescent="0.25">
      <c r="A105" t="s">
        <v>438</v>
      </c>
      <c r="B105" t="s">
        <v>439</v>
      </c>
      <c r="C105" t="s">
        <v>440</v>
      </c>
      <c r="D105" t="s">
        <v>60</v>
      </c>
      <c r="E105" t="s">
        <v>110</v>
      </c>
      <c r="F105">
        <v>100</v>
      </c>
      <c r="G105" s="17">
        <v>2.8997999999999999</v>
      </c>
      <c r="H105" s="6">
        <f t="shared" si="4"/>
        <v>289.98</v>
      </c>
      <c r="I105" s="6">
        <f t="shared" si="5"/>
        <v>3.5363414634146344</v>
      </c>
      <c r="J105" s="6">
        <f t="shared" si="6"/>
        <v>63.654146341463445</v>
      </c>
      <c r="K105" s="6">
        <f t="shared" si="7"/>
        <v>353.63414634146346</v>
      </c>
      <c r="L105" s="21">
        <v>1.2</v>
      </c>
      <c r="M105" s="21">
        <f>VLOOKUP(A105,'[1]LAM NewParts Analysis'!$A:$I,9,FALSE)</f>
        <v>2.2249989999999999</v>
      </c>
    </row>
    <row r="106" spans="1:13" x14ac:dyDescent="0.25">
      <c r="A106" t="s">
        <v>441</v>
      </c>
      <c r="B106" t="s">
        <v>442</v>
      </c>
      <c r="C106" t="s">
        <v>443</v>
      </c>
      <c r="D106" t="s">
        <v>138</v>
      </c>
      <c r="E106" t="s">
        <v>122</v>
      </c>
      <c r="F106">
        <v>250</v>
      </c>
      <c r="G106" s="17">
        <v>1.1535</v>
      </c>
      <c r="H106" s="6">
        <f t="shared" si="4"/>
        <v>288.375</v>
      </c>
      <c r="I106" s="6">
        <f t="shared" si="5"/>
        <v>1.4067073170731708</v>
      </c>
      <c r="J106" s="6">
        <f t="shared" si="6"/>
        <v>63.301829268292693</v>
      </c>
      <c r="K106" s="6">
        <f t="shared" si="7"/>
        <v>351.67682926829269</v>
      </c>
      <c r="L106" s="21">
        <v>0.35699999999999998</v>
      </c>
      <c r="M106" s="21">
        <f>VLOOKUP(A106,'[1]LAM NewParts Analysis'!$A:$I,9,FALSE)</f>
        <v>0.9549494999999999</v>
      </c>
    </row>
    <row r="107" spans="1:13" x14ac:dyDescent="0.25">
      <c r="A107" t="s">
        <v>444</v>
      </c>
      <c r="B107" t="s">
        <v>445</v>
      </c>
      <c r="C107" t="s">
        <v>446</v>
      </c>
      <c r="D107" t="s">
        <v>447</v>
      </c>
      <c r="E107" t="s">
        <v>448</v>
      </c>
      <c r="F107">
        <v>85</v>
      </c>
      <c r="G107" s="17">
        <v>3.3820000000000001</v>
      </c>
      <c r="H107" s="6">
        <f t="shared" si="4"/>
        <v>287.47000000000003</v>
      </c>
      <c r="I107" s="6">
        <f t="shared" si="5"/>
        <v>4.1243902439024396</v>
      </c>
      <c r="J107" s="6">
        <f t="shared" si="6"/>
        <v>63.103170731707337</v>
      </c>
      <c r="K107" s="6">
        <f t="shared" si="7"/>
        <v>350.57317073170736</v>
      </c>
      <c r="L107" s="21">
        <v>1.7023999999999999</v>
      </c>
      <c r="M107" s="21">
        <f>VLOOKUP(A107,'[1]LAM NewParts Analysis'!$A:$I,9,FALSE)</f>
        <v>2.4331255000000001</v>
      </c>
    </row>
    <row r="108" spans="1:13" x14ac:dyDescent="0.25">
      <c r="A108" t="s">
        <v>449</v>
      </c>
      <c r="B108" t="s">
        <v>450</v>
      </c>
      <c r="C108" t="s">
        <v>451</v>
      </c>
      <c r="D108" t="s">
        <v>130</v>
      </c>
      <c r="E108" t="s">
        <v>161</v>
      </c>
      <c r="F108">
        <v>75</v>
      </c>
      <c r="G108" s="17">
        <v>3.8</v>
      </c>
      <c r="H108" s="6">
        <f t="shared" si="4"/>
        <v>285</v>
      </c>
      <c r="I108" s="6">
        <f t="shared" si="5"/>
        <v>4.6341463414634143</v>
      </c>
      <c r="J108" s="6">
        <f t="shared" si="6"/>
        <v>62.560975609756099</v>
      </c>
      <c r="K108" s="6">
        <f t="shared" si="7"/>
        <v>347.5609756097561</v>
      </c>
      <c r="L108" s="21">
        <v>1.88</v>
      </c>
      <c r="M108" s="21">
        <f>VLOOKUP(A108,'[1]LAM NewParts Analysis'!$A:$I,9,FALSE)</f>
        <v>3.0935519999999999</v>
      </c>
    </row>
    <row r="109" spans="1:13" x14ac:dyDescent="0.25">
      <c r="A109" t="s">
        <v>452</v>
      </c>
      <c r="B109" t="s">
        <v>453</v>
      </c>
      <c r="C109" t="s">
        <v>454</v>
      </c>
      <c r="D109" t="s">
        <v>130</v>
      </c>
      <c r="E109" t="s">
        <v>87</v>
      </c>
      <c r="F109">
        <v>25</v>
      </c>
      <c r="G109" s="17">
        <v>11.396000000000001</v>
      </c>
      <c r="H109" s="6">
        <f t="shared" si="4"/>
        <v>284.90000000000003</v>
      </c>
      <c r="I109" s="6">
        <f t="shared" si="5"/>
        <v>13.897560975609759</v>
      </c>
      <c r="J109" s="6">
        <f t="shared" si="6"/>
        <v>62.539024390243924</v>
      </c>
      <c r="K109" s="6">
        <f t="shared" si="7"/>
        <v>347.43902439024396</v>
      </c>
      <c r="L109" s="21">
        <v>7.04</v>
      </c>
      <c r="M109" s="21">
        <f>VLOOKUP(A109,'[1]LAM NewParts Analysis'!$A:$I,9,FALSE)</f>
        <v>10.409749</v>
      </c>
    </row>
    <row r="110" spans="1:13" x14ac:dyDescent="0.25">
      <c r="A110" t="s">
        <v>455</v>
      </c>
      <c r="B110" t="s">
        <v>456</v>
      </c>
      <c r="C110" t="s">
        <v>457</v>
      </c>
      <c r="D110" t="s">
        <v>324</v>
      </c>
      <c r="E110" t="s">
        <v>172</v>
      </c>
      <c r="F110">
        <v>350</v>
      </c>
      <c r="G110" s="17">
        <v>0.81399999999999995</v>
      </c>
      <c r="H110" s="6">
        <f t="shared" si="4"/>
        <v>284.89999999999998</v>
      </c>
      <c r="I110" s="6">
        <f t="shared" si="5"/>
        <v>0.99268292682926829</v>
      </c>
      <c r="J110" s="6">
        <f t="shared" si="6"/>
        <v>62.539024390243924</v>
      </c>
      <c r="K110" s="6">
        <f t="shared" si="7"/>
        <v>347.4390243902439</v>
      </c>
      <c r="L110" s="21">
        <v>0.54600000000000004</v>
      </c>
      <c r="M110" s="21">
        <f>VLOOKUP(A110,'[1]LAM NewParts Analysis'!$A:$I,9,FALSE)</f>
        <v>0.58490900000000001</v>
      </c>
    </row>
    <row r="111" spans="1:13" x14ac:dyDescent="0.25">
      <c r="A111" t="s">
        <v>458</v>
      </c>
      <c r="B111" t="s">
        <v>459</v>
      </c>
      <c r="C111" t="s">
        <v>460</v>
      </c>
      <c r="D111" t="s">
        <v>109</v>
      </c>
      <c r="E111" t="s">
        <v>264</v>
      </c>
      <c r="F111">
        <v>40</v>
      </c>
      <c r="G111" s="17">
        <v>7.08</v>
      </c>
      <c r="H111" s="6">
        <f t="shared" si="4"/>
        <v>283.2</v>
      </c>
      <c r="I111" s="6">
        <f t="shared" si="5"/>
        <v>8.6341463414634152</v>
      </c>
      <c r="J111" s="6">
        <f t="shared" si="6"/>
        <v>62.165853658536605</v>
      </c>
      <c r="K111" s="6">
        <f t="shared" si="7"/>
        <v>345.36585365853659</v>
      </c>
      <c r="L111" s="21">
        <v>2.62</v>
      </c>
      <c r="M111" s="21">
        <f>VLOOKUP(A111,'[1]LAM NewParts Analysis'!$A:$I,9,FALSE)</f>
        <v>4.561985</v>
      </c>
    </row>
    <row r="112" spans="1:13" x14ac:dyDescent="0.25">
      <c r="A112" s="18" t="s">
        <v>461</v>
      </c>
      <c r="B112" s="18" t="s">
        <v>462</v>
      </c>
      <c r="C112" s="19" t="s">
        <v>463</v>
      </c>
      <c r="D112" s="19" t="s">
        <v>148</v>
      </c>
      <c r="E112" t="s">
        <v>78</v>
      </c>
      <c r="F112">
        <v>20</v>
      </c>
      <c r="G112" s="17">
        <v>14.11</v>
      </c>
      <c r="H112" s="6">
        <f t="shared" si="4"/>
        <v>282.2</v>
      </c>
      <c r="I112" s="6">
        <f t="shared" si="5"/>
        <v>17.207317073170731</v>
      </c>
      <c r="J112" s="6">
        <f t="shared" si="6"/>
        <v>61.946341463414626</v>
      </c>
      <c r="K112" s="6">
        <f t="shared" si="7"/>
        <v>344.14634146341461</v>
      </c>
      <c r="L112" s="21">
        <v>6.67</v>
      </c>
      <c r="M112" s="21">
        <f>VLOOKUP(A112,'[1]LAM NewParts Analysis'!$A:$I,9,FALSE)</f>
        <v>10.6613715</v>
      </c>
    </row>
    <row r="113" spans="1:13" x14ac:dyDescent="0.25">
      <c r="A113" t="s">
        <v>464</v>
      </c>
      <c r="B113" t="s">
        <v>465</v>
      </c>
      <c r="C113" t="s">
        <v>466</v>
      </c>
      <c r="D113" t="s">
        <v>360</v>
      </c>
      <c r="E113" t="s">
        <v>78</v>
      </c>
      <c r="F113">
        <v>25</v>
      </c>
      <c r="G113" s="17">
        <v>11.2578</v>
      </c>
      <c r="H113" s="6">
        <f t="shared" si="4"/>
        <v>281.44499999999999</v>
      </c>
      <c r="I113" s="6">
        <f t="shared" si="5"/>
        <v>13.729024390243902</v>
      </c>
      <c r="J113" s="6">
        <f t="shared" si="6"/>
        <v>61.780609756097533</v>
      </c>
      <c r="K113" s="6">
        <f t="shared" si="7"/>
        <v>343.22560975609753</v>
      </c>
      <c r="L113" s="21">
        <v>7.2359999999999998</v>
      </c>
      <c r="M113" s="21">
        <f>VLOOKUP(A113,'[1]LAM NewParts Analysis'!$A:$I,9,FALSE)</f>
        <v>7.1449954999999994</v>
      </c>
    </row>
    <row r="114" spans="1:13" x14ac:dyDescent="0.25">
      <c r="A114" t="s">
        <v>467</v>
      </c>
      <c r="B114" t="s">
        <v>468</v>
      </c>
      <c r="C114" t="s">
        <v>469</v>
      </c>
      <c r="D114" t="s">
        <v>424</v>
      </c>
      <c r="E114" t="s">
        <v>219</v>
      </c>
      <c r="F114">
        <v>350</v>
      </c>
      <c r="G114" s="17">
        <v>0.80379999999999996</v>
      </c>
      <c r="H114" s="6">
        <f t="shared" si="4"/>
        <v>281.33</v>
      </c>
      <c r="I114" s="6">
        <f t="shared" si="5"/>
        <v>0.98024390243902437</v>
      </c>
      <c r="J114" s="6">
        <f t="shared" si="6"/>
        <v>61.755365853658532</v>
      </c>
      <c r="K114" s="6">
        <f t="shared" si="7"/>
        <v>343.08536585365852</v>
      </c>
      <c r="L114" s="21">
        <v>0.38279999999999997</v>
      </c>
      <c r="M114" s="21">
        <f>VLOOKUP(A114,'[1]LAM NewParts Analysis'!$A:$I,9,FALSE)</f>
        <v>0.7417895000000001</v>
      </c>
    </row>
    <row r="115" spans="1:13" x14ac:dyDescent="0.25">
      <c r="A115" t="s">
        <v>470</v>
      </c>
      <c r="B115" t="s">
        <v>471</v>
      </c>
      <c r="C115" t="s">
        <v>472</v>
      </c>
      <c r="D115" t="s">
        <v>473</v>
      </c>
      <c r="E115" t="s">
        <v>474</v>
      </c>
      <c r="F115">
        <v>125</v>
      </c>
      <c r="G115" s="17">
        <v>2.2502</v>
      </c>
      <c r="H115" s="6">
        <f t="shared" si="4"/>
        <v>281.27499999999998</v>
      </c>
      <c r="I115" s="6">
        <f t="shared" si="5"/>
        <v>2.7441463414634146</v>
      </c>
      <c r="J115" s="6">
        <f t="shared" si="6"/>
        <v>61.743292682926835</v>
      </c>
      <c r="K115" s="6">
        <f t="shared" si="7"/>
        <v>343.01829268292681</v>
      </c>
      <c r="L115" s="21">
        <v>1.69</v>
      </c>
      <c r="M115" s="21">
        <f>VLOOKUP(A115,'[1]LAM NewParts Analysis'!$A:$I,9,FALSE)</f>
        <v>1.9096325000000001</v>
      </c>
    </row>
    <row r="116" spans="1:13" x14ac:dyDescent="0.25">
      <c r="A116" t="s">
        <v>475</v>
      </c>
      <c r="B116" t="s">
        <v>476</v>
      </c>
      <c r="C116" t="s">
        <v>477</v>
      </c>
      <c r="D116" t="s">
        <v>70</v>
      </c>
      <c r="E116" t="s">
        <v>161</v>
      </c>
      <c r="F116">
        <v>50</v>
      </c>
      <c r="G116" s="17">
        <v>5.62</v>
      </c>
      <c r="H116" s="6">
        <f t="shared" si="4"/>
        <v>281</v>
      </c>
      <c r="I116" s="6">
        <f t="shared" si="5"/>
        <v>6.8536585365853666</v>
      </c>
      <c r="J116" s="6">
        <f t="shared" si="6"/>
        <v>61.682926829268354</v>
      </c>
      <c r="K116" s="6">
        <f t="shared" si="7"/>
        <v>342.68292682926835</v>
      </c>
      <c r="L116" s="21">
        <v>3.85</v>
      </c>
    </row>
    <row r="117" spans="1:13" x14ac:dyDescent="0.25">
      <c r="A117" t="s">
        <v>478</v>
      </c>
      <c r="B117" t="s">
        <v>479</v>
      </c>
      <c r="C117" t="s">
        <v>480</v>
      </c>
      <c r="D117" t="s">
        <v>481</v>
      </c>
      <c r="E117" t="s">
        <v>168</v>
      </c>
      <c r="F117">
        <v>130</v>
      </c>
      <c r="G117" s="17">
        <v>2.1596000000000002</v>
      </c>
      <c r="H117" s="6">
        <f t="shared" si="4"/>
        <v>280.74800000000005</v>
      </c>
      <c r="I117" s="6">
        <f t="shared" si="5"/>
        <v>2.6336585365853664</v>
      </c>
      <c r="J117" s="6">
        <f t="shared" si="6"/>
        <v>61.62760975609757</v>
      </c>
      <c r="K117" s="6">
        <f t="shared" si="7"/>
        <v>342.37560975609762</v>
      </c>
      <c r="L117" s="21">
        <v>1.504</v>
      </c>
      <c r="M117" s="21">
        <f>VLOOKUP(A117,'[1]LAM NewParts Analysis'!$A:$I,9,FALSE)</f>
        <v>1.634341</v>
      </c>
    </row>
    <row r="118" spans="1:13" x14ac:dyDescent="0.25">
      <c r="A118" t="s">
        <v>482</v>
      </c>
      <c r="B118" t="s">
        <v>483</v>
      </c>
      <c r="C118" t="s">
        <v>484</v>
      </c>
      <c r="D118" t="s">
        <v>485</v>
      </c>
      <c r="E118" t="s">
        <v>154</v>
      </c>
      <c r="F118">
        <v>1750</v>
      </c>
      <c r="G118" s="20">
        <v>0.1598</v>
      </c>
      <c r="H118" s="6">
        <f t="shared" si="4"/>
        <v>279.64999999999998</v>
      </c>
      <c r="I118" s="6">
        <f t="shared" si="5"/>
        <v>0.19487804878048781</v>
      </c>
      <c r="J118" s="6">
        <f t="shared" si="6"/>
        <v>61.386585365853705</v>
      </c>
      <c r="K118" s="6">
        <f t="shared" si="7"/>
        <v>341.03658536585368</v>
      </c>
      <c r="M118" s="21">
        <f>VLOOKUP(A118,'[1]LAM NewParts Analysis'!$A:$I,9,FALSE)</f>
        <v>9.8221000000000003E-2</v>
      </c>
    </row>
    <row r="119" spans="1:13" x14ac:dyDescent="0.25">
      <c r="A119" s="18" t="s">
        <v>486</v>
      </c>
      <c r="B119" s="18" t="s">
        <v>487</v>
      </c>
      <c r="C119" s="19" t="s">
        <v>488</v>
      </c>
      <c r="D119" s="19" t="s">
        <v>109</v>
      </c>
      <c r="E119" t="s">
        <v>264</v>
      </c>
      <c r="F119">
        <v>50</v>
      </c>
      <c r="G119" s="17">
        <v>5.59</v>
      </c>
      <c r="H119" s="6">
        <f t="shared" si="4"/>
        <v>279.5</v>
      </c>
      <c r="I119" s="6">
        <f t="shared" si="5"/>
        <v>6.8170731707317076</v>
      </c>
      <c r="J119" s="6">
        <f t="shared" si="6"/>
        <v>61.353658536585385</v>
      </c>
      <c r="K119" s="6">
        <f t="shared" si="7"/>
        <v>340.85365853658539</v>
      </c>
      <c r="L119" s="21">
        <v>1.67</v>
      </c>
      <c r="M119" s="21">
        <f>VLOOKUP(A119,'[1]LAM NewParts Analysis'!$A:$I,9,FALSE)</f>
        <v>2.4553699999999998</v>
      </c>
    </row>
    <row r="120" spans="1:13" x14ac:dyDescent="0.25">
      <c r="A120" t="s">
        <v>489</v>
      </c>
      <c r="B120" t="s">
        <v>490</v>
      </c>
      <c r="C120" t="s">
        <v>491</v>
      </c>
      <c r="D120" t="s">
        <v>355</v>
      </c>
      <c r="E120" t="s">
        <v>356</v>
      </c>
      <c r="F120">
        <v>1250</v>
      </c>
      <c r="G120" s="17">
        <v>0.223</v>
      </c>
      <c r="H120" s="6">
        <f t="shared" si="4"/>
        <v>278.75</v>
      </c>
      <c r="I120" s="6">
        <f t="shared" si="5"/>
        <v>0.27195121951219514</v>
      </c>
      <c r="J120" s="6">
        <f t="shared" si="6"/>
        <v>61.189024390243901</v>
      </c>
      <c r="K120" s="6">
        <f t="shared" si="7"/>
        <v>339.9390243902439</v>
      </c>
      <c r="L120" s="21">
        <v>0.05</v>
      </c>
      <c r="M120" s="21">
        <f>VLOOKUP(A120,'[1]LAM NewParts Analysis'!$A:$I,9,FALSE)</f>
        <v>7.1539999999999992E-2</v>
      </c>
    </row>
    <row r="121" spans="1:13" x14ac:dyDescent="0.25">
      <c r="A121" t="s">
        <v>492</v>
      </c>
      <c r="B121" t="s">
        <v>493</v>
      </c>
      <c r="C121" t="s">
        <v>494</v>
      </c>
      <c r="D121" t="s">
        <v>495</v>
      </c>
      <c r="E121" t="s">
        <v>172</v>
      </c>
      <c r="F121">
        <v>350</v>
      </c>
      <c r="G121" s="17">
        <v>0.79349999999999998</v>
      </c>
      <c r="H121" s="6">
        <f t="shared" si="4"/>
        <v>277.72499999999997</v>
      </c>
      <c r="I121" s="6">
        <f t="shared" si="5"/>
        <v>0.96768292682926838</v>
      </c>
      <c r="J121" s="6">
        <f t="shared" si="6"/>
        <v>60.964024390243992</v>
      </c>
      <c r="K121" s="6">
        <f t="shared" si="7"/>
        <v>338.68902439024396</v>
      </c>
      <c r="L121" s="21">
        <v>0.47</v>
      </c>
      <c r="M121" s="21">
        <f>VLOOKUP(A121,'[1]LAM NewParts Analysis'!$A:$I,9,FALSE)</f>
        <v>0.66089500000000001</v>
      </c>
    </row>
    <row r="122" spans="1:13" x14ac:dyDescent="0.25">
      <c r="A122" t="s">
        <v>496</v>
      </c>
      <c r="B122" t="s">
        <v>497</v>
      </c>
      <c r="C122" t="s">
        <v>498</v>
      </c>
      <c r="D122" t="s">
        <v>138</v>
      </c>
      <c r="E122" t="s">
        <v>499</v>
      </c>
      <c r="F122">
        <v>70</v>
      </c>
      <c r="G122" s="17">
        <v>3.9668000000000001</v>
      </c>
      <c r="H122" s="6">
        <f t="shared" si="4"/>
        <v>277.67599999999999</v>
      </c>
      <c r="I122" s="6">
        <f t="shared" si="5"/>
        <v>4.8375609756097564</v>
      </c>
      <c r="J122" s="6">
        <f t="shared" si="6"/>
        <v>60.953268292682935</v>
      </c>
      <c r="K122" s="6">
        <f t="shared" si="7"/>
        <v>338.62926829268292</v>
      </c>
      <c r="L122" s="21">
        <v>1.8839999999999999</v>
      </c>
      <c r="M122" s="21">
        <f>VLOOKUP(A122,'[1]LAM NewParts Analysis'!$A:$I,9,FALSE)</f>
        <v>2.5444800000000001</v>
      </c>
    </row>
    <row r="123" spans="1:13" x14ac:dyDescent="0.25">
      <c r="A123" t="s">
        <v>500</v>
      </c>
      <c r="B123" t="s">
        <v>501</v>
      </c>
      <c r="C123" t="s">
        <v>502</v>
      </c>
      <c r="D123" t="s">
        <v>126</v>
      </c>
      <c r="E123" t="s">
        <v>92</v>
      </c>
      <c r="F123">
        <v>30</v>
      </c>
      <c r="G123" s="17">
        <v>9.2415000000000003</v>
      </c>
      <c r="H123" s="6">
        <f t="shared" si="4"/>
        <v>277.245</v>
      </c>
      <c r="I123" s="6">
        <f t="shared" si="5"/>
        <v>11.270121951219513</v>
      </c>
      <c r="J123" s="6">
        <f t="shared" si="6"/>
        <v>60.858658536585381</v>
      </c>
      <c r="K123" s="6">
        <f t="shared" si="7"/>
        <v>338.10365853658539</v>
      </c>
      <c r="L123" s="21">
        <v>5.74</v>
      </c>
      <c r="M123" s="21">
        <f>VLOOKUP(A123,'[1]LAM NewParts Analysis'!$A:$I,9,FALSE)</f>
        <v>8.2814185000000009</v>
      </c>
    </row>
    <row r="124" spans="1:13" x14ac:dyDescent="0.25">
      <c r="A124" t="s">
        <v>503</v>
      </c>
      <c r="B124" t="s">
        <v>504</v>
      </c>
      <c r="C124" t="s">
        <v>505</v>
      </c>
      <c r="D124" t="s">
        <v>407</v>
      </c>
      <c r="E124" t="s">
        <v>172</v>
      </c>
      <c r="F124">
        <v>20</v>
      </c>
      <c r="G124" s="17">
        <v>13.852</v>
      </c>
      <c r="H124" s="6">
        <f t="shared" si="4"/>
        <v>277.04000000000002</v>
      </c>
      <c r="I124" s="6">
        <f t="shared" si="5"/>
        <v>16.89268292682927</v>
      </c>
      <c r="J124" s="6">
        <f t="shared" si="6"/>
        <v>60.813658536585365</v>
      </c>
      <c r="K124" s="6">
        <f t="shared" si="7"/>
        <v>337.85365853658539</v>
      </c>
      <c r="L124" s="21">
        <v>9.2100000000000009</v>
      </c>
      <c r="M124" s="21">
        <f>VLOOKUP(A124,'[1]LAM NewParts Analysis'!$A:$I,9,FALSE)</f>
        <v>10.348936</v>
      </c>
    </row>
    <row r="125" spans="1:13" x14ac:dyDescent="0.25">
      <c r="A125" s="18" t="s">
        <v>506</v>
      </c>
      <c r="B125" s="18" t="s">
        <v>507</v>
      </c>
      <c r="C125" s="19" t="s">
        <v>508</v>
      </c>
      <c r="D125" s="19" t="s">
        <v>437</v>
      </c>
      <c r="E125" t="s">
        <v>448</v>
      </c>
      <c r="F125">
        <v>350</v>
      </c>
      <c r="G125" s="17">
        <v>0.79</v>
      </c>
      <c r="H125" s="6">
        <f t="shared" si="4"/>
        <v>276.5</v>
      </c>
      <c r="I125" s="6">
        <f t="shared" si="5"/>
        <v>0.96341463414634154</v>
      </c>
      <c r="J125" s="6">
        <f t="shared" si="6"/>
        <v>60.695121951219562</v>
      </c>
      <c r="K125" s="6">
        <f t="shared" si="7"/>
        <v>337.19512195121956</v>
      </c>
      <c r="L125" s="21">
        <v>0.33479999999999999</v>
      </c>
      <c r="M125" s="21">
        <f>VLOOKUP(A125,'[1]LAM NewParts Analysis'!$A:$I,9,FALSE)</f>
        <v>0.50159750000000003</v>
      </c>
    </row>
    <row r="126" spans="1:13" x14ac:dyDescent="0.25">
      <c r="A126" t="s">
        <v>509</v>
      </c>
      <c r="B126" t="s">
        <v>510</v>
      </c>
      <c r="C126" t="s">
        <v>511</v>
      </c>
      <c r="D126" t="s">
        <v>512</v>
      </c>
      <c r="E126" t="s">
        <v>513</v>
      </c>
      <c r="F126">
        <v>500</v>
      </c>
      <c r="G126" s="20">
        <v>0.55000000000000004</v>
      </c>
      <c r="H126" s="6">
        <f t="shared" si="4"/>
        <v>275</v>
      </c>
      <c r="I126" s="6">
        <f t="shared" si="5"/>
        <v>0.67073170731707321</v>
      </c>
      <c r="J126" s="6">
        <f t="shared" si="6"/>
        <v>60.365853658536594</v>
      </c>
      <c r="K126" s="6">
        <f t="shared" si="7"/>
        <v>335.36585365853659</v>
      </c>
      <c r="M126" s="21">
        <f>VLOOKUP(A126,'[1]LAM NewParts Analysis'!$A:$I,9,FALSE)</f>
        <v>8.3030000000000007E-2</v>
      </c>
    </row>
    <row r="127" spans="1:13" x14ac:dyDescent="0.25">
      <c r="A127" t="s">
        <v>514</v>
      </c>
      <c r="B127" t="s">
        <v>515</v>
      </c>
      <c r="C127" t="s">
        <v>516</v>
      </c>
      <c r="D127" t="s">
        <v>517</v>
      </c>
      <c r="E127" t="s">
        <v>219</v>
      </c>
      <c r="F127">
        <v>15</v>
      </c>
      <c r="G127" s="17">
        <v>18.3095</v>
      </c>
      <c r="H127" s="6">
        <f t="shared" si="4"/>
        <v>274.64249999999998</v>
      </c>
      <c r="I127" s="6">
        <f t="shared" si="5"/>
        <v>22.328658536585365</v>
      </c>
      <c r="J127" s="6">
        <f t="shared" si="6"/>
        <v>60.287378048780511</v>
      </c>
      <c r="K127" s="6">
        <f t="shared" si="7"/>
        <v>334.92987804878049</v>
      </c>
      <c r="L127" s="21">
        <v>13.07</v>
      </c>
      <c r="M127" s="21">
        <f>VLOOKUP(A127,'[1]LAM NewParts Analysis'!$A:$I,9,FALSE)</f>
        <v>15.02961</v>
      </c>
    </row>
    <row r="128" spans="1:13" x14ac:dyDescent="0.25">
      <c r="A128" t="s">
        <v>518</v>
      </c>
      <c r="B128" t="s">
        <v>519</v>
      </c>
      <c r="C128" t="s">
        <v>520</v>
      </c>
      <c r="D128" t="s">
        <v>347</v>
      </c>
      <c r="E128" t="s">
        <v>56</v>
      </c>
      <c r="F128">
        <v>100</v>
      </c>
      <c r="G128" s="17">
        <v>2.7320000000000002</v>
      </c>
      <c r="H128" s="6">
        <f t="shared" si="4"/>
        <v>273.20000000000005</v>
      </c>
      <c r="I128" s="6">
        <f t="shared" si="5"/>
        <v>3.331707317073171</v>
      </c>
      <c r="J128" s="6">
        <f t="shared" si="6"/>
        <v>59.970731707317043</v>
      </c>
      <c r="K128" s="6">
        <f t="shared" si="7"/>
        <v>333.17073170731709</v>
      </c>
      <c r="L128" s="21">
        <v>0.84460000000000002</v>
      </c>
      <c r="M128" s="21">
        <f>VLOOKUP(A128,'[1]LAM NewParts Analysis'!$A:$I,9,FALSE)</f>
        <v>2.7319680000000002</v>
      </c>
    </row>
    <row r="129" spans="1:13" x14ac:dyDescent="0.25">
      <c r="A129" t="s">
        <v>521</v>
      </c>
      <c r="B129" t="s">
        <v>522</v>
      </c>
      <c r="C129" t="s">
        <v>523</v>
      </c>
      <c r="D129" t="s">
        <v>126</v>
      </c>
      <c r="E129" t="s">
        <v>219</v>
      </c>
      <c r="F129">
        <v>40</v>
      </c>
      <c r="G129" s="17">
        <v>6.8188000000000004</v>
      </c>
      <c r="H129" s="6">
        <f t="shared" si="4"/>
        <v>272.75200000000001</v>
      </c>
      <c r="I129" s="6">
        <f t="shared" si="5"/>
        <v>8.3156097560975617</v>
      </c>
      <c r="J129" s="6">
        <f t="shared" si="6"/>
        <v>59.87239024390243</v>
      </c>
      <c r="K129" s="6">
        <f t="shared" si="7"/>
        <v>332.62439024390244</v>
      </c>
      <c r="L129" s="21">
        <v>5.6760000000000002</v>
      </c>
      <c r="M129" s="21">
        <f>VLOOKUP(A129,'[1]LAM NewParts Analysis'!$A:$I,9,FALSE)</f>
        <v>1.689999</v>
      </c>
    </row>
    <row r="130" spans="1:13" x14ac:dyDescent="0.25">
      <c r="A130" t="s">
        <v>524</v>
      </c>
      <c r="B130" t="s">
        <v>525</v>
      </c>
      <c r="C130" t="s">
        <v>526</v>
      </c>
      <c r="D130" t="s">
        <v>527</v>
      </c>
      <c r="E130" t="s">
        <v>122</v>
      </c>
      <c r="F130">
        <v>550</v>
      </c>
      <c r="G130" s="17">
        <v>0.49419999999999997</v>
      </c>
      <c r="H130" s="6">
        <f t="shared" si="4"/>
        <v>271.81</v>
      </c>
      <c r="I130" s="6">
        <f t="shared" si="5"/>
        <v>0.60268292682926827</v>
      </c>
      <c r="J130" s="6">
        <f t="shared" si="6"/>
        <v>59.665609756097524</v>
      </c>
      <c r="K130" s="6">
        <f t="shared" si="7"/>
        <v>331.47560975609753</v>
      </c>
      <c r="L130" s="21">
        <v>0.16500000000000001</v>
      </c>
      <c r="M130" s="21">
        <f>VLOOKUP(A130,'[1]LAM NewParts Analysis'!$A:$I,9,FALSE)</f>
        <v>0.49416500000000002</v>
      </c>
    </row>
    <row r="131" spans="1:13" x14ac:dyDescent="0.25">
      <c r="A131" t="s">
        <v>528</v>
      </c>
      <c r="B131" t="s">
        <v>529</v>
      </c>
      <c r="C131" t="s">
        <v>530</v>
      </c>
      <c r="D131" t="s">
        <v>109</v>
      </c>
      <c r="E131" t="s">
        <v>264</v>
      </c>
      <c r="F131">
        <v>150</v>
      </c>
      <c r="G131" s="17">
        <v>1.8055000000000001</v>
      </c>
      <c r="H131" s="6">
        <f t="shared" si="4"/>
        <v>270.82499999999999</v>
      </c>
      <c r="I131" s="6">
        <f t="shared" si="5"/>
        <v>2.2018292682926832</v>
      </c>
      <c r="J131" s="6">
        <f t="shared" si="6"/>
        <v>59.449390243902485</v>
      </c>
      <c r="K131" s="6">
        <f t="shared" si="7"/>
        <v>330.27439024390247</v>
      </c>
      <c r="L131" s="21">
        <v>0.84099999999999997</v>
      </c>
      <c r="M131" s="21">
        <f>VLOOKUP(A131,'[1]LAM NewParts Analysis'!$A:$I,9,FALSE)</f>
        <v>1.3782445000000001</v>
      </c>
    </row>
    <row r="132" spans="1:13" x14ac:dyDescent="0.25">
      <c r="A132" t="s">
        <v>531</v>
      </c>
      <c r="B132" t="s">
        <v>532</v>
      </c>
      <c r="C132" t="s">
        <v>533</v>
      </c>
      <c r="D132" t="s">
        <v>424</v>
      </c>
      <c r="E132" t="s">
        <v>448</v>
      </c>
      <c r="F132">
        <v>650</v>
      </c>
      <c r="G132" s="17">
        <v>0.4158</v>
      </c>
      <c r="H132" s="6">
        <f t="shared" ref="H132:H195" si="8">G132*F132</f>
        <v>270.27</v>
      </c>
      <c r="I132" s="6">
        <f t="shared" ref="I132:I195" si="9">G132/0.82</f>
        <v>0.50707317073170732</v>
      </c>
      <c r="J132" s="6">
        <f t="shared" ref="J132:J195" si="10">K132-H132</f>
        <v>59.327560975609799</v>
      </c>
      <c r="K132" s="6">
        <f t="shared" ref="K132:K195" si="11">I132*F132</f>
        <v>329.59756097560978</v>
      </c>
      <c r="L132" s="21">
        <v>0.14000000000000001</v>
      </c>
      <c r="M132" s="21">
        <f>VLOOKUP(A132,'[1]LAM NewParts Analysis'!$A:$I,9,FALSE)</f>
        <v>0.41582150000000001</v>
      </c>
    </row>
    <row r="133" spans="1:13" x14ac:dyDescent="0.25">
      <c r="A133" t="s">
        <v>534</v>
      </c>
      <c r="B133" t="s">
        <v>535</v>
      </c>
      <c r="C133" t="s">
        <v>536</v>
      </c>
      <c r="D133" t="s">
        <v>537</v>
      </c>
      <c r="E133" t="s">
        <v>289</v>
      </c>
      <c r="F133">
        <v>50</v>
      </c>
      <c r="G133" s="17">
        <v>5.3993000000000002</v>
      </c>
      <c r="H133" s="6">
        <f t="shared" si="8"/>
        <v>269.96500000000003</v>
      </c>
      <c r="I133" s="6">
        <f t="shared" si="9"/>
        <v>6.5845121951219516</v>
      </c>
      <c r="J133" s="6">
        <f t="shared" si="10"/>
        <v>59.260609756097551</v>
      </c>
      <c r="K133" s="6">
        <f t="shared" si="11"/>
        <v>329.22560975609758</v>
      </c>
      <c r="L133" s="21">
        <v>3.41</v>
      </c>
      <c r="M133" s="21">
        <f>VLOOKUP(A133,'[1]LAM NewParts Analysis'!$A:$I,9,FALSE)</f>
        <v>4.0999974999999997</v>
      </c>
    </row>
    <row r="134" spans="1:13" x14ac:dyDescent="0.25">
      <c r="A134" t="s">
        <v>538</v>
      </c>
      <c r="B134" t="s">
        <v>539</v>
      </c>
      <c r="C134" t="s">
        <v>540</v>
      </c>
      <c r="D134" t="s">
        <v>130</v>
      </c>
      <c r="E134" t="s">
        <v>301</v>
      </c>
      <c r="F134">
        <v>125</v>
      </c>
      <c r="G134" s="17">
        <v>2.1516999999999999</v>
      </c>
      <c r="H134" s="6">
        <f t="shared" si="8"/>
        <v>268.96249999999998</v>
      </c>
      <c r="I134" s="6">
        <f t="shared" si="9"/>
        <v>2.6240243902439024</v>
      </c>
      <c r="J134" s="6">
        <f t="shared" si="10"/>
        <v>59.040548780487825</v>
      </c>
      <c r="K134" s="6">
        <f t="shared" si="11"/>
        <v>328.0030487804878</v>
      </c>
      <c r="L134" s="21">
        <v>1.1834</v>
      </c>
      <c r="M134" s="21">
        <f>VLOOKUP(A134,'[1]LAM NewParts Analysis'!$A:$I,9,FALSE)</f>
        <v>1.7299994999999999</v>
      </c>
    </row>
    <row r="135" spans="1:13" x14ac:dyDescent="0.25">
      <c r="A135" t="s">
        <v>541</v>
      </c>
      <c r="B135" t="s">
        <v>542</v>
      </c>
      <c r="C135" t="s">
        <v>543</v>
      </c>
      <c r="D135" t="s">
        <v>130</v>
      </c>
      <c r="E135" t="s">
        <v>56</v>
      </c>
      <c r="F135">
        <v>25</v>
      </c>
      <c r="G135" s="17">
        <v>10.736499999999999</v>
      </c>
      <c r="H135" s="6">
        <f t="shared" si="8"/>
        <v>268.41249999999997</v>
      </c>
      <c r="I135" s="6">
        <f t="shared" si="9"/>
        <v>13.09329268292683</v>
      </c>
      <c r="J135" s="6">
        <f t="shared" si="10"/>
        <v>58.919817073170805</v>
      </c>
      <c r="K135" s="6">
        <f t="shared" si="11"/>
        <v>327.33231707317077</v>
      </c>
      <c r="L135" s="21">
        <v>6.46</v>
      </c>
      <c r="M135" s="21">
        <f>VLOOKUP(A135,'[1]LAM NewParts Analysis'!$A:$I,9,FALSE)</f>
        <v>9.0378260000000008</v>
      </c>
    </row>
    <row r="136" spans="1:13" x14ac:dyDescent="0.25">
      <c r="A136" t="s">
        <v>544</v>
      </c>
      <c r="B136" t="s">
        <v>545</v>
      </c>
      <c r="C136" t="s">
        <v>546</v>
      </c>
      <c r="D136" t="s">
        <v>547</v>
      </c>
      <c r="E136" t="s">
        <v>448</v>
      </c>
      <c r="F136">
        <v>40</v>
      </c>
      <c r="G136" s="17">
        <v>6.67</v>
      </c>
      <c r="H136" s="6">
        <f t="shared" si="8"/>
        <v>266.8</v>
      </c>
      <c r="I136" s="6">
        <f t="shared" si="9"/>
        <v>8.1341463414634152</v>
      </c>
      <c r="J136" s="6">
        <f t="shared" si="10"/>
        <v>58.565853658536582</v>
      </c>
      <c r="K136" s="6">
        <f t="shared" si="11"/>
        <v>325.36585365853659</v>
      </c>
      <c r="L136" s="21">
        <v>3.96</v>
      </c>
      <c r="M136" s="21">
        <f>VLOOKUP(A136,'[1]LAM NewParts Analysis'!$A:$I,9,FALSE)</f>
        <v>4.4781060000000004</v>
      </c>
    </row>
    <row r="137" spans="1:13" x14ac:dyDescent="0.25">
      <c r="A137" t="s">
        <v>548</v>
      </c>
      <c r="B137" t="s">
        <v>549</v>
      </c>
      <c r="C137" t="s">
        <v>550</v>
      </c>
      <c r="D137" t="s">
        <v>60</v>
      </c>
      <c r="E137" t="s">
        <v>551</v>
      </c>
      <c r="F137">
        <v>55</v>
      </c>
      <c r="G137" s="17">
        <v>4.8367000000000004</v>
      </c>
      <c r="H137" s="6">
        <f t="shared" si="8"/>
        <v>266.01850000000002</v>
      </c>
      <c r="I137" s="6">
        <f t="shared" si="9"/>
        <v>5.8984146341463424</v>
      </c>
      <c r="J137" s="6">
        <f t="shared" si="10"/>
        <v>58.394304878048786</v>
      </c>
      <c r="K137" s="6">
        <f t="shared" si="11"/>
        <v>324.4128048780488</v>
      </c>
      <c r="L137" s="21">
        <v>1.55</v>
      </c>
      <c r="M137" s="21">
        <f>VLOOKUP(A137,'[1]LAM NewParts Analysis'!$A:$I,9,FALSE)</f>
        <v>3.3314729999999999</v>
      </c>
    </row>
    <row r="138" spans="1:13" x14ac:dyDescent="0.25">
      <c r="A138" t="s">
        <v>552</v>
      </c>
      <c r="B138" t="s">
        <v>553</v>
      </c>
      <c r="C138" t="s">
        <v>554</v>
      </c>
      <c r="D138" t="s">
        <v>527</v>
      </c>
      <c r="E138" t="s">
        <v>78</v>
      </c>
      <c r="F138">
        <v>1000</v>
      </c>
      <c r="G138" s="17">
        <v>0.26600000000000001</v>
      </c>
      <c r="H138" s="6">
        <f t="shared" si="8"/>
        <v>266</v>
      </c>
      <c r="I138" s="6">
        <f t="shared" si="9"/>
        <v>0.32439024390243903</v>
      </c>
      <c r="J138" s="6">
        <f t="shared" si="10"/>
        <v>58.390243902439011</v>
      </c>
      <c r="K138" s="6">
        <f t="shared" si="11"/>
        <v>324.39024390243901</v>
      </c>
      <c r="L138" s="21">
        <v>6.2100000000000002E-2</v>
      </c>
      <c r="M138" s="21">
        <f>VLOOKUP(A138,'[1]LAM NewParts Analysis'!$A:$I,9,FALSE)</f>
        <v>6.2399999999999997E-2</v>
      </c>
    </row>
    <row r="139" spans="1:13" x14ac:dyDescent="0.25">
      <c r="A139" t="s">
        <v>555</v>
      </c>
      <c r="B139" t="s">
        <v>556</v>
      </c>
      <c r="C139" t="s">
        <v>557</v>
      </c>
      <c r="D139" t="s">
        <v>517</v>
      </c>
      <c r="E139" t="s">
        <v>92</v>
      </c>
      <c r="F139">
        <v>15</v>
      </c>
      <c r="G139" s="17">
        <v>17.720600000000001</v>
      </c>
      <c r="H139" s="6">
        <f t="shared" si="8"/>
        <v>265.80900000000003</v>
      </c>
      <c r="I139" s="6">
        <f t="shared" si="9"/>
        <v>21.610487804878051</v>
      </c>
      <c r="J139" s="6">
        <f t="shared" si="10"/>
        <v>58.348317073170733</v>
      </c>
      <c r="K139" s="6">
        <f t="shared" si="11"/>
        <v>324.15731707317076</v>
      </c>
      <c r="L139" s="21">
        <v>13.195</v>
      </c>
      <c r="M139" s="21">
        <f>VLOOKUP(A139,'[1]LAM NewParts Analysis'!$A:$I,9,FALSE)</f>
        <v>15.514632000000001</v>
      </c>
    </row>
    <row r="140" spans="1:13" x14ac:dyDescent="0.25">
      <c r="A140" s="18" t="s">
        <v>558</v>
      </c>
      <c r="B140" s="18" t="s">
        <v>559</v>
      </c>
      <c r="C140" s="19" t="s">
        <v>560</v>
      </c>
      <c r="D140" s="19" t="s">
        <v>60</v>
      </c>
      <c r="E140" t="s">
        <v>264</v>
      </c>
      <c r="F140">
        <v>35</v>
      </c>
      <c r="G140" s="17">
        <v>7.5869999999999997</v>
      </c>
      <c r="H140" s="6">
        <f t="shared" si="8"/>
        <v>265.54500000000002</v>
      </c>
      <c r="I140" s="6">
        <f t="shared" si="9"/>
        <v>9.2524390243902435</v>
      </c>
      <c r="J140" s="6">
        <f t="shared" si="10"/>
        <v>58.2903658536585</v>
      </c>
      <c r="K140" s="6">
        <f t="shared" si="11"/>
        <v>323.83536585365852</v>
      </c>
      <c r="L140" s="21">
        <v>1.64</v>
      </c>
      <c r="M140" s="21">
        <f>VLOOKUP(A140,'[1]LAM NewParts Analysis'!$A:$I,9,FALSE)</f>
        <v>5.4100999999999999</v>
      </c>
    </row>
    <row r="141" spans="1:13" x14ac:dyDescent="0.25">
      <c r="A141" t="s">
        <v>561</v>
      </c>
      <c r="B141" t="s">
        <v>562</v>
      </c>
      <c r="C141" t="s">
        <v>563</v>
      </c>
      <c r="D141" t="s">
        <v>564</v>
      </c>
      <c r="E141" t="s">
        <v>448</v>
      </c>
      <c r="F141">
        <v>20</v>
      </c>
      <c r="G141" s="17">
        <v>13.2582</v>
      </c>
      <c r="H141" s="6">
        <f t="shared" si="8"/>
        <v>265.16399999999999</v>
      </c>
      <c r="I141" s="6">
        <f t="shared" si="9"/>
        <v>16.168536585365857</v>
      </c>
      <c r="J141" s="6">
        <f t="shared" si="10"/>
        <v>58.206731707317147</v>
      </c>
      <c r="K141" s="6">
        <f t="shared" si="11"/>
        <v>323.37073170731713</v>
      </c>
      <c r="L141" s="21">
        <v>9.7899999999999991</v>
      </c>
      <c r="M141" s="21">
        <f>VLOOKUP(A141,'[1]LAM NewParts Analysis'!$A:$I,9,FALSE)</f>
        <v>13.25822</v>
      </c>
    </row>
    <row r="142" spans="1:13" x14ac:dyDescent="0.25">
      <c r="A142" t="s">
        <v>565</v>
      </c>
      <c r="B142" t="s">
        <v>566</v>
      </c>
      <c r="C142" t="s">
        <v>567</v>
      </c>
      <c r="D142" t="s">
        <v>568</v>
      </c>
      <c r="E142" t="s">
        <v>161</v>
      </c>
      <c r="F142">
        <v>500</v>
      </c>
      <c r="G142" s="20">
        <v>0.53</v>
      </c>
      <c r="H142" s="6">
        <f t="shared" si="8"/>
        <v>265</v>
      </c>
      <c r="I142" s="6">
        <f t="shared" si="9"/>
        <v>0.64634146341463417</v>
      </c>
      <c r="J142" s="6">
        <f t="shared" si="10"/>
        <v>58.170731707317088</v>
      </c>
      <c r="K142" s="6">
        <f t="shared" si="11"/>
        <v>323.17073170731709</v>
      </c>
      <c r="L142" s="21">
        <v>0.27500000000000002</v>
      </c>
      <c r="M142" s="21">
        <f>VLOOKUP(A142,'[1]LAM NewParts Analysis'!$A:$I,9,FALSE)</f>
        <v>0.49291849999999998</v>
      </c>
    </row>
    <row r="143" spans="1:13" x14ac:dyDescent="0.25">
      <c r="A143" t="s">
        <v>569</v>
      </c>
      <c r="B143" t="s">
        <v>570</v>
      </c>
      <c r="C143" t="s">
        <v>571</v>
      </c>
      <c r="D143" t="s">
        <v>572</v>
      </c>
      <c r="E143" t="s">
        <v>66</v>
      </c>
      <c r="F143">
        <v>200</v>
      </c>
      <c r="G143" s="17">
        <v>1.325</v>
      </c>
      <c r="H143" s="6">
        <f t="shared" si="8"/>
        <v>265</v>
      </c>
      <c r="I143" s="6">
        <f t="shared" si="9"/>
        <v>1.6158536585365855</v>
      </c>
      <c r="J143" s="6">
        <f t="shared" si="10"/>
        <v>58.170731707317088</v>
      </c>
      <c r="K143" s="6">
        <f t="shared" si="11"/>
        <v>323.17073170731709</v>
      </c>
      <c r="L143" s="21">
        <v>0.67300000000000004</v>
      </c>
      <c r="M143" s="21">
        <f>VLOOKUP(A143,'[1]LAM NewParts Analysis'!$A:$I,9,FALSE)</f>
        <v>1.1039095000000001</v>
      </c>
    </row>
    <row r="144" spans="1:13" x14ac:dyDescent="0.25">
      <c r="A144" t="s">
        <v>573</v>
      </c>
      <c r="B144" t="s">
        <v>574</v>
      </c>
      <c r="C144" t="s">
        <v>575</v>
      </c>
      <c r="D144" t="s">
        <v>281</v>
      </c>
      <c r="E144" t="s">
        <v>320</v>
      </c>
      <c r="F144">
        <v>800</v>
      </c>
      <c r="G144" s="17">
        <v>0.33100000000000002</v>
      </c>
      <c r="H144" s="6">
        <f t="shared" si="8"/>
        <v>264.8</v>
      </c>
      <c r="I144" s="6">
        <f t="shared" si="9"/>
        <v>0.40365853658536588</v>
      </c>
      <c r="J144" s="6">
        <f t="shared" si="10"/>
        <v>58.126829268292681</v>
      </c>
      <c r="K144" s="6">
        <f t="shared" si="11"/>
        <v>322.92682926829269</v>
      </c>
      <c r="L144" s="21">
        <v>0.2019</v>
      </c>
      <c r="M144" s="21">
        <f>VLOOKUP(A144,'[1]LAM NewParts Analysis'!$A:$I,9,FALSE)</f>
        <v>0.20105400000000001</v>
      </c>
    </row>
    <row r="145" spans="1:13" x14ac:dyDescent="0.25">
      <c r="A145" t="s">
        <v>576</v>
      </c>
      <c r="B145" t="s">
        <v>577</v>
      </c>
      <c r="C145" t="s">
        <v>578</v>
      </c>
      <c r="D145" t="s">
        <v>579</v>
      </c>
      <c r="E145" t="s">
        <v>87</v>
      </c>
      <c r="F145">
        <v>80</v>
      </c>
      <c r="G145" s="17">
        <v>3.31</v>
      </c>
      <c r="H145" s="6">
        <f t="shared" si="8"/>
        <v>264.8</v>
      </c>
      <c r="I145" s="6">
        <f t="shared" si="9"/>
        <v>4.036585365853659</v>
      </c>
      <c r="J145" s="6">
        <f t="shared" si="10"/>
        <v>58.126829268292738</v>
      </c>
      <c r="K145" s="6">
        <f t="shared" si="11"/>
        <v>322.92682926829275</v>
      </c>
      <c r="L145" s="21">
        <v>0.81769999999999998</v>
      </c>
      <c r="M145" s="21">
        <f>VLOOKUP(A145,'[1]LAM NewParts Analysis'!$A:$I,9,FALSE)</f>
        <v>1.7833254999999999</v>
      </c>
    </row>
    <row r="146" spans="1:13" x14ac:dyDescent="0.25">
      <c r="A146" s="18" t="s">
        <v>580</v>
      </c>
      <c r="B146" s="18" t="s">
        <v>581</v>
      </c>
      <c r="C146" s="19" t="s">
        <v>582</v>
      </c>
      <c r="D146" s="19" t="s">
        <v>130</v>
      </c>
      <c r="E146" t="s">
        <v>66</v>
      </c>
      <c r="F146">
        <v>55</v>
      </c>
      <c r="G146" s="17">
        <v>4.806</v>
      </c>
      <c r="H146" s="6">
        <f t="shared" si="8"/>
        <v>264.33</v>
      </c>
      <c r="I146" s="6">
        <f t="shared" si="9"/>
        <v>5.8609756097560979</v>
      </c>
      <c r="J146" s="6">
        <f t="shared" si="10"/>
        <v>58.023658536585401</v>
      </c>
      <c r="K146" s="6">
        <f t="shared" si="11"/>
        <v>322.35365853658539</v>
      </c>
      <c r="L146" s="21">
        <v>1.67</v>
      </c>
      <c r="M146" s="21">
        <f>VLOOKUP(A146,'[1]LAM NewParts Analysis'!$A:$I,9,FALSE)</f>
        <v>2.5189935000000001</v>
      </c>
    </row>
    <row r="147" spans="1:13" x14ac:dyDescent="0.25">
      <c r="A147" t="s">
        <v>583</v>
      </c>
      <c r="B147" t="s">
        <v>584</v>
      </c>
      <c r="C147" t="s">
        <v>585</v>
      </c>
      <c r="D147" t="s">
        <v>407</v>
      </c>
      <c r="E147" t="s">
        <v>87</v>
      </c>
      <c r="F147">
        <v>20</v>
      </c>
      <c r="G147" s="17">
        <v>13.173999999999999</v>
      </c>
      <c r="H147" s="6">
        <f t="shared" si="8"/>
        <v>263.48</v>
      </c>
      <c r="I147" s="6">
        <f t="shared" si="9"/>
        <v>16.065853658536586</v>
      </c>
      <c r="J147" s="6">
        <f t="shared" si="10"/>
        <v>57.837073170731685</v>
      </c>
      <c r="K147" s="6">
        <f t="shared" si="11"/>
        <v>321.3170731707317</v>
      </c>
      <c r="L147" s="21">
        <v>8.9499999999999993</v>
      </c>
      <c r="M147" s="21">
        <f>VLOOKUP(A147,'[1]LAM NewParts Analysis'!$A:$I,9,FALSE)</f>
        <v>10.0059515</v>
      </c>
    </row>
    <row r="148" spans="1:13" x14ac:dyDescent="0.25">
      <c r="A148" t="s">
        <v>586</v>
      </c>
      <c r="B148" t="s">
        <v>587</v>
      </c>
      <c r="C148" t="s">
        <v>588</v>
      </c>
      <c r="D148" t="s">
        <v>424</v>
      </c>
      <c r="E148" t="s">
        <v>448</v>
      </c>
      <c r="F148">
        <v>650</v>
      </c>
      <c r="G148" s="17">
        <v>0.40510000000000002</v>
      </c>
      <c r="H148" s="6">
        <f t="shared" si="8"/>
        <v>263.315</v>
      </c>
      <c r="I148" s="6">
        <f t="shared" si="9"/>
        <v>0.49402439024390249</v>
      </c>
      <c r="J148" s="6">
        <f t="shared" si="10"/>
        <v>57.800853658536596</v>
      </c>
      <c r="K148" s="6">
        <f t="shared" si="11"/>
        <v>321.11585365853659</v>
      </c>
      <c r="L148" s="21">
        <v>0.27260000000000001</v>
      </c>
      <c r="M148" s="21">
        <f>VLOOKUP(A148,'[1]LAM NewParts Analysis'!$A:$I,9,FALSE)</f>
        <v>0.34971000000000002</v>
      </c>
    </row>
    <row r="149" spans="1:13" x14ac:dyDescent="0.25">
      <c r="A149" t="s">
        <v>589</v>
      </c>
      <c r="B149" t="s">
        <v>590</v>
      </c>
      <c r="C149" t="s">
        <v>591</v>
      </c>
      <c r="D149" t="s">
        <v>592</v>
      </c>
      <c r="E149" t="s">
        <v>356</v>
      </c>
      <c r="F149">
        <v>150</v>
      </c>
      <c r="G149" s="17">
        <v>1.7549999999999999</v>
      </c>
      <c r="H149" s="6">
        <f t="shared" si="8"/>
        <v>263.25</v>
      </c>
      <c r="I149" s="6">
        <f t="shared" si="9"/>
        <v>2.1402439024390243</v>
      </c>
      <c r="J149" s="6">
        <f t="shared" si="10"/>
        <v>57.786585365853625</v>
      </c>
      <c r="K149" s="6">
        <f t="shared" si="11"/>
        <v>321.03658536585363</v>
      </c>
      <c r="L149" s="21">
        <v>1.0961000000000001</v>
      </c>
      <c r="M149" s="21">
        <f>VLOOKUP(A149,'[1]LAM NewParts Analysis'!$A:$I,9,FALSE)</f>
        <v>1.416901</v>
      </c>
    </row>
    <row r="150" spans="1:13" x14ac:dyDescent="0.25">
      <c r="A150" t="s">
        <v>593</v>
      </c>
      <c r="B150" t="s">
        <v>594</v>
      </c>
      <c r="C150" t="s">
        <v>595</v>
      </c>
      <c r="D150" t="s">
        <v>281</v>
      </c>
      <c r="E150" t="s">
        <v>56</v>
      </c>
      <c r="F150">
        <v>800</v>
      </c>
      <c r="G150" s="20">
        <v>0.3286</v>
      </c>
      <c r="H150" s="6">
        <f t="shared" si="8"/>
        <v>262.88</v>
      </c>
      <c r="I150" s="6">
        <f t="shared" si="9"/>
        <v>0.40073170731707319</v>
      </c>
      <c r="J150" s="6">
        <f t="shared" si="10"/>
        <v>57.705365853658577</v>
      </c>
      <c r="K150" s="6">
        <f t="shared" si="11"/>
        <v>320.58536585365857</v>
      </c>
      <c r="L150" s="21">
        <v>6.7100000000000007E-2</v>
      </c>
      <c r="M150" s="21">
        <f>VLOOKUP(A150,'[1]LAM NewParts Analysis'!$A:$I,9,FALSE)</f>
        <v>7.8584000000000001E-2</v>
      </c>
    </row>
    <row r="151" spans="1:13" x14ac:dyDescent="0.25">
      <c r="A151" t="s">
        <v>596</v>
      </c>
      <c r="B151" t="s">
        <v>597</v>
      </c>
      <c r="C151" t="s">
        <v>598</v>
      </c>
      <c r="D151" t="s">
        <v>527</v>
      </c>
      <c r="E151" t="s">
        <v>56</v>
      </c>
      <c r="F151">
        <v>80</v>
      </c>
      <c r="G151" s="17">
        <v>3.2854999999999999</v>
      </c>
      <c r="H151" s="6">
        <f t="shared" si="8"/>
        <v>262.83999999999997</v>
      </c>
      <c r="I151" s="6">
        <f t="shared" si="9"/>
        <v>4.0067073170731708</v>
      </c>
      <c r="J151" s="6">
        <f t="shared" si="10"/>
        <v>57.696585365853707</v>
      </c>
      <c r="K151" s="6">
        <f t="shared" si="11"/>
        <v>320.53658536585368</v>
      </c>
      <c r="L151" s="21">
        <v>1.8527</v>
      </c>
      <c r="M151" s="21">
        <f>VLOOKUP(A151,'[1]LAM NewParts Analysis'!$A:$I,9,FALSE)</f>
        <v>2.2518310000000001</v>
      </c>
    </row>
    <row r="152" spans="1:13" x14ac:dyDescent="0.25">
      <c r="A152" t="s">
        <v>599</v>
      </c>
      <c r="B152" t="s">
        <v>600</v>
      </c>
      <c r="C152" t="s">
        <v>601</v>
      </c>
      <c r="D152" t="s">
        <v>230</v>
      </c>
      <c r="E152" t="s">
        <v>56</v>
      </c>
      <c r="F152">
        <v>160</v>
      </c>
      <c r="G152" s="17">
        <v>1.6419999999999999</v>
      </c>
      <c r="H152" s="6">
        <f t="shared" si="8"/>
        <v>262.71999999999997</v>
      </c>
      <c r="I152" s="6">
        <f t="shared" si="9"/>
        <v>2.0024390243902439</v>
      </c>
      <c r="J152" s="6">
        <f t="shared" si="10"/>
        <v>57.67024390243904</v>
      </c>
      <c r="K152" s="6">
        <f t="shared" si="11"/>
        <v>320.39024390243901</v>
      </c>
      <c r="L152" s="21">
        <v>0.67</v>
      </c>
      <c r="M152" s="21">
        <f>VLOOKUP(A152,'[1]LAM NewParts Analysis'!$A:$I,9,FALSE)</f>
        <v>0.58399999999999996</v>
      </c>
    </row>
    <row r="153" spans="1:13" x14ac:dyDescent="0.25">
      <c r="A153" t="s">
        <v>602</v>
      </c>
      <c r="B153" t="s">
        <v>603</v>
      </c>
      <c r="C153" t="s">
        <v>604</v>
      </c>
      <c r="D153" t="s">
        <v>605</v>
      </c>
      <c r="E153" t="s">
        <v>320</v>
      </c>
      <c r="F153">
        <v>750</v>
      </c>
      <c r="G153" s="20">
        <v>0.35</v>
      </c>
      <c r="H153" s="6">
        <f t="shared" si="8"/>
        <v>262.5</v>
      </c>
      <c r="I153" s="6">
        <f t="shared" si="9"/>
        <v>0.42682926829268292</v>
      </c>
      <c r="J153" s="6">
        <f t="shared" si="10"/>
        <v>57.621951219512198</v>
      </c>
      <c r="K153" s="6">
        <f t="shared" si="11"/>
        <v>320.1219512195122</v>
      </c>
      <c r="M153" s="21">
        <f>VLOOKUP(A153,'[1]LAM NewParts Analysis'!$A:$I,9,FALSE)</f>
        <v>0.24298400000000001</v>
      </c>
    </row>
    <row r="154" spans="1:13" x14ac:dyDescent="0.25">
      <c r="A154" t="s">
        <v>606</v>
      </c>
      <c r="B154" t="s">
        <v>607</v>
      </c>
      <c r="C154" t="s">
        <v>608</v>
      </c>
      <c r="D154" t="s">
        <v>609</v>
      </c>
      <c r="E154" t="s">
        <v>168</v>
      </c>
      <c r="F154">
        <v>85</v>
      </c>
      <c r="G154" s="17">
        <v>3.0828000000000002</v>
      </c>
      <c r="H154" s="6">
        <f t="shared" si="8"/>
        <v>262.03800000000001</v>
      </c>
      <c r="I154" s="6">
        <f t="shared" si="9"/>
        <v>3.7595121951219519</v>
      </c>
      <c r="J154" s="6">
        <f t="shared" si="10"/>
        <v>57.520536585365903</v>
      </c>
      <c r="K154" s="6">
        <f t="shared" si="11"/>
        <v>319.55853658536591</v>
      </c>
      <c r="L154" s="21">
        <v>1.56</v>
      </c>
      <c r="M154" s="21">
        <f>VLOOKUP(A154,'[1]LAM NewParts Analysis'!$A:$I,9,FALSE)</f>
        <v>3.0828384999999998</v>
      </c>
    </row>
    <row r="155" spans="1:13" x14ac:dyDescent="0.25">
      <c r="A155" t="s">
        <v>610</v>
      </c>
      <c r="B155" t="s">
        <v>611</v>
      </c>
      <c r="C155" t="s">
        <v>612</v>
      </c>
      <c r="D155" t="s">
        <v>360</v>
      </c>
      <c r="E155" t="s">
        <v>78</v>
      </c>
      <c r="F155">
        <v>35</v>
      </c>
      <c r="G155" s="20">
        <v>7.4805000000000001</v>
      </c>
      <c r="H155" s="6">
        <f t="shared" si="8"/>
        <v>261.8175</v>
      </c>
      <c r="I155" s="6">
        <f t="shared" si="9"/>
        <v>9.1225609756097565</v>
      </c>
      <c r="J155" s="6">
        <f t="shared" si="10"/>
        <v>57.472134146341489</v>
      </c>
      <c r="K155" s="6">
        <f t="shared" si="11"/>
        <v>319.28963414634148</v>
      </c>
      <c r="L155" s="21">
        <v>4.07</v>
      </c>
      <c r="M155" s="21">
        <f>VLOOKUP(A155,'[1]LAM NewParts Analysis'!$A:$I,9,FALSE)</f>
        <v>3.951498</v>
      </c>
    </row>
    <row r="156" spans="1:13" x14ac:dyDescent="0.25">
      <c r="A156" t="s">
        <v>613</v>
      </c>
      <c r="B156" t="s">
        <v>614</v>
      </c>
      <c r="C156" t="s">
        <v>615</v>
      </c>
      <c r="D156" t="s">
        <v>96</v>
      </c>
      <c r="E156" t="s">
        <v>87</v>
      </c>
      <c r="F156">
        <v>105</v>
      </c>
      <c r="G156" s="17">
        <v>2.4900000000000002</v>
      </c>
      <c r="H156" s="6">
        <f t="shared" si="8"/>
        <v>261.45000000000005</v>
      </c>
      <c r="I156" s="6">
        <f t="shared" si="9"/>
        <v>3.036585365853659</v>
      </c>
      <c r="J156" s="6">
        <f t="shared" si="10"/>
        <v>57.391463414634131</v>
      </c>
      <c r="K156" s="6">
        <f t="shared" si="11"/>
        <v>318.84146341463418</v>
      </c>
      <c r="M156" s="21">
        <f>VLOOKUP(A156,'[1]LAM NewParts Analysis'!$A:$I,9,FALSE)</f>
        <v>0.21</v>
      </c>
    </row>
    <row r="157" spans="1:13" x14ac:dyDescent="0.25">
      <c r="A157" t="s">
        <v>616</v>
      </c>
      <c r="B157" t="s">
        <v>617</v>
      </c>
      <c r="C157" t="s">
        <v>618</v>
      </c>
      <c r="D157" t="s">
        <v>619</v>
      </c>
      <c r="E157" t="s">
        <v>110</v>
      </c>
      <c r="F157">
        <v>1500</v>
      </c>
      <c r="G157" s="17">
        <v>0.17419999999999999</v>
      </c>
      <c r="H157" s="6">
        <f t="shared" si="8"/>
        <v>261.3</v>
      </c>
      <c r="I157" s="6">
        <f t="shared" si="9"/>
        <v>0.2124390243902439</v>
      </c>
      <c r="J157" s="6">
        <f t="shared" si="10"/>
        <v>57.358536585365812</v>
      </c>
      <c r="K157" s="6">
        <f t="shared" si="11"/>
        <v>318.65853658536582</v>
      </c>
      <c r="L157" s="21">
        <v>3.85E-2</v>
      </c>
      <c r="M157" s="21">
        <f>VLOOKUP(A157,'[1]LAM NewParts Analysis'!$A:$I,9,FALSE)</f>
        <v>8.8146500000000003E-2</v>
      </c>
    </row>
    <row r="158" spans="1:13" x14ac:dyDescent="0.25">
      <c r="A158" s="18" t="s">
        <v>620</v>
      </c>
      <c r="B158" s="18" t="s">
        <v>621</v>
      </c>
      <c r="C158" s="19" t="s">
        <v>622</v>
      </c>
      <c r="D158" s="19" t="s">
        <v>623</v>
      </c>
      <c r="E158" t="s">
        <v>149</v>
      </c>
      <c r="F158">
        <v>125</v>
      </c>
      <c r="G158" s="17">
        <v>2.09</v>
      </c>
      <c r="H158" s="6">
        <f t="shared" si="8"/>
        <v>261.25</v>
      </c>
      <c r="I158" s="6">
        <f t="shared" si="9"/>
        <v>2.5487804878048781</v>
      </c>
      <c r="J158" s="6">
        <f t="shared" si="10"/>
        <v>57.347560975609781</v>
      </c>
      <c r="K158" s="6">
        <f t="shared" si="11"/>
        <v>318.59756097560978</v>
      </c>
      <c r="L158" s="21">
        <v>1.05</v>
      </c>
      <c r="M158" s="21">
        <f>VLOOKUP(A158,'[1]LAM NewParts Analysis'!$A:$I,9,FALSE)</f>
        <v>1.5703125</v>
      </c>
    </row>
    <row r="159" spans="1:13" x14ac:dyDescent="0.25">
      <c r="A159" t="s">
        <v>624</v>
      </c>
      <c r="B159" t="s">
        <v>625</v>
      </c>
      <c r="C159" t="s">
        <v>626</v>
      </c>
      <c r="D159" t="s">
        <v>627</v>
      </c>
      <c r="E159" t="s">
        <v>87</v>
      </c>
      <c r="F159">
        <v>160</v>
      </c>
      <c r="G159" s="17">
        <v>1.6245000000000001</v>
      </c>
      <c r="H159" s="6">
        <f t="shared" si="8"/>
        <v>259.92</v>
      </c>
      <c r="I159" s="6">
        <f t="shared" si="9"/>
        <v>1.9810975609756099</v>
      </c>
      <c r="J159" s="6">
        <f t="shared" si="10"/>
        <v>57.055609756097567</v>
      </c>
      <c r="K159" s="6">
        <f t="shared" si="11"/>
        <v>316.97560975609758</v>
      </c>
      <c r="L159" s="21">
        <v>1.3190999999999999</v>
      </c>
      <c r="M159" s="21">
        <f>VLOOKUP(A159,'[1]LAM NewParts Analysis'!$A:$I,9,FALSE)</f>
        <v>1.5242505</v>
      </c>
    </row>
    <row r="160" spans="1:13" x14ac:dyDescent="0.25">
      <c r="A160" t="s">
        <v>628</v>
      </c>
      <c r="B160" t="s">
        <v>629</v>
      </c>
      <c r="C160" t="s">
        <v>630</v>
      </c>
      <c r="D160" t="s">
        <v>631</v>
      </c>
      <c r="E160" t="s">
        <v>66</v>
      </c>
      <c r="F160">
        <v>13000</v>
      </c>
      <c r="G160" s="17">
        <v>1.9900000000000001E-2</v>
      </c>
      <c r="H160" s="6">
        <f t="shared" si="8"/>
        <v>258.7</v>
      </c>
      <c r="I160" s="6">
        <f t="shared" si="9"/>
        <v>2.4268292682926833E-2</v>
      </c>
      <c r="J160" s="6">
        <f t="shared" si="10"/>
        <v>56.78780487804886</v>
      </c>
      <c r="K160" s="6">
        <f t="shared" si="11"/>
        <v>315.48780487804885</v>
      </c>
      <c r="L160" s="21">
        <v>1.4E-2</v>
      </c>
      <c r="M160" s="21">
        <f>VLOOKUP(A160,'[1]LAM NewParts Analysis'!$A:$I,9,FALSE)</f>
        <v>1.3299999999999999E-2</v>
      </c>
    </row>
    <row r="161" spans="1:13" x14ac:dyDescent="0.25">
      <c r="A161" t="s">
        <v>632</v>
      </c>
      <c r="B161" t="s">
        <v>633</v>
      </c>
      <c r="C161" t="s">
        <v>634</v>
      </c>
      <c r="D161" t="s">
        <v>130</v>
      </c>
      <c r="E161" t="s">
        <v>356</v>
      </c>
      <c r="F161">
        <v>225</v>
      </c>
      <c r="G161" s="17">
        <v>1.1496999999999999</v>
      </c>
      <c r="H161" s="6">
        <f t="shared" si="8"/>
        <v>258.6825</v>
      </c>
      <c r="I161" s="6">
        <f t="shared" si="9"/>
        <v>1.4020731707317073</v>
      </c>
      <c r="J161" s="6">
        <f t="shared" si="10"/>
        <v>56.783963414634172</v>
      </c>
      <c r="K161" s="6">
        <f t="shared" si="11"/>
        <v>315.46646341463418</v>
      </c>
      <c r="L161" s="21">
        <v>0.56640000000000001</v>
      </c>
      <c r="M161" s="21">
        <f>VLOOKUP(A161,'[1]LAM NewParts Analysis'!$A:$I,9,FALSE)</f>
        <v>1.1497035</v>
      </c>
    </row>
    <row r="162" spans="1:13" x14ac:dyDescent="0.25">
      <c r="A162" t="s">
        <v>635</v>
      </c>
      <c r="B162" t="s">
        <v>636</v>
      </c>
      <c r="C162" t="s">
        <v>637</v>
      </c>
      <c r="D162" t="s">
        <v>638</v>
      </c>
      <c r="E162" t="s">
        <v>239</v>
      </c>
      <c r="F162">
        <v>600</v>
      </c>
      <c r="G162" s="17">
        <v>0.43009999999999998</v>
      </c>
      <c r="H162" s="6">
        <f t="shared" si="8"/>
        <v>258.06</v>
      </c>
      <c r="I162" s="6">
        <f t="shared" si="9"/>
        <v>0.52451219512195124</v>
      </c>
      <c r="J162" s="6">
        <f t="shared" si="10"/>
        <v>56.647317073170768</v>
      </c>
      <c r="K162" s="6">
        <f t="shared" si="11"/>
        <v>314.70731707317077</v>
      </c>
      <c r="L162" s="21">
        <v>0.1181</v>
      </c>
      <c r="M162" s="21">
        <f>VLOOKUP(A162,'[1]LAM NewParts Analysis'!$A:$I,9,FALSE)</f>
        <v>0.29296349999999999</v>
      </c>
    </row>
    <row r="163" spans="1:13" x14ac:dyDescent="0.25">
      <c r="A163" s="18" t="s">
        <v>639</v>
      </c>
      <c r="B163" s="18" t="s">
        <v>640</v>
      </c>
      <c r="C163" s="19" t="s">
        <v>641</v>
      </c>
      <c r="D163" s="19" t="s">
        <v>642</v>
      </c>
      <c r="E163" t="s">
        <v>168</v>
      </c>
      <c r="F163">
        <v>40</v>
      </c>
      <c r="G163" s="17">
        <v>6.45</v>
      </c>
      <c r="H163" s="6">
        <f t="shared" si="8"/>
        <v>258</v>
      </c>
      <c r="I163" s="6">
        <f t="shared" si="9"/>
        <v>7.8658536585365857</v>
      </c>
      <c r="J163" s="6">
        <f t="shared" si="10"/>
        <v>56.634146341463406</v>
      </c>
      <c r="K163" s="6">
        <f t="shared" si="11"/>
        <v>314.63414634146341</v>
      </c>
      <c r="L163" s="21">
        <v>3.8</v>
      </c>
      <c r="M163" s="21">
        <f>VLOOKUP(A163,'[1]LAM NewParts Analysis'!$A:$I,9,FALSE)</f>
        <v>6.4348559999999999</v>
      </c>
    </row>
    <row r="164" spans="1:13" x14ac:dyDescent="0.25">
      <c r="A164" t="s">
        <v>643</v>
      </c>
      <c r="B164" t="s">
        <v>644</v>
      </c>
      <c r="C164" t="s">
        <v>645</v>
      </c>
      <c r="D164" t="s">
        <v>646</v>
      </c>
      <c r="E164" t="s">
        <v>219</v>
      </c>
      <c r="F164">
        <v>100</v>
      </c>
      <c r="G164" s="17">
        <v>2.5792000000000002</v>
      </c>
      <c r="H164" s="6">
        <f t="shared" si="8"/>
        <v>257.92</v>
      </c>
      <c r="I164" s="6">
        <f t="shared" si="9"/>
        <v>3.1453658536585372</v>
      </c>
      <c r="J164" s="6">
        <f t="shared" si="10"/>
        <v>56.616585365853723</v>
      </c>
      <c r="K164" s="6">
        <f t="shared" si="11"/>
        <v>314.53658536585374</v>
      </c>
      <c r="L164" s="21">
        <v>1.333</v>
      </c>
      <c r="M164" s="21">
        <f>VLOOKUP(A164,'[1]LAM NewParts Analysis'!$A:$I,9,FALSE)</f>
        <v>1.7120264999999999</v>
      </c>
    </row>
    <row r="165" spans="1:13" x14ac:dyDescent="0.25">
      <c r="A165" s="18" t="s">
        <v>647</v>
      </c>
      <c r="B165" s="18" t="s">
        <v>648</v>
      </c>
      <c r="C165" s="19" t="s">
        <v>649</v>
      </c>
      <c r="D165" s="19" t="s">
        <v>203</v>
      </c>
      <c r="E165" t="s">
        <v>110</v>
      </c>
      <c r="F165">
        <v>70</v>
      </c>
      <c r="G165" s="17">
        <v>3.68</v>
      </c>
      <c r="H165" s="6">
        <f t="shared" si="8"/>
        <v>257.60000000000002</v>
      </c>
      <c r="I165" s="6">
        <f t="shared" si="9"/>
        <v>4.4878048780487809</v>
      </c>
      <c r="J165" s="6">
        <f t="shared" si="10"/>
        <v>56.546341463414649</v>
      </c>
      <c r="K165" s="6">
        <f t="shared" si="11"/>
        <v>314.14634146341467</v>
      </c>
      <c r="L165" s="21">
        <v>1.4019999999999999</v>
      </c>
      <c r="M165" s="21">
        <f>VLOOKUP(A165,'[1]LAM NewParts Analysis'!$A:$I,9,FALSE)</f>
        <v>1.8519355</v>
      </c>
    </row>
    <row r="166" spans="1:13" x14ac:dyDescent="0.25">
      <c r="A166" t="s">
        <v>650</v>
      </c>
      <c r="B166" t="s">
        <v>651</v>
      </c>
      <c r="C166" t="s">
        <v>652</v>
      </c>
      <c r="D166" t="s">
        <v>424</v>
      </c>
      <c r="E166" t="s">
        <v>448</v>
      </c>
      <c r="F166">
        <v>900</v>
      </c>
      <c r="G166" s="17">
        <v>0.28599999999999998</v>
      </c>
      <c r="H166" s="6">
        <f t="shared" si="8"/>
        <v>257.39999999999998</v>
      </c>
      <c r="I166" s="6">
        <f t="shared" si="9"/>
        <v>0.34878048780487803</v>
      </c>
      <c r="J166" s="6">
        <f t="shared" si="10"/>
        <v>56.502439024390242</v>
      </c>
      <c r="K166" s="6">
        <f t="shared" si="11"/>
        <v>313.90243902439022</v>
      </c>
      <c r="L166" s="21">
        <v>0.28010000000000002</v>
      </c>
      <c r="M166" s="21">
        <f>VLOOKUP(A166,'[1]LAM NewParts Analysis'!$A:$I,9,FALSE)</f>
        <v>0.28595900000000002</v>
      </c>
    </row>
    <row r="167" spans="1:13" x14ac:dyDescent="0.25">
      <c r="A167" t="s">
        <v>653</v>
      </c>
      <c r="B167" t="s">
        <v>654</v>
      </c>
      <c r="C167" t="s">
        <v>655</v>
      </c>
      <c r="D167" t="s">
        <v>656</v>
      </c>
      <c r="E167" t="s">
        <v>657</v>
      </c>
      <c r="F167">
        <v>400</v>
      </c>
      <c r="G167" s="17">
        <v>0.64300000000000002</v>
      </c>
      <c r="H167" s="6">
        <f t="shared" si="8"/>
        <v>257.2</v>
      </c>
      <c r="I167" s="6">
        <f t="shared" si="9"/>
        <v>0.78414634146341466</v>
      </c>
      <c r="J167" s="6">
        <f t="shared" si="10"/>
        <v>56.458536585365891</v>
      </c>
      <c r="K167" s="6">
        <f t="shared" si="11"/>
        <v>313.65853658536588</v>
      </c>
      <c r="L167" s="21">
        <v>0.25109999999999999</v>
      </c>
      <c r="M167" s="21">
        <f>VLOOKUP(A167,'[1]LAM NewParts Analysis'!$A:$I,9,FALSE)</f>
        <v>0.36076049999999998</v>
      </c>
    </row>
    <row r="168" spans="1:13" x14ac:dyDescent="0.25">
      <c r="A168" t="s">
        <v>658</v>
      </c>
      <c r="B168" t="s">
        <v>659</v>
      </c>
      <c r="C168" t="s">
        <v>660</v>
      </c>
      <c r="D168" t="s">
        <v>661</v>
      </c>
      <c r="E168" t="s">
        <v>172</v>
      </c>
      <c r="F168">
        <v>80</v>
      </c>
      <c r="G168" s="17">
        <v>3.2149999999999999</v>
      </c>
      <c r="H168" s="6">
        <f t="shared" si="8"/>
        <v>257.2</v>
      </c>
      <c r="I168" s="6">
        <f t="shared" si="9"/>
        <v>3.9207317073170733</v>
      </c>
      <c r="J168" s="6">
        <f t="shared" si="10"/>
        <v>56.458536585365891</v>
      </c>
      <c r="K168" s="6">
        <f t="shared" si="11"/>
        <v>313.65853658536588</v>
      </c>
      <c r="L168" s="21">
        <v>1.87</v>
      </c>
      <c r="M168" s="21">
        <f>VLOOKUP(A168,'[1]LAM NewParts Analysis'!$A:$I,9,FALSE)</f>
        <v>2.4827764999999999</v>
      </c>
    </row>
    <row r="169" spans="1:13" x14ac:dyDescent="0.25">
      <c r="A169" t="s">
        <v>662</v>
      </c>
      <c r="B169" t="s">
        <v>663</v>
      </c>
      <c r="C169" t="s">
        <v>664</v>
      </c>
      <c r="D169" t="s">
        <v>96</v>
      </c>
      <c r="E169" t="s">
        <v>551</v>
      </c>
      <c r="F169">
        <v>850</v>
      </c>
      <c r="G169" s="20">
        <v>0.3024</v>
      </c>
      <c r="H169" s="6">
        <f t="shared" si="8"/>
        <v>257.04000000000002</v>
      </c>
      <c r="I169" s="6">
        <f t="shared" si="9"/>
        <v>0.3687804878048781</v>
      </c>
      <c r="J169" s="6">
        <f t="shared" si="10"/>
        <v>56.423414634146354</v>
      </c>
      <c r="K169" s="6">
        <f t="shared" si="11"/>
        <v>313.46341463414637</v>
      </c>
      <c r="L169" s="21">
        <v>0.2203</v>
      </c>
      <c r="M169" s="21">
        <f>VLOOKUP(A169,'[1]LAM NewParts Analysis'!$A:$I,9,FALSE)</f>
        <v>8.8200000000000001E-2</v>
      </c>
    </row>
    <row r="170" spans="1:13" x14ac:dyDescent="0.25">
      <c r="A170" t="s">
        <v>665</v>
      </c>
      <c r="B170" t="s">
        <v>666</v>
      </c>
      <c r="C170" t="s">
        <v>667</v>
      </c>
      <c r="D170" t="s">
        <v>355</v>
      </c>
      <c r="E170" t="s">
        <v>66</v>
      </c>
      <c r="F170">
        <v>3000</v>
      </c>
      <c r="G170" s="17">
        <v>8.5500000000000007E-2</v>
      </c>
      <c r="H170" s="6">
        <f t="shared" si="8"/>
        <v>256.5</v>
      </c>
      <c r="I170" s="6">
        <f t="shared" si="9"/>
        <v>0.10426829268292684</v>
      </c>
      <c r="J170" s="6">
        <f t="shared" si="10"/>
        <v>56.304878048780495</v>
      </c>
      <c r="K170" s="6">
        <f t="shared" si="11"/>
        <v>312.80487804878049</v>
      </c>
      <c r="L170" s="21">
        <v>5.5599999999999997E-2</v>
      </c>
      <c r="M170" s="21">
        <f>VLOOKUP(A170,'[1]LAM NewParts Analysis'!$A:$I,9,FALSE)</f>
        <v>6.7857500000000001E-2</v>
      </c>
    </row>
    <row r="171" spans="1:13" x14ac:dyDescent="0.25">
      <c r="A171" t="s">
        <v>668</v>
      </c>
      <c r="B171" t="s">
        <v>669</v>
      </c>
      <c r="C171" t="s">
        <v>670</v>
      </c>
      <c r="D171" t="s">
        <v>347</v>
      </c>
      <c r="E171" t="s">
        <v>264</v>
      </c>
      <c r="F171">
        <v>150</v>
      </c>
      <c r="G171" s="17">
        <v>1.71</v>
      </c>
      <c r="H171" s="6">
        <f t="shared" si="8"/>
        <v>256.5</v>
      </c>
      <c r="I171" s="6">
        <f t="shared" si="9"/>
        <v>2.0853658536585367</v>
      </c>
      <c r="J171" s="6">
        <f t="shared" si="10"/>
        <v>56.304878048780495</v>
      </c>
      <c r="K171" s="6">
        <f t="shared" si="11"/>
        <v>312.80487804878049</v>
      </c>
      <c r="L171" s="21">
        <v>0.52</v>
      </c>
      <c r="M171" s="21">
        <f>VLOOKUP(A171,'[1]LAM NewParts Analysis'!$A:$I,9,FALSE)</f>
        <v>1.7007840000000001</v>
      </c>
    </row>
    <row r="172" spans="1:13" x14ac:dyDescent="0.25">
      <c r="A172" t="s">
        <v>671</v>
      </c>
      <c r="B172" t="s">
        <v>672</v>
      </c>
      <c r="C172" t="s">
        <v>673</v>
      </c>
      <c r="D172" t="s">
        <v>360</v>
      </c>
      <c r="E172" t="s">
        <v>78</v>
      </c>
      <c r="F172">
        <v>35</v>
      </c>
      <c r="G172" s="17">
        <v>7.3281999999999998</v>
      </c>
      <c r="H172" s="6">
        <f t="shared" si="8"/>
        <v>256.48699999999997</v>
      </c>
      <c r="I172" s="6">
        <f t="shared" si="9"/>
        <v>8.9368292682926835</v>
      </c>
      <c r="J172" s="6">
        <f t="shared" si="10"/>
        <v>56.302024390243957</v>
      </c>
      <c r="K172" s="6">
        <f t="shared" si="11"/>
        <v>312.78902439024392</v>
      </c>
      <c r="L172" s="21">
        <v>4.1399999999999997</v>
      </c>
      <c r="M172" s="21">
        <f>VLOOKUP(A172,'[1]LAM NewParts Analysis'!$A:$I,9,FALSE)</f>
        <v>5.7599970000000003</v>
      </c>
    </row>
    <row r="173" spans="1:13" x14ac:dyDescent="0.25">
      <c r="A173" t="s">
        <v>674</v>
      </c>
      <c r="B173" t="s">
        <v>675</v>
      </c>
      <c r="C173" t="s">
        <v>676</v>
      </c>
      <c r="D173" t="s">
        <v>281</v>
      </c>
      <c r="E173" t="s">
        <v>97</v>
      </c>
      <c r="F173">
        <v>115</v>
      </c>
      <c r="G173" s="17">
        <v>2.23</v>
      </c>
      <c r="H173" s="6">
        <f t="shared" si="8"/>
        <v>256.45</v>
      </c>
      <c r="I173" s="6">
        <f t="shared" si="9"/>
        <v>2.7195121951219514</v>
      </c>
      <c r="J173" s="6">
        <f t="shared" si="10"/>
        <v>56.293902439024407</v>
      </c>
      <c r="K173" s="6">
        <f t="shared" si="11"/>
        <v>312.7439024390244</v>
      </c>
      <c r="L173" s="21">
        <v>0.99</v>
      </c>
      <c r="M173" s="21">
        <f>VLOOKUP(A173,'[1]LAM NewParts Analysis'!$A:$I,9,FALSE)</f>
        <v>1.7141759999999999</v>
      </c>
    </row>
    <row r="174" spans="1:13" x14ac:dyDescent="0.25">
      <c r="A174" t="s">
        <v>677</v>
      </c>
      <c r="B174" t="s">
        <v>678</v>
      </c>
      <c r="C174" t="s">
        <v>679</v>
      </c>
      <c r="D174" t="s">
        <v>355</v>
      </c>
      <c r="E174" t="s">
        <v>356</v>
      </c>
      <c r="F174">
        <v>3000</v>
      </c>
      <c r="G174" s="17">
        <v>8.5400000000000004E-2</v>
      </c>
      <c r="H174" s="6">
        <f t="shared" si="8"/>
        <v>256.2</v>
      </c>
      <c r="I174" s="6">
        <f t="shared" si="9"/>
        <v>0.10414634146341464</v>
      </c>
      <c r="J174" s="6">
        <f t="shared" si="10"/>
        <v>56.239024390243969</v>
      </c>
      <c r="K174" s="6">
        <f t="shared" si="11"/>
        <v>312.43902439024396</v>
      </c>
      <c r="L174" s="21">
        <v>5.0700000000000002E-2</v>
      </c>
      <c r="M174" s="21">
        <f>VLOOKUP(A174,'[1]LAM NewParts Analysis'!$A:$I,9,FALSE)</f>
        <v>7.1539999999999992E-2</v>
      </c>
    </row>
    <row r="175" spans="1:13" x14ac:dyDescent="0.25">
      <c r="A175" t="s">
        <v>680</v>
      </c>
      <c r="B175" t="s">
        <v>681</v>
      </c>
      <c r="C175" t="s">
        <v>682</v>
      </c>
      <c r="D175" t="s">
        <v>360</v>
      </c>
      <c r="E175" t="s">
        <v>97</v>
      </c>
      <c r="F175">
        <v>40</v>
      </c>
      <c r="G175" s="17">
        <v>6.3993000000000002</v>
      </c>
      <c r="H175" s="6">
        <f t="shared" si="8"/>
        <v>255.97200000000001</v>
      </c>
      <c r="I175" s="6">
        <f t="shared" si="9"/>
        <v>7.804024390243903</v>
      </c>
      <c r="J175" s="6">
        <f t="shared" si="10"/>
        <v>56.188975609756113</v>
      </c>
      <c r="K175" s="6">
        <f t="shared" si="11"/>
        <v>312.16097560975612</v>
      </c>
      <c r="L175" s="21">
        <v>3.66</v>
      </c>
      <c r="M175" s="21">
        <f>VLOOKUP(A175,'[1]LAM NewParts Analysis'!$A:$I,9,FALSE)</f>
        <v>4.0799969999999997</v>
      </c>
    </row>
    <row r="176" spans="1:13" x14ac:dyDescent="0.25">
      <c r="A176" t="s">
        <v>683</v>
      </c>
      <c r="B176" t="s">
        <v>684</v>
      </c>
      <c r="C176" t="s">
        <v>685</v>
      </c>
      <c r="D176" t="s">
        <v>109</v>
      </c>
      <c r="E176" t="s">
        <v>448</v>
      </c>
      <c r="F176">
        <v>400</v>
      </c>
      <c r="G176" s="17">
        <v>0.63949999999999996</v>
      </c>
      <c r="H176" s="6">
        <f t="shared" si="8"/>
        <v>255.79999999999998</v>
      </c>
      <c r="I176" s="6">
        <f t="shared" si="9"/>
        <v>0.77987804878048783</v>
      </c>
      <c r="J176" s="6">
        <f t="shared" si="10"/>
        <v>56.151219512195127</v>
      </c>
      <c r="K176" s="6">
        <f t="shared" si="11"/>
        <v>311.95121951219511</v>
      </c>
      <c r="L176" s="21">
        <v>0.378</v>
      </c>
      <c r="M176" s="21">
        <f>VLOOKUP(A176,'[1]LAM NewParts Analysis'!$A:$I,9,FALSE)</f>
        <v>0.60762850000000002</v>
      </c>
    </row>
    <row r="177" spans="1:13" x14ac:dyDescent="0.25">
      <c r="A177" s="18" t="s">
        <v>686</v>
      </c>
      <c r="B177" s="18" t="s">
        <v>687</v>
      </c>
      <c r="C177" s="19" t="s">
        <v>688</v>
      </c>
      <c r="D177" s="19" t="s">
        <v>424</v>
      </c>
      <c r="E177" t="s">
        <v>102</v>
      </c>
      <c r="F177">
        <v>275</v>
      </c>
      <c r="G177" s="17">
        <v>0.93</v>
      </c>
      <c r="H177" s="6">
        <f t="shared" si="8"/>
        <v>255.75</v>
      </c>
      <c r="I177" s="6">
        <f t="shared" si="9"/>
        <v>1.1341463414634148</v>
      </c>
      <c r="J177" s="6">
        <f t="shared" si="10"/>
        <v>56.140243902439067</v>
      </c>
      <c r="K177" s="6">
        <f t="shared" si="11"/>
        <v>311.89024390243907</v>
      </c>
      <c r="L177" s="21">
        <v>0.14000000000000001</v>
      </c>
      <c r="M177" s="21">
        <f>VLOOKUP(A177,'[1]LAM NewParts Analysis'!$A:$I,9,FALSE)</f>
        <v>0.16582</v>
      </c>
    </row>
    <row r="178" spans="1:13" x14ac:dyDescent="0.25">
      <c r="A178" s="18" t="s">
        <v>689</v>
      </c>
      <c r="B178" s="18" t="s">
        <v>690</v>
      </c>
      <c r="C178" s="19" t="s">
        <v>691</v>
      </c>
      <c r="D178" s="19" t="s">
        <v>60</v>
      </c>
      <c r="E178" t="s">
        <v>414</v>
      </c>
      <c r="F178">
        <v>20</v>
      </c>
      <c r="G178" s="17">
        <v>12.782</v>
      </c>
      <c r="H178" s="6">
        <f t="shared" si="8"/>
        <v>255.64</v>
      </c>
      <c r="I178" s="6">
        <f t="shared" si="9"/>
        <v>15.587804878048781</v>
      </c>
      <c r="J178" s="6">
        <f t="shared" si="10"/>
        <v>56.116097560975618</v>
      </c>
      <c r="K178" s="6">
        <f t="shared" si="11"/>
        <v>311.7560975609756</v>
      </c>
      <c r="L178" s="21">
        <v>3.35</v>
      </c>
      <c r="M178" s="21">
        <f>VLOOKUP(A178,'[1]LAM NewParts Analysis'!$A:$I,9,FALSE)</f>
        <v>3.4877595000000001</v>
      </c>
    </row>
    <row r="179" spans="1:13" x14ac:dyDescent="0.25">
      <c r="A179" t="s">
        <v>692</v>
      </c>
      <c r="B179" t="s">
        <v>693</v>
      </c>
      <c r="C179" t="s">
        <v>694</v>
      </c>
      <c r="D179" t="s">
        <v>324</v>
      </c>
      <c r="E179" t="s">
        <v>172</v>
      </c>
      <c r="F179">
        <v>310</v>
      </c>
      <c r="G179" s="17">
        <v>0.82299999999999995</v>
      </c>
      <c r="H179" s="6">
        <f t="shared" si="8"/>
        <v>255.13</v>
      </c>
      <c r="I179" s="6">
        <f t="shared" si="9"/>
        <v>1.0036585365853659</v>
      </c>
      <c r="J179" s="6">
        <f t="shared" si="10"/>
        <v>56.004146341463411</v>
      </c>
      <c r="K179" s="6">
        <f t="shared" si="11"/>
        <v>311.13414634146341</v>
      </c>
      <c r="L179" s="21">
        <v>0.54600000000000004</v>
      </c>
      <c r="M179" s="21">
        <f>VLOOKUP(A179,'[1]LAM NewParts Analysis'!$A:$I,9,FALSE)</f>
        <v>0.58490900000000001</v>
      </c>
    </row>
    <row r="180" spans="1:13" x14ac:dyDescent="0.25">
      <c r="A180" t="s">
        <v>695</v>
      </c>
      <c r="B180" t="s">
        <v>696</v>
      </c>
      <c r="C180" t="s">
        <v>697</v>
      </c>
      <c r="D180" t="s">
        <v>355</v>
      </c>
      <c r="E180" t="s">
        <v>356</v>
      </c>
      <c r="F180">
        <v>3000</v>
      </c>
      <c r="G180" s="17">
        <v>8.5000000000000006E-2</v>
      </c>
      <c r="H180" s="6">
        <f t="shared" si="8"/>
        <v>255.00000000000003</v>
      </c>
      <c r="I180" s="6">
        <f t="shared" si="9"/>
        <v>0.10365853658536586</v>
      </c>
      <c r="J180" s="6">
        <f t="shared" si="10"/>
        <v>55.975609756097555</v>
      </c>
      <c r="K180" s="6">
        <f t="shared" si="11"/>
        <v>310.97560975609758</v>
      </c>
      <c r="L180" s="21">
        <v>5.0700000000000002E-2</v>
      </c>
      <c r="M180" s="21">
        <f>VLOOKUP(A180,'[1]LAM NewParts Analysis'!$A:$I,9,FALSE)</f>
        <v>8.1021999999999997E-2</v>
      </c>
    </row>
    <row r="181" spans="1:13" x14ac:dyDescent="0.25">
      <c r="A181" s="18" t="s">
        <v>698</v>
      </c>
      <c r="B181" s="18" t="s">
        <v>699</v>
      </c>
      <c r="C181" s="19" t="s">
        <v>700</v>
      </c>
      <c r="D181" s="19" t="s">
        <v>701</v>
      </c>
      <c r="E181" t="s">
        <v>149</v>
      </c>
      <c r="F181">
        <v>60</v>
      </c>
      <c r="G181" s="17">
        <v>4.25</v>
      </c>
      <c r="H181" s="6">
        <f t="shared" si="8"/>
        <v>255</v>
      </c>
      <c r="I181" s="6">
        <f t="shared" si="9"/>
        <v>5.1829268292682933</v>
      </c>
      <c r="J181" s="6">
        <f t="shared" si="10"/>
        <v>55.975609756097583</v>
      </c>
      <c r="K181" s="6">
        <f t="shared" si="11"/>
        <v>310.97560975609758</v>
      </c>
      <c r="L181" s="21">
        <v>2.34</v>
      </c>
      <c r="M181" s="21">
        <f>VLOOKUP(A181,'[1]LAM NewParts Analysis'!$A:$I,9,FALSE)</f>
        <v>2.8558374999999998</v>
      </c>
    </row>
    <row r="182" spans="1:13" x14ac:dyDescent="0.25">
      <c r="A182" t="s">
        <v>702</v>
      </c>
      <c r="B182" t="s">
        <v>703</v>
      </c>
      <c r="C182" t="s">
        <v>704</v>
      </c>
      <c r="D182" t="s">
        <v>308</v>
      </c>
      <c r="E182" t="s">
        <v>301</v>
      </c>
      <c r="F182">
        <v>80</v>
      </c>
      <c r="G182" s="17">
        <v>3.1850000000000001</v>
      </c>
      <c r="H182" s="6">
        <f t="shared" si="8"/>
        <v>254.8</v>
      </c>
      <c r="I182" s="6">
        <f t="shared" si="9"/>
        <v>3.8841463414634148</v>
      </c>
      <c r="J182" s="6">
        <f t="shared" si="10"/>
        <v>55.931707317073176</v>
      </c>
      <c r="K182" s="6">
        <f t="shared" si="11"/>
        <v>310.73170731707319</v>
      </c>
      <c r="L182" s="21">
        <v>2.2400000000000002</v>
      </c>
      <c r="M182" s="21">
        <f>VLOOKUP(A182,'[1]LAM NewParts Analysis'!$A:$I,9,FALSE)</f>
        <v>1.7799990000000001</v>
      </c>
    </row>
    <row r="183" spans="1:13" x14ac:dyDescent="0.25">
      <c r="A183" t="s">
        <v>705</v>
      </c>
      <c r="B183" t="s">
        <v>706</v>
      </c>
      <c r="C183" t="s">
        <v>707</v>
      </c>
      <c r="D183" t="s">
        <v>109</v>
      </c>
      <c r="E183" t="s">
        <v>320</v>
      </c>
      <c r="F183">
        <v>35</v>
      </c>
      <c r="G183" s="17">
        <v>7.2714999999999996</v>
      </c>
      <c r="H183" s="6">
        <f t="shared" si="8"/>
        <v>254.5025</v>
      </c>
      <c r="I183" s="6">
        <f t="shared" si="9"/>
        <v>8.8676829268292678</v>
      </c>
      <c r="J183" s="6">
        <f t="shared" si="10"/>
        <v>55.866402439024398</v>
      </c>
      <c r="K183" s="6">
        <f t="shared" si="11"/>
        <v>310.3689024390244</v>
      </c>
      <c r="L183" s="21">
        <v>4.4530000000000003</v>
      </c>
      <c r="M183" s="21">
        <f>VLOOKUP(A183,'[1]LAM NewParts Analysis'!$A:$I,9,FALSE)</f>
        <v>6.1096835</v>
      </c>
    </row>
    <row r="184" spans="1:13" x14ac:dyDescent="0.25">
      <c r="A184" s="18" t="s">
        <v>708</v>
      </c>
      <c r="B184" s="18" t="s">
        <v>709</v>
      </c>
      <c r="C184" s="19" t="s">
        <v>710</v>
      </c>
      <c r="D184" s="19" t="s">
        <v>130</v>
      </c>
      <c r="E184" t="s">
        <v>320</v>
      </c>
      <c r="F184">
        <v>35</v>
      </c>
      <c r="G184" s="17">
        <v>7.25</v>
      </c>
      <c r="H184" s="6">
        <f t="shared" si="8"/>
        <v>253.75</v>
      </c>
      <c r="I184" s="6">
        <f t="shared" si="9"/>
        <v>8.8414634146341466</v>
      </c>
      <c r="J184" s="6">
        <f t="shared" si="10"/>
        <v>55.701219512195109</v>
      </c>
      <c r="K184" s="6">
        <f t="shared" si="11"/>
        <v>309.45121951219511</v>
      </c>
      <c r="L184" s="21">
        <v>3.45</v>
      </c>
      <c r="M184" s="21">
        <f>VLOOKUP(A184,'[1]LAM NewParts Analysis'!$A:$I,9,FALSE)</f>
        <v>6.7928375000000001</v>
      </c>
    </row>
    <row r="185" spans="1:13" x14ac:dyDescent="0.25">
      <c r="A185" t="s">
        <v>711</v>
      </c>
      <c r="B185" t="s">
        <v>712</v>
      </c>
      <c r="C185" t="s">
        <v>713</v>
      </c>
      <c r="D185" t="s">
        <v>138</v>
      </c>
      <c r="E185" t="s">
        <v>289</v>
      </c>
      <c r="F185">
        <v>180</v>
      </c>
      <c r="G185" s="17">
        <v>1.4093</v>
      </c>
      <c r="H185" s="6">
        <f t="shared" si="8"/>
        <v>253.67400000000001</v>
      </c>
      <c r="I185" s="6">
        <f t="shared" si="9"/>
        <v>1.7186585365853659</v>
      </c>
      <c r="J185" s="6">
        <f t="shared" si="10"/>
        <v>55.684536585365862</v>
      </c>
      <c r="K185" s="6">
        <f t="shared" si="11"/>
        <v>309.35853658536587</v>
      </c>
      <c r="L185" s="21">
        <v>0.86470000000000002</v>
      </c>
      <c r="M185" s="21">
        <f>VLOOKUP(A185,'[1]LAM NewParts Analysis'!$A:$I,9,FALSE)</f>
        <v>1.4074990000000001</v>
      </c>
    </row>
    <row r="186" spans="1:13" x14ac:dyDescent="0.25">
      <c r="A186" t="s">
        <v>714</v>
      </c>
      <c r="B186" t="s">
        <v>715</v>
      </c>
      <c r="C186" t="s">
        <v>716</v>
      </c>
      <c r="D186" t="s">
        <v>717</v>
      </c>
      <c r="E186" t="s">
        <v>139</v>
      </c>
      <c r="F186">
        <v>150</v>
      </c>
      <c r="G186" s="17">
        <v>1.6906000000000001</v>
      </c>
      <c r="H186" s="6">
        <f t="shared" si="8"/>
        <v>253.59</v>
      </c>
      <c r="I186" s="6">
        <f t="shared" si="9"/>
        <v>2.061707317073171</v>
      </c>
      <c r="J186" s="6">
        <f t="shared" si="10"/>
        <v>55.666097560975658</v>
      </c>
      <c r="K186" s="6">
        <f t="shared" si="11"/>
        <v>309.25609756097566</v>
      </c>
      <c r="L186" s="21">
        <v>1.3</v>
      </c>
      <c r="M186" s="21">
        <f>VLOOKUP(A186,'[1]LAM NewParts Analysis'!$A:$I,9,FALSE)</f>
        <v>1.3399989999999999</v>
      </c>
    </row>
    <row r="187" spans="1:13" x14ac:dyDescent="0.25">
      <c r="A187" t="s">
        <v>718</v>
      </c>
      <c r="B187" t="s">
        <v>719</v>
      </c>
      <c r="C187" t="s">
        <v>720</v>
      </c>
      <c r="D187" t="s">
        <v>527</v>
      </c>
      <c r="E187" t="s">
        <v>149</v>
      </c>
      <c r="F187">
        <v>300</v>
      </c>
      <c r="G187" s="17">
        <v>0.84450000000000003</v>
      </c>
      <c r="H187" s="6">
        <f t="shared" si="8"/>
        <v>253.35000000000002</v>
      </c>
      <c r="I187" s="6">
        <f t="shared" si="9"/>
        <v>1.0298780487804879</v>
      </c>
      <c r="J187" s="6">
        <f t="shared" si="10"/>
        <v>55.613414634146352</v>
      </c>
      <c r="K187" s="6">
        <f t="shared" si="11"/>
        <v>308.96341463414637</v>
      </c>
      <c r="L187" s="21">
        <v>0.39029999999999998</v>
      </c>
      <c r="M187" s="21">
        <f>VLOOKUP(A187,'[1]LAM NewParts Analysis'!$A:$I,9,FALSE)</f>
        <v>0.62406700000000004</v>
      </c>
    </row>
    <row r="188" spans="1:13" x14ac:dyDescent="0.25">
      <c r="A188" t="s">
        <v>721</v>
      </c>
      <c r="B188" t="s">
        <v>722</v>
      </c>
      <c r="C188" t="s">
        <v>723</v>
      </c>
      <c r="D188" t="s">
        <v>527</v>
      </c>
      <c r="E188" t="s">
        <v>172</v>
      </c>
      <c r="F188">
        <v>350</v>
      </c>
      <c r="G188" s="17">
        <v>0.72350000000000003</v>
      </c>
      <c r="H188" s="6">
        <f t="shared" si="8"/>
        <v>253.22500000000002</v>
      </c>
      <c r="I188" s="6">
        <f t="shared" si="9"/>
        <v>0.88231707317073182</v>
      </c>
      <c r="J188" s="6">
        <f t="shared" si="10"/>
        <v>55.585975609756133</v>
      </c>
      <c r="K188" s="6">
        <f t="shared" si="11"/>
        <v>308.81097560975616</v>
      </c>
      <c r="L188" s="21">
        <v>0.33700000000000002</v>
      </c>
      <c r="M188" s="21">
        <f>VLOOKUP(A188,'[1]LAM NewParts Analysis'!$A:$I,9,FALSE)</f>
        <v>0.47526849999999998</v>
      </c>
    </row>
    <row r="189" spans="1:13" x14ac:dyDescent="0.25">
      <c r="A189" t="s">
        <v>724</v>
      </c>
      <c r="B189" t="s">
        <v>725</v>
      </c>
      <c r="C189" t="s">
        <v>726</v>
      </c>
      <c r="D189" t="s">
        <v>727</v>
      </c>
      <c r="E189" t="s">
        <v>102</v>
      </c>
      <c r="F189">
        <v>600</v>
      </c>
      <c r="G189" s="17">
        <v>0.42199999999999999</v>
      </c>
      <c r="H189" s="6">
        <f t="shared" si="8"/>
        <v>253.2</v>
      </c>
      <c r="I189" s="6">
        <f t="shared" si="9"/>
        <v>0.51463414634146343</v>
      </c>
      <c r="J189" s="6">
        <f t="shared" si="10"/>
        <v>55.580487804878089</v>
      </c>
      <c r="K189" s="6">
        <f t="shared" si="11"/>
        <v>308.78048780487808</v>
      </c>
      <c r="L189" s="21">
        <v>0.105</v>
      </c>
      <c r="M189" s="21">
        <f>VLOOKUP(A189,'[1]LAM NewParts Analysis'!$A:$I,9,FALSE)</f>
        <v>0.186302</v>
      </c>
    </row>
    <row r="190" spans="1:13" x14ac:dyDescent="0.25">
      <c r="A190" s="18" t="s">
        <v>728</v>
      </c>
      <c r="B190" s="18" t="s">
        <v>729</v>
      </c>
      <c r="C190" s="19" t="s">
        <v>730</v>
      </c>
      <c r="D190" s="19" t="s">
        <v>424</v>
      </c>
      <c r="E190" t="s">
        <v>551</v>
      </c>
      <c r="F190">
        <v>625</v>
      </c>
      <c r="G190" s="17">
        <v>0.40500000000000003</v>
      </c>
      <c r="H190" s="6">
        <f t="shared" si="8"/>
        <v>253.12500000000003</v>
      </c>
      <c r="I190" s="6">
        <f t="shared" si="9"/>
        <v>0.49390243902439029</v>
      </c>
      <c r="J190" s="6">
        <f t="shared" si="10"/>
        <v>55.564024390243929</v>
      </c>
      <c r="K190" s="6">
        <f t="shared" si="11"/>
        <v>308.68902439024396</v>
      </c>
      <c r="L190" s="21">
        <v>0.15340000000000001</v>
      </c>
      <c r="M190" s="21">
        <f>VLOOKUP(A190,'[1]LAM NewParts Analysis'!$A:$I,9,FALSE)</f>
        <v>0.31135249999999998</v>
      </c>
    </row>
    <row r="191" spans="1:13" x14ac:dyDescent="0.25">
      <c r="A191" s="18" t="s">
        <v>731</v>
      </c>
      <c r="B191" s="18" t="s">
        <v>732</v>
      </c>
      <c r="C191" s="19" t="s">
        <v>733</v>
      </c>
      <c r="D191" s="19" t="s">
        <v>734</v>
      </c>
      <c r="E191" t="s">
        <v>204</v>
      </c>
      <c r="F191">
        <v>55</v>
      </c>
      <c r="G191" s="17">
        <v>4.5986000000000002</v>
      </c>
      <c r="H191" s="6">
        <f t="shared" si="8"/>
        <v>252.923</v>
      </c>
      <c r="I191" s="6">
        <f t="shared" si="9"/>
        <v>5.6080487804878052</v>
      </c>
      <c r="J191" s="6">
        <f t="shared" si="10"/>
        <v>55.519682926829262</v>
      </c>
      <c r="K191" s="6">
        <f t="shared" si="11"/>
        <v>308.44268292682926</v>
      </c>
      <c r="L191" s="21">
        <v>2.72</v>
      </c>
      <c r="M191" s="21">
        <f>VLOOKUP(A191,'[1]LAM NewParts Analysis'!$A:$I,9,FALSE)</f>
        <v>4.5985585000000002</v>
      </c>
    </row>
    <row r="192" spans="1:13" x14ac:dyDescent="0.25">
      <c r="A192" t="s">
        <v>735</v>
      </c>
      <c r="B192" t="s">
        <v>736</v>
      </c>
      <c r="C192" t="s">
        <v>737</v>
      </c>
      <c r="D192" t="s">
        <v>738</v>
      </c>
      <c r="E192" t="s">
        <v>513</v>
      </c>
      <c r="F192">
        <v>1250</v>
      </c>
      <c r="G192" s="17">
        <v>0.20200000000000001</v>
      </c>
      <c r="H192" s="6">
        <f t="shared" si="8"/>
        <v>252.50000000000003</v>
      </c>
      <c r="I192" s="6">
        <f t="shared" si="9"/>
        <v>0.24634146341463417</v>
      </c>
      <c r="J192" s="6">
        <f t="shared" si="10"/>
        <v>55.426829268292664</v>
      </c>
      <c r="K192" s="6">
        <f t="shared" si="11"/>
        <v>307.92682926829269</v>
      </c>
      <c r="L192" s="21">
        <v>0.1278</v>
      </c>
      <c r="M192" s="21">
        <f>VLOOKUP(A192,'[1]LAM NewParts Analysis'!$A:$I,9,FALSE)</f>
        <v>0.19753200000000001</v>
      </c>
    </row>
    <row r="193" spans="1:13" x14ac:dyDescent="0.25">
      <c r="A193" t="s">
        <v>739</v>
      </c>
      <c r="B193" t="s">
        <v>740</v>
      </c>
      <c r="C193" t="s">
        <v>741</v>
      </c>
      <c r="D193" t="s">
        <v>380</v>
      </c>
      <c r="E193" t="s">
        <v>172</v>
      </c>
      <c r="F193">
        <v>150</v>
      </c>
      <c r="G193" s="17">
        <v>1.6821999999999999</v>
      </c>
      <c r="H193" s="6">
        <f t="shared" si="8"/>
        <v>252.32999999999998</v>
      </c>
      <c r="I193" s="6">
        <f t="shared" si="9"/>
        <v>2.0514634146341462</v>
      </c>
      <c r="J193" s="6">
        <f t="shared" si="10"/>
        <v>55.389512195121938</v>
      </c>
      <c r="K193" s="6">
        <f t="shared" si="11"/>
        <v>307.71951219512192</v>
      </c>
      <c r="L193" s="21">
        <v>0.97499999999999998</v>
      </c>
      <c r="M193" s="21">
        <f>VLOOKUP(A193,'[1]LAM NewParts Analysis'!$A:$I,9,FALSE)</f>
        <v>1.27532</v>
      </c>
    </row>
    <row r="194" spans="1:13" x14ac:dyDescent="0.25">
      <c r="A194" t="s">
        <v>742</v>
      </c>
      <c r="B194" t="s">
        <v>743</v>
      </c>
      <c r="C194" t="s">
        <v>744</v>
      </c>
      <c r="D194" t="s">
        <v>355</v>
      </c>
      <c r="E194" t="s">
        <v>356</v>
      </c>
      <c r="F194">
        <v>1400</v>
      </c>
      <c r="G194" s="17">
        <v>0.18010000000000001</v>
      </c>
      <c r="H194" s="6">
        <f t="shared" si="8"/>
        <v>252.14000000000001</v>
      </c>
      <c r="I194" s="6">
        <f t="shared" si="9"/>
        <v>0.21963414634146344</v>
      </c>
      <c r="J194" s="6">
        <f t="shared" si="10"/>
        <v>55.347804878048834</v>
      </c>
      <c r="K194" s="6">
        <f t="shared" si="11"/>
        <v>307.48780487804885</v>
      </c>
      <c r="L194" s="21">
        <v>5.0700000000000002E-2</v>
      </c>
      <c r="M194" s="21">
        <f>VLOOKUP(A194,'[1]LAM NewParts Analysis'!$A:$I,9,FALSE)</f>
        <v>0.18012249999999999</v>
      </c>
    </row>
    <row r="195" spans="1:13" x14ac:dyDescent="0.25">
      <c r="A195" t="s">
        <v>745</v>
      </c>
      <c r="B195" t="s">
        <v>746</v>
      </c>
      <c r="C195" t="s">
        <v>747</v>
      </c>
      <c r="D195" t="s">
        <v>109</v>
      </c>
      <c r="E195" t="s">
        <v>264</v>
      </c>
      <c r="F195">
        <v>35</v>
      </c>
      <c r="G195" s="20">
        <v>7.1955</v>
      </c>
      <c r="H195" s="6">
        <f t="shared" si="8"/>
        <v>251.8425</v>
      </c>
      <c r="I195" s="6">
        <f t="shared" si="9"/>
        <v>8.7750000000000004</v>
      </c>
      <c r="J195" s="6">
        <f t="shared" si="10"/>
        <v>55.282499999999999</v>
      </c>
      <c r="K195" s="6">
        <f t="shared" si="11"/>
        <v>307.125</v>
      </c>
      <c r="L195" s="21">
        <v>4.7960000000000003</v>
      </c>
      <c r="M195" s="21">
        <f>VLOOKUP(A195,'[1]LAM NewParts Analysis'!$A:$I,9,FALSE)</f>
        <v>5.0705730000000004</v>
      </c>
    </row>
    <row r="196" spans="1:13" x14ac:dyDescent="0.25">
      <c r="A196" s="18" t="s">
        <v>748</v>
      </c>
      <c r="B196" s="18" t="s">
        <v>749</v>
      </c>
      <c r="C196" s="19" t="s">
        <v>750</v>
      </c>
      <c r="D196" s="19" t="s">
        <v>109</v>
      </c>
      <c r="E196" t="s">
        <v>172</v>
      </c>
      <c r="F196">
        <v>55</v>
      </c>
      <c r="G196" s="17">
        <v>4.5765000000000002</v>
      </c>
      <c r="H196" s="6">
        <f t="shared" ref="H196:H209" si="12">G196*F196</f>
        <v>251.70750000000001</v>
      </c>
      <c r="I196" s="6">
        <f t="shared" ref="I196:I209" si="13">G196/0.82</f>
        <v>5.5810975609756106</v>
      </c>
      <c r="J196" s="6">
        <f t="shared" ref="J196:J209" si="14">K196-H196</f>
        <v>55.252865853658562</v>
      </c>
      <c r="K196" s="6">
        <f t="shared" ref="K196:K209" si="15">I196*F196</f>
        <v>306.96036585365857</v>
      </c>
      <c r="L196" s="21">
        <v>1.4990000000000001</v>
      </c>
      <c r="M196" s="21">
        <f>VLOOKUP(A196,'[1]LAM NewParts Analysis'!$A:$I,9,FALSE)</f>
        <v>2.4400225</v>
      </c>
    </row>
    <row r="197" spans="1:13" x14ac:dyDescent="0.25">
      <c r="A197" t="s">
        <v>751</v>
      </c>
      <c r="B197" t="s">
        <v>752</v>
      </c>
      <c r="C197" t="s">
        <v>753</v>
      </c>
      <c r="D197" t="s">
        <v>390</v>
      </c>
      <c r="E197" t="s">
        <v>66</v>
      </c>
      <c r="F197">
        <v>35</v>
      </c>
      <c r="G197" s="17">
        <v>7.1837999999999997</v>
      </c>
      <c r="H197" s="6">
        <f t="shared" si="12"/>
        <v>251.43299999999999</v>
      </c>
      <c r="I197" s="6">
        <f t="shared" si="13"/>
        <v>8.7607317073170741</v>
      </c>
      <c r="J197" s="6">
        <f t="shared" si="14"/>
        <v>55.192609756097625</v>
      </c>
      <c r="K197" s="6">
        <f t="shared" si="15"/>
        <v>306.62560975609762</v>
      </c>
      <c r="L197" s="21">
        <v>3.83</v>
      </c>
      <c r="M197" s="21">
        <f>VLOOKUP(A197,'[1]LAM NewParts Analysis'!$A:$I,9,FALSE)</f>
        <v>6.4882600000000004</v>
      </c>
    </row>
    <row r="198" spans="1:13" x14ac:dyDescent="0.25">
      <c r="A198" t="s">
        <v>754</v>
      </c>
      <c r="B198" t="s">
        <v>755</v>
      </c>
      <c r="C198" t="s">
        <v>756</v>
      </c>
      <c r="D198" t="s">
        <v>70</v>
      </c>
      <c r="E198" t="s">
        <v>289</v>
      </c>
      <c r="F198">
        <v>100</v>
      </c>
      <c r="G198" s="17">
        <v>2.5121000000000002</v>
      </c>
      <c r="H198" s="6">
        <f t="shared" si="12"/>
        <v>251.21000000000004</v>
      </c>
      <c r="I198" s="6">
        <f t="shared" si="13"/>
        <v>3.063536585365854</v>
      </c>
      <c r="J198" s="6">
        <f t="shared" si="14"/>
        <v>55.143658536585349</v>
      </c>
      <c r="K198" s="6">
        <f t="shared" si="15"/>
        <v>306.35365853658539</v>
      </c>
      <c r="L198" s="21">
        <v>1.8143</v>
      </c>
      <c r="M198" s="21">
        <f>VLOOKUP(A198,'[1]LAM NewParts Analysis'!$A:$I,9,FALSE)</f>
        <v>2.4835465000000001</v>
      </c>
    </row>
    <row r="199" spans="1:13" x14ac:dyDescent="0.25">
      <c r="A199" t="s">
        <v>757</v>
      </c>
      <c r="B199" t="s">
        <v>758</v>
      </c>
      <c r="C199" t="s">
        <v>759</v>
      </c>
      <c r="D199" t="s">
        <v>424</v>
      </c>
      <c r="E199" t="s">
        <v>149</v>
      </c>
      <c r="F199">
        <v>90</v>
      </c>
      <c r="G199" s="17">
        <v>2.7888000000000002</v>
      </c>
      <c r="H199" s="6">
        <f t="shared" si="12"/>
        <v>250.99200000000002</v>
      </c>
      <c r="I199" s="6">
        <f t="shared" si="13"/>
        <v>3.4009756097560979</v>
      </c>
      <c r="J199" s="6">
        <f t="shared" si="14"/>
        <v>55.095804878048796</v>
      </c>
      <c r="K199" s="6">
        <f t="shared" si="15"/>
        <v>306.08780487804881</v>
      </c>
      <c r="L199" s="21">
        <v>1.1818</v>
      </c>
      <c r="M199" s="21">
        <f>VLOOKUP(A199,'[1]LAM NewParts Analysis'!$A:$I,9,FALSE)</f>
        <v>2.0445159999999998</v>
      </c>
    </row>
    <row r="200" spans="1:13" x14ac:dyDescent="0.25">
      <c r="A200" t="s">
        <v>760</v>
      </c>
      <c r="B200" t="s">
        <v>761</v>
      </c>
      <c r="C200" t="s">
        <v>762</v>
      </c>
      <c r="D200" t="s">
        <v>527</v>
      </c>
      <c r="E200" t="s">
        <v>763</v>
      </c>
      <c r="F200">
        <v>400</v>
      </c>
      <c r="G200" s="17">
        <v>0.62729999999999997</v>
      </c>
      <c r="H200" s="6">
        <f t="shared" si="12"/>
        <v>250.92</v>
      </c>
      <c r="I200" s="6">
        <f t="shared" si="13"/>
        <v>0.76500000000000001</v>
      </c>
      <c r="J200" s="6">
        <f t="shared" si="14"/>
        <v>55.080000000000013</v>
      </c>
      <c r="K200" s="6">
        <f t="shared" si="15"/>
        <v>306</v>
      </c>
      <c r="L200" s="21">
        <v>0.40310000000000001</v>
      </c>
      <c r="M200" s="21">
        <f>VLOOKUP(A200,'[1]LAM NewParts Analysis'!$A:$I,9,FALSE)</f>
        <v>0.46565000000000001</v>
      </c>
    </row>
    <row r="201" spans="1:13" x14ac:dyDescent="0.25">
      <c r="A201" t="s">
        <v>764</v>
      </c>
      <c r="B201" t="s">
        <v>765</v>
      </c>
      <c r="C201" t="s">
        <v>766</v>
      </c>
      <c r="D201" t="s">
        <v>180</v>
      </c>
      <c r="E201" t="s">
        <v>301</v>
      </c>
      <c r="F201">
        <v>165</v>
      </c>
      <c r="G201" s="17">
        <v>1.5205</v>
      </c>
      <c r="H201" s="6">
        <f t="shared" si="12"/>
        <v>250.88249999999999</v>
      </c>
      <c r="I201" s="6">
        <f t="shared" si="13"/>
        <v>1.8542682926829268</v>
      </c>
      <c r="J201" s="6">
        <f t="shared" si="14"/>
        <v>55.071768292682918</v>
      </c>
      <c r="K201" s="6">
        <f t="shared" si="15"/>
        <v>305.95426829268291</v>
      </c>
      <c r="L201" s="21">
        <v>0.85070000000000001</v>
      </c>
      <c r="M201" s="21">
        <f>VLOOKUP(A201,'[1]LAM NewParts Analysis'!$A:$I,9,FALSE)</f>
        <v>0.82896499999999995</v>
      </c>
    </row>
    <row r="202" spans="1:13" x14ac:dyDescent="0.25">
      <c r="A202" t="s">
        <v>767</v>
      </c>
      <c r="B202" t="s">
        <v>768</v>
      </c>
      <c r="C202" t="s">
        <v>769</v>
      </c>
      <c r="D202" t="s">
        <v>60</v>
      </c>
      <c r="E202" t="s">
        <v>414</v>
      </c>
      <c r="F202">
        <v>80</v>
      </c>
      <c r="G202" s="17">
        <v>3.1345000000000001</v>
      </c>
      <c r="H202" s="6">
        <f t="shared" si="12"/>
        <v>250.76</v>
      </c>
      <c r="I202" s="6">
        <f t="shared" si="13"/>
        <v>3.8225609756097563</v>
      </c>
      <c r="J202" s="6">
        <f t="shared" si="14"/>
        <v>55.044878048780504</v>
      </c>
      <c r="K202" s="6">
        <f t="shared" si="15"/>
        <v>305.80487804878049</v>
      </c>
      <c r="L202" s="21">
        <v>0.31619999999999998</v>
      </c>
      <c r="M202" s="21">
        <f>VLOOKUP(A202,'[1]LAM NewParts Analysis'!$A:$I,9,FALSE)</f>
        <v>0.77649950000000001</v>
      </c>
    </row>
    <row r="203" spans="1:13" x14ac:dyDescent="0.25">
      <c r="A203" t="s">
        <v>770</v>
      </c>
      <c r="B203" t="s">
        <v>771</v>
      </c>
      <c r="C203" t="s">
        <v>772</v>
      </c>
      <c r="D203" t="s">
        <v>347</v>
      </c>
      <c r="E203" t="s">
        <v>78</v>
      </c>
      <c r="F203">
        <v>85</v>
      </c>
      <c r="G203" s="17">
        <v>2.9476</v>
      </c>
      <c r="H203" s="6">
        <f t="shared" si="12"/>
        <v>250.54599999999999</v>
      </c>
      <c r="I203" s="6">
        <f t="shared" si="13"/>
        <v>3.5946341463414635</v>
      </c>
      <c r="J203" s="6">
        <f t="shared" si="14"/>
        <v>54.997902439024415</v>
      </c>
      <c r="K203" s="6">
        <f t="shared" si="15"/>
        <v>305.54390243902441</v>
      </c>
      <c r="L203" s="21">
        <v>0.76</v>
      </c>
      <c r="M203" s="21">
        <f>VLOOKUP(A203,'[1]LAM NewParts Analysis'!$A:$I,9,FALSE)</f>
        <v>2.9475790000000002</v>
      </c>
    </row>
    <row r="204" spans="1:13" x14ac:dyDescent="0.25">
      <c r="A204" t="s">
        <v>773</v>
      </c>
      <c r="B204" t="s">
        <v>774</v>
      </c>
      <c r="C204" t="s">
        <v>775</v>
      </c>
      <c r="D204" t="s">
        <v>96</v>
      </c>
      <c r="E204" t="s">
        <v>776</v>
      </c>
      <c r="F204">
        <v>200</v>
      </c>
      <c r="G204" s="17">
        <v>1.2523</v>
      </c>
      <c r="H204" s="6">
        <f t="shared" si="12"/>
        <v>250.45999999999998</v>
      </c>
      <c r="I204" s="6">
        <f t="shared" si="13"/>
        <v>1.5271951219512196</v>
      </c>
      <c r="J204" s="6">
        <f t="shared" si="14"/>
        <v>54.979024390243978</v>
      </c>
      <c r="K204" s="6">
        <f t="shared" si="15"/>
        <v>305.43902439024396</v>
      </c>
      <c r="M204" s="21">
        <f>VLOOKUP(A204,'[1]LAM NewParts Analysis'!$A:$I,9,FALSE)</f>
        <v>0.90099899999999999</v>
      </c>
    </row>
    <row r="205" spans="1:13" x14ac:dyDescent="0.25">
      <c r="A205" t="s">
        <v>777</v>
      </c>
      <c r="B205" t="s">
        <v>778</v>
      </c>
      <c r="C205" t="s">
        <v>779</v>
      </c>
      <c r="D205" t="s">
        <v>780</v>
      </c>
      <c r="E205" t="s">
        <v>149</v>
      </c>
      <c r="F205">
        <v>630</v>
      </c>
      <c r="G205" s="17">
        <v>0.39750000000000002</v>
      </c>
      <c r="H205" s="6">
        <f t="shared" si="12"/>
        <v>250.42500000000001</v>
      </c>
      <c r="I205" s="6">
        <f t="shared" si="13"/>
        <v>0.48475609756097565</v>
      </c>
      <c r="J205" s="6">
        <f t="shared" si="14"/>
        <v>54.97134146341466</v>
      </c>
      <c r="K205" s="6">
        <f t="shared" si="15"/>
        <v>305.39634146341467</v>
      </c>
      <c r="L205" s="21">
        <v>0.125</v>
      </c>
      <c r="M205" s="21">
        <f>VLOOKUP(A205,'[1]LAM NewParts Analysis'!$A:$I,9,FALSE)</f>
        <v>0.233985</v>
      </c>
    </row>
    <row r="206" spans="1:13" x14ac:dyDescent="0.25">
      <c r="A206" t="s">
        <v>781</v>
      </c>
      <c r="B206" t="s">
        <v>782</v>
      </c>
      <c r="C206" t="s">
        <v>783</v>
      </c>
      <c r="D206" t="s">
        <v>424</v>
      </c>
      <c r="E206" t="s">
        <v>122</v>
      </c>
      <c r="F206">
        <v>105</v>
      </c>
      <c r="G206" s="17">
        <v>2.3849999999999998</v>
      </c>
      <c r="H206" s="6">
        <f t="shared" si="12"/>
        <v>250.42499999999998</v>
      </c>
      <c r="I206" s="6">
        <f t="shared" si="13"/>
        <v>2.9085365853658534</v>
      </c>
      <c r="J206" s="6">
        <f t="shared" si="14"/>
        <v>54.971341463414632</v>
      </c>
      <c r="K206" s="6">
        <f t="shared" si="15"/>
        <v>305.39634146341461</v>
      </c>
      <c r="L206" s="21">
        <v>1.9958</v>
      </c>
      <c r="M206" s="21">
        <f>VLOOKUP(A206,'[1]LAM NewParts Analysis'!$A:$I,9,FALSE)</f>
        <v>1.507528</v>
      </c>
    </row>
    <row r="207" spans="1:13" x14ac:dyDescent="0.25">
      <c r="A207" t="s">
        <v>784</v>
      </c>
      <c r="B207" t="s">
        <v>785</v>
      </c>
      <c r="C207" t="s">
        <v>786</v>
      </c>
      <c r="D207" t="s">
        <v>527</v>
      </c>
      <c r="E207" t="s">
        <v>787</v>
      </c>
      <c r="F207">
        <v>800</v>
      </c>
      <c r="G207" s="17">
        <v>0.31290000000000001</v>
      </c>
      <c r="H207" s="6">
        <f t="shared" si="12"/>
        <v>250.32000000000002</v>
      </c>
      <c r="I207" s="6">
        <f t="shared" si="13"/>
        <v>0.3815853658536586</v>
      </c>
      <c r="J207" s="6">
        <f t="shared" si="14"/>
        <v>54.948292682926848</v>
      </c>
      <c r="K207" s="6">
        <f t="shared" si="15"/>
        <v>305.26829268292687</v>
      </c>
      <c r="L207" s="21">
        <v>0.20499999999999999</v>
      </c>
      <c r="M207" s="21">
        <f>VLOOKUP(A207,'[1]LAM NewParts Analysis'!$A:$I,9,FALSE)</f>
        <v>0.23330000000000001</v>
      </c>
    </row>
    <row r="208" spans="1:13" x14ac:dyDescent="0.25">
      <c r="A208" t="s">
        <v>788</v>
      </c>
      <c r="B208" t="s">
        <v>789</v>
      </c>
      <c r="C208" t="s">
        <v>790</v>
      </c>
      <c r="D208" t="s">
        <v>424</v>
      </c>
      <c r="E208" t="s">
        <v>204</v>
      </c>
      <c r="F208">
        <v>160</v>
      </c>
      <c r="G208" s="17">
        <v>1.5256000000000001</v>
      </c>
      <c r="H208" s="6">
        <f t="shared" si="12"/>
        <v>244.096</v>
      </c>
      <c r="I208" s="6">
        <f t="shared" si="13"/>
        <v>1.8604878048780489</v>
      </c>
      <c r="J208" s="6">
        <f t="shared" si="14"/>
        <v>53.58204878048781</v>
      </c>
      <c r="K208" s="6">
        <f t="shared" si="15"/>
        <v>297.67804878048781</v>
      </c>
      <c r="L208" s="21">
        <v>0.51970000000000005</v>
      </c>
      <c r="M208" s="21">
        <f>VLOOKUP(A208,'[1]LAM NewParts Analysis'!$A:$I,9,FALSE)</f>
        <v>0.64899799999999996</v>
      </c>
    </row>
    <row r="209" spans="1:13" x14ac:dyDescent="0.25">
      <c r="A209" t="s">
        <v>791</v>
      </c>
      <c r="B209" t="s">
        <v>792</v>
      </c>
      <c r="C209" t="s">
        <v>793</v>
      </c>
      <c r="D209" t="s">
        <v>794</v>
      </c>
      <c r="E209" t="s">
        <v>204</v>
      </c>
      <c r="F209">
        <v>105</v>
      </c>
      <c r="G209" s="17">
        <v>2.36</v>
      </c>
      <c r="H209" s="6">
        <f t="shared" si="12"/>
        <v>247.79999999999998</v>
      </c>
      <c r="I209" s="6">
        <f t="shared" si="13"/>
        <v>2.8780487804878048</v>
      </c>
      <c r="J209" s="6">
        <f t="shared" si="14"/>
        <v>54.395121951219522</v>
      </c>
      <c r="K209" s="6">
        <f t="shared" si="15"/>
        <v>302.19512195121951</v>
      </c>
      <c r="L209" s="21">
        <v>1.8</v>
      </c>
      <c r="M209" s="21">
        <f>VLOOKUP(A209,'[1]LAM NewParts Analysis'!$A:$I,9,FALSE)</f>
        <v>1.9450745</v>
      </c>
    </row>
  </sheetData>
  <autoFilter ref="A2:AN2" xr:uid="{16C68FE4-DE69-46E9-80D5-858F1F9950B8}"/>
  <conditionalFormatting sqref="A3:A6">
    <cfRule type="duplicateValues" dxfId="5" priority="5" stopIfTrue="1"/>
    <cfRule type="expression" dxfId="4" priority="6" stopIfTrue="1">
      <formula>AND(COUNTIF($C$1:$C$8516, A3)+COUNTIF($C$8518:$C$64183, A3)+COUNTIF($D$8517:$D$8517, A3)&gt;1,NOT(ISBLANK(A3)))</formula>
    </cfRule>
  </conditionalFormatting>
  <conditionalFormatting sqref="A7:A20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Syre</dc:creator>
  <cp:keywords/>
  <dc:description/>
  <cp:lastModifiedBy>Jake Harris</cp:lastModifiedBy>
  <cp:revision/>
  <dcterms:created xsi:type="dcterms:W3CDTF">2026-03-16T21:06:14Z</dcterms:created>
  <dcterms:modified xsi:type="dcterms:W3CDTF">2026-03-17T00:55:13Z</dcterms:modified>
  <cp:category/>
  <cp:contentStatus/>
</cp:coreProperties>
</file>