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iel Reiser - Q3 2026" state="visible" r:id="rId4"/>
  </sheets>
  <calcPr calcId="171027"/>
</workbook>
</file>

<file path=xl/sharedStrings.xml><?xml version="1.0" encoding="utf-8"?>
<sst xmlns="http://schemas.openxmlformats.org/spreadsheetml/2006/main" count="575" uniqueCount="152">
  <si>
    <t>Report Generated: 07/16/2026</t>
  </si>
  <si>
    <t/>
  </si>
  <si>
    <t>Daniel Reiser - Account Review - Q3 2026</t>
  </si>
  <si>
    <t>Account (OT)</t>
  </si>
  <si>
    <t>Account INFOR</t>
  </si>
  <si>
    <t>Locations</t>
  </si>
  <si>
    <t>Months Assigned</t>
  </si>
  <si>
    <t>First Assigned</t>
  </si>
  <si>
    <t>Last Sale Date</t>
  </si>
  <si>
    <t>Activities Q2</t>
  </si>
  <si>
    <t>RFQ Lines Q2</t>
  </si>
  <si>
    <t>CQ Lines Q2</t>
  </si>
  <si>
    <t>CQ Lines Won Q2</t>
  </si>
  <si>
    <t>Conversion Rate Q2</t>
  </si>
  <si>
    <t>Booked GP Q2</t>
  </si>
  <si>
    <t>Invoiced GP Q2</t>
  </si>
  <si>
    <t>B to I Q2</t>
  </si>
  <si>
    <t>% of Inv Total Q2</t>
  </si>
  <si>
    <t>Scheduled GP Q3 2026</t>
  </si>
  <si>
    <t>GP Target</t>
  </si>
  <si>
    <t>Q3 2026 Strategies</t>
  </si>
  <si>
    <t>ACDI Ems</t>
  </si>
  <si>
    <t>2025-09-08</t>
  </si>
  <si>
    <t>Acron Aviation</t>
  </si>
  <si>
    <t>Acron Aviation, Inc</t>
  </si>
  <si>
    <t>2025-09-22</t>
  </si>
  <si>
    <t>2026-07-16</t>
  </si>
  <si>
    <t>Adtran, Inc</t>
  </si>
  <si>
    <t>2025-09-11</t>
  </si>
  <si>
    <t xml:space="preserve">AeroVironment </t>
  </si>
  <si>
    <t>2025-09-12</t>
  </si>
  <si>
    <t>Amphenol Borisch Technologies</t>
  </si>
  <si>
    <t>2025-09-25</t>
  </si>
  <si>
    <t>2026-07-01</t>
  </si>
  <si>
    <t>Anduril Industries</t>
  </si>
  <si>
    <t>9999-12-31</t>
  </si>
  <si>
    <t>Archer Aviation</t>
  </si>
  <si>
    <t>2025-10-17</t>
  </si>
  <si>
    <t>Asteelflash</t>
  </si>
  <si>
    <t>2026-01-27</t>
  </si>
  <si>
    <t>Astronics</t>
  </si>
  <si>
    <t>2025-09-09</t>
  </si>
  <si>
    <t xml:space="preserve">CHARGEPOINT </t>
  </si>
  <si>
    <t>2025-11-18</t>
  </si>
  <si>
    <t>CUBIC</t>
  </si>
  <si>
    <t>2025-09-18</t>
  </si>
  <si>
    <t>Collins Aerospace</t>
  </si>
  <si>
    <t>Crane Aerospace &amp; Electronics</t>
  </si>
  <si>
    <t>2025-10-14</t>
  </si>
  <si>
    <t>Curtiss-Wright</t>
  </si>
  <si>
    <t>2025-11-06</t>
  </si>
  <si>
    <t>Daikin Industries</t>
  </si>
  <si>
    <t>2025-11-17</t>
  </si>
  <si>
    <t>Danfoss</t>
  </si>
  <si>
    <t>Defense Logistics Agency</t>
  </si>
  <si>
    <t>2025-10-23</t>
  </si>
  <si>
    <t>Dover Corporation</t>
  </si>
  <si>
    <t>EControls, LCC</t>
  </si>
  <si>
    <t>2025-10-03</t>
  </si>
  <si>
    <t>Elbit Systems Ltd.</t>
  </si>
  <si>
    <t>Elemaster SPA</t>
  </si>
  <si>
    <t>2026-03-31</t>
  </si>
  <si>
    <t>Enerpac</t>
  </si>
  <si>
    <t>2025-10-28</t>
  </si>
  <si>
    <t>Entegris</t>
  </si>
  <si>
    <t>Firefly Aerospace</t>
  </si>
  <si>
    <t>General Dynamics</t>
  </si>
  <si>
    <t>General Dynamics Electric Boat</t>
  </si>
  <si>
    <t>2025-09-15</t>
  </si>
  <si>
    <t>2026-06-26</t>
  </si>
  <si>
    <t>Gulfstream Aerospace</t>
  </si>
  <si>
    <t>2025-10-09</t>
  </si>
  <si>
    <t>Jabil Inc</t>
  </si>
  <si>
    <t>Jabil Canada Corporation</t>
  </si>
  <si>
    <t>2026-02-27</t>
  </si>
  <si>
    <t>2026-04-12</t>
  </si>
  <si>
    <t>L3Harris Corp.</t>
  </si>
  <si>
    <t>L3Harris Technologies IMS</t>
  </si>
  <si>
    <t>2025-06-02</t>
  </si>
  <si>
    <t>2026-06-05</t>
  </si>
  <si>
    <t>Laguna Components</t>
  </si>
  <si>
    <t>Leonardo DRS</t>
  </si>
  <si>
    <t>2026-07-06</t>
  </si>
  <si>
    <t>Leviton</t>
  </si>
  <si>
    <t>2025-11-21</t>
  </si>
  <si>
    <t>Libra Industries</t>
  </si>
  <si>
    <t>Lockheed Martin</t>
  </si>
  <si>
    <t>2025-04-11</t>
  </si>
  <si>
    <t>Lutron Electronics</t>
  </si>
  <si>
    <t>2025-10-02</t>
  </si>
  <si>
    <t>M2S electronique</t>
  </si>
  <si>
    <t>M2S Electronique Ltee</t>
  </si>
  <si>
    <t>2025-12-01</t>
  </si>
  <si>
    <t>2026-04-15</t>
  </si>
  <si>
    <t>MEDTRONIC, INC.</t>
  </si>
  <si>
    <t>2025-11-07</t>
  </si>
  <si>
    <t>NAWCWD China Lake Weapons and Energetic Department</t>
  </si>
  <si>
    <t>NSWC Crane</t>
  </si>
  <si>
    <t>OSI Electronics</t>
  </si>
  <si>
    <t>2025-09-26</t>
  </si>
  <si>
    <t xml:space="preserve">Oshkosh </t>
  </si>
  <si>
    <t>2025-11-04</t>
  </si>
  <si>
    <t>PFC Flexible Circuits Limited</t>
  </si>
  <si>
    <t>ParPro Technologies Inc</t>
  </si>
  <si>
    <t>RENK Group</t>
  </si>
  <si>
    <t>2026-04-23</t>
  </si>
  <si>
    <t>Radar Engineers</t>
  </si>
  <si>
    <t>2025-09-29</t>
  </si>
  <si>
    <t>Safari Circuits</t>
  </si>
  <si>
    <t>2025-10-13</t>
  </si>
  <si>
    <t>Sandia Aerospace</t>
  </si>
  <si>
    <t>2025-09-16</t>
  </si>
  <si>
    <t>Sanmina Corporation</t>
  </si>
  <si>
    <t>Saronic Technologies</t>
  </si>
  <si>
    <t>Sierra Nevada Corporation</t>
  </si>
  <si>
    <t>2025-10-01</t>
  </si>
  <si>
    <t>2026-07-07</t>
  </si>
  <si>
    <t xml:space="preserve">SigmaTron International </t>
  </si>
  <si>
    <t>Spartronics</t>
  </si>
  <si>
    <t>2025-09-17</t>
  </si>
  <si>
    <t>Trimble Inc.</t>
  </si>
  <si>
    <t>Trimble</t>
  </si>
  <si>
    <t>2026-01-20</t>
  </si>
  <si>
    <t>2026-05-18</t>
  </si>
  <si>
    <t>Ultra Electronics</t>
  </si>
  <si>
    <t>V2X</t>
  </si>
  <si>
    <t>2026-03-02</t>
  </si>
  <si>
    <t>Virtex</t>
  </si>
  <si>
    <t>Wintronics Inc</t>
  </si>
  <si>
    <t>WinTronics, Inc</t>
  </si>
  <si>
    <t>2025-09-03</t>
  </si>
  <si>
    <t>Woodward, Inc.</t>
  </si>
  <si>
    <t>ASSIGNED TOTAL</t>
  </si>
  <si>
    <t>NOT ASSIGNED (Activity but no ISE Steward assignment + Infor-only sales)</t>
  </si>
  <si>
    <t>GETS Global Electronics Testing LLC</t>
  </si>
  <si>
    <t>Plexus Corp.</t>
  </si>
  <si>
    <t>Plexus Corp. (Neenah) (PLEX03)</t>
  </si>
  <si>
    <t>Retronix Ltd</t>
  </si>
  <si>
    <t>Serco</t>
  </si>
  <si>
    <t>Sopark TotaL Electronic Solutions</t>
  </si>
  <si>
    <t>RENK America</t>
  </si>
  <si>
    <t>Vertex Modernization and Sustainment LLC</t>
  </si>
  <si>
    <t>Amphenol/Borisch Technologies</t>
  </si>
  <si>
    <t>Astute Electronics Ltd</t>
  </si>
  <si>
    <t>NOT ASSIGNED TOTAL</t>
  </si>
  <si>
    <t>GRAND TOTAL (Assigned + Not Assigned)</t>
  </si>
  <si>
    <t>Q3 2026 GP Goal</t>
  </si>
  <si>
    <t>Delta to Goal</t>
  </si>
  <si>
    <t>HOW TO USE:</t>
  </si>
  <si>
    <t>1. Review account portfolio for inactive accounts (RED zeros).</t>
  </si>
  <si>
    <t>2. Set GP targets for strategic accounts to meet/exceed quarter goal.</t>
  </si>
  <si>
    <t>3. Review unassigned accounts for potential assignments with supporting business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</si>
</sst>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%"/>
  </numFmts>
  <fonts count="9" x14ac:knownFonts="1">
    <font>
      <color theme="1"/>
      <family val="2"/>
      <scheme val="minor"/>
      <sz val="11"/>
      <name val="Calibri"/>
    </font>
    <font>
      <i/>
      <sz val="10"/>
    </font>
    <font>
      <b/>
      <sz val="14"/>
    </font>
    <font>
      <b/>
    </font>
    <font>
      <b/>
      <color rgb="FFFF0000"/>
    </font>
    <font>
      <color rgb="FFFFFFFF"/>
    </font>
    <font>
      <b/>
      <color rgb="FFFFFFFF"/>
    </font>
    <font>
      <b/>
      <sz val="10"/>
    </font>
    <font>
      <sz val="11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2" fontId="0" fillId="0" borderId="0" xfId="0" applyNumberFormat="1" applyAlignment="1">
      <alignment horizontal="center"/>
    </xf>
    <xf numFmtId="10" fontId="5" fillId="4" borderId="0" xfId="0" applyNumberFormat="1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10" fontId="3" fillId="2" borderId="0" xfId="0" applyNumberFormat="1" applyFont="1" applyFill="1"/>
    <xf numFmtId="164" fontId="3" fillId="2" borderId="0" xfId="0" applyNumberFormat="1" applyFont="1" applyFill="1"/>
    <xf numFmtId="2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/>
    <xf numFmtId="0" fontId="4" fillId="5" borderId="0" xfId="0" applyFont="1" applyFill="1"/>
    <xf numFmtId="0" fontId="3" fillId="5" borderId="0" xfId="0" applyFont="1" applyFill="1"/>
    <xf numFmtId="0" fontId="3" fillId="5" borderId="0" xfId="0" applyFont="1" applyFill="1" applyAlignment="1">
      <alignment horizontal="center"/>
    </xf>
    <xf numFmtId="10" fontId="3" fillId="5" borderId="0" xfId="0" applyNumberFormat="1" applyFont="1" applyFill="1"/>
    <xf numFmtId="164" fontId="3" fillId="5" borderId="0" xfId="0" applyNumberFormat="1" applyFont="1" applyFill="1"/>
    <xf numFmtId="2" fontId="3" fillId="5" borderId="0" xfId="0" applyNumberFormat="1" applyFont="1" applyFill="1" applyAlignment="1">
      <alignment horizontal="center"/>
    </xf>
    <xf numFmtId="165" fontId="3" fillId="5" borderId="0" xfId="0" applyNumberFormat="1" applyFont="1" applyFill="1"/>
    <xf numFmtId="0" fontId="6" fillId="6" borderId="0" xfId="0" applyFont="1" applyFill="1"/>
    <xf numFmtId="0" fontId="6" fillId="6" borderId="0" xfId="0" applyFont="1" applyFill="1" applyAlignment="1">
      <alignment horizontal="center"/>
    </xf>
    <xf numFmtId="10" fontId="6" fillId="6" borderId="0" xfId="0" applyNumberFormat="1" applyFont="1" applyFill="1"/>
    <xf numFmtId="164" fontId="6" fillId="6" borderId="0" xfId="0" applyNumberFormat="1" applyFont="1" applyFill="1"/>
    <xf numFmtId="2" fontId="6" fillId="6" borderId="0" xfId="0" applyNumberFormat="1" applyFont="1" applyFill="1" applyAlignment="1">
      <alignment horizontal="center"/>
    </xf>
    <xf numFmtId="0" fontId="3" fillId="0" borderId="0" xfId="0" applyFont="1"/>
    <xf numFmtId="164" fontId="3" fillId="7" borderId="0" xfId="0" applyNumberFormat="1" applyFont="1" applyFill="1"/>
    <xf numFmtId="164" fontId="3" fillId="0" borderId="0" xfId="0" applyNumberFormat="1" applyFont="1"/>
    <xf numFmtId="0" fontId="7" fillId="3" borderId="0" xfId="0" applyFont="1" applyFill="1"/>
    <xf numFmtId="0" fontId="8" fillId="0" borderId="0" xfId="0" applyFont="1" applyAlignment="1">
      <alignment horizontal="left" vertical="top"/>
    </xf>
  </cellXfs>
  <cellStyles count="1">
    <cellStyle name="Normal" xfId="0" builtinId="0"/>
  </cellStyles>
  <dxfs count="2">
    <dxf>
      <font>
        <b/>
        <color rgb="FFFFFFFF"/>
      </font>
      <fill>
        <patternFill patternType="solid">
          <bgColor rgb="FFFF0000"/>
        </patternFill>
      </fill>
    </dxf>
    <dxf>
      <font>
        <b/>
        <color rgb="FFFFFFFF"/>
      </font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5" hidden="1" customWidth="1"/>
    <col min="3" max="3" width="12" customWidth="1"/>
    <col min="4" max="6" width="15" customWidth="1"/>
    <col min="7" max="10" width="12" customWidth="1"/>
    <col min="11" max="13" width="15" customWidth="1"/>
    <col min="14" max="15" width="12" customWidth="1"/>
    <col min="16" max="17" width="15" customWidth="1"/>
    <col min="18" max="18" width="30" customWidth="1"/>
  </cols>
  <sheetData>
    <row r="1" spans="1:18" s="1" customFormat="1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</row>
    <row r="3" spans="1:18" s="2" customFormat="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5" spans="1:18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4" t="s">
        <v>18</v>
      </c>
      <c r="Q5" s="4" t="s">
        <v>19</v>
      </c>
      <c r="R5" s="4" t="s">
        <v>20</v>
      </c>
    </row>
    <row r="6" spans="1:18" x14ac:dyDescent="0.25">
      <c r="A6" t="s">
        <v>21</v>
      </c>
      <c r="B6" t="s">
        <v>1</v>
      </c>
      <c r="C6" s="5">
        <v>1</v>
      </c>
      <c r="D6" s="5">
        <v>10</v>
      </c>
      <c r="E6" t="s">
        <v>22</v>
      </c>
      <c r="F6" t="s">
        <v>1</v>
      </c>
      <c r="G6" s="5">
        <v>0</v>
      </c>
      <c r="H6" s="6">
        <v>0</v>
      </c>
      <c r="I6" s="6">
        <v>0</v>
      </c>
      <c r="J6" s="6">
        <v>0</v>
      </c>
      <c r="L6" s="7">
        <v>0</v>
      </c>
      <c r="M6" s="7">
        <v>0</v>
      </c>
      <c r="N6" s="5"/>
      <c r="O6" s="8">
        <v>0</v>
      </c>
      <c r="P6" s="7">
        <v>0</v>
      </c>
      <c r="Q6" s="7" t="s">
        <v>1</v>
      </c>
      <c r="R6" t="s">
        <v>1</v>
      </c>
    </row>
    <row r="7" spans="1:18" x14ac:dyDescent="0.25">
      <c r="A7" t="s">
        <v>23</v>
      </c>
      <c r="B7" t="s">
        <v>24</v>
      </c>
      <c r="C7" s="5">
        <v>1</v>
      </c>
      <c r="D7" s="5">
        <v>9</v>
      </c>
      <c r="E7" t="s">
        <v>25</v>
      </c>
      <c r="F7" t="s">
        <v>26</v>
      </c>
      <c r="G7" s="5">
        <v>0</v>
      </c>
      <c r="H7" s="5">
        <v>23</v>
      </c>
      <c r="I7" s="5">
        <v>18</v>
      </c>
      <c r="J7" s="5">
        <v>15</v>
      </c>
      <c r="K7" s="9">
        <v>0.8333</v>
      </c>
      <c r="L7" s="7">
        <v>634970</v>
      </c>
      <c r="M7" s="7">
        <v>1762.82</v>
      </c>
      <c r="N7" s="10">
        <v>360.2012684221872</v>
      </c>
      <c r="O7" s="8">
        <v>0.10130718578635162</v>
      </c>
      <c r="P7" s="7">
        <v>60169</v>
      </c>
      <c r="Q7" s="7" t="s">
        <v>1</v>
      </c>
      <c r="R7" t="s">
        <v>1</v>
      </c>
    </row>
    <row r="8" spans="1:18" x14ac:dyDescent="0.25">
      <c r="A8" t="s">
        <v>27</v>
      </c>
      <c r="B8" t="s">
        <v>1</v>
      </c>
      <c r="C8" s="5">
        <v>1</v>
      </c>
      <c r="D8" s="5">
        <v>10</v>
      </c>
      <c r="E8" t="s">
        <v>28</v>
      </c>
      <c r="F8" t="s">
        <v>1</v>
      </c>
      <c r="G8" s="5">
        <v>0</v>
      </c>
      <c r="H8" s="6">
        <v>0</v>
      </c>
      <c r="I8" s="6">
        <v>0</v>
      </c>
      <c r="J8" s="6">
        <v>0</v>
      </c>
      <c r="L8" s="7">
        <v>0</v>
      </c>
      <c r="M8" s="7">
        <v>0</v>
      </c>
      <c r="N8" s="5"/>
      <c r="O8" s="8">
        <v>0</v>
      </c>
      <c r="P8" s="7">
        <v>0</v>
      </c>
      <c r="Q8" s="7" t="s">
        <v>1</v>
      </c>
      <c r="R8" t="s">
        <v>1</v>
      </c>
    </row>
    <row r="9" spans="1:18" x14ac:dyDescent="0.25">
      <c r="A9" t="s">
        <v>29</v>
      </c>
      <c r="B9" t="s">
        <v>1</v>
      </c>
      <c r="C9" s="5">
        <v>2</v>
      </c>
      <c r="D9" s="5">
        <v>10</v>
      </c>
      <c r="E9" t="s">
        <v>30</v>
      </c>
      <c r="F9" t="s">
        <v>1</v>
      </c>
      <c r="G9" s="5">
        <v>0</v>
      </c>
      <c r="H9" s="6">
        <v>0</v>
      </c>
      <c r="I9" s="6">
        <v>0</v>
      </c>
      <c r="J9" s="6">
        <v>0</v>
      </c>
      <c r="L9" s="7">
        <v>0</v>
      </c>
      <c r="M9" s="7">
        <v>0</v>
      </c>
      <c r="N9" s="5"/>
      <c r="O9" s="8">
        <v>0</v>
      </c>
      <c r="P9" s="7">
        <v>0</v>
      </c>
      <c r="Q9" s="7" t="s">
        <v>1</v>
      </c>
      <c r="R9" t="s">
        <v>1</v>
      </c>
    </row>
    <row r="10" spans="1:18" x14ac:dyDescent="0.25">
      <c r="A10" t="s">
        <v>31</v>
      </c>
      <c r="B10" t="s">
        <v>1</v>
      </c>
      <c r="C10" s="5">
        <v>4</v>
      </c>
      <c r="D10" s="5">
        <v>9</v>
      </c>
      <c r="E10" t="s">
        <v>32</v>
      </c>
      <c r="F10" t="s">
        <v>33</v>
      </c>
      <c r="G10" s="5">
        <v>0</v>
      </c>
      <c r="H10" s="5">
        <v>9</v>
      </c>
      <c r="I10" s="5">
        <v>9</v>
      </c>
      <c r="J10" s="6">
        <v>0</v>
      </c>
      <c r="K10" s="11">
        <v>0</v>
      </c>
      <c r="L10" s="7">
        <v>0</v>
      </c>
      <c r="M10" s="7">
        <v>0</v>
      </c>
      <c r="N10" s="5"/>
      <c r="O10" s="8">
        <v>0</v>
      </c>
      <c r="P10" s="7">
        <v>0</v>
      </c>
      <c r="Q10" s="7" t="s">
        <v>1</v>
      </c>
      <c r="R10" t="s">
        <v>1</v>
      </c>
    </row>
    <row r="11" spans="1:18" x14ac:dyDescent="0.25">
      <c r="A11" t="s">
        <v>34</v>
      </c>
      <c r="B11" t="s">
        <v>1</v>
      </c>
      <c r="C11" s="5">
        <v>3</v>
      </c>
      <c r="D11" s="5">
        <v>-95681</v>
      </c>
      <c r="E11" t="s">
        <v>35</v>
      </c>
      <c r="F11" t="s">
        <v>1</v>
      </c>
      <c r="G11" s="5">
        <v>0</v>
      </c>
      <c r="H11" s="6">
        <v>0</v>
      </c>
      <c r="I11" s="6">
        <v>0</v>
      </c>
      <c r="J11" s="6">
        <v>0</v>
      </c>
      <c r="L11" s="7">
        <v>0</v>
      </c>
      <c r="M11" s="7">
        <v>0</v>
      </c>
      <c r="N11" s="5"/>
      <c r="O11" s="8">
        <v>0</v>
      </c>
      <c r="P11" s="7">
        <v>0</v>
      </c>
      <c r="Q11" s="7" t="s">
        <v>1</v>
      </c>
      <c r="R11" t="s">
        <v>1</v>
      </c>
    </row>
    <row r="12" spans="1:18" x14ac:dyDescent="0.25">
      <c r="A12" t="s">
        <v>36</v>
      </c>
      <c r="B12" t="s">
        <v>24</v>
      </c>
      <c r="C12" s="5">
        <v>1</v>
      </c>
      <c r="D12" s="5">
        <v>8</v>
      </c>
      <c r="E12" t="s">
        <v>37</v>
      </c>
      <c r="F12" t="s">
        <v>1</v>
      </c>
      <c r="G12" s="5">
        <v>0</v>
      </c>
      <c r="H12" s="6">
        <v>0</v>
      </c>
      <c r="I12" s="6">
        <v>0</v>
      </c>
      <c r="J12" s="6">
        <v>0</v>
      </c>
      <c r="L12" s="7">
        <v>0</v>
      </c>
      <c r="M12" s="7">
        <v>0</v>
      </c>
      <c r="N12" s="5"/>
      <c r="O12" s="8">
        <v>0</v>
      </c>
      <c r="P12" s="7">
        <v>60169</v>
      </c>
      <c r="Q12" s="7" t="s">
        <v>1</v>
      </c>
      <c r="R12" t="s">
        <v>1</v>
      </c>
    </row>
    <row r="13" spans="1:18" x14ac:dyDescent="0.25">
      <c r="A13" t="s">
        <v>38</v>
      </c>
      <c r="B13" t="s">
        <v>1</v>
      </c>
      <c r="C13" s="5">
        <v>2</v>
      </c>
      <c r="D13" s="5">
        <v>10</v>
      </c>
      <c r="E13" t="s">
        <v>28</v>
      </c>
      <c r="F13" t="s">
        <v>39</v>
      </c>
      <c r="G13" s="5">
        <v>0</v>
      </c>
      <c r="H13" s="6">
        <v>0</v>
      </c>
      <c r="I13" s="6">
        <v>0</v>
      </c>
      <c r="J13" s="6">
        <v>0</v>
      </c>
      <c r="L13" s="7">
        <v>0</v>
      </c>
      <c r="M13" s="7">
        <v>0</v>
      </c>
      <c r="N13" s="5"/>
      <c r="O13" s="8">
        <v>0</v>
      </c>
      <c r="P13" s="7">
        <v>0</v>
      </c>
      <c r="Q13" s="7" t="s">
        <v>1</v>
      </c>
      <c r="R13" t="s">
        <v>1</v>
      </c>
    </row>
    <row r="14" spans="1:18" x14ac:dyDescent="0.25">
      <c r="A14" t="s">
        <v>40</v>
      </c>
      <c r="B14" t="s">
        <v>1</v>
      </c>
      <c r="C14" s="5">
        <v>8</v>
      </c>
      <c r="D14" s="5">
        <v>10</v>
      </c>
      <c r="E14" t="s">
        <v>41</v>
      </c>
      <c r="F14" t="s">
        <v>1</v>
      </c>
      <c r="G14" s="5">
        <v>0</v>
      </c>
      <c r="H14" s="6">
        <v>0</v>
      </c>
      <c r="I14" s="6">
        <v>0</v>
      </c>
      <c r="J14" s="6">
        <v>0</v>
      </c>
      <c r="L14" s="7">
        <v>0</v>
      </c>
      <c r="M14" s="7">
        <v>0</v>
      </c>
      <c r="N14" s="5"/>
      <c r="O14" s="8">
        <v>0</v>
      </c>
      <c r="P14" s="7">
        <v>0</v>
      </c>
      <c r="Q14" s="7" t="s">
        <v>1</v>
      </c>
      <c r="R14" t="s">
        <v>1</v>
      </c>
    </row>
    <row r="15" spans="1:18" x14ac:dyDescent="0.25">
      <c r="A15" t="s">
        <v>42</v>
      </c>
      <c r="B15" t="s">
        <v>1</v>
      </c>
      <c r="C15" s="5">
        <v>2</v>
      </c>
      <c r="D15" s="5">
        <v>7</v>
      </c>
      <c r="E15" t="s">
        <v>43</v>
      </c>
      <c r="F15" t="s">
        <v>1</v>
      </c>
      <c r="G15" s="5">
        <v>0</v>
      </c>
      <c r="H15" s="6">
        <v>0</v>
      </c>
      <c r="I15" s="6">
        <v>0</v>
      </c>
      <c r="J15" s="6">
        <v>0</v>
      </c>
      <c r="L15" s="7">
        <v>0</v>
      </c>
      <c r="M15" s="7">
        <v>0</v>
      </c>
      <c r="N15" s="5"/>
      <c r="O15" s="8">
        <v>0</v>
      </c>
      <c r="P15" s="7">
        <v>0</v>
      </c>
      <c r="Q15" s="7" t="s">
        <v>1</v>
      </c>
      <c r="R15" t="s">
        <v>1</v>
      </c>
    </row>
    <row r="16" spans="1:18" x14ac:dyDescent="0.25">
      <c r="A16" t="s">
        <v>44</v>
      </c>
      <c r="B16" t="s">
        <v>1</v>
      </c>
      <c r="C16" s="5">
        <v>5</v>
      </c>
      <c r="D16" s="5">
        <v>9</v>
      </c>
      <c r="E16" t="s">
        <v>45</v>
      </c>
      <c r="F16" t="s">
        <v>1</v>
      </c>
      <c r="G16" s="5">
        <v>0</v>
      </c>
      <c r="H16" s="6">
        <v>0</v>
      </c>
      <c r="I16" s="6">
        <v>0</v>
      </c>
      <c r="J16" s="6">
        <v>0</v>
      </c>
      <c r="L16" s="7">
        <v>0</v>
      </c>
      <c r="M16" s="7">
        <v>0</v>
      </c>
      <c r="N16" s="5"/>
      <c r="O16" s="8">
        <v>0</v>
      </c>
      <c r="P16" s="7">
        <v>0</v>
      </c>
      <c r="Q16" s="7" t="s">
        <v>1</v>
      </c>
      <c r="R16" t="s">
        <v>1</v>
      </c>
    </row>
    <row r="17" spans="1:18" x14ac:dyDescent="0.25">
      <c r="A17" t="s">
        <v>46</v>
      </c>
      <c r="B17" t="s">
        <v>1</v>
      </c>
      <c r="C17" s="5">
        <v>30</v>
      </c>
      <c r="D17" s="5">
        <v>10</v>
      </c>
      <c r="E17" t="s">
        <v>30</v>
      </c>
      <c r="F17" t="s">
        <v>1</v>
      </c>
      <c r="G17" s="5">
        <v>0</v>
      </c>
      <c r="H17" s="6">
        <v>0</v>
      </c>
      <c r="I17" s="6">
        <v>0</v>
      </c>
      <c r="J17" s="6">
        <v>0</v>
      </c>
      <c r="L17" s="7">
        <v>0</v>
      </c>
      <c r="M17" s="7">
        <v>0</v>
      </c>
      <c r="N17" s="5"/>
      <c r="O17" s="8">
        <v>0</v>
      </c>
      <c r="P17" s="7">
        <v>0</v>
      </c>
      <c r="Q17" s="7" t="s">
        <v>1</v>
      </c>
      <c r="R17" t="s">
        <v>1</v>
      </c>
    </row>
    <row r="18" spans="1:18" x14ac:dyDescent="0.25">
      <c r="A18" t="s">
        <v>47</v>
      </c>
      <c r="B18" t="s">
        <v>1</v>
      </c>
      <c r="C18" s="5">
        <v>1</v>
      </c>
      <c r="D18" s="5">
        <v>9</v>
      </c>
      <c r="E18" t="s">
        <v>48</v>
      </c>
      <c r="F18" t="s">
        <v>1</v>
      </c>
      <c r="G18" s="5">
        <v>0</v>
      </c>
      <c r="H18" s="6">
        <v>0</v>
      </c>
      <c r="I18" s="6">
        <v>0</v>
      </c>
      <c r="J18" s="6">
        <v>0</v>
      </c>
      <c r="L18" s="7">
        <v>0</v>
      </c>
      <c r="M18" s="7">
        <v>0</v>
      </c>
      <c r="N18" s="5"/>
      <c r="O18" s="8">
        <v>0</v>
      </c>
      <c r="P18" s="7">
        <v>0</v>
      </c>
      <c r="Q18" s="7" t="s">
        <v>1</v>
      </c>
      <c r="R18" t="s">
        <v>1</v>
      </c>
    </row>
    <row r="19" spans="1:18" x14ac:dyDescent="0.25">
      <c r="A19" t="s">
        <v>49</v>
      </c>
      <c r="B19" t="s">
        <v>1</v>
      </c>
      <c r="C19" s="5">
        <v>16</v>
      </c>
      <c r="D19" s="5">
        <v>8</v>
      </c>
      <c r="E19" t="s">
        <v>50</v>
      </c>
      <c r="F19" t="s">
        <v>1</v>
      </c>
      <c r="G19" s="5">
        <v>0</v>
      </c>
      <c r="H19" s="6">
        <v>0</v>
      </c>
      <c r="I19" s="6">
        <v>0</v>
      </c>
      <c r="J19" s="6">
        <v>0</v>
      </c>
      <c r="L19" s="7">
        <v>0</v>
      </c>
      <c r="M19" s="7">
        <v>0</v>
      </c>
      <c r="N19" s="5"/>
      <c r="O19" s="8">
        <v>0</v>
      </c>
      <c r="P19" s="7">
        <v>0</v>
      </c>
      <c r="Q19" s="7" t="s">
        <v>1</v>
      </c>
      <c r="R19" t="s">
        <v>1</v>
      </c>
    </row>
    <row r="20" spans="1:18" x14ac:dyDescent="0.25">
      <c r="A20" t="s">
        <v>51</v>
      </c>
      <c r="B20" t="s">
        <v>1</v>
      </c>
      <c r="C20" s="5">
        <v>1</v>
      </c>
      <c r="D20" s="5">
        <v>7</v>
      </c>
      <c r="E20" t="s">
        <v>52</v>
      </c>
      <c r="F20" t="s">
        <v>1</v>
      </c>
      <c r="G20" s="5">
        <v>0</v>
      </c>
      <c r="H20" s="6">
        <v>0</v>
      </c>
      <c r="I20" s="6">
        <v>0</v>
      </c>
      <c r="J20" s="6">
        <v>0</v>
      </c>
      <c r="L20" s="7">
        <v>0</v>
      </c>
      <c r="M20" s="7">
        <v>0</v>
      </c>
      <c r="N20" s="5"/>
      <c r="O20" s="8">
        <v>0</v>
      </c>
      <c r="P20" s="7">
        <v>0</v>
      </c>
      <c r="Q20" s="7" t="s">
        <v>1</v>
      </c>
      <c r="R20" t="s">
        <v>1</v>
      </c>
    </row>
    <row r="21" spans="1:18" x14ac:dyDescent="0.25">
      <c r="A21" t="s">
        <v>53</v>
      </c>
      <c r="B21" t="s">
        <v>1</v>
      </c>
      <c r="C21" s="5">
        <v>1</v>
      </c>
      <c r="D21" s="5">
        <v>-95681</v>
      </c>
      <c r="E21" t="s">
        <v>35</v>
      </c>
      <c r="F21" t="s">
        <v>1</v>
      </c>
      <c r="G21" s="5">
        <v>0</v>
      </c>
      <c r="H21" s="6">
        <v>0</v>
      </c>
      <c r="I21" s="6">
        <v>0</v>
      </c>
      <c r="J21" s="6">
        <v>0</v>
      </c>
      <c r="L21" s="7">
        <v>0</v>
      </c>
      <c r="M21" s="7">
        <v>0</v>
      </c>
      <c r="N21" s="5"/>
      <c r="O21" s="8">
        <v>0</v>
      </c>
      <c r="P21" s="7">
        <v>0</v>
      </c>
      <c r="Q21" s="7" t="s">
        <v>1</v>
      </c>
      <c r="R21" t="s">
        <v>1</v>
      </c>
    </row>
    <row r="22" spans="1:18" x14ac:dyDescent="0.25">
      <c r="A22" t="s">
        <v>54</v>
      </c>
      <c r="B22" t="s">
        <v>1</v>
      </c>
      <c r="C22" s="5">
        <v>1</v>
      </c>
      <c r="D22" s="5">
        <v>8</v>
      </c>
      <c r="E22" t="s">
        <v>55</v>
      </c>
      <c r="F22" t="s">
        <v>1</v>
      </c>
      <c r="G22" s="5">
        <v>0</v>
      </c>
      <c r="H22" s="6">
        <v>0</v>
      </c>
      <c r="I22" s="6">
        <v>0</v>
      </c>
      <c r="J22" s="6">
        <v>0</v>
      </c>
      <c r="L22" s="7">
        <v>0</v>
      </c>
      <c r="M22" s="7">
        <v>0</v>
      </c>
      <c r="N22" s="5"/>
      <c r="O22" s="8">
        <v>0</v>
      </c>
      <c r="P22" s="7">
        <v>0</v>
      </c>
      <c r="Q22" s="7" t="s">
        <v>1</v>
      </c>
      <c r="R22" t="s">
        <v>1</v>
      </c>
    </row>
    <row r="23" spans="1:18" x14ac:dyDescent="0.25">
      <c r="A23" t="s">
        <v>56</v>
      </c>
      <c r="B23" t="s">
        <v>1</v>
      </c>
      <c r="C23" s="5">
        <v>17</v>
      </c>
      <c r="D23" s="5">
        <v>-95681</v>
      </c>
      <c r="E23" t="s">
        <v>35</v>
      </c>
      <c r="F23" t="s">
        <v>1</v>
      </c>
      <c r="G23" s="5">
        <v>0</v>
      </c>
      <c r="H23" s="6">
        <v>0</v>
      </c>
      <c r="I23" s="6">
        <v>0</v>
      </c>
      <c r="J23" s="6">
        <v>0</v>
      </c>
      <c r="L23" s="7">
        <v>0</v>
      </c>
      <c r="M23" s="7">
        <v>0</v>
      </c>
      <c r="N23" s="5"/>
      <c r="O23" s="8">
        <v>0</v>
      </c>
      <c r="P23" s="7">
        <v>0</v>
      </c>
      <c r="Q23" s="7" t="s">
        <v>1</v>
      </c>
      <c r="R23" t="s">
        <v>1</v>
      </c>
    </row>
    <row r="24" spans="1:18" x14ac:dyDescent="0.25">
      <c r="A24" t="s">
        <v>57</v>
      </c>
      <c r="B24" t="s">
        <v>1</v>
      </c>
      <c r="C24" s="5">
        <v>1</v>
      </c>
      <c r="D24" s="5">
        <v>9</v>
      </c>
      <c r="E24" t="s">
        <v>58</v>
      </c>
      <c r="F24" t="s">
        <v>1</v>
      </c>
      <c r="G24" s="5">
        <v>0</v>
      </c>
      <c r="H24" s="6">
        <v>0</v>
      </c>
      <c r="I24" s="6">
        <v>0</v>
      </c>
      <c r="J24" s="6">
        <v>0</v>
      </c>
      <c r="L24" s="7">
        <v>0</v>
      </c>
      <c r="M24" s="7">
        <v>0</v>
      </c>
      <c r="N24" s="5"/>
      <c r="O24" s="8">
        <v>0</v>
      </c>
      <c r="P24" s="7">
        <v>0</v>
      </c>
      <c r="Q24" s="7" t="s">
        <v>1</v>
      </c>
      <c r="R24" t="s">
        <v>1</v>
      </c>
    </row>
    <row r="25" spans="1:18" x14ac:dyDescent="0.25">
      <c r="A25" t="s">
        <v>59</v>
      </c>
      <c r="B25" t="s">
        <v>1</v>
      </c>
      <c r="C25" s="5">
        <v>2</v>
      </c>
      <c r="D25" s="5">
        <v>-95681</v>
      </c>
      <c r="E25" t="s">
        <v>35</v>
      </c>
      <c r="F25" t="s">
        <v>1</v>
      </c>
      <c r="G25" s="5">
        <v>0</v>
      </c>
      <c r="H25" s="6">
        <v>0</v>
      </c>
      <c r="I25" s="6">
        <v>0</v>
      </c>
      <c r="J25" s="6">
        <v>0</v>
      </c>
      <c r="L25" s="7">
        <v>0</v>
      </c>
      <c r="M25" s="7">
        <v>0</v>
      </c>
      <c r="N25" s="5"/>
      <c r="O25" s="8">
        <v>0</v>
      </c>
      <c r="P25" s="7">
        <v>0</v>
      </c>
      <c r="Q25" s="7" t="s">
        <v>1</v>
      </c>
      <c r="R25" t="s">
        <v>1</v>
      </c>
    </row>
    <row r="26" spans="1:18" x14ac:dyDescent="0.25">
      <c r="A26" t="s">
        <v>60</v>
      </c>
      <c r="B26" t="s">
        <v>1</v>
      </c>
      <c r="C26" s="5">
        <v>4</v>
      </c>
      <c r="D26" s="5">
        <v>3</v>
      </c>
      <c r="E26" t="s">
        <v>61</v>
      </c>
      <c r="F26" t="s">
        <v>1</v>
      </c>
      <c r="G26" s="5">
        <v>0</v>
      </c>
      <c r="H26" s="5">
        <v>2</v>
      </c>
      <c r="I26" s="5">
        <v>7</v>
      </c>
      <c r="J26" s="6">
        <v>0</v>
      </c>
      <c r="K26" s="11">
        <v>0</v>
      </c>
      <c r="L26" s="7">
        <v>0</v>
      </c>
      <c r="M26" s="7">
        <v>0</v>
      </c>
      <c r="N26" s="5"/>
      <c r="O26" s="8">
        <v>0</v>
      </c>
      <c r="P26" s="7">
        <v>0</v>
      </c>
      <c r="Q26" s="7" t="s">
        <v>1</v>
      </c>
      <c r="R26" t="s">
        <v>1</v>
      </c>
    </row>
    <row r="27" spans="1:18" x14ac:dyDescent="0.25">
      <c r="A27" t="s">
        <v>62</v>
      </c>
      <c r="B27" t="s">
        <v>1</v>
      </c>
      <c r="C27" s="5">
        <v>4</v>
      </c>
      <c r="D27" s="5">
        <v>8</v>
      </c>
      <c r="E27" t="s">
        <v>63</v>
      </c>
      <c r="F27" t="s">
        <v>1</v>
      </c>
      <c r="G27" s="5">
        <v>0</v>
      </c>
      <c r="H27" s="6">
        <v>0</v>
      </c>
      <c r="I27" s="6">
        <v>0</v>
      </c>
      <c r="J27" s="6">
        <v>0</v>
      </c>
      <c r="L27" s="7">
        <v>0</v>
      </c>
      <c r="M27" s="7">
        <v>0</v>
      </c>
      <c r="N27" s="5"/>
      <c r="O27" s="8">
        <v>0</v>
      </c>
      <c r="P27" s="7">
        <v>0</v>
      </c>
      <c r="Q27" s="7" t="s">
        <v>1</v>
      </c>
      <c r="R27" t="s">
        <v>1</v>
      </c>
    </row>
    <row r="28" spans="1:18" x14ac:dyDescent="0.25">
      <c r="A28" t="s">
        <v>64</v>
      </c>
      <c r="B28" t="s">
        <v>1</v>
      </c>
      <c r="C28" s="5">
        <v>23</v>
      </c>
      <c r="D28" s="5">
        <v>9</v>
      </c>
      <c r="E28" t="s">
        <v>25</v>
      </c>
      <c r="F28" t="s">
        <v>1</v>
      </c>
      <c r="G28" s="5">
        <v>0</v>
      </c>
      <c r="H28" s="6">
        <v>0</v>
      </c>
      <c r="I28" s="6">
        <v>0</v>
      </c>
      <c r="J28" s="6">
        <v>0</v>
      </c>
      <c r="L28" s="7">
        <v>0</v>
      </c>
      <c r="M28" s="7">
        <v>0</v>
      </c>
      <c r="N28" s="5"/>
      <c r="O28" s="8">
        <v>0</v>
      </c>
      <c r="P28" s="7">
        <v>0</v>
      </c>
      <c r="Q28" s="7" t="s">
        <v>1</v>
      </c>
      <c r="R28" t="s">
        <v>1</v>
      </c>
    </row>
    <row r="29" spans="1:18" x14ac:dyDescent="0.25">
      <c r="A29" t="s">
        <v>65</v>
      </c>
      <c r="B29" t="s">
        <v>1</v>
      </c>
      <c r="C29" s="5">
        <v>1</v>
      </c>
      <c r="D29" s="5">
        <v>10</v>
      </c>
      <c r="E29" t="s">
        <v>22</v>
      </c>
      <c r="F29" t="s">
        <v>1</v>
      </c>
      <c r="G29" s="5">
        <v>0</v>
      </c>
      <c r="H29" s="6">
        <v>0</v>
      </c>
      <c r="I29" s="6">
        <v>0</v>
      </c>
      <c r="J29" s="6">
        <v>0</v>
      </c>
      <c r="L29" s="7">
        <v>0</v>
      </c>
      <c r="M29" s="7">
        <v>0</v>
      </c>
      <c r="N29" s="5"/>
      <c r="O29" s="8">
        <v>0</v>
      </c>
      <c r="P29" s="7">
        <v>0</v>
      </c>
      <c r="Q29" s="7" t="s">
        <v>1</v>
      </c>
      <c r="R29" t="s">
        <v>1</v>
      </c>
    </row>
    <row r="30" spans="1:18" x14ac:dyDescent="0.25">
      <c r="A30" t="s">
        <v>66</v>
      </c>
      <c r="B30" t="s">
        <v>67</v>
      </c>
      <c r="C30" s="5">
        <v>2</v>
      </c>
      <c r="D30" s="5">
        <v>10</v>
      </c>
      <c r="E30" t="s">
        <v>68</v>
      </c>
      <c r="F30" t="s">
        <v>69</v>
      </c>
      <c r="G30" s="5">
        <v>0</v>
      </c>
      <c r="H30" s="5">
        <v>3</v>
      </c>
      <c r="I30" s="5">
        <v>2</v>
      </c>
      <c r="J30" s="5">
        <v>1</v>
      </c>
      <c r="K30" s="9">
        <v>0.5</v>
      </c>
      <c r="L30" s="7">
        <v>6403</v>
      </c>
      <c r="M30" s="7">
        <v>0</v>
      </c>
      <c r="N30" s="5"/>
      <c r="O30" s="8">
        <v>0</v>
      </c>
      <c r="P30" s="7">
        <v>0</v>
      </c>
      <c r="Q30" s="7" t="s">
        <v>1</v>
      </c>
      <c r="R30" t="s">
        <v>1</v>
      </c>
    </row>
    <row r="31" spans="1:18" x14ac:dyDescent="0.25">
      <c r="A31" t="s">
        <v>70</v>
      </c>
      <c r="B31" t="s">
        <v>1</v>
      </c>
      <c r="C31" s="5">
        <v>1</v>
      </c>
      <c r="D31" s="5">
        <v>9</v>
      </c>
      <c r="E31" t="s">
        <v>71</v>
      </c>
      <c r="F31" t="s">
        <v>1</v>
      </c>
      <c r="G31" s="5">
        <v>0</v>
      </c>
      <c r="H31" s="6">
        <v>0</v>
      </c>
      <c r="I31" s="6">
        <v>0</v>
      </c>
      <c r="J31" s="6">
        <v>0</v>
      </c>
      <c r="L31" s="7">
        <v>0</v>
      </c>
      <c r="M31" s="7">
        <v>0</v>
      </c>
      <c r="N31" s="5"/>
      <c r="O31" s="8">
        <v>0</v>
      </c>
      <c r="P31" s="7">
        <v>0</v>
      </c>
      <c r="Q31" s="7" t="s">
        <v>1</v>
      </c>
      <c r="R31" t="s">
        <v>1</v>
      </c>
    </row>
    <row r="32" spans="1:18" x14ac:dyDescent="0.25">
      <c r="A32" t="s">
        <v>72</v>
      </c>
      <c r="B32" t="s">
        <v>73</v>
      </c>
      <c r="C32" s="5">
        <v>7</v>
      </c>
      <c r="D32" s="5">
        <v>4</v>
      </c>
      <c r="E32" t="s">
        <v>74</v>
      </c>
      <c r="F32" t="s">
        <v>75</v>
      </c>
      <c r="G32" s="5">
        <v>64</v>
      </c>
      <c r="H32" s="5">
        <v>10</v>
      </c>
      <c r="I32" s="5">
        <v>4</v>
      </c>
      <c r="J32" s="5">
        <v>2</v>
      </c>
      <c r="K32" s="9">
        <v>0.5</v>
      </c>
      <c r="L32" s="7">
        <v>932</v>
      </c>
      <c r="M32" s="7">
        <v>1390.48</v>
      </c>
      <c r="N32" s="10">
        <v>0.6702721362407226</v>
      </c>
      <c r="O32" s="8">
        <v>0.07990924523899559</v>
      </c>
      <c r="P32" s="7">
        <v>0</v>
      </c>
      <c r="Q32" s="7" t="s">
        <v>1</v>
      </c>
      <c r="R32" t="s">
        <v>1</v>
      </c>
    </row>
    <row r="33" spans="1:18" x14ac:dyDescent="0.25">
      <c r="A33" t="s">
        <v>76</v>
      </c>
      <c r="B33" t="s">
        <v>77</v>
      </c>
      <c r="C33" s="5">
        <v>25</v>
      </c>
      <c r="D33" s="5">
        <v>13</v>
      </c>
      <c r="E33" t="s">
        <v>78</v>
      </c>
      <c r="F33" t="s">
        <v>79</v>
      </c>
      <c r="G33" s="5">
        <v>0</v>
      </c>
      <c r="H33" s="5">
        <v>33</v>
      </c>
      <c r="I33" s="5">
        <v>16</v>
      </c>
      <c r="J33" s="5">
        <v>3</v>
      </c>
      <c r="K33" s="9">
        <v>0.1875</v>
      </c>
      <c r="L33" s="7">
        <v>210</v>
      </c>
      <c r="M33" s="7">
        <v>671.63</v>
      </c>
      <c r="N33" s="10">
        <v>0.3126721558000685</v>
      </c>
      <c r="O33" s="8">
        <v>0.03859778377241428</v>
      </c>
      <c r="P33" s="7">
        <v>210</v>
      </c>
      <c r="Q33" s="7" t="s">
        <v>1</v>
      </c>
      <c r="R33" t="s">
        <v>1</v>
      </c>
    </row>
    <row r="34" spans="1:18" x14ac:dyDescent="0.25">
      <c r="A34" t="s">
        <v>80</v>
      </c>
      <c r="B34" t="s">
        <v>1</v>
      </c>
      <c r="C34" s="5">
        <v>1</v>
      </c>
      <c r="D34" s="5">
        <v>9</v>
      </c>
      <c r="E34" t="s">
        <v>45</v>
      </c>
      <c r="F34" t="s">
        <v>1</v>
      </c>
      <c r="G34" s="5">
        <v>0</v>
      </c>
      <c r="H34" s="6">
        <v>0</v>
      </c>
      <c r="I34" s="6">
        <v>0</v>
      </c>
      <c r="J34" s="6">
        <v>0</v>
      </c>
      <c r="L34" s="7">
        <v>0</v>
      </c>
      <c r="M34" s="7">
        <v>0</v>
      </c>
      <c r="N34" s="5"/>
      <c r="O34" s="8">
        <v>0</v>
      </c>
      <c r="P34" s="7">
        <v>0</v>
      </c>
      <c r="Q34" s="7" t="s">
        <v>1</v>
      </c>
      <c r="R34" t="s">
        <v>1</v>
      </c>
    </row>
    <row r="35" spans="1:18" x14ac:dyDescent="0.25">
      <c r="A35" t="s">
        <v>81</v>
      </c>
      <c r="B35" t="s">
        <v>1</v>
      </c>
      <c r="C35" s="5">
        <v>4</v>
      </c>
      <c r="D35" s="5">
        <v>10</v>
      </c>
      <c r="E35" t="s">
        <v>30</v>
      </c>
      <c r="F35" t="s">
        <v>82</v>
      </c>
      <c r="G35" s="5">
        <v>0</v>
      </c>
      <c r="H35" s="5">
        <v>2</v>
      </c>
      <c r="I35" s="5">
        <v>1</v>
      </c>
      <c r="J35" s="6">
        <v>0</v>
      </c>
      <c r="K35" s="11">
        <v>0</v>
      </c>
      <c r="L35" s="7">
        <v>0</v>
      </c>
      <c r="M35" s="7">
        <v>0</v>
      </c>
      <c r="N35" s="5"/>
      <c r="O35" s="8">
        <v>0</v>
      </c>
      <c r="P35" s="7">
        <v>0</v>
      </c>
      <c r="Q35" s="7" t="s">
        <v>1</v>
      </c>
      <c r="R35" t="s">
        <v>1</v>
      </c>
    </row>
    <row r="36" spans="1:18" x14ac:dyDescent="0.25">
      <c r="A36" t="s">
        <v>83</v>
      </c>
      <c r="B36" t="s">
        <v>1</v>
      </c>
      <c r="C36" s="5">
        <v>3</v>
      </c>
      <c r="D36" s="5">
        <v>7</v>
      </c>
      <c r="E36" t="s">
        <v>84</v>
      </c>
      <c r="F36" t="s">
        <v>1</v>
      </c>
      <c r="G36" s="5">
        <v>0</v>
      </c>
      <c r="H36" s="6">
        <v>0</v>
      </c>
      <c r="I36" s="6">
        <v>0</v>
      </c>
      <c r="J36" s="6">
        <v>0</v>
      </c>
      <c r="L36" s="7">
        <v>0</v>
      </c>
      <c r="M36" s="7">
        <v>0</v>
      </c>
      <c r="N36" s="5"/>
      <c r="O36" s="8">
        <v>0</v>
      </c>
      <c r="P36" s="7">
        <v>0</v>
      </c>
      <c r="Q36" s="7" t="s">
        <v>1</v>
      </c>
      <c r="R36" t="s">
        <v>1</v>
      </c>
    </row>
    <row r="37" spans="1:18" x14ac:dyDescent="0.25">
      <c r="A37" t="s">
        <v>85</v>
      </c>
      <c r="B37" t="s">
        <v>1</v>
      </c>
      <c r="C37" s="5">
        <v>2</v>
      </c>
      <c r="D37" s="5">
        <v>9</v>
      </c>
      <c r="E37" t="s">
        <v>58</v>
      </c>
      <c r="F37" t="s">
        <v>1</v>
      </c>
      <c r="G37" s="5">
        <v>0</v>
      </c>
      <c r="H37" s="6">
        <v>0</v>
      </c>
      <c r="I37" s="6">
        <v>0</v>
      </c>
      <c r="J37" s="6">
        <v>0</v>
      </c>
      <c r="L37" s="7">
        <v>0</v>
      </c>
      <c r="M37" s="7">
        <v>0</v>
      </c>
      <c r="N37" s="5"/>
      <c r="O37" s="8">
        <v>0</v>
      </c>
      <c r="P37" s="7">
        <v>0</v>
      </c>
      <c r="Q37" s="7" t="s">
        <v>1</v>
      </c>
      <c r="R37" t="s">
        <v>1</v>
      </c>
    </row>
    <row r="38" spans="1:18" x14ac:dyDescent="0.25">
      <c r="A38" t="s">
        <v>86</v>
      </c>
      <c r="B38" t="s">
        <v>1</v>
      </c>
      <c r="C38" s="5">
        <v>19</v>
      </c>
      <c r="D38" s="5">
        <v>15</v>
      </c>
      <c r="E38" t="s">
        <v>87</v>
      </c>
      <c r="F38" t="s">
        <v>1</v>
      </c>
      <c r="G38" s="5">
        <v>0</v>
      </c>
      <c r="H38" s="6">
        <v>0</v>
      </c>
      <c r="I38" s="6">
        <v>0</v>
      </c>
      <c r="J38" s="6">
        <v>0</v>
      </c>
      <c r="L38" s="7">
        <v>0</v>
      </c>
      <c r="M38" s="7">
        <v>0</v>
      </c>
      <c r="N38" s="5"/>
      <c r="O38" s="8">
        <v>0</v>
      </c>
      <c r="P38" s="7">
        <v>0</v>
      </c>
      <c r="Q38" s="7" t="s">
        <v>1</v>
      </c>
      <c r="R38" t="s">
        <v>1</v>
      </c>
    </row>
    <row r="39" spans="1:18" x14ac:dyDescent="0.25">
      <c r="A39" t="s">
        <v>88</v>
      </c>
      <c r="B39" t="s">
        <v>1</v>
      </c>
      <c r="C39" s="5">
        <v>4</v>
      </c>
      <c r="D39" s="5">
        <v>9</v>
      </c>
      <c r="E39" t="s">
        <v>89</v>
      </c>
      <c r="F39" t="s">
        <v>1</v>
      </c>
      <c r="G39" s="5">
        <v>0</v>
      </c>
      <c r="H39" s="6">
        <v>0</v>
      </c>
      <c r="I39" s="6">
        <v>0</v>
      </c>
      <c r="J39" s="6">
        <v>0</v>
      </c>
      <c r="L39" s="7">
        <v>0</v>
      </c>
      <c r="M39" s="7">
        <v>0</v>
      </c>
      <c r="N39" s="5"/>
      <c r="O39" s="8">
        <v>0</v>
      </c>
      <c r="P39" s="7">
        <v>0</v>
      </c>
      <c r="Q39" s="7" t="s">
        <v>1</v>
      </c>
      <c r="R39" t="s">
        <v>1</v>
      </c>
    </row>
    <row r="40" spans="1:18" x14ac:dyDescent="0.25">
      <c r="A40" t="s">
        <v>90</v>
      </c>
      <c r="B40" t="s">
        <v>91</v>
      </c>
      <c r="C40" s="5">
        <v>2</v>
      </c>
      <c r="D40" s="5">
        <v>7</v>
      </c>
      <c r="E40" t="s">
        <v>92</v>
      </c>
      <c r="F40" t="s">
        <v>93</v>
      </c>
      <c r="G40" s="5">
        <v>0</v>
      </c>
      <c r="H40" s="5">
        <v>13</v>
      </c>
      <c r="I40" s="5">
        <v>2</v>
      </c>
      <c r="J40" s="5">
        <v>1</v>
      </c>
      <c r="K40" s="9">
        <v>0.5</v>
      </c>
      <c r="L40" s="7">
        <v>69</v>
      </c>
      <c r="M40" s="7">
        <v>0</v>
      </c>
      <c r="N40" s="5"/>
      <c r="O40" s="8">
        <v>0</v>
      </c>
      <c r="P40" s="7">
        <v>0</v>
      </c>
      <c r="Q40" s="7" t="s">
        <v>1</v>
      </c>
      <c r="R40" t="s">
        <v>1</v>
      </c>
    </row>
    <row r="41" spans="1:18" x14ac:dyDescent="0.25">
      <c r="A41" t="s">
        <v>94</v>
      </c>
      <c r="B41" t="s">
        <v>1</v>
      </c>
      <c r="C41" s="5">
        <v>13</v>
      </c>
      <c r="D41" s="5">
        <v>8</v>
      </c>
      <c r="E41" t="s">
        <v>95</v>
      </c>
      <c r="F41" t="s">
        <v>1</v>
      </c>
      <c r="G41" s="5">
        <v>0</v>
      </c>
      <c r="H41" s="6">
        <v>0</v>
      </c>
      <c r="I41" s="6">
        <v>0</v>
      </c>
      <c r="J41" s="6">
        <v>0</v>
      </c>
      <c r="L41" s="7">
        <v>0</v>
      </c>
      <c r="M41" s="7">
        <v>0</v>
      </c>
      <c r="N41" s="5"/>
      <c r="O41" s="8">
        <v>0</v>
      </c>
      <c r="P41" s="7">
        <v>0</v>
      </c>
      <c r="Q41" s="7" t="s">
        <v>1</v>
      </c>
      <c r="R41" t="s">
        <v>1</v>
      </c>
    </row>
    <row r="42" spans="1:18" x14ac:dyDescent="0.25">
      <c r="A42" t="s">
        <v>96</v>
      </c>
      <c r="B42" t="s">
        <v>1</v>
      </c>
      <c r="C42" s="5">
        <v>1</v>
      </c>
      <c r="D42" s="5">
        <v>-95681</v>
      </c>
      <c r="E42" t="s">
        <v>35</v>
      </c>
      <c r="F42" t="s">
        <v>1</v>
      </c>
      <c r="G42" s="5">
        <v>0</v>
      </c>
      <c r="H42" s="6">
        <v>0</v>
      </c>
      <c r="I42" s="6">
        <v>0</v>
      </c>
      <c r="J42" s="6">
        <v>0</v>
      </c>
      <c r="L42" s="7">
        <v>0</v>
      </c>
      <c r="M42" s="7">
        <v>0</v>
      </c>
      <c r="N42" s="5"/>
      <c r="O42" s="8">
        <v>0</v>
      </c>
      <c r="P42" s="7">
        <v>0</v>
      </c>
      <c r="Q42" s="7" t="s">
        <v>1</v>
      </c>
      <c r="R42" t="s">
        <v>1</v>
      </c>
    </row>
    <row r="43" spans="1:18" x14ac:dyDescent="0.25">
      <c r="A43" t="s">
        <v>97</v>
      </c>
      <c r="B43" t="s">
        <v>1</v>
      </c>
      <c r="C43" s="5">
        <v>2</v>
      </c>
      <c r="D43" s="5">
        <v>-95681</v>
      </c>
      <c r="E43" t="s">
        <v>35</v>
      </c>
      <c r="F43" t="s">
        <v>1</v>
      </c>
      <c r="G43" s="5">
        <v>0</v>
      </c>
      <c r="H43" s="6">
        <v>0</v>
      </c>
      <c r="I43" s="6">
        <v>0</v>
      </c>
      <c r="J43" s="6">
        <v>0</v>
      </c>
      <c r="L43" s="7">
        <v>0</v>
      </c>
      <c r="M43" s="7">
        <v>0</v>
      </c>
      <c r="N43" s="5"/>
      <c r="O43" s="8">
        <v>0</v>
      </c>
      <c r="P43" s="7">
        <v>0</v>
      </c>
      <c r="Q43" s="7" t="s">
        <v>1</v>
      </c>
      <c r="R43" t="s">
        <v>1</v>
      </c>
    </row>
    <row r="44" spans="1:18" x14ac:dyDescent="0.25">
      <c r="A44" t="s">
        <v>98</v>
      </c>
      <c r="B44" t="s">
        <v>1</v>
      </c>
      <c r="C44" s="5">
        <v>2</v>
      </c>
      <c r="D44" s="5">
        <v>9</v>
      </c>
      <c r="E44" t="s">
        <v>99</v>
      </c>
      <c r="F44" t="s">
        <v>1</v>
      </c>
      <c r="G44" s="5">
        <v>0</v>
      </c>
      <c r="H44" s="6">
        <v>0</v>
      </c>
      <c r="I44" s="6">
        <v>0</v>
      </c>
      <c r="J44" s="6">
        <v>0</v>
      </c>
      <c r="L44" s="7">
        <v>0</v>
      </c>
      <c r="M44" s="7">
        <v>0</v>
      </c>
      <c r="N44" s="5"/>
      <c r="O44" s="8">
        <v>0</v>
      </c>
      <c r="P44" s="7">
        <v>0</v>
      </c>
      <c r="Q44" s="7" t="s">
        <v>1</v>
      </c>
      <c r="R44" t="s">
        <v>1</v>
      </c>
    </row>
    <row r="45" spans="1:18" x14ac:dyDescent="0.25">
      <c r="A45" t="s">
        <v>100</v>
      </c>
      <c r="B45" t="s">
        <v>1</v>
      </c>
      <c r="C45" s="5">
        <v>9</v>
      </c>
      <c r="D45" s="5">
        <v>8</v>
      </c>
      <c r="E45" t="s">
        <v>101</v>
      </c>
      <c r="F45" t="s">
        <v>1</v>
      </c>
      <c r="G45" s="5">
        <v>0</v>
      </c>
      <c r="H45" s="6">
        <v>0</v>
      </c>
      <c r="I45" s="6">
        <v>0</v>
      </c>
      <c r="J45" s="6">
        <v>0</v>
      </c>
      <c r="L45" s="7">
        <v>0</v>
      </c>
      <c r="M45" s="7">
        <v>0</v>
      </c>
      <c r="N45" s="5"/>
      <c r="O45" s="8">
        <v>0</v>
      </c>
      <c r="P45" s="7">
        <v>0</v>
      </c>
      <c r="Q45" s="7" t="s">
        <v>1</v>
      </c>
      <c r="R45" t="s">
        <v>1</v>
      </c>
    </row>
    <row r="46" spans="1:18" x14ac:dyDescent="0.25">
      <c r="A46" t="s">
        <v>102</v>
      </c>
      <c r="B46" t="s">
        <v>1</v>
      </c>
      <c r="C46" s="5">
        <v>1</v>
      </c>
      <c r="D46" s="5">
        <v>8</v>
      </c>
      <c r="E46" t="s">
        <v>63</v>
      </c>
      <c r="F46" t="s">
        <v>1</v>
      </c>
      <c r="G46" s="5">
        <v>0</v>
      </c>
      <c r="H46" s="6">
        <v>0</v>
      </c>
      <c r="I46" s="6">
        <v>0</v>
      </c>
      <c r="J46" s="6">
        <v>0</v>
      </c>
      <c r="L46" s="7">
        <v>0</v>
      </c>
      <c r="M46" s="7">
        <v>0</v>
      </c>
      <c r="N46" s="5"/>
      <c r="O46" s="8">
        <v>0</v>
      </c>
      <c r="P46" s="7">
        <v>0</v>
      </c>
      <c r="Q46" s="7" t="s">
        <v>1</v>
      </c>
      <c r="R46" t="s">
        <v>1</v>
      </c>
    </row>
    <row r="47" spans="1:18" x14ac:dyDescent="0.25">
      <c r="A47" t="s">
        <v>103</v>
      </c>
      <c r="B47" t="s">
        <v>77</v>
      </c>
      <c r="C47" s="5">
        <v>6</v>
      </c>
      <c r="D47" s="5">
        <v>9</v>
      </c>
      <c r="E47" t="s">
        <v>25</v>
      </c>
      <c r="F47" t="s">
        <v>1</v>
      </c>
      <c r="G47" s="5">
        <v>0</v>
      </c>
      <c r="H47" s="6">
        <v>0</v>
      </c>
      <c r="I47" s="6">
        <v>0</v>
      </c>
      <c r="J47" s="6">
        <v>0</v>
      </c>
      <c r="L47" s="7">
        <v>0</v>
      </c>
      <c r="M47" s="7">
        <v>0</v>
      </c>
      <c r="N47" s="5"/>
      <c r="O47" s="8">
        <v>0</v>
      </c>
      <c r="P47" s="7">
        <v>210</v>
      </c>
      <c r="Q47" s="7" t="s">
        <v>1</v>
      </c>
      <c r="R47" t="s">
        <v>1</v>
      </c>
    </row>
    <row r="48" spans="1:18" x14ac:dyDescent="0.25">
      <c r="A48" t="s">
        <v>104</v>
      </c>
      <c r="B48" t="s">
        <v>1</v>
      </c>
      <c r="C48" s="5">
        <v>1</v>
      </c>
      <c r="D48" s="5">
        <v>3</v>
      </c>
      <c r="E48" t="s">
        <v>93</v>
      </c>
      <c r="F48" t="s">
        <v>105</v>
      </c>
      <c r="G48" s="5">
        <v>0</v>
      </c>
      <c r="H48" s="5">
        <v>1</v>
      </c>
      <c r="I48" s="5">
        <v>1</v>
      </c>
      <c r="J48" s="5">
        <v>1</v>
      </c>
      <c r="K48" s="9">
        <v>1</v>
      </c>
      <c r="L48" s="7">
        <v>0</v>
      </c>
      <c r="M48" s="7">
        <v>0</v>
      </c>
      <c r="N48" s="5"/>
      <c r="O48" s="8">
        <v>0</v>
      </c>
      <c r="P48" s="7">
        <v>0</v>
      </c>
      <c r="Q48" s="7" t="s">
        <v>1</v>
      </c>
      <c r="R48" t="s">
        <v>1</v>
      </c>
    </row>
    <row r="49" spans="1:18" x14ac:dyDescent="0.25">
      <c r="A49" t="s">
        <v>106</v>
      </c>
      <c r="B49" t="s">
        <v>1</v>
      </c>
      <c r="C49" s="5">
        <v>1</v>
      </c>
      <c r="D49" s="5">
        <v>9</v>
      </c>
      <c r="E49" t="s">
        <v>107</v>
      </c>
      <c r="F49" t="s">
        <v>89</v>
      </c>
      <c r="G49" s="5">
        <v>0</v>
      </c>
      <c r="H49" s="6">
        <v>0</v>
      </c>
      <c r="I49" s="6">
        <v>0</v>
      </c>
      <c r="J49" s="6">
        <v>0</v>
      </c>
      <c r="L49" s="7">
        <v>0</v>
      </c>
      <c r="M49" s="7">
        <v>0</v>
      </c>
      <c r="N49" s="5"/>
      <c r="O49" s="8">
        <v>0</v>
      </c>
      <c r="P49" s="7">
        <v>0</v>
      </c>
      <c r="Q49" s="7" t="s">
        <v>1</v>
      </c>
      <c r="R49" t="s">
        <v>1</v>
      </c>
    </row>
    <row r="50" spans="1:18" x14ac:dyDescent="0.25">
      <c r="A50" t="s">
        <v>108</v>
      </c>
      <c r="B50" t="s">
        <v>1</v>
      </c>
      <c r="C50" s="5">
        <v>1</v>
      </c>
      <c r="D50" s="5">
        <v>9</v>
      </c>
      <c r="E50" t="s">
        <v>109</v>
      </c>
      <c r="F50" t="s">
        <v>1</v>
      </c>
      <c r="G50" s="5">
        <v>0</v>
      </c>
      <c r="H50" s="6">
        <v>0</v>
      </c>
      <c r="I50" s="6">
        <v>0</v>
      </c>
      <c r="J50" s="6">
        <v>0</v>
      </c>
      <c r="L50" s="7">
        <v>0</v>
      </c>
      <c r="M50" s="7">
        <v>0</v>
      </c>
      <c r="N50" s="5"/>
      <c r="O50" s="8">
        <v>0</v>
      </c>
      <c r="P50" s="7">
        <v>0</v>
      </c>
      <c r="Q50" s="7" t="s">
        <v>1</v>
      </c>
      <c r="R50" t="s">
        <v>1</v>
      </c>
    </row>
    <row r="51" spans="1:18" x14ac:dyDescent="0.25">
      <c r="A51" t="s">
        <v>110</v>
      </c>
      <c r="B51" t="s">
        <v>1</v>
      </c>
      <c r="C51" s="5">
        <v>1</v>
      </c>
      <c r="D51" s="5">
        <v>9</v>
      </c>
      <c r="E51" t="s">
        <v>111</v>
      </c>
      <c r="F51" t="s">
        <v>1</v>
      </c>
      <c r="G51" s="5">
        <v>0</v>
      </c>
      <c r="H51" s="6">
        <v>0</v>
      </c>
      <c r="I51" s="6">
        <v>0</v>
      </c>
      <c r="J51" s="6">
        <v>0</v>
      </c>
      <c r="L51" s="7">
        <v>0</v>
      </c>
      <c r="M51" s="7">
        <v>0</v>
      </c>
      <c r="N51" s="5"/>
      <c r="O51" s="8">
        <v>0</v>
      </c>
      <c r="P51" s="7">
        <v>0</v>
      </c>
      <c r="Q51" s="7" t="s">
        <v>1</v>
      </c>
      <c r="R51" t="s">
        <v>1</v>
      </c>
    </row>
    <row r="52" spans="1:18" x14ac:dyDescent="0.25">
      <c r="A52" t="s">
        <v>112</v>
      </c>
      <c r="B52" t="s">
        <v>1</v>
      </c>
      <c r="C52" s="5">
        <v>15</v>
      </c>
      <c r="D52" s="5">
        <v>8</v>
      </c>
      <c r="E52" t="s">
        <v>50</v>
      </c>
      <c r="F52" t="s">
        <v>1</v>
      </c>
      <c r="G52" s="5">
        <v>0</v>
      </c>
      <c r="H52" s="6">
        <v>0</v>
      </c>
      <c r="I52" s="6">
        <v>0</v>
      </c>
      <c r="J52" s="6">
        <v>0</v>
      </c>
      <c r="L52" s="7">
        <v>0</v>
      </c>
      <c r="M52" s="7">
        <v>0</v>
      </c>
      <c r="N52" s="5"/>
      <c r="O52" s="8">
        <v>0</v>
      </c>
      <c r="P52" s="7">
        <v>0</v>
      </c>
      <c r="Q52" s="7" t="s">
        <v>1</v>
      </c>
      <c r="R52" t="s">
        <v>1</v>
      </c>
    </row>
    <row r="53" spans="1:18" x14ac:dyDescent="0.25">
      <c r="A53" t="s">
        <v>113</v>
      </c>
      <c r="B53" t="s">
        <v>77</v>
      </c>
      <c r="C53" s="5">
        <v>1</v>
      </c>
      <c r="D53" s="5">
        <v>10</v>
      </c>
      <c r="E53" t="s">
        <v>68</v>
      </c>
      <c r="F53" t="s">
        <v>1</v>
      </c>
      <c r="G53" s="5">
        <v>0</v>
      </c>
      <c r="H53" s="6">
        <v>0</v>
      </c>
      <c r="I53" s="5">
        <v>55</v>
      </c>
      <c r="J53" s="6">
        <v>0</v>
      </c>
      <c r="K53" s="11">
        <v>0</v>
      </c>
      <c r="L53" s="7">
        <v>0</v>
      </c>
      <c r="M53" s="7">
        <v>0</v>
      </c>
      <c r="N53" s="5"/>
      <c r="O53" s="8">
        <v>0</v>
      </c>
      <c r="P53" s="7">
        <v>210</v>
      </c>
      <c r="Q53" s="7" t="s">
        <v>1</v>
      </c>
      <c r="R53" t="s">
        <v>1</v>
      </c>
    </row>
    <row r="54" spans="1:18" x14ac:dyDescent="0.25">
      <c r="A54" t="s">
        <v>114</v>
      </c>
      <c r="B54" t="s">
        <v>114</v>
      </c>
      <c r="C54" s="5">
        <v>9</v>
      </c>
      <c r="D54" s="5">
        <v>9</v>
      </c>
      <c r="E54" t="s">
        <v>115</v>
      </c>
      <c r="F54" t="s">
        <v>116</v>
      </c>
      <c r="G54" s="5">
        <v>0</v>
      </c>
      <c r="H54" s="5">
        <v>202</v>
      </c>
      <c r="I54" s="5">
        <v>15</v>
      </c>
      <c r="J54" s="5">
        <v>1</v>
      </c>
      <c r="K54" s="11">
        <v>0.0667</v>
      </c>
      <c r="L54" s="7">
        <v>260</v>
      </c>
      <c r="M54" s="7">
        <v>0</v>
      </c>
      <c r="N54" s="5"/>
      <c r="O54" s="8">
        <v>0</v>
      </c>
      <c r="P54" s="7">
        <v>1359</v>
      </c>
      <c r="Q54" s="7" t="s">
        <v>1</v>
      </c>
      <c r="R54" t="s">
        <v>1</v>
      </c>
    </row>
    <row r="55" spans="1:18" x14ac:dyDescent="0.25">
      <c r="A55" t="s">
        <v>117</v>
      </c>
      <c r="B55" t="s">
        <v>1</v>
      </c>
      <c r="C55" s="5">
        <v>4</v>
      </c>
      <c r="D55" s="5">
        <v>9</v>
      </c>
      <c r="E55" t="s">
        <v>58</v>
      </c>
      <c r="F55" t="s">
        <v>1</v>
      </c>
      <c r="G55" s="5">
        <v>0</v>
      </c>
      <c r="H55" s="6">
        <v>0</v>
      </c>
      <c r="I55" s="6">
        <v>0</v>
      </c>
      <c r="J55" s="6">
        <v>0</v>
      </c>
      <c r="L55" s="7">
        <v>0</v>
      </c>
      <c r="M55" s="7">
        <v>0</v>
      </c>
      <c r="N55" s="5"/>
      <c r="O55" s="8">
        <v>0</v>
      </c>
      <c r="P55" s="7">
        <v>0</v>
      </c>
      <c r="Q55" s="7" t="s">
        <v>1</v>
      </c>
      <c r="R55" t="s">
        <v>1</v>
      </c>
    </row>
    <row r="56" spans="1:18" x14ac:dyDescent="0.25">
      <c r="A56" t="s">
        <v>118</v>
      </c>
      <c r="B56" t="s">
        <v>1</v>
      </c>
      <c r="C56" s="5">
        <v>9</v>
      </c>
      <c r="D56" s="5">
        <v>9</v>
      </c>
      <c r="E56" t="s">
        <v>119</v>
      </c>
      <c r="F56" t="s">
        <v>1</v>
      </c>
      <c r="G56" s="5">
        <v>0</v>
      </c>
      <c r="H56" s="6">
        <v>0</v>
      </c>
      <c r="I56" s="6">
        <v>0</v>
      </c>
      <c r="J56" s="6">
        <v>0</v>
      </c>
      <c r="L56" s="7">
        <v>0</v>
      </c>
      <c r="M56" s="7">
        <v>0</v>
      </c>
      <c r="N56" s="5"/>
      <c r="O56" s="8">
        <v>0</v>
      </c>
      <c r="P56" s="7">
        <v>0</v>
      </c>
      <c r="Q56" s="7" t="s">
        <v>1</v>
      </c>
      <c r="R56" t="s">
        <v>1</v>
      </c>
    </row>
    <row r="57" spans="1:18" x14ac:dyDescent="0.25">
      <c r="A57" t="s">
        <v>120</v>
      </c>
      <c r="B57" t="s">
        <v>121</v>
      </c>
      <c r="C57" s="5">
        <v>7</v>
      </c>
      <c r="D57" s="5">
        <v>5</v>
      </c>
      <c r="E57" t="s">
        <v>122</v>
      </c>
      <c r="F57" t="s">
        <v>123</v>
      </c>
      <c r="G57" s="5">
        <v>0</v>
      </c>
      <c r="H57" s="5">
        <v>11</v>
      </c>
      <c r="I57" s="5">
        <v>6</v>
      </c>
      <c r="J57" s="5">
        <v>5</v>
      </c>
      <c r="K57" s="9">
        <v>0.8333</v>
      </c>
      <c r="L57" s="7">
        <v>3330</v>
      </c>
      <c r="M57" s="7">
        <v>3636</v>
      </c>
      <c r="N57" s="10">
        <v>0.9158415841584159</v>
      </c>
      <c r="O57" s="8">
        <v>0.2089566305800788</v>
      </c>
      <c r="P57" s="7">
        <v>0</v>
      </c>
      <c r="Q57" s="7" t="s">
        <v>1</v>
      </c>
      <c r="R57" t="s">
        <v>1</v>
      </c>
    </row>
    <row r="58" spans="1:18" x14ac:dyDescent="0.25">
      <c r="A58" t="s">
        <v>124</v>
      </c>
      <c r="B58" t="s">
        <v>1</v>
      </c>
      <c r="C58" s="5">
        <v>20</v>
      </c>
      <c r="D58" s="5">
        <v>9</v>
      </c>
      <c r="E58" t="s">
        <v>45</v>
      </c>
      <c r="F58" t="s">
        <v>1</v>
      </c>
      <c r="G58" s="5">
        <v>0</v>
      </c>
      <c r="H58" s="6">
        <v>0</v>
      </c>
      <c r="I58" s="6">
        <v>0</v>
      </c>
      <c r="J58" s="6">
        <v>0</v>
      </c>
      <c r="L58" s="7">
        <v>0</v>
      </c>
      <c r="M58" s="7">
        <v>0</v>
      </c>
      <c r="N58" s="5"/>
      <c r="O58" s="8">
        <v>0</v>
      </c>
      <c r="P58" s="7">
        <v>0</v>
      </c>
      <c r="Q58" s="7" t="s">
        <v>1</v>
      </c>
      <c r="R58" t="s">
        <v>1</v>
      </c>
    </row>
    <row r="59" spans="1:18" x14ac:dyDescent="0.25">
      <c r="A59" t="s">
        <v>125</v>
      </c>
      <c r="B59" t="s">
        <v>1</v>
      </c>
      <c r="C59" s="5">
        <v>1</v>
      </c>
      <c r="D59" s="5">
        <v>9</v>
      </c>
      <c r="E59" t="s">
        <v>119</v>
      </c>
      <c r="F59" t="s">
        <v>126</v>
      </c>
      <c r="G59" s="5">
        <v>0</v>
      </c>
      <c r="H59" s="5">
        <v>21</v>
      </c>
      <c r="I59" s="5">
        <v>7</v>
      </c>
      <c r="J59" s="6">
        <v>0</v>
      </c>
      <c r="K59" s="11">
        <v>0</v>
      </c>
      <c r="L59" s="7">
        <v>0</v>
      </c>
      <c r="M59" s="7">
        <v>0</v>
      </c>
      <c r="N59" s="5"/>
      <c r="O59" s="8">
        <v>0</v>
      </c>
      <c r="P59" s="7">
        <v>0</v>
      </c>
      <c r="Q59" s="7" t="s">
        <v>1</v>
      </c>
      <c r="R59" t="s">
        <v>1</v>
      </c>
    </row>
    <row r="60" spans="1:18" x14ac:dyDescent="0.25">
      <c r="A60" t="s">
        <v>127</v>
      </c>
      <c r="B60" t="s">
        <v>1</v>
      </c>
      <c r="C60" s="5">
        <v>9</v>
      </c>
      <c r="D60" s="5">
        <v>-95681</v>
      </c>
      <c r="E60" t="s">
        <v>35</v>
      </c>
      <c r="F60" t="s">
        <v>1</v>
      </c>
      <c r="G60" s="5">
        <v>0</v>
      </c>
      <c r="H60" s="6">
        <v>0</v>
      </c>
      <c r="I60" s="6">
        <v>0</v>
      </c>
      <c r="J60" s="6">
        <v>0</v>
      </c>
      <c r="L60" s="7">
        <v>0</v>
      </c>
      <c r="M60" s="7">
        <v>0</v>
      </c>
      <c r="N60" s="5"/>
      <c r="O60" s="8">
        <v>0</v>
      </c>
      <c r="P60" s="7">
        <v>0</v>
      </c>
      <c r="Q60" s="7" t="s">
        <v>1</v>
      </c>
      <c r="R60" t="s">
        <v>1</v>
      </c>
    </row>
    <row r="61" spans="1:18" x14ac:dyDescent="0.25">
      <c r="A61" t="s">
        <v>128</v>
      </c>
      <c r="B61" t="s">
        <v>129</v>
      </c>
      <c r="C61" s="5">
        <v>1</v>
      </c>
      <c r="D61" s="5">
        <v>10</v>
      </c>
      <c r="E61" t="s">
        <v>130</v>
      </c>
      <c r="F61" t="s">
        <v>123</v>
      </c>
      <c r="G61" s="5">
        <v>0</v>
      </c>
      <c r="H61" s="5">
        <v>4</v>
      </c>
      <c r="I61" s="5">
        <v>5</v>
      </c>
      <c r="J61" s="5">
        <v>3</v>
      </c>
      <c r="K61" s="9">
        <v>0.6</v>
      </c>
      <c r="L61" s="7">
        <v>9939</v>
      </c>
      <c r="M61" s="7">
        <v>9939.81</v>
      </c>
      <c r="N61" s="10">
        <v>0.9999185095087331</v>
      </c>
      <c r="O61" s="8">
        <v>0.5712291546221597</v>
      </c>
      <c r="P61" s="7">
        <v>0</v>
      </c>
      <c r="Q61" s="7" t="s">
        <v>1</v>
      </c>
      <c r="R61" t="s">
        <v>1</v>
      </c>
    </row>
    <row r="62" spans="1:18" x14ac:dyDescent="0.25">
      <c r="A62" t="s">
        <v>131</v>
      </c>
      <c r="B62" t="s">
        <v>1</v>
      </c>
      <c r="C62" s="5">
        <v>1</v>
      </c>
      <c r="D62" s="5">
        <v>10</v>
      </c>
      <c r="E62" t="s">
        <v>22</v>
      </c>
      <c r="F62" t="s">
        <v>1</v>
      </c>
      <c r="G62" s="5">
        <v>0</v>
      </c>
      <c r="H62" s="6">
        <v>0</v>
      </c>
      <c r="I62" s="6">
        <v>0</v>
      </c>
      <c r="J62" s="6">
        <v>0</v>
      </c>
      <c r="L62" s="7">
        <v>0</v>
      </c>
      <c r="M62" s="7">
        <v>0</v>
      </c>
      <c r="N62" s="5"/>
      <c r="O62" s="8">
        <v>0</v>
      </c>
      <c r="P62" s="7">
        <v>0</v>
      </c>
      <c r="Q62" s="7" t="s">
        <v>1</v>
      </c>
      <c r="R62" t="s">
        <v>1</v>
      </c>
    </row>
    <row r="63" spans="1:18" s="12" customFormat="1" x14ac:dyDescent="0.25">
      <c r="A63" s="12" t="s">
        <v>132</v>
      </c>
      <c r="B63" s="12" t="s">
        <v>1</v>
      </c>
      <c r="C63" s="13">
        <v>317</v>
      </c>
      <c r="D63" s="12" t="s">
        <v>1</v>
      </c>
      <c r="E63" s="12" t="s">
        <v>1</v>
      </c>
      <c r="F63" s="12" t="s">
        <v>1</v>
      </c>
      <c r="G63" s="13">
        <v>64</v>
      </c>
      <c r="H63" s="13">
        <v>334</v>
      </c>
      <c r="I63" s="13">
        <v>148</v>
      </c>
      <c r="J63" s="13">
        <v>32</v>
      </c>
      <c r="K63" s="14">
        <v>0.21621621621621623</v>
      </c>
      <c r="L63" s="15">
        <v>656113</v>
      </c>
      <c r="M63" s="15">
        <v>17400.739999999998</v>
      </c>
      <c r="N63" s="16">
        <v>37.706040087950285</v>
      </c>
      <c r="O63" s="17">
        <v>1</v>
      </c>
      <c r="P63" s="15">
        <v>122327</v>
      </c>
      <c r="Q63" s="12" t="s">
        <v>1</v>
      </c>
      <c r="R63" s="12" t="s">
        <v>1</v>
      </c>
    </row>
    <row r="65" spans="1:18" s="18" customFormat="1" x14ac:dyDescent="0.25">
      <c r="A65" s="18" t="s">
        <v>133</v>
      </c>
      <c r="B65" s="18" t="s">
        <v>1</v>
      </c>
      <c r="C65" s="18" t="s">
        <v>1</v>
      </c>
      <c r="D65" s="18" t="s">
        <v>1</v>
      </c>
      <c r="E65" s="18" t="s">
        <v>1</v>
      </c>
      <c r="F65" s="18" t="s">
        <v>1</v>
      </c>
      <c r="G65" s="18" t="s">
        <v>1</v>
      </c>
      <c r="H65" s="18" t="s">
        <v>1</v>
      </c>
      <c r="I65" s="18" t="s">
        <v>1</v>
      </c>
      <c r="J65" s="18" t="s">
        <v>1</v>
      </c>
      <c r="K65" s="18" t="s">
        <v>1</v>
      </c>
      <c r="L65" s="18" t="s">
        <v>1</v>
      </c>
      <c r="M65" s="18" t="s">
        <v>1</v>
      </c>
      <c r="N65" s="18" t="s">
        <v>1</v>
      </c>
      <c r="O65" s="18" t="s">
        <v>1</v>
      </c>
      <c r="P65" s="18" t="s">
        <v>1</v>
      </c>
      <c r="Q65" s="18" t="s">
        <v>1</v>
      </c>
      <c r="R65" s="18" t="s">
        <v>1</v>
      </c>
    </row>
    <row r="66" spans="1:18" x14ac:dyDescent="0.25">
      <c r="A66" t="s">
        <v>59</v>
      </c>
      <c r="B66" t="s">
        <v>1</v>
      </c>
      <c r="C66" s="5">
        <v>12</v>
      </c>
      <c r="D66" s="5" t="s">
        <v>1</v>
      </c>
      <c r="E66" t="s">
        <v>1</v>
      </c>
      <c r="F66" t="s">
        <v>1</v>
      </c>
      <c r="G66" s="5">
        <v>0</v>
      </c>
      <c r="H66" s="5">
        <v>2</v>
      </c>
      <c r="I66" s="5">
        <v>3</v>
      </c>
      <c r="J66" s="5">
        <v>0</v>
      </c>
      <c r="K66" s="11">
        <v>0</v>
      </c>
      <c r="L66" s="7">
        <v>0</v>
      </c>
      <c r="M66" s="7">
        <v>0</v>
      </c>
      <c r="N66" s="5"/>
      <c r="O66" s="8">
        <v>0</v>
      </c>
      <c r="P66" s="7">
        <v>0</v>
      </c>
      <c r="Q66" s="7" t="s">
        <v>1</v>
      </c>
      <c r="R66" t="s">
        <v>1</v>
      </c>
    </row>
    <row r="67" spans="1:18" x14ac:dyDescent="0.25">
      <c r="A67" t="s">
        <v>134</v>
      </c>
      <c r="B67" t="s">
        <v>1</v>
      </c>
      <c r="C67" s="5">
        <v>5</v>
      </c>
      <c r="D67" s="5" t="s">
        <v>1</v>
      </c>
      <c r="E67" t="s">
        <v>1</v>
      </c>
      <c r="F67" t="s">
        <v>1</v>
      </c>
      <c r="G67" s="5">
        <v>0</v>
      </c>
      <c r="H67" s="5">
        <v>0</v>
      </c>
      <c r="I67" s="5">
        <v>0</v>
      </c>
      <c r="J67" s="5">
        <v>0</v>
      </c>
      <c r="L67" s="7">
        <v>0</v>
      </c>
      <c r="M67" s="7">
        <v>0</v>
      </c>
      <c r="N67" s="5"/>
      <c r="O67" s="8">
        <v>0</v>
      </c>
      <c r="P67" s="7">
        <v>0</v>
      </c>
      <c r="Q67" s="7" t="s">
        <v>1</v>
      </c>
      <c r="R67" t="s">
        <v>1</v>
      </c>
    </row>
    <row r="68" spans="1:18" x14ac:dyDescent="0.25">
      <c r="A68" t="s">
        <v>135</v>
      </c>
      <c r="B68" t="s">
        <v>136</v>
      </c>
      <c r="C68" s="5">
        <v>39</v>
      </c>
      <c r="D68" s="5" t="s">
        <v>1</v>
      </c>
      <c r="E68" t="s">
        <v>1</v>
      </c>
      <c r="F68" t="s">
        <v>1</v>
      </c>
      <c r="G68" s="5">
        <v>0</v>
      </c>
      <c r="H68" s="5">
        <v>2</v>
      </c>
      <c r="I68" s="5">
        <v>1</v>
      </c>
      <c r="J68" s="5">
        <v>1</v>
      </c>
      <c r="K68" s="9">
        <v>1</v>
      </c>
      <c r="L68" s="7">
        <v>2776</v>
      </c>
      <c r="M68" s="7">
        <v>0</v>
      </c>
      <c r="N68" s="5"/>
      <c r="O68" s="8">
        <v>0</v>
      </c>
      <c r="P68" s="7">
        <v>5429</v>
      </c>
      <c r="Q68" s="7" t="s">
        <v>1</v>
      </c>
      <c r="R68" t="s">
        <v>1</v>
      </c>
    </row>
    <row r="69" spans="1:18" x14ac:dyDescent="0.25">
      <c r="A69" t="s">
        <v>137</v>
      </c>
      <c r="B69" t="s">
        <v>1</v>
      </c>
      <c r="C69" s="5">
        <v>1</v>
      </c>
      <c r="D69" s="5" t="s">
        <v>1</v>
      </c>
      <c r="E69" t="s">
        <v>1</v>
      </c>
      <c r="F69" t="s">
        <v>1</v>
      </c>
      <c r="G69" s="5">
        <v>0</v>
      </c>
      <c r="H69" s="5">
        <v>0</v>
      </c>
      <c r="I69" s="5">
        <v>0</v>
      </c>
      <c r="J69" s="5">
        <v>0</v>
      </c>
      <c r="L69" s="7">
        <v>0</v>
      </c>
      <c r="M69" s="7">
        <v>0</v>
      </c>
      <c r="N69" s="5"/>
      <c r="O69" s="8">
        <v>0</v>
      </c>
      <c r="P69" s="7">
        <v>0</v>
      </c>
      <c r="Q69" s="7" t="s">
        <v>1</v>
      </c>
      <c r="R69" t="s">
        <v>1</v>
      </c>
    </row>
    <row r="70" spans="1:18" x14ac:dyDescent="0.25">
      <c r="A70" t="s">
        <v>138</v>
      </c>
      <c r="B70" t="s">
        <v>1</v>
      </c>
      <c r="C70" s="5">
        <v>1</v>
      </c>
      <c r="D70" s="5" t="s">
        <v>1</v>
      </c>
      <c r="E70" t="s">
        <v>1</v>
      </c>
      <c r="F70" t="s">
        <v>1</v>
      </c>
      <c r="G70" s="5">
        <v>0</v>
      </c>
      <c r="H70" s="5">
        <v>1</v>
      </c>
      <c r="I70" s="5">
        <v>0</v>
      </c>
      <c r="J70" s="5">
        <v>0</v>
      </c>
      <c r="L70" s="7">
        <v>0</v>
      </c>
      <c r="M70" s="7">
        <v>0</v>
      </c>
      <c r="N70" s="5"/>
      <c r="O70" s="8">
        <v>0</v>
      </c>
      <c r="P70" s="7">
        <v>0</v>
      </c>
      <c r="Q70" s="7" t="s">
        <v>1</v>
      </c>
      <c r="R70" t="s">
        <v>1</v>
      </c>
    </row>
    <row r="71" spans="1:18" x14ac:dyDescent="0.25">
      <c r="A71" t="s">
        <v>139</v>
      </c>
      <c r="B71" t="s">
        <v>1</v>
      </c>
      <c r="C71" s="5">
        <v>1</v>
      </c>
      <c r="D71" s="5" t="s">
        <v>1</v>
      </c>
      <c r="E71" t="s">
        <v>1</v>
      </c>
      <c r="F71" t="s">
        <v>1</v>
      </c>
      <c r="G71" s="5">
        <v>0</v>
      </c>
      <c r="H71" s="5">
        <v>2</v>
      </c>
      <c r="I71" s="5">
        <v>2</v>
      </c>
      <c r="J71" s="5">
        <v>0</v>
      </c>
      <c r="K71" s="11">
        <v>0</v>
      </c>
      <c r="L71" s="7">
        <v>0</v>
      </c>
      <c r="M71" s="7">
        <v>0</v>
      </c>
      <c r="N71" s="5"/>
      <c r="O71" s="8">
        <v>0</v>
      </c>
      <c r="P71" s="7">
        <v>0</v>
      </c>
      <c r="Q71" s="7" t="s">
        <v>1</v>
      </c>
      <c r="R71" t="s">
        <v>1</v>
      </c>
    </row>
    <row r="72" spans="1:18" x14ac:dyDescent="0.25">
      <c r="B72" t="s">
        <v>140</v>
      </c>
      <c r="C72" s="5">
        <v>0</v>
      </c>
      <c r="D72" s="5" t="s">
        <v>1</v>
      </c>
      <c r="E72" t="s">
        <v>1</v>
      </c>
      <c r="F72" t="s">
        <v>1</v>
      </c>
      <c r="G72" s="5">
        <v>0</v>
      </c>
      <c r="H72" s="5">
        <v>0</v>
      </c>
      <c r="I72" s="5">
        <v>0</v>
      </c>
      <c r="J72" s="5">
        <v>0</v>
      </c>
      <c r="L72" s="7">
        <v>445</v>
      </c>
      <c r="M72" s="7">
        <v>445.3</v>
      </c>
      <c r="N72" s="10">
        <v>0.9993262968785088</v>
      </c>
      <c r="O72" s="8">
        <v>0.14458167744616743</v>
      </c>
      <c r="P72" s="7">
        <v>0</v>
      </c>
      <c r="Q72" s="7" t="s">
        <v>1</v>
      </c>
      <c r="R72" t="s">
        <v>1</v>
      </c>
    </row>
    <row r="73" spans="1:18" x14ac:dyDescent="0.25">
      <c r="B73" t="s">
        <v>141</v>
      </c>
      <c r="C73" s="5">
        <v>0</v>
      </c>
      <c r="D73" s="5" t="s">
        <v>1</v>
      </c>
      <c r="E73" t="s">
        <v>1</v>
      </c>
      <c r="F73" t="s">
        <v>1</v>
      </c>
      <c r="G73" s="5">
        <v>0</v>
      </c>
      <c r="H73" s="5">
        <v>0</v>
      </c>
      <c r="I73" s="5">
        <v>0</v>
      </c>
      <c r="J73" s="5">
        <v>0</v>
      </c>
      <c r="L73" s="7">
        <v>0</v>
      </c>
      <c r="M73" s="7">
        <v>2634.62</v>
      </c>
      <c r="N73" s="10">
        <v>0</v>
      </c>
      <c r="O73" s="8">
        <v>0.8554183225538325</v>
      </c>
      <c r="P73" s="7">
        <v>0</v>
      </c>
      <c r="Q73" s="7" t="s">
        <v>1</v>
      </c>
      <c r="R73" t="s">
        <v>1</v>
      </c>
    </row>
    <row r="74" spans="1:18" x14ac:dyDescent="0.25">
      <c r="B74" t="s">
        <v>142</v>
      </c>
      <c r="C74" s="5">
        <v>0</v>
      </c>
      <c r="D74" s="5" t="s">
        <v>1</v>
      </c>
      <c r="E74" t="s">
        <v>1</v>
      </c>
      <c r="F74" t="s">
        <v>1</v>
      </c>
      <c r="G74" s="5">
        <v>0</v>
      </c>
      <c r="H74" s="5">
        <v>0</v>
      </c>
      <c r="I74" s="5">
        <v>0</v>
      </c>
      <c r="J74" s="5">
        <v>0</v>
      </c>
      <c r="L74" s="7">
        <v>0</v>
      </c>
      <c r="M74" s="7">
        <v>0</v>
      </c>
      <c r="N74" s="5"/>
      <c r="O74" s="8">
        <v>0</v>
      </c>
      <c r="P74" s="7">
        <v>914</v>
      </c>
      <c r="Q74" s="7" t="s">
        <v>1</v>
      </c>
      <c r="R74" t="s">
        <v>1</v>
      </c>
    </row>
    <row r="75" spans="1:18" x14ac:dyDescent="0.25">
      <c r="B75" t="s">
        <v>143</v>
      </c>
      <c r="C75" s="5">
        <v>0</v>
      </c>
      <c r="D75" s="5" t="s">
        <v>1</v>
      </c>
      <c r="E75" t="s">
        <v>1</v>
      </c>
      <c r="F75" t="s">
        <v>1</v>
      </c>
      <c r="G75" s="5">
        <v>0</v>
      </c>
      <c r="H75" s="5">
        <v>0</v>
      </c>
      <c r="I75" s="5">
        <v>0</v>
      </c>
      <c r="J75" s="5">
        <v>0</v>
      </c>
      <c r="L75" s="7">
        <v>0</v>
      </c>
      <c r="M75" s="7">
        <v>0</v>
      </c>
      <c r="N75" s="5"/>
      <c r="O75" s="8">
        <v>0</v>
      </c>
      <c r="P75" s="7">
        <v>0</v>
      </c>
      <c r="Q75" s="7" t="s">
        <v>1</v>
      </c>
      <c r="R75" t="s">
        <v>1</v>
      </c>
    </row>
    <row r="76" spans="1:18" s="19" customFormat="1" x14ac:dyDescent="0.25">
      <c r="A76" s="19" t="s">
        <v>144</v>
      </c>
      <c r="B76" s="19" t="s">
        <v>1</v>
      </c>
      <c r="C76" s="20">
        <v>59</v>
      </c>
      <c r="D76" s="19" t="s">
        <v>1</v>
      </c>
      <c r="E76" s="19" t="s">
        <v>1</v>
      </c>
      <c r="F76" s="19" t="s">
        <v>1</v>
      </c>
      <c r="G76" s="20">
        <v>0</v>
      </c>
      <c r="H76" s="20">
        <v>7</v>
      </c>
      <c r="I76" s="20">
        <v>6</v>
      </c>
      <c r="J76" s="20">
        <v>1</v>
      </c>
      <c r="K76" s="21">
        <v>0.16666666666666666</v>
      </c>
      <c r="L76" s="22">
        <v>3221</v>
      </c>
      <c r="M76" s="22">
        <v>3079.92</v>
      </c>
      <c r="N76" s="23">
        <v>1.0458063845814176</v>
      </c>
      <c r="O76" s="24">
        <v>1</v>
      </c>
      <c r="P76" s="22">
        <v>6343</v>
      </c>
      <c r="Q76" s="19" t="s">
        <v>1</v>
      </c>
      <c r="R76" s="19" t="s">
        <v>1</v>
      </c>
    </row>
    <row r="78" spans="1:18" s="25" customFormat="1" x14ac:dyDescent="0.25">
      <c r="A78" s="25" t="s">
        <v>145</v>
      </c>
      <c r="B78" s="25" t="s">
        <v>1</v>
      </c>
      <c r="C78" s="26">
        <v>376</v>
      </c>
      <c r="D78" s="25" t="s">
        <v>1</v>
      </c>
      <c r="E78" s="25" t="s">
        <v>1</v>
      </c>
      <c r="F78" s="25" t="s">
        <v>1</v>
      </c>
      <c r="G78" s="26">
        <v>64</v>
      </c>
      <c r="H78" s="26">
        <v>341</v>
      </c>
      <c r="I78" s="26">
        <v>154</v>
      </c>
      <c r="J78" s="26">
        <v>33</v>
      </c>
      <c r="K78" s="27">
        <v>0.21428571428571427</v>
      </c>
      <c r="L78" s="28">
        <v>659334</v>
      </c>
      <c r="M78" s="28">
        <v>20480.659999999996</v>
      </c>
      <c r="N78" s="29">
        <v>32.19300549884623</v>
      </c>
      <c r="O78" s="25" t="s">
        <v>1</v>
      </c>
      <c r="P78" s="28">
        <v>128670</v>
      </c>
      <c r="Q78" s="28">
        <f>SUM(Q6:Q77)</f>
      </c>
      <c r="R78" s="25" t="s">
        <v>1</v>
      </c>
    </row>
    <row r="79" spans="1:18" s="30" customFormat="1" x14ac:dyDescent="0.25">
      <c r="A79" s="30" t="s">
        <v>146</v>
      </c>
      <c r="B79" s="30" t="s">
        <v>1</v>
      </c>
      <c r="C79" s="30" t="s">
        <v>1</v>
      </c>
      <c r="D79" s="30" t="s">
        <v>1</v>
      </c>
      <c r="E79" s="30" t="s">
        <v>1</v>
      </c>
      <c r="F79" s="30" t="s">
        <v>1</v>
      </c>
      <c r="G79" s="30" t="s">
        <v>1</v>
      </c>
      <c r="H79" s="30" t="s">
        <v>1</v>
      </c>
      <c r="I79" s="30" t="s">
        <v>1</v>
      </c>
      <c r="J79" s="30" t="s">
        <v>1</v>
      </c>
      <c r="K79" s="30" t="s">
        <v>1</v>
      </c>
      <c r="L79" s="30" t="s">
        <v>1</v>
      </c>
      <c r="M79" s="30" t="s">
        <v>1</v>
      </c>
      <c r="N79" s="30" t="s">
        <v>1</v>
      </c>
      <c r="O79" s="30" t="s">
        <v>1</v>
      </c>
      <c r="P79" s="30" t="s">
        <v>1</v>
      </c>
      <c r="Q79" s="31">
        <v>75000</v>
      </c>
      <c r="R79" s="30" t="s">
        <v>1</v>
      </c>
    </row>
    <row r="80" spans="1:18" s="30" customFormat="1" x14ac:dyDescent="0.25">
      <c r="A80" s="30" t="s">
        <v>147</v>
      </c>
      <c r="B80" s="30" t="s">
        <v>1</v>
      </c>
      <c r="C80" s="30" t="s">
        <v>1</v>
      </c>
      <c r="D80" s="30" t="s">
        <v>1</v>
      </c>
      <c r="E80" s="30" t="s">
        <v>1</v>
      </c>
      <c r="F80" s="30" t="s">
        <v>1</v>
      </c>
      <c r="G80" s="30" t="s">
        <v>1</v>
      </c>
      <c r="H80" s="30" t="s">
        <v>1</v>
      </c>
      <c r="I80" s="30" t="s">
        <v>1</v>
      </c>
      <c r="J80" s="30" t="s">
        <v>1</v>
      </c>
      <c r="K80" s="30" t="s">
        <v>1</v>
      </c>
      <c r="L80" s="30" t="s">
        <v>1</v>
      </c>
      <c r="M80" s="30" t="s">
        <v>1</v>
      </c>
      <c r="N80" s="30" t="s">
        <v>1</v>
      </c>
      <c r="O80" s="30" t="s">
        <v>1</v>
      </c>
      <c r="P80" s="30" t="s">
        <v>1</v>
      </c>
      <c r="Q80" s="32">
        <f>Q78-Q79</f>
      </c>
      <c r="R80" s="30" t="s">
        <v>1</v>
      </c>
    </row>
    <row r="82" spans="1:18" s="33" customFormat="1" x14ac:dyDescent="0.25">
      <c r="A82" s="33" t="s">
        <v>148</v>
      </c>
      <c r="B82" s="33" t="s">
        <v>1</v>
      </c>
      <c r="C82" s="33" t="s">
        <v>1</v>
      </c>
      <c r="D82" s="33" t="s">
        <v>1</v>
      </c>
      <c r="E82" s="33" t="s">
        <v>1</v>
      </c>
      <c r="F82" s="33" t="s">
        <v>1</v>
      </c>
      <c r="G82" s="33" t="s">
        <v>1</v>
      </c>
      <c r="H82" s="33" t="s">
        <v>1</v>
      </c>
      <c r="I82" s="33" t="s">
        <v>1</v>
      </c>
      <c r="J82" s="33" t="s">
        <v>1</v>
      </c>
      <c r="K82" s="33" t="s">
        <v>1</v>
      </c>
      <c r="L82" s="33" t="s">
        <v>1</v>
      </c>
      <c r="M82" s="33" t="s">
        <v>1</v>
      </c>
      <c r="N82" s="33" t="s">
        <v>1</v>
      </c>
      <c r="O82" s="33" t="s">
        <v>1</v>
      </c>
      <c r="P82" s="33" t="s">
        <v>1</v>
      </c>
      <c r="Q82" s="33" t="s">
        <v>1</v>
      </c>
      <c r="R82" s="33" t="s">
        <v>1</v>
      </c>
    </row>
    <row r="83" spans="1:18" s="34" customFormat="1" x14ac:dyDescent="0.25">
      <c r="A83" s="34" t="s">
        <v>149</v>
      </c>
      <c r="B83" s="34"/>
      <c r="C83" s="34"/>
      <c r="D83" s="34"/>
      <c r="E83" s="34"/>
      <c r="F83" s="34"/>
      <c r="G83" s="34" t="s">
        <v>1</v>
      </c>
      <c r="H83" s="34" t="s">
        <v>1</v>
      </c>
      <c r="I83" s="34" t="s">
        <v>1</v>
      </c>
      <c r="J83" s="34" t="s">
        <v>1</v>
      </c>
      <c r="K83" s="34" t="s">
        <v>1</v>
      </c>
      <c r="L83" s="34" t="s">
        <v>1</v>
      </c>
      <c r="M83" s="34" t="s">
        <v>1</v>
      </c>
      <c r="N83" s="34" t="s">
        <v>1</v>
      </c>
      <c r="O83" s="34" t="s">
        <v>1</v>
      </c>
      <c r="P83" s="34" t="s">
        <v>1</v>
      </c>
      <c r="Q83" s="34" t="s">
        <v>1</v>
      </c>
      <c r="R83" s="34" t="s">
        <v>1</v>
      </c>
    </row>
    <row r="84" spans="1:18" s="34" customFormat="1" x14ac:dyDescent="0.25">
      <c r="A84" s="34" t="s">
        <v>150</v>
      </c>
      <c r="B84" s="34"/>
      <c r="C84" s="34"/>
      <c r="D84" s="34"/>
      <c r="E84" s="34"/>
      <c r="F84" s="34"/>
      <c r="G84" s="34" t="s">
        <v>1</v>
      </c>
      <c r="H84" s="34" t="s">
        <v>1</v>
      </c>
      <c r="I84" s="34" t="s">
        <v>1</v>
      </c>
      <c r="J84" s="34" t="s">
        <v>1</v>
      </c>
      <c r="K84" s="34" t="s">
        <v>1</v>
      </c>
      <c r="L84" s="34" t="s">
        <v>1</v>
      </c>
      <c r="M84" s="34" t="s">
        <v>1</v>
      </c>
      <c r="N84" s="34" t="s">
        <v>1</v>
      </c>
      <c r="O84" s="34" t="s">
        <v>1</v>
      </c>
      <c r="P84" s="34" t="s">
        <v>1</v>
      </c>
      <c r="Q84" s="34" t="s">
        <v>1</v>
      </c>
      <c r="R84" s="34" t="s">
        <v>1</v>
      </c>
    </row>
    <row r="85" spans="1:18" s="34" customFormat="1" x14ac:dyDescent="0.25">
      <c r="A85" s="34" t="s">
        <v>151</v>
      </c>
      <c r="B85" s="34"/>
      <c r="C85" s="34"/>
      <c r="D85" s="34"/>
      <c r="E85" s="34"/>
      <c r="F85" s="34"/>
      <c r="G85" s="34" t="s">
        <v>1</v>
      </c>
      <c r="H85" s="34" t="s">
        <v>1</v>
      </c>
      <c r="I85" s="34" t="s">
        <v>1</v>
      </c>
      <c r="J85" s="34" t="s">
        <v>1</v>
      </c>
      <c r="K85" s="34" t="s">
        <v>1</v>
      </c>
      <c r="L85" s="34" t="s">
        <v>1</v>
      </c>
      <c r="M85" s="34" t="s">
        <v>1</v>
      </c>
      <c r="N85" s="34" t="s">
        <v>1</v>
      </c>
      <c r="O85" s="34" t="s">
        <v>1</v>
      </c>
      <c r="P85" s="34" t="s">
        <v>1</v>
      </c>
      <c r="Q85" s="34" t="s">
        <v>1</v>
      </c>
      <c r="R85" s="34" t="s">
        <v>1</v>
      </c>
    </row>
  </sheetData>
  <mergeCells count="4">
    <mergeCell ref="A3:R3"/>
    <mergeCell ref="A83:F83"/>
    <mergeCell ref="A84:F84"/>
    <mergeCell ref="A85:F85"/>
  </mergeCells>
  <conditionalFormatting sqref="Q80">
    <cfRule type="cellIs" dxfId="0" priority="1" operator="lessThan">
      <formula>0</formula>
    </cfRule>
    <cfRule type="cellIs" dxfId="1" priority="2" operator="greaterThanOr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Daniel Reiser - Q3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2026-07-16T15:40:44Z</dcterms:created>
  <dcterms:modified xsi:type="dcterms:W3CDTF">2026-07-16T15:40:44Z</dcterms:modified>
</cp:coreProperties>
</file>