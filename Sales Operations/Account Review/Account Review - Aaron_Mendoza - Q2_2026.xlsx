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on Mendoza - Q3 2026" state="visible" r:id="rId4"/>
  </sheets>
  <calcPr calcId="171027"/>
</workbook>
</file>

<file path=xl/sharedStrings.xml><?xml version="1.0" encoding="utf-8"?>
<sst xmlns="http://schemas.openxmlformats.org/spreadsheetml/2006/main" count="301" uniqueCount="103">
  <si>
    <t>Account (OT)</t>
  </si>
  <si>
    <t>Account INFOR</t>
  </si>
  <si>
    <t>Locations</t>
  </si>
  <si>
    <t>Months Assigned</t>
  </si>
  <si>
    <t>First Assigned</t>
  </si>
  <si>
    <t>Last Sale Date</t>
  </si>
  <si>
    <t>Activities Q2</t>
  </si>
  <si>
    <t>RFQ Lines Q2</t>
  </si>
  <si>
    <t>CQ Lines Q2</t>
  </si>
  <si>
    <t>CQ Lines Won Q2</t>
  </si>
  <si>
    <t>Conversion Rate Q2</t>
  </si>
  <si>
    <t>Booked GP Q2</t>
  </si>
  <si>
    <t>Invoiced GP Q2</t>
  </si>
  <si>
    <t>B to I Q2</t>
  </si>
  <si>
    <t>% of Inv Total Q2</t>
  </si>
  <si>
    <t>Scheduled GP Q3 2026</t>
  </si>
  <si>
    <t>GP Target</t>
  </si>
  <si>
    <t>Q3 2026 Strategies</t>
  </si>
  <si>
    <t>Accurate Electronics</t>
  </si>
  <si>
    <t/>
  </si>
  <si>
    <t>2020-07-29</t>
  </si>
  <si>
    <t>Alstom</t>
  </si>
  <si>
    <t>Alstom Transportation Inc.|Alstom Transport Canada Inc|Alstom Transport Canada Inc.</t>
  </si>
  <si>
    <t>2023-08-07</t>
  </si>
  <si>
    <t>BENCHMARK ELECTRONICS</t>
  </si>
  <si>
    <t>2019-03-13</t>
  </si>
  <si>
    <t>Bell Flight Textron Inc.</t>
  </si>
  <si>
    <t>2019-03-21</t>
  </si>
  <si>
    <t>Crane Aerospace &amp; Electronics</t>
  </si>
  <si>
    <t>2021-08-09</t>
  </si>
  <si>
    <t>Eastman Kodak Company</t>
  </si>
  <si>
    <t>EASTMAN KODAK COMPANY|Kodak Canada ULC</t>
  </si>
  <si>
    <t>2023-10-10</t>
  </si>
  <si>
    <t>Foxconn</t>
  </si>
  <si>
    <t>2024-01-31</t>
  </si>
  <si>
    <t>GE Healthcare</t>
  </si>
  <si>
    <t>GE Precision Healthcare LLC</t>
  </si>
  <si>
    <t>2019-05-22</t>
  </si>
  <si>
    <t>GE MDS LLC</t>
  </si>
  <si>
    <t>2023-08-29</t>
  </si>
  <si>
    <t>GE Multilin</t>
  </si>
  <si>
    <t>2019-11-27</t>
  </si>
  <si>
    <t>GE Vernova (Energy Businesses)</t>
  </si>
  <si>
    <t>2021-03-23</t>
  </si>
  <si>
    <t xml:space="preserve">General Motors </t>
  </si>
  <si>
    <t>2023-08-25</t>
  </si>
  <si>
    <t>Mirian Solutions</t>
  </si>
  <si>
    <t>2025-05-19</t>
  </si>
  <si>
    <t>Morey Corporation</t>
  </si>
  <si>
    <t>THE MOREY CORPORATION</t>
  </si>
  <si>
    <t>2019-01-11</t>
  </si>
  <si>
    <t>Ontic</t>
  </si>
  <si>
    <t>Ontic Engineering &amp; Manufacturing, Inc.</t>
  </si>
  <si>
    <t>2019-02-14</t>
  </si>
  <si>
    <t>Projects Unlimited Inc.</t>
  </si>
  <si>
    <t>2019-03-26</t>
  </si>
  <si>
    <t>Qual-Pro Corporation</t>
  </si>
  <si>
    <t>2019-01-17</t>
  </si>
  <si>
    <t>S&amp;B Industry</t>
  </si>
  <si>
    <t>6</t>
  </si>
  <si>
    <t>2026-01-06</t>
  </si>
  <si>
    <t>Saline Lectronics Manufacturing Services</t>
  </si>
  <si>
    <t>2021-05-19</t>
  </si>
  <si>
    <t>SensIT</t>
  </si>
  <si>
    <t>2024-03-26</t>
  </si>
  <si>
    <t>noLimits Enterprises Inc (dba Radenso)</t>
  </si>
  <si>
    <t>2025-08-13</t>
  </si>
  <si>
    <t>ASSIGNED TOTAL</t>
  </si>
  <si>
    <t>NOT ASSIGNED (Activity but no ISE Steward assignment + Infor-only sales)</t>
  </si>
  <si>
    <t>Acuity Brands</t>
  </si>
  <si>
    <t>Advanced Manufacturing Corporation (Penang) Sdn Bhd</t>
  </si>
  <si>
    <t>Advanced Manufacturing Corporation Pte. Ltd.</t>
  </si>
  <si>
    <t>Advanced Technology Co.</t>
  </si>
  <si>
    <t>Advanced Manufacturing Corporation Pte. Ltd.|Advanced Technology Co.</t>
  </si>
  <si>
    <t>Apollo America Inc.</t>
  </si>
  <si>
    <t>Astro Geo Marine</t>
  </si>
  <si>
    <t>BATM</t>
  </si>
  <si>
    <t>Bearings Distributors</t>
  </si>
  <si>
    <t>BizLink Technology (S.E.A) Sdn. Bhd.</t>
  </si>
  <si>
    <t>E-Mek</t>
  </si>
  <si>
    <t>EMLinQ</t>
  </si>
  <si>
    <t>Ensign-Bickford Aerospace</t>
  </si>
  <si>
    <t xml:space="preserve">Flex </t>
  </si>
  <si>
    <t>IMP Group Ltd.</t>
  </si>
  <si>
    <t>Indak Manufacturing</t>
  </si>
  <si>
    <t>Interalia</t>
  </si>
  <si>
    <t>J &amp; M Aircraft</t>
  </si>
  <si>
    <t>KrateoSky</t>
  </si>
  <si>
    <t>Manufactured Assemblies Corp</t>
  </si>
  <si>
    <t>MANUFACTURED ASSEMBLIES CORP, LLC</t>
  </si>
  <si>
    <t>Motion Industries</t>
  </si>
  <si>
    <t>MOTION INDUSTRIES, INC.</t>
  </si>
  <si>
    <t>Nordson EFD</t>
  </si>
  <si>
    <t>Peraton</t>
  </si>
  <si>
    <t>Swarco McCain</t>
  </si>
  <si>
    <t>TechnipFMC</t>
  </si>
  <si>
    <t>Wincomm International</t>
  </si>
  <si>
    <t>BDI USA</t>
  </si>
  <si>
    <t>GE Medical Systems Information Technologies, Inc</t>
  </si>
  <si>
    <t>NOT ASSIGNED TOTAL</t>
  </si>
  <si>
    <t>GRAND TOTAL (Assigned + Not Assigned)</t>
  </si>
  <si>
    <t>Q3 2026 GP Goal</t>
  </si>
  <si>
    <t>Delta to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</si>
</sst>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5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color rgb="FFFFFFFF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0" xfId="0" applyFont="1"/>
    <xf numFmtId="10" fontId="3" fillId="3" borderId="0" xfId="0" applyNumberFormat="1" applyFont="1" applyFill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10" fontId="1" fillId="2" borderId="0" xfId="0" applyNumberFormat="1" applyFont="1" applyFill="1"/>
    <xf numFmtId="164" fontId="1" fillId="2" borderId="0" xfId="0" applyNumberFormat="1" applyFont="1" applyFill="1"/>
    <xf numFmtId="2" fontId="1" fillId="2" borderId="0" xfId="0" applyNumberFormat="1" applyFont="1" applyFill="1"/>
    <xf numFmtId="165" fontId="1" fillId="2" borderId="0" xfId="0" applyNumberFormat="1" applyFont="1" applyFill="1"/>
    <xf numFmtId="0" fontId="2" fillId="4" borderId="0" xfId="0" applyFont="1" applyFill="1"/>
    <xf numFmtId="0" fontId="1" fillId="4" borderId="0" xfId="0" applyFont="1" applyFill="1"/>
    <xf numFmtId="10" fontId="1" fillId="4" borderId="0" xfId="0" applyNumberFormat="1" applyFont="1" applyFill="1"/>
    <xf numFmtId="164" fontId="1" fillId="4" borderId="0" xfId="0" applyNumberFormat="1" applyFont="1" applyFill="1"/>
    <xf numFmtId="2" fontId="1" fillId="4" borderId="0" xfId="0" applyNumberFormat="1" applyFont="1" applyFill="1"/>
    <xf numFmtId="165" fontId="1" fillId="4" borderId="0" xfId="0" applyNumberFormat="1" applyFont="1" applyFill="1"/>
    <xf numFmtId="0" fontId="4" fillId="5" borderId="0" xfId="0" applyFont="1" applyFill="1"/>
    <xf numFmtId="10" fontId="4" fillId="5" borderId="0" xfId="0" applyNumberFormat="1" applyFont="1" applyFill="1"/>
    <xf numFmtId="164" fontId="4" fillId="5" borderId="0" xfId="0" applyNumberFormat="1" applyFont="1" applyFill="1"/>
    <xf numFmtId="2" fontId="4" fillId="5" borderId="0" xfId="0" applyNumberFormat="1" applyFont="1" applyFill="1"/>
    <xf numFmtId="0" fontId="1" fillId="0" borderId="0" xfId="0" applyFont="1"/>
    <xf numFmtId="164" fontId="1" fillId="6" borderId="0" xfId="0" applyNumberFormat="1" applyFont="1" applyFill="1"/>
    <xf numFmtId="164" fontId="1" fillId="0" borderId="0" xfId="0" applyNumberFormat="1" applyFont="1"/>
  </cellXfs>
  <cellStyles count="1">
    <cellStyle name="Normal" xfId="0" builtinId="0"/>
  </cellStyles>
  <dxfs count="2"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3" width="12" customWidth="1"/>
    <col min="4" max="6" width="15" customWidth="1"/>
    <col min="7" max="10" width="12" customWidth="1"/>
    <col min="11" max="13" width="15" customWidth="1"/>
    <col min="14" max="15" width="12" customWidth="1"/>
    <col min="16" max="17" width="15" customWidth="1"/>
    <col min="18" max="18" width="3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1</v>
      </c>
      <c r="D2">
        <v>11</v>
      </c>
      <c r="E2" t="s">
        <v>20</v>
      </c>
      <c r="F2" t="s">
        <v>19</v>
      </c>
      <c r="G2">
        <v>10</v>
      </c>
      <c r="H2">
        <v>25</v>
      </c>
      <c r="I2">
        <v>4</v>
      </c>
      <c r="J2" s="2">
        <v>0</v>
      </c>
      <c r="K2" s="3">
        <v>0</v>
      </c>
      <c r="L2" s="4">
        <v>0</v>
      </c>
      <c r="M2" s="4">
        <v>0</v>
      </c>
      <c r="O2" s="5">
        <v>0</v>
      </c>
      <c r="P2" s="4">
        <v>0</v>
      </c>
      <c r="Q2" s="4" t="s">
        <v>19</v>
      </c>
      <c r="R2" t="s">
        <v>19</v>
      </c>
    </row>
    <row r="3" spans="1:18" x14ac:dyDescent="0.25">
      <c r="A3" t="s">
        <v>21</v>
      </c>
      <c r="B3" t="s">
        <v>22</v>
      </c>
      <c r="C3">
        <v>2</v>
      </c>
      <c r="D3">
        <v>11</v>
      </c>
      <c r="E3" t="s">
        <v>23</v>
      </c>
      <c r="F3" t="s">
        <v>19</v>
      </c>
      <c r="G3">
        <v>148</v>
      </c>
      <c r="H3">
        <v>20</v>
      </c>
      <c r="I3">
        <v>19</v>
      </c>
      <c r="J3">
        <v>12</v>
      </c>
      <c r="K3" s="6">
        <v>0.6316</v>
      </c>
      <c r="L3" s="4">
        <v>20186</v>
      </c>
      <c r="M3" s="4">
        <v>22079.730000000003</v>
      </c>
      <c r="N3" s="7">
        <v>0.9142321939625166</v>
      </c>
      <c r="O3" s="5">
        <v>0.4400717756276183</v>
      </c>
      <c r="P3" s="4">
        <v>7656</v>
      </c>
      <c r="Q3" s="4" t="s">
        <v>19</v>
      </c>
      <c r="R3" t="s">
        <v>19</v>
      </c>
    </row>
    <row r="4" spans="1:18" x14ac:dyDescent="0.25">
      <c r="A4" t="s">
        <v>24</v>
      </c>
      <c r="B4" t="s">
        <v>19</v>
      </c>
      <c r="C4">
        <v>1</v>
      </c>
      <c r="D4">
        <v>4</v>
      </c>
      <c r="E4" t="s">
        <v>25</v>
      </c>
      <c r="F4" t="s">
        <v>19</v>
      </c>
      <c r="G4">
        <v>0</v>
      </c>
      <c r="H4" s="2">
        <v>0</v>
      </c>
      <c r="I4" s="2">
        <v>0</v>
      </c>
      <c r="J4" s="2">
        <v>0</v>
      </c>
      <c r="L4" s="4">
        <v>0</v>
      </c>
      <c r="M4" s="4">
        <v>0</v>
      </c>
      <c r="O4" s="5">
        <v>0</v>
      </c>
      <c r="P4" s="4">
        <v>0</v>
      </c>
      <c r="Q4" s="4" t="s">
        <v>19</v>
      </c>
      <c r="R4" t="s">
        <v>19</v>
      </c>
    </row>
    <row r="5" spans="1:18" x14ac:dyDescent="0.25">
      <c r="A5" t="s">
        <v>26</v>
      </c>
      <c r="B5" t="s">
        <v>19</v>
      </c>
      <c r="C5">
        <v>3</v>
      </c>
      <c r="D5">
        <v>3</v>
      </c>
      <c r="E5" t="s">
        <v>27</v>
      </c>
      <c r="F5" t="s">
        <v>19</v>
      </c>
      <c r="G5">
        <v>26</v>
      </c>
      <c r="H5">
        <v>1</v>
      </c>
      <c r="I5" s="2">
        <v>0</v>
      </c>
      <c r="J5" s="2">
        <v>0</v>
      </c>
      <c r="L5" s="4">
        <v>0</v>
      </c>
      <c r="M5" s="4">
        <v>0</v>
      </c>
      <c r="O5" s="5">
        <v>0</v>
      </c>
      <c r="P5" s="4">
        <v>0</v>
      </c>
      <c r="Q5" s="4" t="s">
        <v>19</v>
      </c>
      <c r="R5" t="s">
        <v>19</v>
      </c>
    </row>
    <row r="6" spans="1:18" x14ac:dyDescent="0.25">
      <c r="A6" t="s">
        <v>28</v>
      </c>
      <c r="B6" t="s">
        <v>19</v>
      </c>
      <c r="C6">
        <v>6</v>
      </c>
      <c r="D6">
        <v>11</v>
      </c>
      <c r="E6" t="s">
        <v>29</v>
      </c>
      <c r="F6" t="s">
        <v>19</v>
      </c>
      <c r="G6">
        <v>17</v>
      </c>
      <c r="H6" s="2">
        <v>0</v>
      </c>
      <c r="I6" s="2">
        <v>0</v>
      </c>
      <c r="J6" s="2">
        <v>0</v>
      </c>
      <c r="L6" s="4">
        <v>0</v>
      </c>
      <c r="M6" s="4">
        <v>0</v>
      </c>
      <c r="O6" s="5">
        <v>0</v>
      </c>
      <c r="P6" s="4">
        <v>0</v>
      </c>
      <c r="Q6" s="4" t="s">
        <v>19</v>
      </c>
      <c r="R6" t="s">
        <v>19</v>
      </c>
    </row>
    <row r="7" spans="1:18" x14ac:dyDescent="0.25">
      <c r="A7" t="s">
        <v>30</v>
      </c>
      <c r="B7" t="s">
        <v>31</v>
      </c>
      <c r="C7">
        <v>3</v>
      </c>
      <c r="D7">
        <v>9</v>
      </c>
      <c r="E7" t="s">
        <v>32</v>
      </c>
      <c r="F7" t="s">
        <v>19</v>
      </c>
      <c r="G7">
        <v>59</v>
      </c>
      <c r="H7">
        <v>15</v>
      </c>
      <c r="I7">
        <v>10</v>
      </c>
      <c r="J7">
        <v>6</v>
      </c>
      <c r="K7" s="6">
        <v>0.6</v>
      </c>
      <c r="L7" s="4">
        <v>9701</v>
      </c>
      <c r="M7" s="4">
        <v>9700.92</v>
      </c>
      <c r="N7" s="7">
        <v>1.000008246640525</v>
      </c>
      <c r="O7" s="5">
        <v>0.1933493339647484</v>
      </c>
      <c r="P7" s="4">
        <v>0</v>
      </c>
      <c r="Q7" s="4" t="s">
        <v>19</v>
      </c>
      <c r="R7" t="s">
        <v>19</v>
      </c>
    </row>
    <row r="8" spans="1:18" x14ac:dyDescent="0.25">
      <c r="A8" t="s">
        <v>33</v>
      </c>
      <c r="B8" t="s">
        <v>19</v>
      </c>
      <c r="C8">
        <v>3</v>
      </c>
      <c r="D8">
        <v>5</v>
      </c>
      <c r="E8" t="s">
        <v>34</v>
      </c>
      <c r="F8" t="s">
        <v>19</v>
      </c>
      <c r="G8">
        <v>17</v>
      </c>
      <c r="H8" s="2">
        <v>0</v>
      </c>
      <c r="I8" s="2">
        <v>0</v>
      </c>
      <c r="J8" s="2">
        <v>0</v>
      </c>
      <c r="L8" s="4">
        <v>0</v>
      </c>
      <c r="M8" s="4">
        <v>0</v>
      </c>
      <c r="O8" s="5">
        <v>0</v>
      </c>
      <c r="P8" s="4">
        <v>0</v>
      </c>
      <c r="Q8" s="4" t="s">
        <v>19</v>
      </c>
      <c r="R8" t="s">
        <v>19</v>
      </c>
    </row>
    <row r="9" spans="1:18" x14ac:dyDescent="0.25">
      <c r="A9" t="s">
        <v>35</v>
      </c>
      <c r="B9" t="s">
        <v>36</v>
      </c>
      <c r="C9">
        <v>6</v>
      </c>
      <c r="D9">
        <v>1</v>
      </c>
      <c r="E9" t="s">
        <v>37</v>
      </c>
      <c r="F9" t="s">
        <v>19</v>
      </c>
      <c r="G9">
        <v>65</v>
      </c>
      <c r="H9">
        <v>23</v>
      </c>
      <c r="I9">
        <v>12</v>
      </c>
      <c r="J9">
        <v>6</v>
      </c>
      <c r="K9" s="6">
        <v>0.5</v>
      </c>
      <c r="L9" s="4">
        <v>2771</v>
      </c>
      <c r="M9" s="4">
        <v>799.96</v>
      </c>
      <c r="N9" s="7">
        <v>3.463923196159808</v>
      </c>
      <c r="O9" s="5">
        <v>0.0159440272879727</v>
      </c>
      <c r="P9" s="4">
        <v>25500</v>
      </c>
      <c r="Q9" s="4" t="s">
        <v>19</v>
      </c>
      <c r="R9" t="s">
        <v>19</v>
      </c>
    </row>
    <row r="10" spans="1:18" x14ac:dyDescent="0.25">
      <c r="A10" t="s">
        <v>38</v>
      </c>
      <c r="B10" t="s">
        <v>19</v>
      </c>
      <c r="C10">
        <v>1</v>
      </c>
      <c r="D10">
        <v>10</v>
      </c>
      <c r="E10" t="s">
        <v>39</v>
      </c>
      <c r="F10" t="s">
        <v>19</v>
      </c>
      <c r="G10">
        <v>34</v>
      </c>
      <c r="H10">
        <v>9</v>
      </c>
      <c r="I10">
        <v>4</v>
      </c>
      <c r="J10" s="2">
        <v>0</v>
      </c>
      <c r="K10" s="3">
        <v>0</v>
      </c>
      <c r="L10" s="4">
        <v>0</v>
      </c>
      <c r="M10" s="4">
        <v>0</v>
      </c>
      <c r="O10" s="5">
        <v>0</v>
      </c>
      <c r="P10" s="4">
        <v>0</v>
      </c>
      <c r="Q10" s="4" t="s">
        <v>19</v>
      </c>
      <c r="R10" t="s">
        <v>19</v>
      </c>
    </row>
    <row r="11" spans="1:18" x14ac:dyDescent="0.25">
      <c r="A11" t="s">
        <v>40</v>
      </c>
      <c r="B11" t="s">
        <v>19</v>
      </c>
      <c r="C11">
        <v>5</v>
      </c>
      <c r="D11">
        <v>7</v>
      </c>
      <c r="E11" t="s">
        <v>41</v>
      </c>
      <c r="F11" t="s">
        <v>19</v>
      </c>
      <c r="G11">
        <v>9</v>
      </c>
      <c r="H11" s="2">
        <v>0</v>
      </c>
      <c r="I11" s="2">
        <v>0</v>
      </c>
      <c r="J11" s="2">
        <v>0</v>
      </c>
      <c r="L11" s="4">
        <v>0</v>
      </c>
      <c r="M11" s="4">
        <v>0</v>
      </c>
      <c r="O11" s="5">
        <v>0</v>
      </c>
      <c r="P11" s="4">
        <v>0</v>
      </c>
      <c r="Q11" s="4" t="s">
        <v>19</v>
      </c>
      <c r="R11" t="s">
        <v>19</v>
      </c>
    </row>
    <row r="12" spans="1:18" x14ac:dyDescent="0.25">
      <c r="A12" t="s">
        <v>42</v>
      </c>
      <c r="B12" t="s">
        <v>19</v>
      </c>
      <c r="C12">
        <v>1</v>
      </c>
      <c r="D12">
        <v>3</v>
      </c>
      <c r="E12" t="s">
        <v>43</v>
      </c>
      <c r="F12" t="s">
        <v>19</v>
      </c>
      <c r="G12">
        <v>50</v>
      </c>
      <c r="H12">
        <v>6</v>
      </c>
      <c r="I12" s="2">
        <v>0</v>
      </c>
      <c r="J12" s="2">
        <v>0</v>
      </c>
      <c r="L12" s="4">
        <v>0</v>
      </c>
      <c r="M12" s="4">
        <v>0</v>
      </c>
      <c r="O12" s="5">
        <v>0</v>
      </c>
      <c r="P12" s="4">
        <v>0</v>
      </c>
      <c r="Q12" s="4" t="s">
        <v>19</v>
      </c>
      <c r="R12" t="s">
        <v>19</v>
      </c>
    </row>
    <row r="13" spans="1:18" x14ac:dyDescent="0.25">
      <c r="A13" t="s">
        <v>44</v>
      </c>
      <c r="B13" t="s">
        <v>19</v>
      </c>
      <c r="C13">
        <v>3</v>
      </c>
      <c r="D13">
        <v>10</v>
      </c>
      <c r="E13" t="s">
        <v>45</v>
      </c>
      <c r="F13" t="s">
        <v>19</v>
      </c>
      <c r="G13">
        <v>1</v>
      </c>
      <c r="H13" s="2">
        <v>0</v>
      </c>
      <c r="I13" s="2">
        <v>0</v>
      </c>
      <c r="J13" s="2">
        <v>0</v>
      </c>
      <c r="L13" s="4">
        <v>0</v>
      </c>
      <c r="M13" s="4">
        <v>0</v>
      </c>
      <c r="O13" s="5">
        <v>0</v>
      </c>
      <c r="P13" s="4">
        <v>0</v>
      </c>
      <c r="Q13" s="4" t="s">
        <v>19</v>
      </c>
      <c r="R13" t="s">
        <v>19</v>
      </c>
    </row>
    <row r="14" spans="1:18" x14ac:dyDescent="0.25">
      <c r="A14" t="s">
        <v>46</v>
      </c>
      <c r="B14" t="s">
        <v>19</v>
      </c>
      <c r="C14">
        <v>1</v>
      </c>
      <c r="D14">
        <v>1</v>
      </c>
      <c r="E14" t="s">
        <v>47</v>
      </c>
      <c r="F14" t="s">
        <v>19</v>
      </c>
      <c r="G14">
        <v>6</v>
      </c>
      <c r="H14" s="2">
        <v>0</v>
      </c>
      <c r="I14" s="2">
        <v>0</v>
      </c>
      <c r="J14" s="2">
        <v>0</v>
      </c>
      <c r="L14" s="4">
        <v>0</v>
      </c>
      <c r="M14" s="4">
        <v>0</v>
      </c>
      <c r="O14" s="5">
        <v>0</v>
      </c>
      <c r="P14" s="4">
        <v>0</v>
      </c>
      <c r="Q14" s="4" t="s">
        <v>19</v>
      </c>
      <c r="R14" t="s">
        <v>19</v>
      </c>
    </row>
    <row r="15" spans="1:18" x14ac:dyDescent="0.25">
      <c r="A15" t="s">
        <v>48</v>
      </c>
      <c r="B15" t="s">
        <v>49</v>
      </c>
      <c r="C15">
        <v>1</v>
      </c>
      <c r="D15">
        <v>6</v>
      </c>
      <c r="E15" t="s">
        <v>50</v>
      </c>
      <c r="F15" t="s">
        <v>19</v>
      </c>
      <c r="G15">
        <v>45</v>
      </c>
      <c r="H15">
        <v>24</v>
      </c>
      <c r="I15">
        <v>11</v>
      </c>
      <c r="J15">
        <v>3</v>
      </c>
      <c r="K15" s="6">
        <v>0.2727</v>
      </c>
      <c r="L15" s="4">
        <v>5472</v>
      </c>
      <c r="M15" s="4">
        <v>13441.779999999999</v>
      </c>
      <c r="N15" s="7">
        <v>0.40708894208951496</v>
      </c>
      <c r="O15" s="5">
        <v>0.2679085293251233</v>
      </c>
      <c r="P15" s="4">
        <v>7140</v>
      </c>
      <c r="Q15" s="4" t="s">
        <v>19</v>
      </c>
      <c r="R15" t="s">
        <v>19</v>
      </c>
    </row>
    <row r="16" spans="1:18" x14ac:dyDescent="0.25">
      <c r="A16" t="s">
        <v>51</v>
      </c>
      <c r="B16" t="s">
        <v>52</v>
      </c>
      <c r="C16">
        <v>3</v>
      </c>
      <c r="D16">
        <v>5</v>
      </c>
      <c r="E16" t="s">
        <v>53</v>
      </c>
      <c r="F16" t="s">
        <v>19</v>
      </c>
      <c r="G16">
        <v>25</v>
      </c>
      <c r="H16">
        <v>3</v>
      </c>
      <c r="I16">
        <v>2</v>
      </c>
      <c r="J16">
        <v>1</v>
      </c>
      <c r="K16" s="6">
        <v>0.5</v>
      </c>
      <c r="L16" s="4">
        <v>1612</v>
      </c>
      <c r="M16" s="4">
        <v>1612.38</v>
      </c>
      <c r="N16" s="7">
        <v>0.9997643235465584</v>
      </c>
      <c r="O16" s="5">
        <v>0.03213639521798768</v>
      </c>
      <c r="P16" s="4">
        <v>0</v>
      </c>
      <c r="Q16" s="4" t="s">
        <v>19</v>
      </c>
      <c r="R16" t="s">
        <v>19</v>
      </c>
    </row>
    <row r="17" spans="1:18" x14ac:dyDescent="0.25">
      <c r="A17" t="s">
        <v>54</v>
      </c>
      <c r="B17" t="s">
        <v>54</v>
      </c>
      <c r="C17">
        <v>2</v>
      </c>
      <c r="D17">
        <v>3</v>
      </c>
      <c r="E17" t="s">
        <v>55</v>
      </c>
      <c r="F17" t="s">
        <v>19</v>
      </c>
      <c r="G17">
        <v>45</v>
      </c>
      <c r="H17">
        <v>16</v>
      </c>
      <c r="I17">
        <v>6</v>
      </c>
      <c r="J17" s="2">
        <v>0</v>
      </c>
      <c r="K17" s="3">
        <v>0</v>
      </c>
      <c r="L17" s="4">
        <v>0</v>
      </c>
      <c r="M17" s="4">
        <v>1247.4</v>
      </c>
      <c r="N17" s="7">
        <v>0</v>
      </c>
      <c r="O17" s="5">
        <v>0.02486196764715379</v>
      </c>
      <c r="P17" s="4">
        <v>1363</v>
      </c>
      <c r="Q17" s="4" t="s">
        <v>19</v>
      </c>
      <c r="R17" t="s">
        <v>19</v>
      </c>
    </row>
    <row r="18" spans="1:18" x14ac:dyDescent="0.25">
      <c r="A18" t="s">
        <v>56</v>
      </c>
      <c r="B18" t="s">
        <v>56</v>
      </c>
      <c r="C18">
        <v>1</v>
      </c>
      <c r="D18">
        <v>5</v>
      </c>
      <c r="E18" t="s">
        <v>57</v>
      </c>
      <c r="F18" t="s">
        <v>19</v>
      </c>
      <c r="G18">
        <v>17</v>
      </c>
      <c r="H18">
        <v>4</v>
      </c>
      <c r="I18">
        <v>2</v>
      </c>
      <c r="J18" s="2">
        <v>0</v>
      </c>
      <c r="K18" s="3">
        <v>0</v>
      </c>
      <c r="L18" s="4">
        <v>0</v>
      </c>
      <c r="M18" s="4">
        <v>1290.85</v>
      </c>
      <c r="N18" s="7">
        <v>0</v>
      </c>
      <c r="O18" s="5">
        <v>0.025727970929395917</v>
      </c>
      <c r="P18" s="4">
        <v>0</v>
      </c>
      <c r="Q18" s="4" t="s">
        <v>19</v>
      </c>
      <c r="R18" t="s">
        <v>19</v>
      </c>
    </row>
    <row r="19" spans="1:18" x14ac:dyDescent="0.25">
      <c r="A19" t="s">
        <v>58</v>
      </c>
      <c r="B19" t="s">
        <v>19</v>
      </c>
      <c r="C19">
        <v>0</v>
      </c>
      <c r="D19">
        <v>1</v>
      </c>
      <c r="E19" t="s">
        <v>59</v>
      </c>
      <c r="F19" t="s">
        <v>60</v>
      </c>
      <c r="G19">
        <v>0</v>
      </c>
      <c r="H19">
        <v>4</v>
      </c>
      <c r="I19" s="2">
        <v>0</v>
      </c>
      <c r="J19" s="2">
        <v>0</v>
      </c>
      <c r="K19" s="3">
        <v>0</v>
      </c>
      <c r="L19" s="4">
        <v>0</v>
      </c>
      <c r="M19" s="4">
        <v>0</v>
      </c>
      <c r="O19" s="5">
        <v>0</v>
      </c>
      <c r="P19" s="4">
        <v>0</v>
      </c>
      <c r="Q19" s="4" t="s">
        <v>19</v>
      </c>
      <c r="R19" t="s">
        <v>19</v>
      </c>
    </row>
    <row r="20" spans="1:18" x14ac:dyDescent="0.25">
      <c r="A20" t="s">
        <v>61</v>
      </c>
      <c r="B20" t="s">
        <v>19</v>
      </c>
      <c r="C20">
        <v>1</v>
      </c>
      <c r="D20">
        <v>1</v>
      </c>
      <c r="E20" t="s">
        <v>62</v>
      </c>
      <c r="F20" t="s">
        <v>19</v>
      </c>
      <c r="G20">
        <v>17</v>
      </c>
      <c r="H20" s="2">
        <v>0</v>
      </c>
      <c r="I20" s="2">
        <v>0</v>
      </c>
      <c r="J20" s="2">
        <v>0</v>
      </c>
      <c r="L20" s="4">
        <v>0</v>
      </c>
      <c r="M20" s="4">
        <v>0</v>
      </c>
      <c r="O20" s="5">
        <v>0</v>
      </c>
      <c r="P20" s="4">
        <v>0</v>
      </c>
      <c r="Q20" s="4" t="s">
        <v>19</v>
      </c>
      <c r="R20" t="s">
        <v>19</v>
      </c>
    </row>
    <row r="21" spans="1:18" x14ac:dyDescent="0.25">
      <c r="A21" t="s">
        <v>63</v>
      </c>
      <c r="B21" t="s">
        <v>19</v>
      </c>
      <c r="C21">
        <v>1</v>
      </c>
      <c r="D21">
        <v>3</v>
      </c>
      <c r="E21" t="s">
        <v>64</v>
      </c>
      <c r="F21" t="s">
        <v>19</v>
      </c>
      <c r="G21">
        <v>12</v>
      </c>
      <c r="H21" s="2">
        <v>0</v>
      </c>
      <c r="I21" s="2">
        <v>0</v>
      </c>
      <c r="J21" s="2">
        <v>0</v>
      </c>
      <c r="L21" s="4">
        <v>0</v>
      </c>
      <c r="M21" s="4">
        <v>0</v>
      </c>
      <c r="O21" s="5">
        <v>0</v>
      </c>
      <c r="P21" s="4">
        <v>0</v>
      </c>
      <c r="Q21" s="4" t="s">
        <v>19</v>
      </c>
      <c r="R21" t="s">
        <v>19</v>
      </c>
    </row>
    <row r="22" spans="1:18" x14ac:dyDescent="0.25">
      <c r="A22" t="s">
        <v>65</v>
      </c>
      <c r="B22" t="s">
        <v>19</v>
      </c>
      <c r="C22">
        <v>1</v>
      </c>
      <c r="D22">
        <v>11</v>
      </c>
      <c r="E22" t="s">
        <v>66</v>
      </c>
      <c r="F22" t="s">
        <v>19</v>
      </c>
      <c r="G22">
        <v>6</v>
      </c>
      <c r="H22" s="2">
        <v>0</v>
      </c>
      <c r="I22" s="2">
        <v>0</v>
      </c>
      <c r="J22" s="2">
        <v>0</v>
      </c>
      <c r="L22" s="4">
        <v>0</v>
      </c>
      <c r="M22" s="4">
        <v>0</v>
      </c>
      <c r="O22" s="5">
        <v>0</v>
      </c>
      <c r="P22" s="4">
        <v>0</v>
      </c>
      <c r="Q22" s="4" t="s">
        <v>19</v>
      </c>
      <c r="R22" t="s">
        <v>19</v>
      </c>
    </row>
    <row r="23" spans="1:15" s="1" customFormat="1" x14ac:dyDescent="0.25">
      <c r="A23" s="1" t="s">
        <v>67</v>
      </c>
      <c r="B23" s="1" t="s">
        <v>19</v>
      </c>
      <c r="C23" s="1">
        <v>46</v>
      </c>
      <c r="D23" s="1">
        <v>609</v>
      </c>
      <c r="E23" s="1">
        <v>150</v>
      </c>
      <c r="F23" s="1">
        <v>70</v>
      </c>
      <c r="G23" s="1">
        <v>28</v>
      </c>
      <c r="H23" s="8">
        <v>0.4</v>
      </c>
      <c r="I23" s="9">
        <v>39742</v>
      </c>
      <c r="J23" s="9">
        <v>50173.02</v>
      </c>
      <c r="K23" s="10">
        <v>0.7920990205492913</v>
      </c>
      <c r="L23" s="11">
        <v>1</v>
      </c>
      <c r="M23" s="9">
        <v>41659</v>
      </c>
      <c r="N23" s="1" t="s">
        <v>19</v>
      </c>
      <c r="O23" s="1" t="s">
        <v>19</v>
      </c>
    </row>
    <row r="25" spans="1:15" s="12" customFormat="1" x14ac:dyDescent="0.25">
      <c r="A25" s="12" t="s">
        <v>68</v>
      </c>
      <c r="B25" s="12" t="s">
        <v>19</v>
      </c>
      <c r="C25" s="12" t="s">
        <v>19</v>
      </c>
      <c r="D25" s="12" t="s">
        <v>19</v>
      </c>
      <c r="E25" s="12" t="s">
        <v>19</v>
      </c>
      <c r="F25" s="12" t="s">
        <v>19</v>
      </c>
      <c r="G25" s="12" t="s">
        <v>19</v>
      </c>
      <c r="H25" s="12" t="s">
        <v>19</v>
      </c>
      <c r="I25" s="12" t="s">
        <v>19</v>
      </c>
      <c r="J25" s="12" t="s">
        <v>19</v>
      </c>
      <c r="K25" s="12" t="s">
        <v>19</v>
      </c>
      <c r="L25" s="12" t="s">
        <v>19</v>
      </c>
      <c r="M25" s="12" t="s">
        <v>19</v>
      </c>
      <c r="N25" s="12" t="s">
        <v>19</v>
      </c>
      <c r="O25" s="12" t="s">
        <v>19</v>
      </c>
    </row>
    <row r="26" spans="1:15" x14ac:dyDescent="0.25">
      <c r="A26" t="s">
        <v>69</v>
      </c>
      <c r="B26" t="s">
        <v>19</v>
      </c>
      <c r="C26">
        <v>19</v>
      </c>
      <c r="D26">
        <v>10</v>
      </c>
      <c r="E26">
        <v>0</v>
      </c>
      <c r="F26">
        <v>0</v>
      </c>
      <c r="G26">
        <v>0</v>
      </c>
      <c r="I26" s="4">
        <v>0</v>
      </c>
      <c r="J26" s="4">
        <v>0</v>
      </c>
      <c r="L26" s="5">
        <v>0</v>
      </c>
      <c r="M26" s="4">
        <v>0</v>
      </c>
      <c r="N26" s="4" t="s">
        <v>19</v>
      </c>
      <c r="O26" t="s">
        <v>19</v>
      </c>
    </row>
    <row r="27" spans="1:15" x14ac:dyDescent="0.25">
      <c r="A27" t="s">
        <v>70</v>
      </c>
      <c r="B27" t="s">
        <v>71</v>
      </c>
      <c r="C27">
        <v>4</v>
      </c>
      <c r="D27">
        <v>13</v>
      </c>
      <c r="E27">
        <v>6</v>
      </c>
      <c r="F27">
        <v>3</v>
      </c>
      <c r="G27">
        <v>1</v>
      </c>
      <c r="H27" s="6">
        <v>0.3333</v>
      </c>
      <c r="I27" s="4">
        <v>2375</v>
      </c>
      <c r="J27" s="4">
        <v>0</v>
      </c>
      <c r="L27" s="5">
        <v>0</v>
      </c>
      <c r="M27" s="4">
        <v>2375</v>
      </c>
      <c r="N27" s="4" t="s">
        <v>19</v>
      </c>
      <c r="O27" t="s">
        <v>19</v>
      </c>
    </row>
    <row r="28" spans="1:15" x14ac:dyDescent="0.25">
      <c r="A28" t="s">
        <v>72</v>
      </c>
      <c r="B28" t="s">
        <v>73</v>
      </c>
      <c r="C28">
        <v>1</v>
      </c>
      <c r="D28">
        <v>6</v>
      </c>
      <c r="E28">
        <v>2</v>
      </c>
      <c r="F28">
        <v>2</v>
      </c>
      <c r="G28">
        <v>2</v>
      </c>
      <c r="H28" s="6">
        <v>1</v>
      </c>
      <c r="I28" s="4">
        <v>1026</v>
      </c>
      <c r="J28" s="4">
        <v>1026.2</v>
      </c>
      <c r="K28" s="7">
        <v>0.9998051062171116</v>
      </c>
      <c r="L28" s="5">
        <v>0.45853440571939236</v>
      </c>
      <c r="M28" s="4">
        <v>0</v>
      </c>
      <c r="N28" s="4" t="s">
        <v>19</v>
      </c>
      <c r="O28" t="s">
        <v>19</v>
      </c>
    </row>
    <row r="29" spans="1:15" x14ac:dyDescent="0.25">
      <c r="A29" t="s">
        <v>74</v>
      </c>
      <c r="B29" t="s">
        <v>19</v>
      </c>
      <c r="C29">
        <v>1</v>
      </c>
      <c r="D29">
        <v>3</v>
      </c>
      <c r="E29">
        <v>1</v>
      </c>
      <c r="F29">
        <v>1</v>
      </c>
      <c r="G29">
        <v>0</v>
      </c>
      <c r="H29" s="3">
        <v>0</v>
      </c>
      <c r="I29" s="4">
        <v>0</v>
      </c>
      <c r="J29" s="4">
        <v>0</v>
      </c>
      <c r="L29" s="5">
        <v>0</v>
      </c>
      <c r="M29" s="4">
        <v>0</v>
      </c>
      <c r="N29" s="4" t="s">
        <v>19</v>
      </c>
      <c r="O29" t="s">
        <v>19</v>
      </c>
    </row>
    <row r="30" spans="1:15" x14ac:dyDescent="0.25">
      <c r="A30" t="s">
        <v>75</v>
      </c>
      <c r="B30" t="s">
        <v>19</v>
      </c>
      <c r="C30">
        <v>0</v>
      </c>
      <c r="D30">
        <v>1</v>
      </c>
      <c r="E30">
        <v>1</v>
      </c>
      <c r="F30">
        <v>0</v>
      </c>
      <c r="G30">
        <v>0</v>
      </c>
      <c r="H30" s="3">
        <v>0</v>
      </c>
      <c r="I30" s="4">
        <v>0</v>
      </c>
      <c r="J30" s="4">
        <v>0</v>
      </c>
      <c r="L30" s="5">
        <v>0</v>
      </c>
      <c r="M30" s="4">
        <v>0</v>
      </c>
      <c r="N30" s="4" t="s">
        <v>19</v>
      </c>
      <c r="O30" t="s">
        <v>19</v>
      </c>
    </row>
    <row r="31" spans="1:15" x14ac:dyDescent="0.25">
      <c r="A31" t="s">
        <v>76</v>
      </c>
      <c r="B31" t="s">
        <v>19</v>
      </c>
      <c r="C31">
        <v>1</v>
      </c>
      <c r="D31">
        <v>4</v>
      </c>
      <c r="E31">
        <v>3</v>
      </c>
      <c r="F31">
        <v>0</v>
      </c>
      <c r="G31">
        <v>0</v>
      </c>
      <c r="I31" s="4">
        <v>0</v>
      </c>
      <c r="J31" s="4">
        <v>0</v>
      </c>
      <c r="L31" s="5">
        <v>0</v>
      </c>
      <c r="M31" s="4">
        <v>0</v>
      </c>
      <c r="N31" s="4" t="s">
        <v>19</v>
      </c>
      <c r="O31" t="s">
        <v>19</v>
      </c>
    </row>
    <row r="32" spans="1:15" x14ac:dyDescent="0.25">
      <c r="A32" t="s">
        <v>77</v>
      </c>
      <c r="B32" t="s">
        <v>19</v>
      </c>
      <c r="C32">
        <v>0</v>
      </c>
      <c r="D32">
        <v>2</v>
      </c>
      <c r="E32">
        <v>9</v>
      </c>
      <c r="F32">
        <v>9</v>
      </c>
      <c r="G32">
        <v>6</v>
      </c>
      <c r="H32" s="6">
        <v>2</v>
      </c>
      <c r="I32" s="4">
        <v>0</v>
      </c>
      <c r="J32" s="4">
        <v>0</v>
      </c>
      <c r="L32" s="5">
        <v>0</v>
      </c>
      <c r="M32" s="4">
        <v>0</v>
      </c>
      <c r="N32" s="4" t="s">
        <v>19</v>
      </c>
      <c r="O32" t="s">
        <v>19</v>
      </c>
    </row>
    <row r="33" spans="1:15" x14ac:dyDescent="0.25">
      <c r="A33" t="s">
        <v>78</v>
      </c>
      <c r="B33" t="s">
        <v>19</v>
      </c>
      <c r="C33">
        <v>17</v>
      </c>
      <c r="D33">
        <v>1</v>
      </c>
      <c r="E33">
        <v>0</v>
      </c>
      <c r="F33">
        <v>0</v>
      </c>
      <c r="G33">
        <v>0</v>
      </c>
      <c r="I33" s="4">
        <v>0</v>
      </c>
      <c r="J33" s="4">
        <v>0</v>
      </c>
      <c r="L33" s="5">
        <v>0</v>
      </c>
      <c r="M33" s="4">
        <v>0</v>
      </c>
      <c r="N33" s="4" t="s">
        <v>19</v>
      </c>
      <c r="O33" t="s">
        <v>19</v>
      </c>
    </row>
    <row r="34" spans="1:15" x14ac:dyDescent="0.25">
      <c r="A34" t="s">
        <v>79</v>
      </c>
      <c r="B34" t="s">
        <v>19</v>
      </c>
      <c r="C34">
        <v>1</v>
      </c>
      <c r="D34">
        <v>13</v>
      </c>
      <c r="E34">
        <v>1</v>
      </c>
      <c r="F34">
        <v>0</v>
      </c>
      <c r="G34">
        <v>0</v>
      </c>
      <c r="I34" s="4">
        <v>0</v>
      </c>
      <c r="J34" s="4">
        <v>0</v>
      </c>
      <c r="L34" s="5">
        <v>0</v>
      </c>
      <c r="M34" s="4">
        <v>0</v>
      </c>
      <c r="N34" s="4" t="s">
        <v>19</v>
      </c>
      <c r="O34" t="s">
        <v>19</v>
      </c>
    </row>
    <row r="35" spans="1:15" x14ac:dyDescent="0.25">
      <c r="A35" t="s">
        <v>80</v>
      </c>
      <c r="B35" t="s">
        <v>19</v>
      </c>
      <c r="C35">
        <v>0</v>
      </c>
      <c r="D35">
        <v>1</v>
      </c>
      <c r="E35">
        <v>2</v>
      </c>
      <c r="F35">
        <v>0</v>
      </c>
      <c r="G35">
        <v>0</v>
      </c>
      <c r="H35" s="3">
        <v>0</v>
      </c>
      <c r="I35" s="4">
        <v>0</v>
      </c>
      <c r="J35" s="4">
        <v>0</v>
      </c>
      <c r="L35" s="5">
        <v>0</v>
      </c>
      <c r="M35" s="4">
        <v>0</v>
      </c>
      <c r="N35" s="4" t="s">
        <v>19</v>
      </c>
      <c r="O35" t="s">
        <v>19</v>
      </c>
    </row>
    <row r="36" spans="1:15" x14ac:dyDescent="0.25">
      <c r="A36" t="s">
        <v>81</v>
      </c>
      <c r="B36" t="s">
        <v>19</v>
      </c>
      <c r="C36">
        <v>3</v>
      </c>
      <c r="D36">
        <v>3</v>
      </c>
      <c r="E36">
        <v>0</v>
      </c>
      <c r="F36">
        <v>0</v>
      </c>
      <c r="G36">
        <v>0</v>
      </c>
      <c r="I36" s="4">
        <v>0</v>
      </c>
      <c r="J36" s="4">
        <v>0</v>
      </c>
      <c r="L36" s="5">
        <v>0</v>
      </c>
      <c r="M36" s="4">
        <v>0</v>
      </c>
      <c r="N36" s="4" t="s">
        <v>19</v>
      </c>
      <c r="O36" t="s">
        <v>19</v>
      </c>
    </row>
    <row r="37" spans="1:15" x14ac:dyDescent="0.25">
      <c r="A37" t="s">
        <v>82</v>
      </c>
      <c r="B37" t="s">
        <v>19</v>
      </c>
      <c r="C37">
        <v>61</v>
      </c>
      <c r="D37">
        <v>1</v>
      </c>
      <c r="E37">
        <v>0</v>
      </c>
      <c r="F37">
        <v>0</v>
      </c>
      <c r="G37">
        <v>0</v>
      </c>
      <c r="I37" s="4">
        <v>0</v>
      </c>
      <c r="J37" s="4">
        <v>0</v>
      </c>
      <c r="L37" s="5">
        <v>0</v>
      </c>
      <c r="M37" s="4">
        <v>0</v>
      </c>
      <c r="N37" s="4" t="s">
        <v>19</v>
      </c>
      <c r="O37" t="s">
        <v>19</v>
      </c>
    </row>
    <row r="38" spans="1:15" x14ac:dyDescent="0.25">
      <c r="A38" t="s">
        <v>83</v>
      </c>
      <c r="B38" t="s">
        <v>19</v>
      </c>
      <c r="C38">
        <v>1</v>
      </c>
      <c r="D38">
        <v>9</v>
      </c>
      <c r="E38">
        <v>7</v>
      </c>
      <c r="F38">
        <v>5</v>
      </c>
      <c r="G38">
        <v>0</v>
      </c>
      <c r="H38" s="3">
        <v>0</v>
      </c>
      <c r="I38" s="4">
        <v>0</v>
      </c>
      <c r="J38" s="4">
        <v>0</v>
      </c>
      <c r="L38" s="5">
        <v>0</v>
      </c>
      <c r="M38" s="4">
        <v>0</v>
      </c>
      <c r="N38" s="4" t="s">
        <v>19</v>
      </c>
      <c r="O38" t="s">
        <v>19</v>
      </c>
    </row>
    <row r="39" spans="1:15" x14ac:dyDescent="0.25">
      <c r="A39" t="s">
        <v>84</v>
      </c>
      <c r="B39" t="s">
        <v>71</v>
      </c>
      <c r="C39">
        <v>6</v>
      </c>
      <c r="D39">
        <v>6</v>
      </c>
      <c r="E39">
        <v>10</v>
      </c>
      <c r="F39">
        <v>2</v>
      </c>
      <c r="G39">
        <v>0</v>
      </c>
      <c r="H39" s="3">
        <v>0</v>
      </c>
      <c r="I39" s="4">
        <v>0</v>
      </c>
      <c r="J39" s="4">
        <v>0</v>
      </c>
      <c r="L39" s="5">
        <v>0</v>
      </c>
      <c r="M39" s="4">
        <v>0</v>
      </c>
      <c r="N39" s="4" t="s">
        <v>19</v>
      </c>
      <c r="O39" t="s">
        <v>19</v>
      </c>
    </row>
    <row r="40" spans="1:15" x14ac:dyDescent="0.25">
      <c r="A40" t="s">
        <v>85</v>
      </c>
      <c r="B40" t="s">
        <v>19</v>
      </c>
      <c r="C40">
        <v>1</v>
      </c>
      <c r="D40">
        <v>1</v>
      </c>
      <c r="E40">
        <v>0</v>
      </c>
      <c r="F40">
        <v>0</v>
      </c>
      <c r="G40">
        <v>0</v>
      </c>
      <c r="I40" s="4">
        <v>0</v>
      </c>
      <c r="J40" s="4">
        <v>0</v>
      </c>
      <c r="L40" s="5">
        <v>0</v>
      </c>
      <c r="M40" s="4">
        <v>0</v>
      </c>
      <c r="N40" s="4" t="s">
        <v>19</v>
      </c>
      <c r="O40" t="s">
        <v>19</v>
      </c>
    </row>
    <row r="41" spans="1:15" x14ac:dyDescent="0.25">
      <c r="A41" t="s">
        <v>86</v>
      </c>
      <c r="B41" t="s">
        <v>19</v>
      </c>
      <c r="C41">
        <v>1</v>
      </c>
      <c r="D41">
        <v>1</v>
      </c>
      <c r="E41">
        <v>1</v>
      </c>
      <c r="F41">
        <v>0</v>
      </c>
      <c r="G41">
        <v>0</v>
      </c>
      <c r="I41" s="4">
        <v>0</v>
      </c>
      <c r="J41" s="4">
        <v>0</v>
      </c>
      <c r="L41" s="5">
        <v>0</v>
      </c>
      <c r="M41" s="4">
        <v>0</v>
      </c>
      <c r="N41" s="4" t="s">
        <v>19</v>
      </c>
      <c r="O41" t="s">
        <v>19</v>
      </c>
    </row>
    <row r="42" spans="1:15" x14ac:dyDescent="0.25">
      <c r="A42" t="s">
        <v>87</v>
      </c>
      <c r="B42" t="s">
        <v>19</v>
      </c>
      <c r="C42">
        <v>1</v>
      </c>
      <c r="D42">
        <v>1</v>
      </c>
      <c r="E42">
        <v>0</v>
      </c>
      <c r="F42">
        <v>0</v>
      </c>
      <c r="G42">
        <v>0</v>
      </c>
      <c r="I42" s="4">
        <v>0</v>
      </c>
      <c r="J42" s="4">
        <v>0</v>
      </c>
      <c r="L42" s="5">
        <v>0</v>
      </c>
      <c r="M42" s="4">
        <v>0</v>
      </c>
      <c r="N42" s="4" t="s">
        <v>19</v>
      </c>
      <c r="O42" t="s">
        <v>19</v>
      </c>
    </row>
    <row r="43" spans="1:15" x14ac:dyDescent="0.25">
      <c r="A43" t="s">
        <v>88</v>
      </c>
      <c r="B43" t="s">
        <v>89</v>
      </c>
      <c r="C43">
        <v>0</v>
      </c>
      <c r="D43">
        <v>1</v>
      </c>
      <c r="E43">
        <v>7</v>
      </c>
      <c r="F43">
        <v>1</v>
      </c>
      <c r="G43">
        <v>1</v>
      </c>
      <c r="H43" s="6">
        <v>1</v>
      </c>
      <c r="I43" s="4">
        <v>812</v>
      </c>
      <c r="J43" s="4">
        <v>811.8</v>
      </c>
      <c r="K43" s="7">
        <v>1.0002463661000247</v>
      </c>
      <c r="L43" s="5">
        <v>0.36273458445040213</v>
      </c>
      <c r="M43" s="4">
        <v>0</v>
      </c>
      <c r="N43" s="4" t="s">
        <v>19</v>
      </c>
      <c r="O43" t="s">
        <v>19</v>
      </c>
    </row>
    <row r="44" spans="1:15" x14ac:dyDescent="0.25">
      <c r="A44" t="s">
        <v>90</v>
      </c>
      <c r="B44" t="s">
        <v>91</v>
      </c>
      <c r="C44">
        <v>4</v>
      </c>
      <c r="D44">
        <v>1</v>
      </c>
      <c r="E44">
        <v>0</v>
      </c>
      <c r="F44">
        <v>0</v>
      </c>
      <c r="G44">
        <v>0</v>
      </c>
      <c r="I44" s="4">
        <v>0</v>
      </c>
      <c r="J44" s="4">
        <v>400</v>
      </c>
      <c r="K44" s="7">
        <v>0</v>
      </c>
      <c r="L44" s="5">
        <v>0.17873100983020554</v>
      </c>
      <c r="M44" s="4">
        <v>0</v>
      </c>
      <c r="N44" s="4" t="s">
        <v>19</v>
      </c>
      <c r="O44" t="s">
        <v>19</v>
      </c>
    </row>
    <row r="45" spans="1:15" x14ac:dyDescent="0.25">
      <c r="A45" t="s">
        <v>92</v>
      </c>
      <c r="B45" t="s">
        <v>19</v>
      </c>
      <c r="C45">
        <v>1</v>
      </c>
      <c r="D45">
        <v>3</v>
      </c>
      <c r="E45">
        <v>1</v>
      </c>
      <c r="F45">
        <v>0</v>
      </c>
      <c r="G45">
        <v>0</v>
      </c>
      <c r="I45" s="4">
        <v>0</v>
      </c>
      <c r="J45" s="4">
        <v>0</v>
      </c>
      <c r="L45" s="5">
        <v>0</v>
      </c>
      <c r="M45" s="4">
        <v>0</v>
      </c>
      <c r="N45" s="4" t="s">
        <v>19</v>
      </c>
      <c r="O45" t="s">
        <v>19</v>
      </c>
    </row>
    <row r="46" spans="1:15" x14ac:dyDescent="0.25">
      <c r="A46" t="s">
        <v>93</v>
      </c>
      <c r="B46" t="s">
        <v>19</v>
      </c>
      <c r="C46">
        <v>1</v>
      </c>
      <c r="D46">
        <v>1</v>
      </c>
      <c r="E46">
        <v>0</v>
      </c>
      <c r="F46">
        <v>0</v>
      </c>
      <c r="G46">
        <v>0</v>
      </c>
      <c r="I46" s="4">
        <v>0</v>
      </c>
      <c r="J46" s="4">
        <v>0</v>
      </c>
      <c r="L46" s="5">
        <v>0</v>
      </c>
      <c r="M46" s="4">
        <v>0</v>
      </c>
      <c r="N46" s="4" t="s">
        <v>19</v>
      </c>
      <c r="O46" t="s">
        <v>19</v>
      </c>
    </row>
    <row r="47" spans="1:15" x14ac:dyDescent="0.25">
      <c r="A47" t="s">
        <v>94</v>
      </c>
      <c r="B47" t="s">
        <v>19</v>
      </c>
      <c r="C47">
        <v>0</v>
      </c>
      <c r="D47">
        <v>2</v>
      </c>
      <c r="E47">
        <v>3</v>
      </c>
      <c r="F47">
        <v>0</v>
      </c>
      <c r="G47">
        <v>0</v>
      </c>
      <c r="H47" s="3">
        <v>0</v>
      </c>
      <c r="I47" s="4">
        <v>0</v>
      </c>
      <c r="J47" s="4">
        <v>0</v>
      </c>
      <c r="L47" s="5">
        <v>0</v>
      </c>
      <c r="M47" s="4">
        <v>0</v>
      </c>
      <c r="N47" s="4" t="s">
        <v>19</v>
      </c>
      <c r="O47" t="s">
        <v>19</v>
      </c>
    </row>
    <row r="48" spans="1:15" x14ac:dyDescent="0.25">
      <c r="A48" t="s">
        <v>95</v>
      </c>
      <c r="B48" t="s">
        <v>19</v>
      </c>
      <c r="C48">
        <v>6</v>
      </c>
      <c r="D48">
        <v>4</v>
      </c>
      <c r="E48">
        <v>2</v>
      </c>
      <c r="F48">
        <v>1</v>
      </c>
      <c r="G48">
        <v>0</v>
      </c>
      <c r="H48" s="3">
        <v>0</v>
      </c>
      <c r="I48" s="4">
        <v>0</v>
      </c>
      <c r="J48" s="4">
        <v>0</v>
      </c>
      <c r="L48" s="5">
        <v>0</v>
      </c>
      <c r="M48" s="4">
        <v>0</v>
      </c>
      <c r="N48" s="4" t="s">
        <v>19</v>
      </c>
      <c r="O48" t="s">
        <v>19</v>
      </c>
    </row>
    <row r="49" spans="1:15" x14ac:dyDescent="0.25">
      <c r="A49" t="s">
        <v>96</v>
      </c>
      <c r="B49" t="s">
        <v>19</v>
      </c>
      <c r="C49">
        <v>2</v>
      </c>
      <c r="D49">
        <v>1</v>
      </c>
      <c r="E49">
        <v>0</v>
      </c>
      <c r="F49">
        <v>0</v>
      </c>
      <c r="G49">
        <v>0</v>
      </c>
      <c r="I49" s="4">
        <v>0</v>
      </c>
      <c r="J49" s="4">
        <v>0</v>
      </c>
      <c r="L49" s="5">
        <v>0</v>
      </c>
      <c r="M49" s="4">
        <v>0</v>
      </c>
      <c r="N49" s="4" t="s">
        <v>19</v>
      </c>
      <c r="O49" t="s">
        <v>19</v>
      </c>
    </row>
    <row r="50" spans="1:15" x14ac:dyDescent="0.25">
      <c r="B50" t="s">
        <v>97</v>
      </c>
      <c r="C50">
        <v>0</v>
      </c>
      <c r="D50">
        <v>0</v>
      </c>
      <c r="E50">
        <v>0</v>
      </c>
      <c r="F50">
        <v>0</v>
      </c>
      <c r="G50">
        <v>0</v>
      </c>
      <c r="I50" s="4">
        <v>1538</v>
      </c>
      <c r="J50" s="4">
        <v>0</v>
      </c>
      <c r="L50" s="5">
        <v>0</v>
      </c>
      <c r="M50" s="4">
        <v>1538</v>
      </c>
      <c r="N50" s="4" t="s">
        <v>19</v>
      </c>
      <c r="O50" t="s">
        <v>19</v>
      </c>
    </row>
    <row r="51" spans="1:15" x14ac:dyDescent="0.25">
      <c r="B51" t="s">
        <v>98</v>
      </c>
      <c r="C51">
        <v>0</v>
      </c>
      <c r="D51">
        <v>0</v>
      </c>
      <c r="E51">
        <v>0</v>
      </c>
      <c r="F51">
        <v>0</v>
      </c>
      <c r="G51">
        <v>0</v>
      </c>
      <c r="I51" s="4">
        <v>0</v>
      </c>
      <c r="J51" s="4">
        <v>0</v>
      </c>
      <c r="L51" s="5">
        <v>0</v>
      </c>
      <c r="M51" s="4">
        <v>4605</v>
      </c>
      <c r="N51" s="4" t="s">
        <v>19</v>
      </c>
      <c r="O51" t="s">
        <v>19</v>
      </c>
    </row>
    <row r="52" spans="1:15" s="13" customFormat="1" x14ac:dyDescent="0.25">
      <c r="A52" s="13" t="s">
        <v>99</v>
      </c>
      <c r="B52" s="13" t="s">
        <v>19</v>
      </c>
      <c r="C52" s="13">
        <v>132</v>
      </c>
      <c r="D52" s="13">
        <v>89</v>
      </c>
      <c r="E52" s="13">
        <v>56</v>
      </c>
      <c r="F52" s="13">
        <v>24</v>
      </c>
      <c r="G52" s="13">
        <v>10</v>
      </c>
      <c r="H52" s="14">
        <v>0.4166666666666667</v>
      </c>
      <c r="I52" s="15">
        <v>5751</v>
      </c>
      <c r="J52" s="15">
        <v>2238</v>
      </c>
      <c r="K52" s="16">
        <v>2.56970509383378</v>
      </c>
      <c r="L52" s="17">
        <v>1</v>
      </c>
      <c r="M52" s="15">
        <v>8518</v>
      </c>
      <c r="N52" s="13" t="s">
        <v>19</v>
      </c>
      <c r="O52" s="13" t="s">
        <v>19</v>
      </c>
    </row>
    <row r="54" spans="1:15" s="18" customFormat="1" x14ac:dyDescent="0.25">
      <c r="A54" s="18" t="s">
        <v>100</v>
      </c>
      <c r="B54" s="18" t="s">
        <v>19</v>
      </c>
      <c r="C54" s="18">
        <v>178</v>
      </c>
      <c r="D54" s="18">
        <v>698</v>
      </c>
      <c r="E54" s="18">
        <v>206</v>
      </c>
      <c r="F54" s="18">
        <v>94</v>
      </c>
      <c r="G54" s="18">
        <v>38</v>
      </c>
      <c r="H54" s="19">
        <v>0.40425531914893614</v>
      </c>
      <c r="I54" s="20">
        <v>45493</v>
      </c>
      <c r="J54" s="20">
        <v>52411.02</v>
      </c>
      <c r="K54" s="21">
        <v>0.8680044769210751</v>
      </c>
      <c r="L54" s="18" t="s">
        <v>19</v>
      </c>
      <c r="M54" s="20">
        <v>50177</v>
      </c>
      <c r="N54" s="20">
        <f>SUM(N2:N53)</f>
      </c>
      <c r="O54" s="18" t="s">
        <v>19</v>
      </c>
    </row>
    <row r="55" spans="1:15" s="22" customFormat="1" x14ac:dyDescent="0.25">
      <c r="A55" s="22" t="s">
        <v>101</v>
      </c>
      <c r="B55" s="22" t="s">
        <v>19</v>
      </c>
      <c r="C55" s="22" t="s">
        <v>19</v>
      </c>
      <c r="D55" s="22" t="s">
        <v>19</v>
      </c>
      <c r="E55" s="22" t="s">
        <v>19</v>
      </c>
      <c r="F55" s="22" t="s">
        <v>19</v>
      </c>
      <c r="G55" s="22" t="s">
        <v>19</v>
      </c>
      <c r="H55" s="22" t="s">
        <v>19</v>
      </c>
      <c r="I55" s="22" t="s">
        <v>19</v>
      </c>
      <c r="J55" s="22" t="s">
        <v>19</v>
      </c>
      <c r="K55" s="22" t="s">
        <v>19</v>
      </c>
      <c r="L55" s="22" t="s">
        <v>19</v>
      </c>
      <c r="M55" s="22" t="s">
        <v>19</v>
      </c>
      <c r="N55" s="23">
        <v>120000</v>
      </c>
      <c r="O55" s="22" t="s">
        <v>19</v>
      </c>
    </row>
    <row r="56" spans="1:15" s="22" customFormat="1" x14ac:dyDescent="0.25">
      <c r="A56" s="22" t="s">
        <v>102</v>
      </c>
      <c r="B56" s="22" t="s">
        <v>19</v>
      </c>
      <c r="C56" s="22" t="s">
        <v>19</v>
      </c>
      <c r="D56" s="22" t="s">
        <v>19</v>
      </c>
      <c r="E56" s="22" t="s">
        <v>19</v>
      </c>
      <c r="F56" s="22" t="s">
        <v>19</v>
      </c>
      <c r="G56" s="22" t="s">
        <v>19</v>
      </c>
      <c r="H56" s="22" t="s">
        <v>19</v>
      </c>
      <c r="I56" s="22" t="s">
        <v>19</v>
      </c>
      <c r="J56" s="22" t="s">
        <v>19</v>
      </c>
      <c r="K56" s="22" t="s">
        <v>19</v>
      </c>
      <c r="L56" s="22" t="s">
        <v>19</v>
      </c>
      <c r="M56" s="22" t="s">
        <v>19</v>
      </c>
      <c r="N56" s="24">
        <f>N54-N55</f>
      </c>
      <c r="O56" s="22" t="s">
        <v>19</v>
      </c>
    </row>
  </sheetData>
  <conditionalFormatting sqref="N56">
    <cfRule type="cellIs" dxfId="0" priority="1" operator="lessThan">
      <formula>0</formula>
    </cfRule>
    <cfRule type="cellIs" dxfId="1" priority="2" operator="greaterThanOr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Aaron Mendoza - Q3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2026-07-15T21:07:00Z</dcterms:created>
  <dcterms:modified xsi:type="dcterms:W3CDTF">2026-07-15T21:07:00Z</dcterms:modified>
</cp:coreProperties>
</file>