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elissa.Bojar\.ssh\"/>
    </mc:Choice>
  </mc:AlternateContent>
  <xr:revisionPtr revIDLastSave="0" documentId="8_{65B7F3C6-AC57-404D-A4FC-933F54935603}" xr6:coauthVersionLast="47" xr6:coauthVersionMax="47" xr10:uidLastSave="{00000000-0000-0000-0000-000000000000}"/>
  <bookViews>
    <workbookView xWindow="-108" yWindow="-108" windowWidth="23256" windowHeight="13896" activeTab="1" xr2:uid="{DEC626A3-A07D-4E5F-B1DF-21E411734F5A}"/>
  </bookViews>
  <sheets>
    <sheet name="GP Targets - Q2 2026" sheetId="6" r:id="rId1"/>
    <sheet name="Aaron - Q2 2026" sheetId="7" r:id="rId2"/>
    <sheet name="Q2 Data" sheetId="8" state="hidden" r:id="rId3"/>
    <sheet name="GP Targets - Q1 2026" sheetId="3" state="hidden" r:id="rId4"/>
    <sheet name="Aaron - Q1 2026" sheetId="5" r:id="rId5"/>
    <sheet name="Aaron - 10.02.25" sheetId="1" r:id="rId6"/>
  </sheets>
  <definedNames>
    <definedName name="_xlnm._FilterDatabase" localSheetId="5" hidden="1">'Aaron - 10.02.25'!$A$18:$N$53</definedName>
    <definedName name="_xlnm._FilterDatabase" localSheetId="4" hidden="1">'Aaron - Q1 2026'!$A$2:$Q$25</definedName>
    <definedName name="_xlnm._FilterDatabase" localSheetId="1" hidden="1">'Aaron - Q2 2026'!$A$2:$Q$28</definedName>
    <definedName name="_xlnm._FilterDatabase" localSheetId="3" hidden="1">'GP Targets - Q1 2026'!$A$1:$E$1</definedName>
    <definedName name="_xlnm._FilterDatabase" localSheetId="0" hidden="1">'GP Targets - Q2 2026'!$A$1:$E$1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7" l="1"/>
  <c r="N33" i="7"/>
  <c r="N34" i="7"/>
  <c r="N35" i="7"/>
  <c r="N36" i="7"/>
  <c r="N37" i="7"/>
  <c r="N38" i="7"/>
  <c r="N39" i="7"/>
  <c r="N40" i="7"/>
  <c r="N41" i="7"/>
  <c r="N42" i="7"/>
  <c r="N43" i="7"/>
  <c r="N44" i="7"/>
  <c r="N45" i="7"/>
  <c r="N46" i="7"/>
  <c r="N47" i="7"/>
  <c r="N48" i="7"/>
  <c r="N32" i="7"/>
  <c r="P22" i="7"/>
  <c r="P17" i="7"/>
  <c r="P12" i="7"/>
  <c r="P27" i="7"/>
  <c r="P13" i="7"/>
  <c r="P26" i="7"/>
  <c r="P19" i="7"/>
  <c r="P24" i="7"/>
  <c r="P23" i="7"/>
  <c r="P14" i="7"/>
  <c r="P25" i="7"/>
  <c r="P28" i="7"/>
  <c r="P18" i="7"/>
  <c r="P11" i="7"/>
  <c r="P16" i="7"/>
  <c r="P21" i="7"/>
  <c r="P15" i="7"/>
  <c r="P10" i="7"/>
  <c r="P20" i="7"/>
  <c r="J33" i="7"/>
  <c r="J34" i="7"/>
  <c r="J35" i="7"/>
  <c r="J36" i="7"/>
  <c r="J37" i="7"/>
  <c r="J38" i="7"/>
  <c r="J39" i="7"/>
  <c r="J40" i="7"/>
  <c r="J41" i="7"/>
  <c r="J42" i="7"/>
  <c r="J43" i="7"/>
  <c r="J44" i="7"/>
  <c r="J45" i="7"/>
  <c r="J46" i="7"/>
  <c r="J47" i="7"/>
  <c r="J48" i="7"/>
  <c r="J32" i="7"/>
  <c r="J22" i="7"/>
  <c r="J17" i="7"/>
  <c r="J12" i="7"/>
  <c r="J27" i="7"/>
  <c r="J13" i="7"/>
  <c r="J26" i="7"/>
  <c r="J9" i="7"/>
  <c r="J19" i="7"/>
  <c r="J24" i="7"/>
  <c r="J4" i="7"/>
  <c r="J8" i="7"/>
  <c r="J23" i="7"/>
  <c r="J14" i="7"/>
  <c r="J25" i="7"/>
  <c r="J28" i="7"/>
  <c r="J18" i="7"/>
  <c r="J6" i="7"/>
  <c r="L6" i="7" s="1"/>
  <c r="J11" i="7"/>
  <c r="J7" i="7"/>
  <c r="J5" i="7"/>
  <c r="J16" i="7"/>
  <c r="J21" i="7"/>
  <c r="J15" i="7"/>
  <c r="J10" i="7"/>
  <c r="J20" i="7"/>
  <c r="K48" i="7"/>
  <c r="K47" i="7"/>
  <c r="K46" i="7"/>
  <c r="K45" i="7"/>
  <c r="K44" i="7"/>
  <c r="K43" i="7"/>
  <c r="K42" i="7"/>
  <c r="K41" i="7"/>
  <c r="K40" i="7"/>
  <c r="K39" i="7"/>
  <c r="K38" i="7"/>
  <c r="K37" i="7"/>
  <c r="K36" i="7"/>
  <c r="K35" i="7"/>
  <c r="K34" i="7"/>
  <c r="K33" i="7"/>
  <c r="K32" i="7"/>
  <c r="K22" i="7"/>
  <c r="K3" i="7"/>
  <c r="L3" i="7" s="1"/>
  <c r="K17" i="7"/>
  <c r="K12" i="7"/>
  <c r="K27" i="7"/>
  <c r="K13" i="7"/>
  <c r="K26" i="7"/>
  <c r="K9" i="7"/>
  <c r="K19" i="7"/>
  <c r="K24" i="7"/>
  <c r="K4" i="7"/>
  <c r="K8" i="7"/>
  <c r="K23" i="7"/>
  <c r="K14" i="7"/>
  <c r="K25" i="7"/>
  <c r="K28" i="7"/>
  <c r="K18" i="7"/>
  <c r="K6" i="7"/>
  <c r="K11" i="7"/>
  <c r="K7" i="7"/>
  <c r="K5" i="7"/>
  <c r="K16" i="7"/>
  <c r="L16" i="7" s="1"/>
  <c r="K21" i="7"/>
  <c r="K15" i="7"/>
  <c r="K10" i="7"/>
  <c r="K20" i="7"/>
  <c r="I35" i="7"/>
  <c r="I3" i="7"/>
  <c r="I9" i="7"/>
  <c r="I4" i="7"/>
  <c r="I8" i="7"/>
  <c r="I6" i="7"/>
  <c r="I7" i="7"/>
  <c r="I5" i="7"/>
  <c r="I10" i="7"/>
  <c r="H48" i="7"/>
  <c r="G48" i="7"/>
  <c r="H47" i="7"/>
  <c r="I47" i="7" s="1"/>
  <c r="G47" i="7"/>
  <c r="H46" i="7"/>
  <c r="G46" i="7"/>
  <c r="H45" i="7"/>
  <c r="G45" i="7"/>
  <c r="H44" i="7"/>
  <c r="I44" i="7" s="1"/>
  <c r="G44" i="7"/>
  <c r="H43" i="7"/>
  <c r="I43" i="7" s="1"/>
  <c r="G43" i="7"/>
  <c r="H42" i="7"/>
  <c r="G42" i="7"/>
  <c r="H41" i="7"/>
  <c r="I41" i="7" s="1"/>
  <c r="G41" i="7"/>
  <c r="H40" i="7"/>
  <c r="G40" i="7"/>
  <c r="H39" i="7"/>
  <c r="I39" i="7" s="1"/>
  <c r="G39" i="7"/>
  <c r="H38" i="7"/>
  <c r="G38" i="7"/>
  <c r="H37" i="7"/>
  <c r="I37" i="7" s="1"/>
  <c r="G37" i="7"/>
  <c r="H36" i="7"/>
  <c r="I36" i="7" s="1"/>
  <c r="G36" i="7"/>
  <c r="H35" i="7"/>
  <c r="G35" i="7"/>
  <c r="H34" i="7"/>
  <c r="I34" i="7" s="1"/>
  <c r="G34" i="7"/>
  <c r="H33" i="7"/>
  <c r="I33" i="7" s="1"/>
  <c r="G33" i="7"/>
  <c r="H32" i="7"/>
  <c r="G32" i="7"/>
  <c r="F48" i="7"/>
  <c r="F47" i="7"/>
  <c r="F46" i="7"/>
  <c r="F45" i="7"/>
  <c r="F44" i="7"/>
  <c r="F43" i="7"/>
  <c r="F42" i="7"/>
  <c r="F41" i="7"/>
  <c r="F40" i="7"/>
  <c r="F39" i="7"/>
  <c r="F38" i="7"/>
  <c r="F37" i="7"/>
  <c r="F36" i="7"/>
  <c r="F35" i="7"/>
  <c r="F34" i="7"/>
  <c r="F33" i="7"/>
  <c r="F32" i="7"/>
  <c r="E48" i="7"/>
  <c r="E47" i="7"/>
  <c r="E46" i="7"/>
  <c r="E45" i="7"/>
  <c r="E44" i="7"/>
  <c r="E43" i="7"/>
  <c r="E42" i="7"/>
  <c r="E41" i="7"/>
  <c r="E40" i="7"/>
  <c r="E39" i="7"/>
  <c r="E38" i="7"/>
  <c r="E37" i="7"/>
  <c r="E36" i="7"/>
  <c r="E35" i="7"/>
  <c r="E34" i="7"/>
  <c r="E33" i="7"/>
  <c r="E32" i="7"/>
  <c r="O49" i="7"/>
  <c r="D49" i="7"/>
  <c r="D51" i="7" s="1"/>
  <c r="O30" i="7"/>
  <c r="D29" i="6"/>
  <c r="D30" i="6" s="1"/>
  <c r="P27" i="5"/>
  <c r="P5" i="5"/>
  <c r="P7" i="5"/>
  <c r="P6" i="5"/>
  <c r="P11" i="5"/>
  <c r="P12" i="5"/>
  <c r="P8" i="5"/>
  <c r="P13" i="5"/>
  <c r="P9" i="5"/>
  <c r="P14" i="5"/>
  <c r="P15" i="5"/>
  <c r="P16" i="5"/>
  <c r="P17" i="5"/>
  <c r="P3" i="5"/>
  <c r="P18" i="5"/>
  <c r="P10" i="5"/>
  <c r="P19" i="5"/>
  <c r="P20" i="5"/>
  <c r="P21" i="5"/>
  <c r="P22" i="5"/>
  <c r="P23" i="5"/>
  <c r="P24" i="5"/>
  <c r="P25" i="5"/>
  <c r="P4" i="5"/>
  <c r="O46" i="5"/>
  <c r="D46" i="5"/>
  <c r="D48" i="5" s="1"/>
  <c r="L45" i="5"/>
  <c r="L44" i="5"/>
  <c r="I44" i="5"/>
  <c r="L43" i="5"/>
  <c r="L42" i="5"/>
  <c r="I42" i="5"/>
  <c r="L41" i="5"/>
  <c r="I41" i="5"/>
  <c r="L40" i="5"/>
  <c r="I40" i="5"/>
  <c r="L39" i="5"/>
  <c r="L38" i="5"/>
  <c r="L37" i="5"/>
  <c r="I37" i="5"/>
  <c r="L36" i="5"/>
  <c r="L35" i="5"/>
  <c r="L34" i="5"/>
  <c r="L33" i="5"/>
  <c r="I33" i="5"/>
  <c r="L31" i="5"/>
  <c r="I31" i="5"/>
  <c r="L30" i="5"/>
  <c r="L29" i="5"/>
  <c r="O27" i="5"/>
  <c r="K27" i="5"/>
  <c r="J27" i="5"/>
  <c r="H27" i="5"/>
  <c r="I27" i="5" s="1"/>
  <c r="G27" i="5"/>
  <c r="F27" i="5"/>
  <c r="E27" i="5"/>
  <c r="M6" i="5"/>
  <c r="L6" i="5"/>
  <c r="I6" i="5"/>
  <c r="M7" i="5"/>
  <c r="L7" i="5"/>
  <c r="I7" i="5"/>
  <c r="M5" i="5"/>
  <c r="L5" i="5"/>
  <c r="I5" i="5"/>
  <c r="M4" i="5"/>
  <c r="L4" i="5"/>
  <c r="I4" i="5"/>
  <c r="M11" i="5"/>
  <c r="L11" i="5"/>
  <c r="I11" i="5"/>
  <c r="M15" i="5"/>
  <c r="L15" i="5"/>
  <c r="I15" i="5"/>
  <c r="M14" i="5"/>
  <c r="L14" i="5"/>
  <c r="I14" i="5"/>
  <c r="M9" i="5"/>
  <c r="L9" i="5"/>
  <c r="I9" i="5"/>
  <c r="M12" i="5"/>
  <c r="L12" i="5"/>
  <c r="I12" i="5"/>
  <c r="M13" i="5"/>
  <c r="L13" i="5"/>
  <c r="I13" i="5"/>
  <c r="M8" i="5"/>
  <c r="L8" i="5"/>
  <c r="I8" i="5"/>
  <c r="M25" i="5"/>
  <c r="L25" i="5"/>
  <c r="I25" i="5"/>
  <c r="M24" i="5"/>
  <c r="L24" i="5"/>
  <c r="I24" i="5"/>
  <c r="M23" i="5"/>
  <c r="L23" i="5"/>
  <c r="I23" i="5"/>
  <c r="M22" i="5"/>
  <c r="L22" i="5"/>
  <c r="I22" i="5"/>
  <c r="M21" i="5"/>
  <c r="L21" i="5"/>
  <c r="I21" i="5"/>
  <c r="M20" i="5"/>
  <c r="L20" i="5"/>
  <c r="I20" i="5"/>
  <c r="M19" i="5"/>
  <c r="L19" i="5"/>
  <c r="I19" i="5"/>
  <c r="M10" i="5"/>
  <c r="L10" i="5"/>
  <c r="I10" i="5"/>
  <c r="M18" i="5"/>
  <c r="L18" i="5"/>
  <c r="I18" i="5"/>
  <c r="M3" i="5"/>
  <c r="L3" i="5"/>
  <c r="I3" i="5"/>
  <c r="M17" i="5"/>
  <c r="L17" i="5"/>
  <c r="I17" i="5"/>
  <c r="M16" i="5"/>
  <c r="L16" i="5"/>
  <c r="I16" i="5"/>
  <c r="D27" i="3"/>
  <c r="D28" i="3" s="1"/>
  <c r="C27" i="3"/>
  <c r="M55" i="1"/>
  <c r="J55" i="1"/>
  <c r="L55" i="1" s="1"/>
  <c r="I55" i="1"/>
  <c r="K55" i="1" s="1"/>
  <c r="G55" i="1"/>
  <c r="F55" i="1"/>
  <c r="H55" i="1" s="1"/>
  <c r="E55" i="1"/>
  <c r="D55" i="1"/>
  <c r="C55" i="1"/>
  <c r="L53" i="1"/>
  <c r="K53" i="1"/>
  <c r="H53" i="1"/>
  <c r="L52" i="1"/>
  <c r="K52" i="1"/>
  <c r="H52" i="1"/>
  <c r="L51" i="1"/>
  <c r="K51" i="1"/>
  <c r="H51" i="1"/>
  <c r="L50" i="1"/>
  <c r="K50" i="1"/>
  <c r="H50" i="1"/>
  <c r="L49" i="1"/>
  <c r="K49" i="1"/>
  <c r="H49" i="1"/>
  <c r="L48" i="1"/>
  <c r="K48" i="1"/>
  <c r="H48" i="1"/>
  <c r="L47" i="1"/>
  <c r="K47" i="1"/>
  <c r="H47" i="1"/>
  <c r="L46" i="1"/>
  <c r="K46" i="1"/>
  <c r="H46" i="1"/>
  <c r="L45" i="1"/>
  <c r="K45" i="1"/>
  <c r="H45" i="1"/>
  <c r="L44" i="1"/>
  <c r="K44" i="1"/>
  <c r="H44" i="1"/>
  <c r="L43" i="1"/>
  <c r="K43" i="1"/>
  <c r="H43" i="1"/>
  <c r="L42" i="1"/>
  <c r="K42" i="1"/>
  <c r="H42" i="1"/>
  <c r="L41" i="1"/>
  <c r="K41" i="1"/>
  <c r="H41" i="1"/>
  <c r="L40" i="1"/>
  <c r="K40" i="1"/>
  <c r="H40" i="1"/>
  <c r="L39" i="1"/>
  <c r="K39" i="1"/>
  <c r="H39" i="1"/>
  <c r="L38" i="1"/>
  <c r="K38" i="1"/>
  <c r="H38" i="1"/>
  <c r="L37" i="1"/>
  <c r="K37" i="1"/>
  <c r="H37" i="1"/>
  <c r="L36" i="1"/>
  <c r="K36" i="1"/>
  <c r="H36" i="1"/>
  <c r="L35" i="1"/>
  <c r="K35" i="1"/>
  <c r="H35" i="1"/>
  <c r="L34" i="1"/>
  <c r="K34" i="1"/>
  <c r="H34" i="1"/>
  <c r="L33" i="1"/>
  <c r="K33" i="1"/>
  <c r="H33" i="1"/>
  <c r="L32" i="1"/>
  <c r="K32" i="1"/>
  <c r="H32" i="1"/>
  <c r="L31" i="1"/>
  <c r="K31" i="1"/>
  <c r="H31" i="1"/>
  <c r="L30" i="1"/>
  <c r="K30" i="1"/>
  <c r="H30" i="1"/>
  <c r="L29" i="1"/>
  <c r="K29" i="1"/>
  <c r="H29" i="1"/>
  <c r="L28" i="1"/>
  <c r="K28" i="1"/>
  <c r="H28" i="1"/>
  <c r="L27" i="1"/>
  <c r="K27" i="1"/>
  <c r="H27" i="1"/>
  <c r="L26" i="1"/>
  <c r="K26" i="1"/>
  <c r="H26" i="1"/>
  <c r="L25" i="1"/>
  <c r="K25" i="1"/>
  <c r="H25" i="1"/>
  <c r="L24" i="1"/>
  <c r="K24" i="1"/>
  <c r="H24" i="1"/>
  <c r="L23" i="1"/>
  <c r="K23" i="1"/>
  <c r="H23" i="1"/>
  <c r="L22" i="1"/>
  <c r="K22" i="1"/>
  <c r="H22" i="1"/>
  <c r="L21" i="1"/>
  <c r="K21" i="1"/>
  <c r="H21" i="1"/>
  <c r="L20" i="1"/>
  <c r="K20" i="1"/>
  <c r="H20" i="1"/>
  <c r="L19" i="1"/>
  <c r="K19" i="1"/>
  <c r="H19" i="1"/>
  <c r="C13" i="1"/>
  <c r="E13" i="1" s="1"/>
  <c r="E12" i="1"/>
  <c r="E11" i="1"/>
  <c r="F9" i="1"/>
  <c r="E9" i="1"/>
  <c r="D9" i="1"/>
  <c r="F8" i="1"/>
  <c r="E8" i="1"/>
  <c r="D8" i="1"/>
  <c r="F7" i="1"/>
  <c r="E7" i="1"/>
  <c r="D7" i="1"/>
  <c r="F6" i="1"/>
  <c r="D6" i="1"/>
  <c r="E6" i="1" s="1"/>
  <c r="H5" i="1"/>
  <c r="D5" i="1"/>
  <c r="C5" i="1"/>
  <c r="E5" i="1" s="1"/>
  <c r="F4" i="1"/>
  <c r="E4" i="1"/>
  <c r="F3" i="1"/>
  <c r="E3" i="1"/>
  <c r="L5" i="7" l="1"/>
  <c r="L8" i="7"/>
  <c r="L10" i="7"/>
  <c r="L9" i="7"/>
  <c r="P30" i="7"/>
  <c r="I42" i="7"/>
  <c r="I38" i="7"/>
  <c r="I46" i="7"/>
  <c r="I45" i="7"/>
  <c r="I32" i="7"/>
  <c r="I40" i="7"/>
  <c r="I48" i="7"/>
  <c r="K49" i="7"/>
  <c r="J30" i="7"/>
  <c r="J49" i="7"/>
  <c r="F49" i="7"/>
  <c r="H49" i="7"/>
  <c r="H51" i="7" s="1"/>
  <c r="G49" i="7"/>
  <c r="K30" i="7"/>
  <c r="M30" i="7" s="1"/>
  <c r="G30" i="7"/>
  <c r="G51" i="7" s="1"/>
  <c r="F30" i="7"/>
  <c r="F51" i="7" s="1"/>
  <c r="E49" i="7"/>
  <c r="E30" i="7"/>
  <c r="C29" i="6"/>
  <c r="O51" i="7"/>
  <c r="I30" i="7"/>
  <c r="L27" i="5"/>
  <c r="I34" i="5"/>
  <c r="I32" i="5"/>
  <c r="L32" i="5"/>
  <c r="I30" i="5"/>
  <c r="I38" i="5"/>
  <c r="I36" i="5"/>
  <c r="I39" i="5"/>
  <c r="G46" i="5"/>
  <c r="G48" i="5" s="1"/>
  <c r="E46" i="5"/>
  <c r="E48" i="5" s="1"/>
  <c r="I45" i="5"/>
  <c r="I29" i="5"/>
  <c r="F46" i="5"/>
  <c r="F48" i="5" s="1"/>
  <c r="I43" i="5"/>
  <c r="I35" i="5"/>
  <c r="K46" i="5"/>
  <c r="K48" i="5" s="1"/>
  <c r="O48" i="5"/>
  <c r="H46" i="5"/>
  <c r="H48" i="5" s="1"/>
  <c r="J46" i="5"/>
  <c r="J48" i="5" s="1"/>
  <c r="M27" i="5"/>
  <c r="F5" i="1"/>
  <c r="J51" i="7" l="1"/>
  <c r="E51" i="7"/>
  <c r="L30" i="7"/>
  <c r="K51" i="7"/>
</calcChain>
</file>

<file path=xl/sharedStrings.xml><?xml version="1.0" encoding="utf-8"?>
<sst xmlns="http://schemas.openxmlformats.org/spreadsheetml/2006/main" count="775" uniqueCount="211">
  <si>
    <t>Account (OT)</t>
  </si>
  <si>
    <t>Q4 2025 Notes</t>
  </si>
  <si>
    <t>Scheduled GP Q1 26</t>
  </si>
  <si>
    <t>Q1 26 GP Target</t>
  </si>
  <si>
    <t>If drop - Reason</t>
  </si>
  <si>
    <t>noLimits Enterprises Inc (dba Radenso)</t>
  </si>
  <si>
    <t/>
  </si>
  <si>
    <t>Alstom</t>
  </si>
  <si>
    <t>Wincomm International</t>
  </si>
  <si>
    <t>Eastman Kodak Company</t>
  </si>
  <si>
    <t>Qual-Pro Corporation</t>
  </si>
  <si>
    <t>Morey Corporation</t>
  </si>
  <si>
    <t>General Motors LLC</t>
  </si>
  <si>
    <t>Accurate Electronics</t>
  </si>
  <si>
    <t>Acuity Brands</t>
  </si>
  <si>
    <t>Bell Flight Textron Inc.</t>
  </si>
  <si>
    <t>BENCHMARK ELECTRONICS</t>
  </si>
  <si>
    <t>Canyon AeroConnect</t>
  </si>
  <si>
    <t>CTCT</t>
  </si>
  <si>
    <t>Emerald EMS</t>
  </si>
  <si>
    <t xml:space="preserve">Connected to Saline. </t>
  </si>
  <si>
    <t>GE Healthcare</t>
  </si>
  <si>
    <t>GE MDS LLC</t>
  </si>
  <si>
    <t>GE Multilin</t>
  </si>
  <si>
    <t>Related to GE Vernova</t>
  </si>
  <si>
    <t>GE Vernova (Energy Businesses)</t>
  </si>
  <si>
    <t>Mars International Inc.</t>
  </si>
  <si>
    <t xml:space="preserve">CM for nonlimits, likely a smaller CM. </t>
  </si>
  <si>
    <t>Mirian Solutions</t>
  </si>
  <si>
    <t>Ontic</t>
  </si>
  <si>
    <t>Saline Lectronics Manufacturing Services</t>
  </si>
  <si>
    <t>SensIT</t>
  </si>
  <si>
    <t>Watch List</t>
  </si>
  <si>
    <t>Trimble Inc.</t>
  </si>
  <si>
    <t>Scheduled GP 12/30/25</t>
  </si>
  <si>
    <t>GP Goal Q1 2026</t>
  </si>
  <si>
    <t>Q4 2025</t>
  </si>
  <si>
    <t>Q1 2026</t>
  </si>
  <si>
    <t>Status</t>
  </si>
  <si>
    <t>Account INFOR</t>
  </si>
  <si>
    <t>Locations</t>
  </si>
  <si>
    <t>Activities</t>
  </si>
  <si>
    <t>RFQ Lines</t>
  </si>
  <si>
    <t>CQ Lines</t>
  </si>
  <si>
    <t>CQ Lines Won</t>
  </si>
  <si>
    <t>Conversion Rate</t>
  </si>
  <si>
    <t>Booked GP</t>
  </si>
  <si>
    <t>Invoiced GP</t>
  </si>
  <si>
    <t>B to I</t>
  </si>
  <si>
    <t>% of Inv Total</t>
  </si>
  <si>
    <t>Scheduled GP</t>
  </si>
  <si>
    <t>GP Target</t>
  </si>
  <si>
    <t>Q1 2026 Strategy</t>
  </si>
  <si>
    <t>Assigned</t>
  </si>
  <si>
    <t>Alstom Transportation Inc.</t>
  </si>
  <si>
    <t>THE MOREY CORPORATION</t>
  </si>
  <si>
    <t>0</t>
  </si>
  <si>
    <t>Mapping out sites and verticals. High potential.</t>
  </si>
  <si>
    <t xml:space="preserve">Setup for repairs division. CMs place the orders. </t>
  </si>
  <si>
    <t>Mil-aero</t>
  </si>
  <si>
    <t>Building for Catapillar. Kristen Rhiner, global commodity manager/ director.</t>
  </si>
  <si>
    <t xml:space="preserve">CM for nonlimits, likely a smaller CM. Leverage approval with Radenso (police scanners). </t>
  </si>
  <si>
    <t>Total Assigned</t>
  </si>
  <si>
    <t>Not Assigned</t>
  </si>
  <si>
    <t>Motion Industries</t>
  </si>
  <si>
    <t>MOTION INDUSTRIES, INC.</t>
  </si>
  <si>
    <t>FMC Technologies Measurement Solutions Inc.</t>
  </si>
  <si>
    <t>Wincomm International Electronics Limited</t>
  </si>
  <si>
    <t>noLimits Enterprises Inc. dba Radenso</t>
  </si>
  <si>
    <t>SPEC BUY WITH NO C00</t>
  </si>
  <si>
    <t>Acron Aviation, Inc</t>
  </si>
  <si>
    <t>Apollo America Inc.</t>
  </si>
  <si>
    <t>Interalia</t>
  </si>
  <si>
    <t>BizLink Technology (S.E.A) Sdn. Bhd.</t>
  </si>
  <si>
    <t>EMLinQ, LLC</t>
  </si>
  <si>
    <t>TechnipFMC</t>
  </si>
  <si>
    <t>GM INTERNATIONAL SAFETY, INC.</t>
  </si>
  <si>
    <t>M2S electronique</t>
  </si>
  <si>
    <t>Indak Manufacturing</t>
  </si>
  <si>
    <t>Astro Geo Marine, Inc.</t>
  </si>
  <si>
    <t>Firstmark Aerospace Corporation</t>
  </si>
  <si>
    <t xml:space="preserve">Flex </t>
  </si>
  <si>
    <t>Subtotal</t>
  </si>
  <si>
    <t>Total</t>
  </si>
  <si>
    <t>Date Pulled</t>
  </si>
  <si>
    <t>Q3 2025</t>
  </si>
  <si>
    <t>Goal/ KPI Detail</t>
  </si>
  <si>
    <t>Actual</t>
  </si>
  <si>
    <t>Goal/ KPI</t>
  </si>
  <si>
    <t>% Achieved</t>
  </si>
  <si>
    <t>Growth QOQ</t>
  </si>
  <si>
    <t>Last QTR</t>
  </si>
  <si>
    <t>Conversion Rates</t>
  </si>
  <si>
    <t>Count CQ Lines Won</t>
  </si>
  <si>
    <t xml:space="preserve">Count Total CQ Lines </t>
  </si>
  <si>
    <t>Count RFQ Lines</t>
  </si>
  <si>
    <t>Count Activities</t>
  </si>
  <si>
    <t>Projected GP</t>
  </si>
  <si>
    <t>Assigned Accounts</t>
  </si>
  <si>
    <t>Assigned Locations</t>
  </si>
  <si>
    <t>Account</t>
  </si>
  <si>
    <t>Notes</t>
  </si>
  <si>
    <t>Setup for repairs division. CMs place the orders. Hugo BD.</t>
  </si>
  <si>
    <t>General Motors</t>
  </si>
  <si>
    <t>Analytic Systems</t>
  </si>
  <si>
    <t>Traded to James.</t>
  </si>
  <si>
    <t>Axiom Electronics</t>
  </si>
  <si>
    <t>Traded to James. Buy frequently.</t>
  </si>
  <si>
    <t>Boeing</t>
  </si>
  <si>
    <t>Halma Group</t>
  </si>
  <si>
    <t>Big UK account. Apollo Systems is a subsidiary. Good account to call into. We are approved, but little traction.</t>
  </si>
  <si>
    <t>IMP Group Ltd.</t>
  </si>
  <si>
    <t>Franchise lines only.</t>
  </si>
  <si>
    <t>Only one main contact for buying. Low potential account.</t>
  </si>
  <si>
    <t>Leonardo Electronics US Inc.</t>
  </si>
  <si>
    <t>Not going to work with us right now. Subsidiary. Not a component buying entity</t>
  </si>
  <si>
    <t>Nortech Systems</t>
  </si>
  <si>
    <t>AMAT Buyer - approved. Connectors. Good for a newbie</t>
  </si>
  <si>
    <t>Peraton</t>
  </si>
  <si>
    <t>Build for USPS, sub-contractor. Have to use credit card. Invoice problems.</t>
  </si>
  <si>
    <t>Plexus Corp.</t>
  </si>
  <si>
    <t>Not getting any time of day from them. Not much buying in the states. Mostly MX &amp; APAC.</t>
  </si>
  <si>
    <t>SMTC</t>
  </si>
  <si>
    <t>payment issues. Chargepoint almost pulled them under. Payment plans can help. Mapping out Chatsworth.</t>
  </si>
  <si>
    <t>Oil &amp; Gas in Houston. Lost due to price. Newbie.</t>
  </si>
  <si>
    <t>Utah Transit Authority</t>
  </si>
  <si>
    <t>Similar to Alstom, but smaller. Many steps to bid. Portal for RFQs. Will Rob.</t>
  </si>
  <si>
    <t>Acron Aviation</t>
  </si>
  <si>
    <t>Apollo Systems</t>
  </si>
  <si>
    <t>General Dynamics</t>
  </si>
  <si>
    <t>Sandia Aerospace</t>
  </si>
  <si>
    <t>$20K Shipping out in Jan. Police scanners and targets. Big time is black Friday. Now have the cash to build. Radars are expecting to take off. Expecting a monthly demand. CM or noLimits will buy. Working to identify full potential. Love appreciate quick response.</t>
  </si>
  <si>
    <t xml:space="preserve">Sold them ovens. Astute is now a pass thru. Purchasing department is all by projects and 'hand to mouth'. Very small, but able to pay the markups. Good traction with one Buyer. Vendor consolidation is the big focus. Working for a site in IL. 12+ Buyers. </t>
  </si>
  <si>
    <t>Most projects were covered thru Q4. Several brokers are approved, but want to really just work with Astute. Ramp up expected in Q2. Open order $15K, just need to find stock. Focusing on shortages. Also potential in Canada.</t>
  </si>
  <si>
    <t xml:space="preserve">Related to Ontic. L3 is one of their customers. Leveraging Ontic. </t>
  </si>
  <si>
    <t>Prioritized net terms with them. Making sure they pay on time. Analog Devices have a large price increase coming, looking to see how we can help them keep costs down. Also, TI is in a smiliar boat.</t>
  </si>
  <si>
    <t>Working to get our first order. Quote feedback was that they found stock interally. Inherited stock from Honeywell… Need more stock with demand ramps up. They work with other brokers and CMs. Working to gain more info on compeition and CMs.</t>
  </si>
  <si>
    <t>Same as Qual-Pro (close to Ontic). Work to visit. Smaller, but do not know the potential yet.</t>
  </si>
  <si>
    <t>Working to get one order this quarter. They work closely with one broker. Will only give us a shot if the other broker can't deliver. Related to Blue Wave?</t>
  </si>
  <si>
    <t>Working to invoice what was booked.</t>
  </si>
  <si>
    <t>Mark was heavily involved. Maybe work to visit Indiana with Josh? Mostly driven out of Mexico. Supplier on record.</t>
  </si>
  <si>
    <t>GE Vernova. Staying in front of them. Working to get visibility/ RFQs. Working to recover from past business. Old $50K order from 2022 without a hard copy of a PO.</t>
  </si>
  <si>
    <t xml:space="preserve">GE Vernova.  </t>
  </si>
  <si>
    <t>CM for Kodak. Demand is in NY. Trying to get Kodak more incentive to use us. Also, break in to other Mirian projects. Sold $16K in 2025.</t>
  </si>
  <si>
    <t>Wings to Catapillar. Place holder. Morey is doing the buying right now.</t>
  </si>
  <si>
    <t>Just got approved with their repairs division to get into other Bus.</t>
  </si>
  <si>
    <t xml:space="preserve">Smaller potential. Purchased by Emerald (bigger potential). Were not able to find stock with the RFQs we received. </t>
  </si>
  <si>
    <t>Working to schedule an Audit in Austin. Focus is to sell franchise lines. Mark had a good relationship with Dave (obsolete engineer).</t>
  </si>
  <si>
    <t>$3.3K inv 2025. Continue to try and gain interest with Buyer. Continue to keep on Watch List for now.</t>
  </si>
  <si>
    <t>Have good relationships with the Buyers in AZ. Hoping Mike can get in with Claudia. New PM. Build for Raytheon, and others. Work to get a few RFQs and CQs.</t>
  </si>
  <si>
    <t>CM for Kodak, overseas.</t>
  </si>
  <si>
    <t>CM Ontic.</t>
  </si>
  <si>
    <t>Q2 26 GP Target</t>
  </si>
  <si>
    <t>GP Goal Q2 2026</t>
  </si>
  <si>
    <t>Q2 2026</t>
  </si>
  <si>
    <t>Q1 2026 Notes</t>
  </si>
  <si>
    <t>Scheduled GP Q2 26</t>
  </si>
  <si>
    <t>Crane Aerospace &amp; Electronics</t>
  </si>
  <si>
    <t>Foxconn</t>
  </si>
  <si>
    <t xml:space="preserve">General Motors </t>
  </si>
  <si>
    <t>Projects Unlimited Inc.</t>
  </si>
  <si>
    <t>S&amp;B Industry, Inc.</t>
  </si>
  <si>
    <t>Scheduled GP as of 4/08/26</t>
  </si>
  <si>
    <t>New</t>
  </si>
  <si>
    <t>Contact Activity Bpartner Name</t>
  </si>
  <si>
    <t>Count</t>
  </si>
  <si>
    <t>Rfq Bpartner Name</t>
  </si>
  <si>
    <t>Advanced Manufacturing Corporation (Penang) Sdn Bhd</t>
  </si>
  <si>
    <t>Mensor LP</t>
  </si>
  <si>
    <t>RFQ</t>
  </si>
  <si>
    <t>CQ</t>
  </si>
  <si>
    <t>SOLD</t>
  </si>
  <si>
    <t>Customer Name</t>
  </si>
  <si>
    <t>Revenue</t>
  </si>
  <si>
    <t>GP</t>
  </si>
  <si>
    <t>GM%</t>
  </si>
  <si>
    <t>INV Line Count</t>
  </si>
  <si>
    <t>GP per Line Count</t>
  </si>
  <si>
    <t>GE Medical Systems Information Technologies, Inc</t>
  </si>
  <si>
    <t>EASTMAN KODAK COMPANY</t>
  </si>
  <si>
    <t>S&amp;B INDUSTRY, INC</t>
  </si>
  <si>
    <t>IMP Group International Inc</t>
  </si>
  <si>
    <t>Peraton - USPS Central Repair Facility</t>
  </si>
  <si>
    <t>Swarco McCain, Inc.</t>
  </si>
  <si>
    <t>Invoiced Sales</t>
  </si>
  <si>
    <t>CO ISE</t>
  </si>
  <si>
    <t>Dist Cust Booked</t>
  </si>
  <si>
    <t>CO Number Count</t>
  </si>
  <si>
    <t>AVG BK GP</t>
  </si>
  <si>
    <t>aaromend</t>
  </si>
  <si>
    <t>Alstom Transport Canada Inc</t>
  </si>
  <si>
    <t>Alstom Transport Canada Inc.</t>
  </si>
  <si>
    <t>Booked Sales</t>
  </si>
  <si>
    <t>Q2 2026 Strategy</t>
  </si>
  <si>
    <t>Working to get setup as a supplier on record for many lines. Starting to see some rebuys. One key champion working with it.</t>
  </si>
  <si>
    <t xml:space="preserve">Visted in March and met the whole team. New order for $600 today. Repair. Second site, able to use refrubs. Quick feedback. </t>
  </si>
  <si>
    <t xml:space="preserve">Liz visiting CA in May, pushing for a meeting. </t>
  </si>
  <si>
    <t>Now based on suppliers, Lily is our main point of contact. UK has good business with them. Liz working to meet with them in May.</t>
  </si>
  <si>
    <t>Account Review - Q1 2026 - Aaron M.pptx</t>
  </si>
  <si>
    <t>Work lists for Morey. Buyer just told Aaron to stop reaching out, 1-2X a week is too much. Sending proactive offers. Keep reach outs exactly for what they need. Fell behind on two invoices, accounting is current now. N120. Just visited them in March. Astute can do quality in-house. Jason is overwhlemed. Cost savings is not as urgent, more urgent is making sure they have what they need first. Asked for last look.</t>
  </si>
  <si>
    <t>Transferred from Josh S. Bell Flight directed. First order is not going well.</t>
  </si>
  <si>
    <t>Working to get them on the phone more. Expect things to pick up in summer. Also related to GE MDS. Providing good feedback.</t>
  </si>
  <si>
    <t>Big focus for Q2. Working to get a BOM. Supposted to be getting close to needing to buy. Dayton &amp; Rochester.</t>
  </si>
  <si>
    <t>Hit or miss. Recently quoted memory, but bought directly with franchise. Work with several CMs.Stay in fromt of them until they ar ready to buy.</t>
  </si>
  <si>
    <t>When the time is right, consider a site visit. Working with the obsolete team. Located in Dallas. Able to schedule a lunch?</t>
  </si>
  <si>
    <t>Keep</t>
  </si>
  <si>
    <t>DROP</t>
  </si>
  <si>
    <t>DROP - CM for SnapOn</t>
  </si>
  <si>
    <t>DROP - LP</t>
  </si>
  <si>
    <t>DROP - Potential but not interested in adding another broker at this time.</t>
  </si>
  <si>
    <t>DROP - Shutting down at the end of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</si>
</sst>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quot;$&quot;* #,##0_);_(&quot;$&quot;* \(#,##0\);_(&quot;$&quot;* &quot;-&quot;??_);_(@_)"/>
    <numFmt numFmtId="165" formatCode="\$#,##0.00;\(\$#,##0.00\);\$#,##0.00"/>
    <numFmt numFmtId="166" formatCode="0.00%;\-0.00%;0.00%"/>
    <numFmt numFmtId="167" formatCode="\$#,##0;\(\$#,##0\);\$#,##0"/>
    <numFmt numFmtId="168" formatCode="&quot;$&quot;#,##0.00"/>
  </numFmts>
  <fonts count="16">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i/>
      <sz val="11"/>
      <color theme="1"/>
      <name val="Aptos Narrow"/>
      <family val="2"/>
      <scheme val="minor"/>
    </font>
    <font>
      <b/>
      <sz val="11"/>
      <name val="Aptos Narrow"/>
      <family val="2"/>
      <scheme val="minor"/>
    </font>
    <font>
      <strike/>
      <sz val="11"/>
      <name val="Aptos Narrow"/>
      <family val="2"/>
      <scheme val="minor"/>
    </font>
    <font>
      <b/>
      <sz val="11"/>
      <color theme="6" tint="0.39997558519241921"/>
      <name val="Aptos Narrow"/>
      <family val="2"/>
      <scheme val="minor"/>
    </font>
    <font>
      <b/>
      <sz val="11"/>
      <color rgb="FFFF0000"/>
      <name val="Aptos Narrow"/>
      <family val="2"/>
      <scheme val="minor"/>
    </font>
    <font>
      <sz val="11"/>
      <name val="Aptos Narrow"/>
      <family val="2"/>
    </font>
    <font>
      <sz val="11"/>
      <name val="Aptos Narrow"/>
    </font>
    <font>
      <sz val="11"/>
      <color indexed="8"/>
      <name val="Aptos Narrow"/>
      <family val="2"/>
      <scheme val="minor"/>
    </font>
    <font>
      <sz val="11"/>
      <color rgb="FF9C5700"/>
      <name val="Aptos Narrow"/>
      <family val="2"/>
      <scheme val="minor"/>
    </font>
    <font>
      <b/>
      <sz val="11"/>
      <name val="Aptos Narrow"/>
    </font>
  </fonts>
  <fills count="13">
    <fill>
      <patternFill patternType="none"/>
    </fill>
    <fill>
      <patternFill patternType="gray125"/>
    </fill>
    <fill>
      <patternFill patternType="solid">
        <fgColor theme="2" tint="-0.249977111117893"/>
        <bgColor indexed="64"/>
      </patternFill>
    </fill>
    <fill>
      <patternFill patternType="solid">
        <fgColor rgb="FFF58220"/>
        <bgColor indexed="64"/>
      </patternFill>
    </fill>
    <fill>
      <patternFill patternType="solid">
        <fgColor theme="5" tint="0.79998168889431442"/>
        <bgColor indexed="64"/>
      </patternFill>
    </fill>
    <fill>
      <patternFill patternType="solid">
        <fgColor theme="0"/>
        <bgColor indexed="64"/>
      </patternFill>
    </fill>
    <fill>
      <patternFill patternType="solid">
        <fgColor rgb="FF3EC2CF"/>
        <bgColor indexed="64"/>
      </patternFill>
    </fill>
    <fill>
      <patternFill patternType="solid">
        <fgColor rgb="FFFFFFCC"/>
        <bgColor indexed="64"/>
      </patternFill>
    </fill>
    <fill>
      <patternFill patternType="solid">
        <fgColor theme="8" tint="0.79998168889431442"/>
        <bgColor indexed="64"/>
      </patternFill>
    </fill>
    <fill>
      <patternFill patternType="solid">
        <fgColor rgb="FFFF0000"/>
        <bgColor indexed="64"/>
      </patternFill>
    </fill>
    <fill>
      <patternFill patternType="solid">
        <fgColor rgb="FFFFFF00"/>
        <bgColor indexed="64"/>
      </patternFill>
    </fill>
    <fill>
      <patternFill patternType="solid">
        <fgColor theme="3" tint="0.89999084444715716"/>
        <bgColor indexed="64"/>
      </patternFill>
    </fill>
    <fill>
      <patternFill patternType="solid">
        <fgColor rgb="FFFFEB9C"/>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xf numFmtId="0" fontId="12" fillId="0" borderId="0"/>
    <xf numFmtId="0" fontId="13" fillId="0" borderId="0"/>
    <xf numFmtId="0" fontId="14" fillId="12" borderId="0" applyNumberFormat="0" applyBorder="0" applyAlignment="0" applyProtection="0"/>
  </cellStyleXfs>
  <cellXfs count="140">
    <xf numFmtId="0" fontId="0" fillId="0" borderId="0" xfId="0"/>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0" borderId="1" xfId="0" applyFont="1" applyBorder="1" applyAlignment="1">
      <alignment vertical="center"/>
    </xf>
    <xf numFmtId="164" fontId="1" fillId="0" borderId="1" xfId="1" applyNumberFormat="1" applyFont="1" applyBorder="1" applyAlignment="1">
      <alignment horizontal="center" vertical="center"/>
    </xf>
    <xf numFmtId="164" fontId="5" fillId="0" borderId="1" xfId="1" applyNumberFormat="1" applyFont="1" applyBorder="1" applyAlignment="1">
      <alignment horizontal="center" vertical="center"/>
    </xf>
    <xf numFmtId="9" fontId="4" fillId="0" borderId="1" xfId="2" applyFont="1" applyBorder="1" applyAlignment="1">
      <alignment horizontal="center" vertical="center"/>
    </xf>
    <xf numFmtId="9" fontId="0" fillId="0" borderId="1" xfId="2" applyFont="1" applyBorder="1" applyAlignment="1">
      <alignment horizontal="center" vertical="center"/>
    </xf>
    <xf numFmtId="164" fontId="0" fillId="0" borderId="1" xfId="1" applyNumberFormat="1" applyFont="1" applyBorder="1" applyAlignment="1">
      <alignment horizontal="center" vertical="center"/>
    </xf>
    <xf numFmtId="0" fontId="6" fillId="4" borderId="1" xfId="0" applyFont="1" applyFill="1" applyBorder="1" applyAlignment="1">
      <alignment horizontal="center" vertical="center"/>
    </xf>
    <xf numFmtId="9" fontId="1" fillId="4" borderId="1" xfId="2" applyFont="1" applyFill="1" applyBorder="1" applyAlignment="1">
      <alignment horizontal="center" vertical="center"/>
    </xf>
    <xf numFmtId="9" fontId="0" fillId="0" borderId="1" xfId="2" applyFont="1" applyBorder="1" applyAlignment="1">
      <alignment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vertical="center"/>
    </xf>
    <xf numFmtId="0" fontId="7" fillId="6" borderId="1" xfId="0" applyFont="1" applyFill="1" applyBorder="1" applyAlignment="1">
      <alignment vertical="center"/>
    </xf>
    <xf numFmtId="44" fontId="0" fillId="0" borderId="1" xfId="1" applyFont="1" applyBorder="1" applyAlignment="1">
      <alignment horizontal="center" vertical="center"/>
    </xf>
    <xf numFmtId="9" fontId="1" fillId="0" borderId="1" xfId="2" applyFont="1" applyFill="1" applyBorder="1" applyAlignment="1">
      <alignment horizontal="center" vertical="center"/>
    </xf>
    <xf numFmtId="164" fontId="0" fillId="0" borderId="1" xfId="1" applyNumberFormat="1" applyFont="1" applyFill="1" applyBorder="1" applyAlignment="1">
      <alignment horizontal="center" vertical="center"/>
    </xf>
    <xf numFmtId="164" fontId="0" fillId="7" borderId="1" xfId="1" applyNumberFormat="1" applyFont="1" applyFill="1" applyBorder="1" applyAlignment="1">
      <alignment horizontal="center" vertical="center"/>
    </xf>
    <xf numFmtId="164" fontId="5" fillId="7" borderId="1" xfId="1" applyNumberFormat="1" applyFont="1" applyFill="1" applyBorder="1" applyAlignment="1">
      <alignment horizontal="center" vertical="center"/>
    </xf>
    <xf numFmtId="9" fontId="1" fillId="7"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0" fillId="0" borderId="0" xfId="0" applyAlignment="1">
      <alignment vertical="center" wrapText="1"/>
    </xf>
    <xf numFmtId="0" fontId="5" fillId="0" borderId="1" xfId="0" applyFont="1" applyBorder="1" applyAlignment="1">
      <alignment vertical="center" wrapText="1"/>
    </xf>
    <xf numFmtId="10" fontId="0" fillId="0" borderId="1" xfId="2" applyNumberFormat="1" applyFont="1" applyBorder="1" applyAlignment="1">
      <alignment horizontal="center" vertical="center" wrapText="1"/>
    </xf>
    <xf numFmtId="164" fontId="0" fillId="0" borderId="1" xfId="1" applyNumberFormat="1" applyFont="1" applyBorder="1" applyAlignment="1">
      <alignment vertical="center"/>
    </xf>
    <xf numFmtId="2" fontId="0" fillId="0" borderId="1" xfId="0" applyNumberFormat="1"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164" fontId="0" fillId="0" borderId="1" xfId="1" applyNumberFormat="1" applyFont="1" applyBorder="1" applyAlignment="1">
      <alignment horizontal="center" vertical="center" wrapText="1"/>
    </xf>
    <xf numFmtId="0" fontId="0" fillId="0" borderId="1" xfId="0" applyBorder="1" applyAlignment="1">
      <alignment horizontal="left" vertical="center" wrapText="1"/>
    </xf>
    <xf numFmtId="0" fontId="5" fillId="4" borderId="1" xfId="0" applyFont="1" applyFill="1" applyBorder="1" applyAlignment="1">
      <alignment vertical="center" wrapText="1"/>
    </xf>
    <xf numFmtId="0" fontId="0" fillId="4" borderId="1" xfId="0" applyFill="1" applyBorder="1" applyAlignment="1">
      <alignment vertical="center" wrapText="1"/>
    </xf>
    <xf numFmtId="0" fontId="5" fillId="8" borderId="1" xfId="0" applyFont="1" applyFill="1" applyBorder="1" applyAlignment="1">
      <alignment vertical="center" wrapText="1"/>
    </xf>
    <xf numFmtId="0" fontId="8" fillId="9" borderId="1" xfId="0" applyFont="1" applyFill="1" applyBorder="1" applyAlignment="1">
      <alignment vertical="center" wrapText="1"/>
    </xf>
    <xf numFmtId="0" fontId="5" fillId="9" borderId="1" xfId="0" applyFont="1" applyFill="1" applyBorder="1" applyAlignment="1">
      <alignment vertical="center" wrapText="1"/>
    </xf>
    <xf numFmtId="0" fontId="0" fillId="9" borderId="1" xfId="0" applyFill="1" applyBorder="1" applyAlignment="1">
      <alignment vertical="center" wrapText="1"/>
    </xf>
    <xf numFmtId="0" fontId="0" fillId="7" borderId="1" xfId="0" applyFill="1" applyBorder="1" applyAlignment="1">
      <alignment horizontal="center" vertical="center" wrapText="1"/>
    </xf>
    <xf numFmtId="0" fontId="0" fillId="7" borderId="1" xfId="0" applyFill="1" applyBorder="1" applyAlignment="1">
      <alignment horizontal="center" vertical="center"/>
    </xf>
    <xf numFmtId="10" fontId="0" fillId="7" borderId="1" xfId="2" applyNumberFormat="1" applyFont="1" applyFill="1" applyBorder="1" applyAlignment="1">
      <alignment horizontal="center" vertical="center" wrapText="1"/>
    </xf>
    <xf numFmtId="164" fontId="0" fillId="7" borderId="1" xfId="0" applyNumberFormat="1" applyFill="1" applyBorder="1" applyAlignment="1">
      <alignment vertical="center"/>
    </xf>
    <xf numFmtId="2" fontId="0" fillId="7" borderId="1" xfId="2" applyNumberFormat="1" applyFont="1" applyFill="1" applyBorder="1" applyAlignment="1">
      <alignment horizontal="center" vertical="center" wrapText="1"/>
    </xf>
    <xf numFmtId="9" fontId="0" fillId="7" borderId="1" xfId="2" applyFont="1" applyFill="1" applyBorder="1" applyAlignment="1">
      <alignment horizontal="center" vertical="center" wrapText="1"/>
    </xf>
    <xf numFmtId="0" fontId="3" fillId="0" borderId="1" xfId="0" applyFont="1" applyBorder="1" applyAlignment="1">
      <alignment horizontal="center" vertical="center"/>
    </xf>
    <xf numFmtId="0" fontId="9" fillId="0" borderId="1" xfId="0" applyFont="1" applyBorder="1" applyAlignment="1">
      <alignment vertical="center"/>
    </xf>
    <xf numFmtId="0" fontId="0" fillId="0" borderId="1" xfId="0" applyBorder="1" applyAlignment="1">
      <alignment vertical="center"/>
    </xf>
    <xf numFmtId="44" fontId="0" fillId="0" borderId="1" xfId="1" applyFont="1" applyBorder="1" applyAlignment="1">
      <alignment vertical="center"/>
    </xf>
    <xf numFmtId="164" fontId="0" fillId="0" borderId="1" xfId="1" applyNumberFormat="1" applyFont="1" applyFill="1" applyBorder="1" applyAlignment="1">
      <alignment vertical="center"/>
    </xf>
    <xf numFmtId="0" fontId="10" fillId="10" borderId="1" xfId="0" applyFont="1" applyFill="1" applyBorder="1" applyAlignment="1">
      <alignment horizontal="center" vertical="center" wrapText="1"/>
    </xf>
    <xf numFmtId="164" fontId="0" fillId="0" borderId="1" xfId="1" applyNumberFormat="1" applyFont="1" applyBorder="1" applyAlignment="1">
      <alignment vertical="center" wrapText="1"/>
    </xf>
    <xf numFmtId="0" fontId="11" fillId="0" borderId="1" xfId="3" applyBorder="1"/>
    <xf numFmtId="0" fontId="5" fillId="11" borderId="1" xfId="0" applyFont="1" applyFill="1" applyBorder="1" applyAlignment="1">
      <alignment vertical="center" wrapText="1"/>
    </xf>
    <xf numFmtId="0" fontId="0" fillId="8" borderId="1" xfId="0" applyFill="1" applyBorder="1" applyAlignment="1">
      <alignment vertical="center" wrapText="1"/>
    </xf>
    <xf numFmtId="0" fontId="4" fillId="10" borderId="1" xfId="0" applyFont="1" applyFill="1" applyBorder="1"/>
    <xf numFmtId="164" fontId="4" fillId="10" borderId="1" xfId="0" applyNumberFormat="1" applyFont="1" applyFill="1" applyBorder="1"/>
    <xf numFmtId="164" fontId="0" fillId="0" borderId="0" xfId="1" applyNumberFormat="1" applyFont="1" applyBorder="1" applyAlignment="1">
      <alignment vertical="center"/>
    </xf>
    <xf numFmtId="0" fontId="0" fillId="0" borderId="1" xfId="0" applyBorder="1"/>
    <xf numFmtId="0" fontId="12" fillId="0" borderId="0" xfId="4"/>
    <xf numFmtId="164" fontId="0" fillId="0" borderId="0" xfId="0" applyNumberFormat="1" applyAlignment="1">
      <alignment vertical="center"/>
    </xf>
    <xf numFmtId="0" fontId="13" fillId="0" borderId="1" xfId="5" applyBorder="1"/>
    <xf numFmtId="0" fontId="0" fillId="0" borderId="0" xfId="0" applyAlignment="1">
      <alignment horizontal="right" vertical="center"/>
    </xf>
    <xf numFmtId="0" fontId="0" fillId="10" borderId="1" xfId="0" applyFill="1" applyBorder="1" applyAlignment="1">
      <alignment horizontal="center" vertical="center"/>
    </xf>
    <xf numFmtId="164" fontId="0" fillId="10" borderId="1" xfId="0" applyNumberFormat="1" applyFill="1" applyBorder="1" applyAlignment="1">
      <alignment vertical="center"/>
    </xf>
    <xf numFmtId="0" fontId="5" fillId="0" borderId="0" xfId="0" applyFont="1" applyAlignment="1">
      <alignment vertical="center" wrapText="1"/>
    </xf>
    <xf numFmtId="0" fontId="12" fillId="0" borderId="1" xfId="4" applyBorder="1"/>
    <xf numFmtId="164" fontId="0" fillId="0" borderId="1" xfId="1" applyNumberFormat="1" applyFont="1" applyBorder="1"/>
    <xf numFmtId="10" fontId="0" fillId="0" borderId="0" xfId="2" applyNumberFormat="1" applyFont="1" applyBorder="1" applyAlignment="1">
      <alignment horizontal="center" vertical="center" wrapText="1"/>
    </xf>
    <xf numFmtId="2" fontId="0" fillId="0" borderId="0" xfId="0" applyNumberFormat="1" applyAlignment="1">
      <alignment horizontal="center" vertical="center"/>
    </xf>
    <xf numFmtId="0" fontId="13" fillId="0" borderId="1" xfId="5" applyBorder="1" applyAlignment="1">
      <alignment vertical="center"/>
    </xf>
    <xf numFmtId="0" fontId="13" fillId="0" borderId="0" xfId="5"/>
    <xf numFmtId="164" fontId="14" fillId="12" borderId="1" xfId="6" applyNumberFormat="1" applyBorder="1" applyAlignment="1">
      <alignment vertical="center" wrapText="1"/>
    </xf>
    <xf numFmtId="3" fontId="0" fillId="0" borderId="0" xfId="0" applyNumberFormat="1"/>
    <xf numFmtId="3" fontId="13" fillId="0" borderId="0" xfId="5" applyNumberFormat="1"/>
    <xf numFmtId="0" fontId="0" fillId="0" borderId="5" xfId="0" applyBorder="1"/>
    <xf numFmtId="165" fontId="0" fillId="0" borderId="0" xfId="0" applyNumberFormat="1"/>
    <xf numFmtId="166" fontId="0" fillId="0" borderId="0" xfId="0" applyNumberFormat="1"/>
    <xf numFmtId="167" fontId="0" fillId="0" borderId="0" xfId="0" applyNumberFormat="1"/>
    <xf numFmtId="0" fontId="15" fillId="0" borderId="0" xfId="0" applyFont="1"/>
    <xf numFmtId="165" fontId="15" fillId="0" borderId="0" xfId="0" applyNumberFormat="1" applyFont="1"/>
    <xf numFmtId="166" fontId="15" fillId="0" borderId="0" xfId="0" applyNumberFormat="1" applyFont="1"/>
    <xf numFmtId="167" fontId="15" fillId="0" borderId="0" xfId="0" applyNumberFormat="1" applyFont="1"/>
    <xf numFmtId="0" fontId="15" fillId="0" borderId="0" xfId="4" applyFont="1"/>
    <xf numFmtId="0" fontId="12" fillId="0" borderId="5" xfId="4" applyBorder="1"/>
    <xf numFmtId="167" fontId="12" fillId="0" borderId="0" xfId="4" applyNumberFormat="1"/>
    <xf numFmtId="167" fontId="15" fillId="0" borderId="0" xfId="4" applyNumberFormat="1" applyFont="1"/>
    <xf numFmtId="164" fontId="0" fillId="7" borderId="1" xfId="1" applyNumberFormat="1" applyFont="1" applyFill="1" applyBorder="1" applyAlignment="1">
      <alignment vertical="center"/>
    </xf>
    <xf numFmtId="168" fontId="0" fillId="0" borderId="1" xfId="1" applyNumberFormat="1" applyFont="1" applyBorder="1" applyAlignment="1">
      <alignment vertical="center"/>
    </xf>
    <xf numFmtId="0" fontId="0" fillId="0" borderId="0" xfId="0" applyAlignment="1" applyProtection="1">
      <alignment vertical="center"/>
      <protection locked="0"/>
    </xf>
    <xf numFmtId="0" fontId="2" fillId="2" borderId="1" xfId="0" applyFont="1" applyFill="1" applyBorder="1" applyAlignment="1" applyProtection="1">
      <alignment horizontal="center" vertical="center" wrapText="1"/>
      <protection locked="0"/>
    </xf>
    <xf numFmtId="0" fontId="0" fillId="0" borderId="0" xfId="0" applyAlignment="1" applyProtection="1">
      <alignment vertical="center" wrapText="1"/>
      <protection locked="0"/>
    </xf>
    <xf numFmtId="0" fontId="5" fillId="0" borderId="1" xfId="0" applyFont="1" applyBorder="1" applyAlignment="1" applyProtection="1">
      <alignment horizontal="center" vertical="center"/>
      <protection locked="0"/>
    </xf>
    <xf numFmtId="0" fontId="13" fillId="0" borderId="1" xfId="5" applyBorder="1" applyAlignment="1" applyProtection="1">
      <alignment vertical="center"/>
      <protection locked="0"/>
    </xf>
    <xf numFmtId="0" fontId="0" fillId="0" borderId="2" xfId="0" applyBorder="1" applyAlignment="1" applyProtection="1">
      <alignment vertical="center" wrapText="1"/>
      <protection locked="0"/>
    </xf>
    <xf numFmtId="164" fontId="0" fillId="0" borderId="1" xfId="1" applyNumberFormat="1" applyFont="1" applyBorder="1" applyAlignment="1" applyProtection="1">
      <alignment vertical="center"/>
      <protection locked="0"/>
    </xf>
    <xf numFmtId="0" fontId="0" fillId="0" borderId="1" xfId="0" applyBorder="1" applyAlignment="1" applyProtection="1">
      <alignment vertical="center" wrapText="1"/>
      <protection locked="0"/>
    </xf>
    <xf numFmtId="0" fontId="0" fillId="0" borderId="0" xfId="0" applyProtection="1">
      <protection locked="0"/>
    </xf>
    <xf numFmtId="0" fontId="0" fillId="0" borderId="1" xfId="0" applyBorder="1" applyProtection="1">
      <protection locked="0"/>
    </xf>
    <xf numFmtId="0" fontId="5" fillId="0" borderId="1" xfId="0" applyFont="1" applyBorder="1" applyAlignment="1" applyProtection="1">
      <alignment vertical="center" wrapText="1"/>
      <protection locked="0"/>
    </xf>
    <xf numFmtId="0" fontId="0" fillId="7" borderId="1" xfId="0" applyFill="1" applyBorder="1" applyAlignment="1" applyProtection="1">
      <alignment horizontal="center" vertical="center"/>
      <protection locked="0"/>
    </xf>
    <xf numFmtId="0" fontId="0" fillId="7" borderId="1" xfId="0" applyFill="1" applyBorder="1" applyAlignment="1" applyProtection="1">
      <alignment horizontal="center" vertical="center" wrapText="1"/>
      <protection locked="0"/>
    </xf>
    <xf numFmtId="164" fontId="0" fillId="7" borderId="1" xfId="0" applyNumberFormat="1" applyFill="1" applyBorder="1" applyAlignment="1" applyProtection="1">
      <alignment vertical="center"/>
      <protection locked="0"/>
    </xf>
    <xf numFmtId="0" fontId="3" fillId="0" borderId="1" xfId="0" applyFont="1" applyBorder="1" applyAlignment="1" applyProtection="1">
      <alignment horizontal="center" vertical="center"/>
      <protection locked="0"/>
    </xf>
    <xf numFmtId="0" fontId="0" fillId="0" borderId="1" xfId="0" applyBorder="1" applyAlignment="1" applyProtection="1">
      <alignment vertical="center"/>
      <protection locked="0"/>
    </xf>
    <xf numFmtId="0" fontId="13" fillId="0" borderId="1" xfId="5" applyBorder="1" applyProtection="1">
      <protection locked="0"/>
    </xf>
    <xf numFmtId="0" fontId="0" fillId="0" borderId="0" xfId="0" applyAlignment="1" applyProtection="1">
      <alignment horizontal="right" vertical="center"/>
      <protection locked="0"/>
    </xf>
    <xf numFmtId="164" fontId="0" fillId="10" borderId="1" xfId="0" applyNumberFormat="1" applyFill="1" applyBorder="1" applyAlignment="1" applyProtection="1">
      <alignment vertical="center"/>
      <protection locked="0"/>
    </xf>
    <xf numFmtId="0" fontId="12" fillId="0" borderId="0" xfId="4" applyProtection="1">
      <protection locked="0"/>
    </xf>
    <xf numFmtId="0" fontId="0" fillId="0" borderId="0" xfId="0" applyAlignment="1" applyProtection="1">
      <alignment horizontal="center" vertical="center"/>
      <protection locked="0"/>
    </xf>
    <xf numFmtId="10" fontId="0" fillId="0" borderId="1" xfId="2" applyNumberFormat="1" applyFont="1" applyBorder="1" applyAlignment="1" applyProtection="1">
      <alignment horizontal="center" vertical="center" wrapText="1"/>
    </xf>
    <xf numFmtId="164" fontId="0" fillId="0" borderId="1" xfId="1" applyNumberFormat="1" applyFont="1" applyBorder="1" applyAlignment="1" applyProtection="1">
      <alignment vertical="center"/>
    </xf>
    <xf numFmtId="9" fontId="0" fillId="0" borderId="1" xfId="2" applyFont="1" applyBorder="1" applyAlignment="1" applyProtection="1">
      <alignment horizontal="center" vertical="center"/>
    </xf>
    <xf numFmtId="164" fontId="0" fillId="0" borderId="1" xfId="1" applyNumberFormat="1" applyFont="1" applyBorder="1" applyAlignment="1" applyProtection="1">
      <alignment vertical="center" wrapText="1"/>
    </xf>
    <xf numFmtId="9" fontId="0" fillId="7" borderId="1" xfId="2" applyFont="1" applyFill="1" applyBorder="1" applyAlignment="1" applyProtection="1">
      <alignment horizontal="center" vertical="center" wrapText="1"/>
    </xf>
    <xf numFmtId="10" fontId="0" fillId="0" borderId="0" xfId="2" applyNumberFormat="1" applyFont="1" applyBorder="1" applyAlignment="1" applyProtection="1">
      <alignment horizontal="center" vertical="center" wrapText="1"/>
    </xf>
    <xf numFmtId="0" fontId="0" fillId="0" borderId="2" xfId="0" applyBorder="1" applyAlignment="1" applyProtection="1">
      <alignment vertical="center"/>
      <protection locked="0"/>
    </xf>
    <xf numFmtId="164" fontId="0" fillId="0" borderId="0" xfId="1" applyNumberFormat="1" applyFont="1" applyBorder="1" applyAlignment="1" applyProtection="1">
      <alignment vertical="center"/>
    </xf>
    <xf numFmtId="167" fontId="0" fillId="0" borderId="1" xfId="0" applyNumberFormat="1" applyBorder="1" applyAlignment="1">
      <alignment vertical="center"/>
    </xf>
    <xf numFmtId="0" fontId="5" fillId="0" borderId="0" xfId="0" applyFont="1" applyAlignment="1" applyProtection="1">
      <alignment vertical="center" wrapText="1"/>
      <protection locked="0"/>
    </xf>
    <xf numFmtId="0" fontId="12" fillId="0" borderId="1" xfId="4" applyBorder="1" applyAlignment="1" applyProtection="1">
      <alignment vertical="center"/>
      <protection locked="0"/>
    </xf>
    <xf numFmtId="0" fontId="2" fillId="3" borderId="2" xfId="0" applyFont="1" applyFill="1" applyBorder="1" applyAlignment="1" applyProtection="1">
      <alignment horizontal="center" vertical="center"/>
      <protection locked="0"/>
    </xf>
    <xf numFmtId="0" fontId="2" fillId="3" borderId="3" xfId="0" applyFont="1" applyFill="1" applyBorder="1" applyAlignment="1" applyProtection="1">
      <alignment horizontal="center" vertical="center"/>
      <protection locked="0"/>
    </xf>
    <xf numFmtId="0" fontId="2" fillId="3" borderId="4" xfId="0" applyFont="1" applyFill="1" applyBorder="1" applyAlignment="1" applyProtection="1">
      <alignment horizontal="center" vertical="center"/>
      <protection locked="0"/>
    </xf>
    <xf numFmtId="0" fontId="2" fillId="6" borderId="2" xfId="0" applyFont="1" applyFill="1" applyBorder="1" applyAlignment="1" applyProtection="1">
      <alignment horizontal="center" vertical="center"/>
      <protection locked="0"/>
    </xf>
    <xf numFmtId="0" fontId="2" fillId="6" borderId="3" xfId="0" applyFont="1" applyFill="1" applyBorder="1" applyAlignment="1" applyProtection="1">
      <alignment horizontal="center" vertical="center"/>
      <protection locked="0"/>
    </xf>
    <xf numFmtId="0" fontId="2" fillId="6" borderId="4" xfId="0" applyFont="1" applyFill="1" applyBorder="1" applyAlignment="1" applyProtection="1">
      <alignment horizontal="center" vertical="center"/>
      <protection locked="0"/>
    </xf>
    <xf numFmtId="0" fontId="0" fillId="0" borderId="0" xfId="0"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3" borderId="1" xfId="0" applyFont="1" applyFill="1" applyBorder="1" applyAlignment="1">
      <alignment horizontal="center" vertical="center"/>
    </xf>
    <xf numFmtId="0" fontId="2" fillId="6" borderId="1" xfId="0" applyFont="1" applyFill="1" applyBorder="1" applyAlignment="1">
      <alignment horizontal="center" vertical="center"/>
    </xf>
  </cellXfs>
  <cellStyles count="7">
    <cellStyle name="Currency" xfId="1" builtinId="4"/>
    <cellStyle name="Neutral" xfId="6" builtinId="28"/>
    <cellStyle name="Normal" xfId="0" builtinId="0"/>
    <cellStyle name="Normal 2" xfId="5" xr:uid="{34D69D6D-BC6E-4013-9927-3512BA326802}"/>
    <cellStyle name="Normal 3" xfId="3" xr:uid="{1808DCEA-E11A-452C-A7EE-9ACE0B8F043D}"/>
    <cellStyle name="Normal 4" xfId="4" xr:uid="{301A3842-542B-46EA-8E95-7A0159CF7F6C}"/>
    <cellStyle name="Percent" xfId="2" builtinId="5"/>
  </cellStyles>
  <dxfs count="60">
    <dxf>
      <font>
        <color rgb="FF9C0006"/>
      </font>
    </dxf>
    <dxf>
      <font>
        <color rgb="FF9C0006"/>
      </font>
    </dxf>
    <dxf>
      <font>
        <color theme="9" tint="-0.24994659260841701"/>
      </font>
    </dxf>
    <dxf>
      <font>
        <color rgb="FF9C0006"/>
      </font>
      <fill>
        <patternFill>
          <bgColor rgb="FFFFC7CE"/>
        </patternFill>
      </fill>
    </dxf>
    <dxf>
      <font>
        <color rgb="FF006100"/>
      </font>
      <fill>
        <patternFill>
          <bgColor rgb="FFC6EFCE"/>
        </patternFill>
      </fill>
    </dxf>
    <dxf>
      <font>
        <color rgb="FF9C0006"/>
      </font>
    </dxf>
    <dxf>
      <font>
        <color theme="9" tint="-0.24994659260841701"/>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theme="9" tint="-0.24994659260841701"/>
      </font>
    </dxf>
    <dxf>
      <font>
        <color rgb="FF9C0006"/>
      </font>
    </dxf>
    <dxf>
      <font>
        <color theme="9" tint="-0.24994659260841701"/>
      </font>
    </dxf>
    <dxf>
      <font>
        <color rgb="FF9C0006"/>
      </font>
    </dxf>
    <dxf>
      <font>
        <color theme="9" tint="-0.24994659260841701"/>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theme="9" tint="-0.24994659260841701"/>
      </font>
    </dxf>
    <dxf>
      <font>
        <color rgb="FF9C0006"/>
      </font>
    </dxf>
    <dxf>
      <font>
        <color theme="9" tint="-0.24994659260841701"/>
      </font>
    </dxf>
    <dxf>
      <font>
        <color rgb="FF9C0006"/>
      </font>
    </dxf>
    <dxf>
      <font>
        <color theme="9" tint="-0.24994659260841701"/>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patternType="none">
          <fgColor indexed="64"/>
          <bgColor indexed="65"/>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13B6-4139-492B-9871-03E9F1C215B9}">
  <sheetPr>
    <tabColor rgb="FF3EC2CF"/>
  </sheetPr>
  <dimension ref="A1:E57"/>
  <sheetViews>
    <sheetView showGridLines="0" zoomScaleNormal="100" workbookViewId="0">
      <pane ySplit="1" topLeftCell="A2" activePane="bottomLeft" state="frozen"/>
      <selection pane="bottomLeft" activeCell="A26" sqref="A26:XFD26"/>
    </sheetView>
  </sheetViews>
  <sheetFormatPr defaultRowHeight="14.4"/>
  <cols>
    <col min="1" max="1" width="37.5546875" customWidth="1"/>
    <col min="2" max="2" width="36.44140625" customWidth="1"/>
    <col min="3" max="3" width="17.33203125" customWidth="1"/>
    <col min="4" max="4" width="13.88671875" customWidth="1"/>
    <col min="5" max="5" width="23.44140625" customWidth="1"/>
  </cols>
  <sheetData>
    <row r="1" spans="1:5" ht="28.8">
      <c r="A1" s="27" t="s">
        <v>0</v>
      </c>
      <c r="B1" s="27" t="s">
        <v>155</v>
      </c>
      <c r="C1" s="27" t="s">
        <v>156</v>
      </c>
      <c r="D1" s="54" t="s">
        <v>152</v>
      </c>
      <c r="E1" s="27" t="s">
        <v>4</v>
      </c>
    </row>
    <row r="2" spans="1:5" s="4" customFormat="1">
      <c r="A2" s="74" t="s">
        <v>13</v>
      </c>
      <c r="B2" s="55"/>
      <c r="C2" s="92"/>
      <c r="D2" s="91"/>
      <c r="E2" s="33"/>
    </row>
    <row r="3" spans="1:5" s="4" customFormat="1">
      <c r="A3" s="74" t="s">
        <v>14</v>
      </c>
      <c r="B3" s="55"/>
      <c r="C3" s="92" t="s">
        <v>6</v>
      </c>
      <c r="D3" s="91"/>
      <c r="E3" s="33"/>
    </row>
    <row r="4" spans="1:5" s="4" customFormat="1">
      <c r="A4" s="74" t="s">
        <v>7</v>
      </c>
      <c r="B4" s="55"/>
      <c r="C4" s="92">
        <v>81075</v>
      </c>
      <c r="D4" s="91"/>
      <c r="E4" s="33"/>
    </row>
    <row r="5" spans="1:5" s="4" customFormat="1">
      <c r="A5" s="74" t="s">
        <v>16</v>
      </c>
      <c r="B5" s="55"/>
      <c r="C5" s="92" t="s">
        <v>6</v>
      </c>
      <c r="D5" s="91"/>
      <c r="E5" s="33"/>
    </row>
    <row r="6" spans="1:5" s="4" customFormat="1">
      <c r="A6" s="74" t="s">
        <v>15</v>
      </c>
      <c r="B6" s="55"/>
      <c r="C6" s="92" t="s">
        <v>6</v>
      </c>
      <c r="D6" s="91"/>
      <c r="E6" s="33"/>
    </row>
    <row r="7" spans="1:5" s="4" customFormat="1">
      <c r="A7" s="74" t="s">
        <v>18</v>
      </c>
      <c r="B7" s="55"/>
      <c r="C7" s="92" t="s">
        <v>6</v>
      </c>
      <c r="D7" s="91"/>
      <c r="E7" s="33"/>
    </row>
    <row r="8" spans="1:5" s="4" customFormat="1">
      <c r="A8" s="74" t="s">
        <v>17</v>
      </c>
      <c r="B8" s="55"/>
      <c r="C8" s="92" t="s">
        <v>6</v>
      </c>
      <c r="D8" s="91"/>
      <c r="E8" s="33"/>
    </row>
    <row r="9" spans="1:5" s="4" customFormat="1">
      <c r="A9" s="74" t="s">
        <v>157</v>
      </c>
      <c r="B9" s="55"/>
      <c r="C9" s="92" t="s">
        <v>6</v>
      </c>
      <c r="D9" s="91"/>
      <c r="E9" s="33"/>
    </row>
    <row r="10" spans="1:5" s="4" customFormat="1">
      <c r="A10" s="74" t="s">
        <v>9</v>
      </c>
      <c r="B10" s="55"/>
      <c r="C10" s="92" t="s">
        <v>6</v>
      </c>
      <c r="D10" s="91"/>
      <c r="E10" s="33"/>
    </row>
    <row r="11" spans="1:5" s="4" customFormat="1">
      <c r="A11" s="74" t="s">
        <v>19</v>
      </c>
      <c r="B11" s="55" t="s">
        <v>20</v>
      </c>
      <c r="C11" s="92" t="s">
        <v>6</v>
      </c>
      <c r="D11" s="91"/>
      <c r="E11" s="33"/>
    </row>
    <row r="12" spans="1:5" s="4" customFormat="1">
      <c r="A12" s="74" t="s">
        <v>158</v>
      </c>
      <c r="B12" s="55"/>
      <c r="C12" s="92" t="s">
        <v>6</v>
      </c>
      <c r="D12" s="91"/>
      <c r="E12" s="33"/>
    </row>
    <row r="13" spans="1:5" s="4" customFormat="1">
      <c r="A13" s="74" t="s">
        <v>21</v>
      </c>
      <c r="B13" s="55"/>
      <c r="C13" s="92" t="s">
        <v>6</v>
      </c>
      <c r="D13" s="91"/>
      <c r="E13" s="33"/>
    </row>
    <row r="14" spans="1:5" s="4" customFormat="1">
      <c r="A14" s="74" t="s">
        <v>22</v>
      </c>
      <c r="B14" s="55"/>
      <c r="C14" s="92" t="s">
        <v>6</v>
      </c>
      <c r="D14" s="91"/>
      <c r="E14" s="33"/>
    </row>
    <row r="15" spans="1:5" s="4" customFormat="1">
      <c r="A15" s="74" t="s">
        <v>23</v>
      </c>
      <c r="B15" s="55" t="s">
        <v>24</v>
      </c>
      <c r="C15" s="92" t="s">
        <v>6</v>
      </c>
      <c r="D15" s="91"/>
      <c r="E15" s="33"/>
    </row>
    <row r="16" spans="1:5" s="4" customFormat="1">
      <c r="A16" s="74" t="s">
        <v>25</v>
      </c>
      <c r="B16" s="55"/>
      <c r="C16" s="92" t="s">
        <v>6</v>
      </c>
      <c r="D16" s="91"/>
      <c r="E16" s="33"/>
    </row>
    <row r="17" spans="1:5" s="4" customFormat="1">
      <c r="A17" s="74" t="s">
        <v>159</v>
      </c>
      <c r="B17" s="55"/>
      <c r="C17" s="92" t="s">
        <v>6</v>
      </c>
      <c r="D17" s="91"/>
      <c r="E17" s="33"/>
    </row>
    <row r="18" spans="1:5" s="4" customFormat="1">
      <c r="A18" s="74" t="s">
        <v>26</v>
      </c>
      <c r="B18" s="55" t="s">
        <v>27</v>
      </c>
      <c r="C18" s="92" t="s">
        <v>6</v>
      </c>
      <c r="D18" s="91"/>
      <c r="E18" s="33"/>
    </row>
    <row r="19" spans="1:5" s="4" customFormat="1">
      <c r="A19" s="74" t="s">
        <v>28</v>
      </c>
      <c r="B19" s="55" t="s">
        <v>6</v>
      </c>
      <c r="C19" s="92" t="s">
        <v>6</v>
      </c>
      <c r="D19" s="91"/>
      <c r="E19" s="33"/>
    </row>
    <row r="20" spans="1:5" s="4" customFormat="1">
      <c r="A20" s="74" t="s">
        <v>11</v>
      </c>
      <c r="B20" s="55" t="s">
        <v>6</v>
      </c>
      <c r="C20" s="92" t="s">
        <v>6</v>
      </c>
      <c r="D20" s="91"/>
      <c r="E20" s="33"/>
    </row>
    <row r="21" spans="1:5" s="4" customFormat="1">
      <c r="A21" s="74" t="s">
        <v>29</v>
      </c>
      <c r="B21" s="55" t="s">
        <v>6</v>
      </c>
      <c r="C21" s="92" t="s">
        <v>6</v>
      </c>
      <c r="D21" s="91"/>
      <c r="E21" s="33"/>
    </row>
    <row r="22" spans="1:5" s="4" customFormat="1">
      <c r="A22" s="74" t="s">
        <v>160</v>
      </c>
      <c r="B22" s="55" t="s">
        <v>6</v>
      </c>
      <c r="C22" s="92">
        <v>9295</v>
      </c>
      <c r="D22" s="91"/>
      <c r="E22" s="33"/>
    </row>
    <row r="23" spans="1:5" s="4" customFormat="1">
      <c r="A23" s="74" t="s">
        <v>10</v>
      </c>
      <c r="B23" s="55" t="s">
        <v>6</v>
      </c>
      <c r="C23" s="92">
        <v>1291</v>
      </c>
      <c r="D23" s="91"/>
      <c r="E23" s="33"/>
    </row>
    <row r="24" spans="1:5" s="4" customFormat="1">
      <c r="A24" s="74" t="s">
        <v>161</v>
      </c>
      <c r="B24" s="55" t="s">
        <v>163</v>
      </c>
      <c r="C24" s="92" t="s">
        <v>6</v>
      </c>
      <c r="D24" s="91"/>
      <c r="E24" s="33"/>
    </row>
    <row r="25" spans="1:5" s="4" customFormat="1">
      <c r="A25" s="74" t="s">
        <v>30</v>
      </c>
      <c r="B25" s="55" t="s">
        <v>6</v>
      </c>
      <c r="C25" s="92" t="s">
        <v>6</v>
      </c>
      <c r="D25" s="91"/>
      <c r="E25" s="33"/>
    </row>
    <row r="26" spans="1:5" s="4" customFormat="1">
      <c r="A26" s="74" t="s">
        <v>31</v>
      </c>
      <c r="B26" s="76" t="s">
        <v>32</v>
      </c>
      <c r="C26" s="92" t="s">
        <v>6</v>
      </c>
      <c r="D26" s="91"/>
      <c r="E26" s="33"/>
    </row>
    <row r="27" spans="1:5" s="4" customFormat="1">
      <c r="A27" s="74" t="s">
        <v>5</v>
      </c>
      <c r="B27" s="55" t="s">
        <v>6</v>
      </c>
      <c r="C27" s="92" t="s">
        <v>6</v>
      </c>
      <c r="D27" s="91"/>
      <c r="E27" s="33"/>
    </row>
    <row r="29" spans="1:5">
      <c r="B29" s="59" t="s">
        <v>162</v>
      </c>
      <c r="C29" s="60">
        <f>SUM(C2:C27)</f>
        <v>91661</v>
      </c>
      <c r="D29" s="60">
        <f>SUM(D2:D27)</f>
        <v>0</v>
      </c>
    </row>
    <row r="30" spans="1:5">
      <c r="B30" s="59" t="s">
        <v>153</v>
      </c>
      <c r="C30" s="60">
        <v>120000</v>
      </c>
      <c r="D30" s="60">
        <f>D29-C30</f>
        <v>-120000</v>
      </c>
    </row>
    <row r="32" spans="1:5">
      <c r="A32" s="75"/>
    </row>
    <row r="33" spans="1:1">
      <c r="A33" s="75"/>
    </row>
    <row r="34" spans="1:1">
      <c r="A34" s="75"/>
    </row>
    <row r="35" spans="1:1">
      <c r="A35" s="75"/>
    </row>
    <row r="36" spans="1:1">
      <c r="A36" s="75"/>
    </row>
    <row r="37" spans="1:1">
      <c r="A37" s="75"/>
    </row>
    <row r="38" spans="1:1">
      <c r="A38" s="75"/>
    </row>
    <row r="39" spans="1:1">
      <c r="A39" s="75"/>
    </row>
    <row r="40" spans="1:1">
      <c r="A40" s="75"/>
    </row>
    <row r="41" spans="1:1">
      <c r="A41" s="75"/>
    </row>
    <row r="42" spans="1:1">
      <c r="A42" s="75"/>
    </row>
    <row r="43" spans="1:1">
      <c r="A43" s="75"/>
    </row>
    <row r="44" spans="1:1">
      <c r="A44" s="75"/>
    </row>
    <row r="45" spans="1:1">
      <c r="A45" s="75"/>
    </row>
    <row r="46" spans="1:1">
      <c r="A46" s="75"/>
    </row>
    <row r="47" spans="1:1">
      <c r="A47" s="75"/>
    </row>
    <row r="48" spans="1:1">
      <c r="A48" s="75"/>
    </row>
    <row r="49" spans="1:1">
      <c r="A49" s="75"/>
    </row>
    <row r="50" spans="1:1">
      <c r="A50" s="75"/>
    </row>
    <row r="51" spans="1:1">
      <c r="A51" s="75"/>
    </row>
    <row r="52" spans="1:1">
      <c r="A52" s="75"/>
    </row>
    <row r="53" spans="1:1">
      <c r="A53" s="75"/>
    </row>
    <row r="54" spans="1:1">
      <c r="A54" s="75"/>
    </row>
    <row r="55" spans="1:1">
      <c r="A55" s="75"/>
    </row>
    <row r="56" spans="1:1">
      <c r="A56" s="75"/>
    </row>
    <row r="57" spans="1:1">
      <c r="A57" s="75"/>
    </row>
  </sheetData>
  <autoFilter ref="A1:E1" xr:uid="{832D13B6-4139-492B-9871-03E9F1C215B9}"/>
  <conditionalFormatting sqref="D30">
    <cfRule type="cellIs" dxfId="58" priority="1" operator="greaterThan">
      <formula>0</formula>
    </cfRule>
    <cfRule type="cellIs" dxfId="57"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669C0-D61B-4CA9-8584-9DFAFF6C23F9}">
  <sheetPr>
    <tabColor rgb="FF3EC2CF"/>
  </sheetPr>
  <dimension ref="A1:Q60"/>
  <sheetViews>
    <sheetView showGridLines="0" tabSelected="1" zoomScale="85" zoomScaleNormal="85" workbookViewId="0">
      <pane ySplit="2" topLeftCell="A25" activePane="bottomLeft" state="frozen"/>
      <selection pane="bottomLeft" activeCell="H56" sqref="H56"/>
    </sheetView>
  </sheetViews>
  <sheetFormatPr defaultColWidth="9.109375" defaultRowHeight="14.4" outlineLevelRow="1"/>
  <cols>
    <col min="1" max="1" width="12.5546875" style="93" bestFit="1" customWidth="1"/>
    <col min="2" max="2" width="39.5546875" style="93" customWidth="1"/>
    <col min="3" max="3" width="13.44140625" style="93" hidden="1" customWidth="1"/>
    <col min="4" max="4" width="11.33203125" style="113" customWidth="1"/>
    <col min="5" max="5" width="10.44140625" style="113" customWidth="1"/>
    <col min="6" max="6" width="9.44140625" style="93" customWidth="1"/>
    <col min="7" max="7" width="9" style="93" customWidth="1"/>
    <col min="8" max="8" width="10.88671875" style="93" customWidth="1"/>
    <col min="9" max="9" width="11.6640625" style="93" customWidth="1"/>
    <col min="10" max="10" width="14.88671875" style="93" bestFit="1" customWidth="1"/>
    <col min="11" max="11" width="9.6640625" style="93" customWidth="1"/>
    <col min="12" max="12" width="10" style="93" bestFit="1" customWidth="1"/>
    <col min="13" max="13" width="12.6640625" style="93" hidden="1" customWidth="1"/>
    <col min="14" max="14" width="45.88671875" style="93" customWidth="1"/>
    <col min="15" max="15" width="12.109375" style="93" customWidth="1"/>
    <col min="16" max="16" width="13.6640625" style="93" bestFit="1" customWidth="1"/>
    <col min="17" max="17" width="41.6640625" style="95" customWidth="1"/>
    <col min="18" max="16384" width="9.109375" style="93"/>
  </cols>
  <sheetData>
    <row r="1" spans="1:17">
      <c r="A1" s="125" t="s">
        <v>37</v>
      </c>
      <c r="B1" s="126"/>
      <c r="C1" s="126"/>
      <c r="D1" s="126"/>
      <c r="E1" s="126"/>
      <c r="F1" s="126"/>
      <c r="G1" s="126"/>
      <c r="H1" s="126"/>
      <c r="I1" s="126"/>
      <c r="J1" s="126"/>
      <c r="K1" s="126"/>
      <c r="L1" s="126"/>
      <c r="M1" s="126"/>
      <c r="N1" s="127"/>
      <c r="O1" s="128" t="s">
        <v>154</v>
      </c>
      <c r="P1" s="129"/>
      <c r="Q1" s="130"/>
    </row>
    <row r="2" spans="1:17" s="95" customFormat="1" ht="28.8">
      <c r="A2" s="94" t="s">
        <v>38</v>
      </c>
      <c r="B2" s="94" t="s">
        <v>0</v>
      </c>
      <c r="C2" s="94" t="s">
        <v>39</v>
      </c>
      <c r="D2" s="27" t="s">
        <v>40</v>
      </c>
      <c r="E2" s="27" t="s">
        <v>41</v>
      </c>
      <c r="F2" s="27" t="s">
        <v>42</v>
      </c>
      <c r="G2" s="27" t="s">
        <v>43</v>
      </c>
      <c r="H2" s="27" t="s">
        <v>44</v>
      </c>
      <c r="I2" s="27" t="s">
        <v>45</v>
      </c>
      <c r="J2" s="27" t="s">
        <v>46</v>
      </c>
      <c r="K2" s="27" t="s">
        <v>47</v>
      </c>
      <c r="L2" s="27" t="s">
        <v>48</v>
      </c>
      <c r="M2" s="27" t="s">
        <v>49</v>
      </c>
      <c r="N2" s="27" t="s">
        <v>155</v>
      </c>
      <c r="O2" s="94" t="s">
        <v>50</v>
      </c>
      <c r="P2" s="94" t="s">
        <v>51</v>
      </c>
      <c r="Q2" s="94" t="s">
        <v>193</v>
      </c>
    </row>
    <row r="3" spans="1:17" ht="43.2">
      <c r="A3" s="96" t="s">
        <v>53</v>
      </c>
      <c r="B3" s="97" t="s">
        <v>7</v>
      </c>
      <c r="C3" s="120" t="s">
        <v>54</v>
      </c>
      <c r="D3" s="16">
        <v>2</v>
      </c>
      <c r="E3" s="16">
        <v>2</v>
      </c>
      <c r="F3" s="16">
        <v>12</v>
      </c>
      <c r="G3" s="16">
        <v>18</v>
      </c>
      <c r="H3" s="16">
        <v>9</v>
      </c>
      <c r="I3" s="114">
        <f t="shared" ref="I3:I10" si="0">H3/G3</f>
        <v>0.5</v>
      </c>
      <c r="J3" s="122">
        <v>9036.0121999999992</v>
      </c>
      <c r="K3" s="115">
        <f>IFERROR(VLOOKUP(C3,'Q2 Data'!$P$3:$R$14,3,FALSE),"")</f>
        <v>6034.61</v>
      </c>
      <c r="L3" s="32">
        <f>J3/K3</f>
        <v>1.4973647344235999</v>
      </c>
      <c r="M3" s="116"/>
      <c r="N3" s="117" t="s">
        <v>132</v>
      </c>
      <c r="O3" s="99">
        <v>81075</v>
      </c>
      <c r="P3" s="99">
        <v>115000</v>
      </c>
      <c r="Q3" s="100" t="s">
        <v>194</v>
      </c>
    </row>
    <row r="4" spans="1:17" ht="43.2">
      <c r="A4" s="96" t="s">
        <v>53</v>
      </c>
      <c r="B4" s="97" t="s">
        <v>21</v>
      </c>
      <c r="C4" s="98"/>
      <c r="D4" s="16">
        <v>6</v>
      </c>
      <c r="E4" s="16">
        <v>12</v>
      </c>
      <c r="F4" s="16">
        <v>9</v>
      </c>
      <c r="G4" s="16">
        <v>4</v>
      </c>
      <c r="H4" s="16">
        <v>2</v>
      </c>
      <c r="I4" s="114">
        <f t="shared" si="0"/>
        <v>0.5</v>
      </c>
      <c r="J4" s="115" t="str">
        <f>IFERROR(VLOOKUP(C4,'Q2 Data'!$Y$3:$Z$12,2,FALSE),"")</f>
        <v/>
      </c>
      <c r="K4" s="115" t="str">
        <f>IFERROR(VLOOKUP(C4,'Q2 Data'!$P$3:$R$14,3,FALSE),"")</f>
        <v/>
      </c>
      <c r="L4" s="32"/>
      <c r="M4" s="116"/>
      <c r="N4" s="117" t="s">
        <v>145</v>
      </c>
      <c r="O4" s="99"/>
      <c r="P4" s="99">
        <v>10000</v>
      </c>
      <c r="Q4" s="100" t="s">
        <v>195</v>
      </c>
    </row>
    <row r="5" spans="1:17" ht="28.8">
      <c r="A5" s="96" t="s">
        <v>53</v>
      </c>
      <c r="B5" s="97" t="s">
        <v>10</v>
      </c>
      <c r="C5" s="93" t="s">
        <v>10</v>
      </c>
      <c r="D5" s="16">
        <v>2</v>
      </c>
      <c r="E5" s="16">
        <v>1</v>
      </c>
      <c r="F5" s="16">
        <v>10</v>
      </c>
      <c r="G5" s="16">
        <v>3</v>
      </c>
      <c r="H5" s="16">
        <v>2</v>
      </c>
      <c r="I5" s="114">
        <f t="shared" si="0"/>
        <v>0.66666666666666663</v>
      </c>
      <c r="J5" s="121">
        <f>IFERROR(VLOOKUP(C5,'Q2 Data'!$Y$3:$Z$12,2,FALSE),"")</f>
        <v>2013.95</v>
      </c>
      <c r="K5" s="115">
        <f>IFERROR(VLOOKUP(C5,'Q2 Data'!$P$3:$R$14,3,FALSE),"")</f>
        <v>1524.85</v>
      </c>
      <c r="L5" s="32">
        <f>J5/K5</f>
        <v>1.3207528609371415</v>
      </c>
      <c r="M5" s="116"/>
      <c r="N5" s="117" t="s">
        <v>134</v>
      </c>
      <c r="O5" s="99">
        <v>1291</v>
      </c>
      <c r="P5" s="99">
        <v>15000</v>
      </c>
      <c r="Q5" s="100" t="s">
        <v>196</v>
      </c>
    </row>
    <row r="6" spans="1:17" ht="129.6">
      <c r="A6" s="96" t="s">
        <v>53</v>
      </c>
      <c r="B6" s="97" t="s">
        <v>11</v>
      </c>
      <c r="C6" s="120" t="s">
        <v>55</v>
      </c>
      <c r="D6" s="16">
        <v>1</v>
      </c>
      <c r="E6" s="16">
        <v>15</v>
      </c>
      <c r="F6" s="16">
        <v>26</v>
      </c>
      <c r="G6" s="16">
        <v>4</v>
      </c>
      <c r="H6" s="16">
        <v>1</v>
      </c>
      <c r="I6" s="114">
        <f t="shared" si="0"/>
        <v>0.25</v>
      </c>
      <c r="J6" s="115">
        <f>IFERROR(VLOOKUP(C6,'Q2 Data'!$Y$3:$Z$12,2,FALSE),"")</f>
        <v>9374.4079999999994</v>
      </c>
      <c r="K6" s="115">
        <f>IFERROR(VLOOKUP(C6,'Q2 Data'!$P$3:$R$14,3,FALSE),"")</f>
        <v>0</v>
      </c>
      <c r="L6" s="32" t="e">
        <f>J6/K6</f>
        <v>#DIV/0!</v>
      </c>
      <c r="M6" s="116"/>
      <c r="N6" s="117" t="s">
        <v>135</v>
      </c>
      <c r="O6" s="99"/>
      <c r="P6" s="99">
        <v>15000</v>
      </c>
      <c r="Q6" s="100" t="s">
        <v>199</v>
      </c>
    </row>
    <row r="7" spans="1:17" ht="28.8">
      <c r="A7" s="96" t="s">
        <v>53</v>
      </c>
      <c r="B7" s="97" t="s">
        <v>160</v>
      </c>
      <c r="C7" s="120" t="s">
        <v>160</v>
      </c>
      <c r="D7" s="16">
        <v>3</v>
      </c>
      <c r="E7" s="16">
        <v>5</v>
      </c>
      <c r="F7" s="16">
        <v>4</v>
      </c>
      <c r="G7" s="16">
        <v>1</v>
      </c>
      <c r="H7" s="16">
        <v>1</v>
      </c>
      <c r="I7" s="114">
        <f t="shared" si="0"/>
        <v>1</v>
      </c>
      <c r="J7" s="115">
        <f>IFERROR(VLOOKUP(C7,'Q2 Data'!$Y$3:$Z$12,2,FALSE),"")</f>
        <v>9295.44</v>
      </c>
      <c r="K7" s="115" t="str">
        <f>IFERROR(VLOOKUP(C7,'Q2 Data'!$P$3:$R$14,3,FALSE),"")</f>
        <v/>
      </c>
      <c r="L7" s="32"/>
      <c r="M7" s="116"/>
      <c r="N7" s="117" t="s">
        <v>6</v>
      </c>
      <c r="O7" s="99">
        <v>9295</v>
      </c>
      <c r="P7" s="99">
        <v>15000</v>
      </c>
      <c r="Q7" s="100" t="s">
        <v>200</v>
      </c>
    </row>
    <row r="8" spans="1:17" ht="43.2">
      <c r="A8" s="96" t="s">
        <v>53</v>
      </c>
      <c r="B8" s="97" t="s">
        <v>22</v>
      </c>
      <c r="C8" s="120" t="s">
        <v>178</v>
      </c>
      <c r="D8" s="16">
        <v>1</v>
      </c>
      <c r="E8" s="16">
        <v>3</v>
      </c>
      <c r="F8" s="16">
        <v>3</v>
      </c>
      <c r="G8" s="16">
        <v>5</v>
      </c>
      <c r="H8" s="16">
        <v>0</v>
      </c>
      <c r="I8" s="114">
        <f t="shared" si="0"/>
        <v>0</v>
      </c>
      <c r="J8" s="115">
        <f>IFERROR(VLOOKUP(C8,'Q2 Data'!$Y$3:$Z$12,2,FALSE),"")</f>
        <v>1140</v>
      </c>
      <c r="K8" s="115">
        <f>IFERROR(VLOOKUP(C8,'Q2 Data'!$P$3:$R$14,3,FALSE),"")</f>
        <v>1117.8882000000001</v>
      </c>
      <c r="L8" s="32">
        <f>J8/K8</f>
        <v>1.0197799744196243</v>
      </c>
      <c r="M8" s="116"/>
      <c r="N8" s="117" t="s">
        <v>141</v>
      </c>
      <c r="O8" s="99"/>
      <c r="P8" s="99">
        <v>5000</v>
      </c>
      <c r="Q8" s="100" t="s">
        <v>201</v>
      </c>
    </row>
    <row r="9" spans="1:17" ht="72">
      <c r="A9" s="96" t="s">
        <v>53</v>
      </c>
      <c r="B9" s="97" t="s">
        <v>9</v>
      </c>
      <c r="C9" s="120" t="s">
        <v>179</v>
      </c>
      <c r="D9" s="16">
        <v>3</v>
      </c>
      <c r="E9" s="16">
        <v>5</v>
      </c>
      <c r="F9" s="16">
        <v>6</v>
      </c>
      <c r="G9" s="16">
        <v>4</v>
      </c>
      <c r="H9" s="16">
        <v>0</v>
      </c>
      <c r="I9" s="114">
        <f t="shared" si="0"/>
        <v>0</v>
      </c>
      <c r="J9" s="115" t="str">
        <f>IFERROR(VLOOKUP(C9,'Q2 Data'!$Y$3:$Z$12,2,FALSE),"")</f>
        <v/>
      </c>
      <c r="K9" s="115">
        <f>IFERROR(VLOOKUP(C9,'Q2 Data'!$P$3:$R$14,3,FALSE),"")</f>
        <v>800</v>
      </c>
      <c r="L9" s="32" t="e">
        <f>J9/K9</f>
        <v>#VALUE!</v>
      </c>
      <c r="M9" s="116"/>
      <c r="N9" s="117" t="s">
        <v>133</v>
      </c>
      <c r="O9" s="99"/>
      <c r="P9" s="99">
        <v>15000</v>
      </c>
      <c r="Q9" s="100" t="s">
        <v>202</v>
      </c>
    </row>
    <row r="10" spans="1:17" ht="57.6">
      <c r="A10" s="96" t="s">
        <v>53</v>
      </c>
      <c r="B10" s="97" t="s">
        <v>5</v>
      </c>
      <c r="C10" s="120" t="s">
        <v>68</v>
      </c>
      <c r="D10" s="16">
        <v>1</v>
      </c>
      <c r="E10" s="16">
        <v>3</v>
      </c>
      <c r="F10" s="16">
        <v>7</v>
      </c>
      <c r="G10" s="16">
        <v>2</v>
      </c>
      <c r="H10" s="16">
        <v>0</v>
      </c>
      <c r="I10" s="114">
        <f t="shared" si="0"/>
        <v>0</v>
      </c>
      <c r="J10" s="115" t="str">
        <f>IFERROR(VLOOKUP(C10,'Q2 Data'!$Y$3:$Z$12,2,FALSE),"")</f>
        <v/>
      </c>
      <c r="K10" s="115">
        <f>IFERROR(VLOOKUP(C10,'Q2 Data'!$P$3:$R$14,3,FALSE),"")</f>
        <v>19307.12</v>
      </c>
      <c r="L10" s="32" t="e">
        <f>J10/K10</f>
        <v>#VALUE!</v>
      </c>
      <c r="M10" s="116"/>
      <c r="N10" s="117" t="s">
        <v>131</v>
      </c>
      <c r="O10" s="99"/>
      <c r="P10" s="99">
        <f>VLOOKUP(B10,'GP Targets - Q2 2026'!$A:$D,4,FALSE)</f>
        <v>0</v>
      </c>
      <c r="Q10" s="100" t="s">
        <v>203</v>
      </c>
    </row>
    <row r="11" spans="1:17" ht="72">
      <c r="A11" s="96" t="s">
        <v>53</v>
      </c>
      <c r="B11" s="97" t="s">
        <v>29</v>
      </c>
      <c r="C11" s="103"/>
      <c r="D11" s="16">
        <v>1</v>
      </c>
      <c r="E11" s="16">
        <v>3</v>
      </c>
      <c r="F11" s="16">
        <v>6</v>
      </c>
      <c r="G11" s="16">
        <v>0</v>
      </c>
      <c r="H11" s="16">
        <v>0</v>
      </c>
      <c r="I11" s="114"/>
      <c r="J11" s="115" t="str">
        <f>IFERROR(VLOOKUP(C11,'Q2 Data'!$Y$3:$Z$12,2,FALSE),"")</f>
        <v/>
      </c>
      <c r="K11" s="115" t="str">
        <f>IFERROR(VLOOKUP(C11,'Q2 Data'!$P$3:$R$14,3,FALSE),"")</f>
        <v/>
      </c>
      <c r="L11" s="32"/>
      <c r="M11" s="116"/>
      <c r="N11" s="117" t="s">
        <v>136</v>
      </c>
      <c r="O11" s="99"/>
      <c r="P11" s="99">
        <f>VLOOKUP(B11,'GP Targets - Q2 2026'!$A:$D,4,FALSE)</f>
        <v>0</v>
      </c>
      <c r="Q11" s="100" t="s">
        <v>197</v>
      </c>
    </row>
    <row r="12" spans="1:17" ht="43.2">
      <c r="A12" s="96" t="s">
        <v>53</v>
      </c>
      <c r="B12" s="97" t="s">
        <v>15</v>
      </c>
      <c r="C12" s="100"/>
      <c r="D12" s="16">
        <v>2</v>
      </c>
      <c r="E12" s="16">
        <v>5</v>
      </c>
      <c r="F12" s="16">
        <v>2</v>
      </c>
      <c r="G12" s="16">
        <v>0</v>
      </c>
      <c r="H12" s="16">
        <v>0</v>
      </c>
      <c r="I12" s="114"/>
      <c r="J12" s="115" t="str">
        <f>IFERROR(VLOOKUP(C12,'Q2 Data'!$Y$3:$Z$12,2,FALSE),"")</f>
        <v/>
      </c>
      <c r="K12" s="115" t="str">
        <f>IFERROR(VLOOKUP(C12,'Q2 Data'!$P$3:$R$14,3,FALSE),"")</f>
        <v/>
      </c>
      <c r="L12" s="32"/>
      <c r="M12" s="116"/>
      <c r="N12" s="117" t="s">
        <v>147</v>
      </c>
      <c r="O12" s="99"/>
      <c r="P12" s="99">
        <f>VLOOKUP(B12,'GP Targets - Q2 2026'!$A:$D,4,FALSE)</f>
        <v>0</v>
      </c>
      <c r="Q12" s="100" t="s">
        <v>204</v>
      </c>
    </row>
    <row r="13" spans="1:17" ht="43.2">
      <c r="A13" s="96" t="s">
        <v>53</v>
      </c>
      <c r="B13" s="97" t="s">
        <v>17</v>
      </c>
      <c r="C13" s="103"/>
      <c r="D13" s="16">
        <v>6</v>
      </c>
      <c r="E13" s="16">
        <v>6</v>
      </c>
      <c r="F13" s="16">
        <v>1</v>
      </c>
      <c r="G13" s="16">
        <v>0</v>
      </c>
      <c r="H13" s="16">
        <v>0</v>
      </c>
      <c r="I13" s="114"/>
      <c r="J13" s="115" t="str">
        <f>IFERROR(VLOOKUP(C13,'Q2 Data'!$Y$3:$Z$12,2,FALSE),"")</f>
        <v/>
      </c>
      <c r="K13" s="115" t="str">
        <f>IFERROR(VLOOKUP(C13,'Q2 Data'!$P$3:$R$14,3,FALSE),"")</f>
        <v/>
      </c>
      <c r="L13" s="32"/>
      <c r="M13" s="116"/>
      <c r="N13" s="117" t="s">
        <v>138</v>
      </c>
      <c r="O13" s="99"/>
      <c r="P13" s="99">
        <f>VLOOKUP(B13,'GP Targets - Q2 2026'!$A:$D,4,FALSE)</f>
        <v>0</v>
      </c>
      <c r="Q13" s="100" t="s">
        <v>209</v>
      </c>
    </row>
    <row r="14" spans="1:17">
      <c r="A14" s="96" t="s">
        <v>53</v>
      </c>
      <c r="B14" s="97" t="s">
        <v>25</v>
      </c>
      <c r="C14" s="103"/>
      <c r="D14" s="16">
        <v>1</v>
      </c>
      <c r="E14" s="16">
        <v>7</v>
      </c>
      <c r="F14" s="16">
        <v>0</v>
      </c>
      <c r="G14" s="16">
        <v>0</v>
      </c>
      <c r="H14" s="16">
        <v>0</v>
      </c>
      <c r="I14" s="114"/>
      <c r="J14" s="115" t="str">
        <f>IFERROR(VLOOKUP(C14,'Q2 Data'!$Y$3:$Z$12,2,FALSE),"")</f>
        <v/>
      </c>
      <c r="K14" s="115" t="str">
        <f>IFERROR(VLOOKUP(C14,'Q2 Data'!$P$3:$R$14,3,FALSE),"")</f>
        <v/>
      </c>
      <c r="L14" s="32"/>
      <c r="M14" s="116"/>
      <c r="N14" s="117" t="s">
        <v>142</v>
      </c>
      <c r="O14" s="99"/>
      <c r="P14" s="99">
        <f>VLOOKUP(B14,'GP Targets - Q2 2026'!$A:$D,4,FALSE)</f>
        <v>0</v>
      </c>
      <c r="Q14" s="100"/>
    </row>
    <row r="15" spans="1:17" ht="28.8">
      <c r="A15" s="96" t="s">
        <v>53</v>
      </c>
      <c r="B15" s="97" t="s">
        <v>31</v>
      </c>
      <c r="C15" s="103"/>
      <c r="D15" s="16">
        <v>1</v>
      </c>
      <c r="E15" s="16">
        <v>6</v>
      </c>
      <c r="F15" s="16">
        <v>0</v>
      </c>
      <c r="G15" s="16">
        <v>0</v>
      </c>
      <c r="H15" s="16">
        <v>0</v>
      </c>
      <c r="I15" s="114"/>
      <c r="J15" s="115" t="str">
        <f>IFERROR(VLOOKUP(C15,'Q2 Data'!$Y$3:$Z$12,2,FALSE),"")</f>
        <v/>
      </c>
      <c r="K15" s="115" t="str">
        <f>IFERROR(VLOOKUP(C15,'Q2 Data'!$P$3:$R$14,3,FALSE),"")</f>
        <v/>
      </c>
      <c r="L15" s="32"/>
      <c r="M15" s="116"/>
      <c r="N15" s="117" t="s">
        <v>148</v>
      </c>
      <c r="O15" s="99"/>
      <c r="P15" s="99">
        <f>VLOOKUP(B15,'GP Targets - Q2 2026'!$A:$D,4,FALSE)</f>
        <v>0</v>
      </c>
      <c r="Q15" s="100" t="s">
        <v>205</v>
      </c>
    </row>
    <row r="16" spans="1:17">
      <c r="A16" s="96" t="s">
        <v>53</v>
      </c>
      <c r="B16" s="97" t="s">
        <v>161</v>
      </c>
      <c r="C16" s="108" t="s">
        <v>180</v>
      </c>
      <c r="D16" s="16">
        <v>1</v>
      </c>
      <c r="E16" s="16">
        <v>4</v>
      </c>
      <c r="F16" s="16">
        <v>0</v>
      </c>
      <c r="G16" s="16">
        <v>0</v>
      </c>
      <c r="H16" s="16">
        <v>0</v>
      </c>
      <c r="I16" s="114"/>
      <c r="J16" s="115">
        <f>IFERROR(VLOOKUP(C16,'Q2 Data'!$Y$3:$Z$12,2,FALSE),"")</f>
        <v>1056.8399999999999</v>
      </c>
      <c r="K16" s="115">
        <f>IFERROR(VLOOKUP(C16,'Q2 Data'!$P$3:$R$14,3,FALSE),"")</f>
        <v>522.04</v>
      </c>
      <c r="L16" s="32">
        <f>J16/K16</f>
        <v>2.0244425714504635</v>
      </c>
      <c r="M16" s="116"/>
      <c r="N16" s="117" t="s">
        <v>6</v>
      </c>
      <c r="O16" s="99"/>
      <c r="P16" s="99">
        <f>VLOOKUP(B16,'GP Targets - Q2 2026'!$A:$D,4,FALSE)</f>
        <v>0</v>
      </c>
      <c r="Q16" s="100"/>
    </row>
    <row r="17" spans="1:17" ht="43.2">
      <c r="A17" s="96" t="s">
        <v>53</v>
      </c>
      <c r="B17" s="97" t="s">
        <v>16</v>
      </c>
      <c r="C17" s="100"/>
      <c r="D17" s="16">
        <v>3</v>
      </c>
      <c r="E17" s="16">
        <v>3</v>
      </c>
      <c r="F17" s="16">
        <v>0</v>
      </c>
      <c r="G17" s="16">
        <v>0</v>
      </c>
      <c r="H17" s="16">
        <v>0</v>
      </c>
      <c r="I17" s="114"/>
      <c r="J17" s="115" t="str">
        <f>IFERROR(VLOOKUP(C17,'Q2 Data'!$Y$3:$Z$12,2,FALSE),"")</f>
        <v/>
      </c>
      <c r="K17" s="115" t="str">
        <f>IFERROR(VLOOKUP(C17,'Q2 Data'!$P$3:$R$14,3,FALSE),"")</f>
        <v/>
      </c>
      <c r="L17" s="32"/>
      <c r="M17" s="116"/>
      <c r="N17" s="117" t="s">
        <v>149</v>
      </c>
      <c r="O17" s="99"/>
      <c r="P17" s="99">
        <f>VLOOKUP(B17,'GP Targets - Q2 2026'!$A:$D,4,FALSE)</f>
        <v>0</v>
      </c>
      <c r="Q17" s="100" t="s">
        <v>210</v>
      </c>
    </row>
    <row r="18" spans="1:17" ht="43.2">
      <c r="A18" s="96" t="s">
        <v>53</v>
      </c>
      <c r="B18" s="97" t="s">
        <v>28</v>
      </c>
      <c r="C18" s="100"/>
      <c r="D18" s="16">
        <v>1</v>
      </c>
      <c r="E18" s="16">
        <v>2</v>
      </c>
      <c r="F18" s="16">
        <v>0</v>
      </c>
      <c r="G18" s="16">
        <v>0</v>
      </c>
      <c r="H18" s="16">
        <v>0</v>
      </c>
      <c r="I18" s="114"/>
      <c r="J18" s="115" t="str">
        <f>IFERROR(VLOOKUP(C18,'Q2 Data'!$Y$3:$Z$12,2,FALSE),"")</f>
        <v/>
      </c>
      <c r="K18" s="115" t="str">
        <f>IFERROR(VLOOKUP(C18,'Q2 Data'!$P$3:$R$14,3,FALSE),"")</f>
        <v/>
      </c>
      <c r="L18" s="32"/>
      <c r="M18" s="116"/>
      <c r="N18" s="117" t="s">
        <v>143</v>
      </c>
      <c r="O18" s="99"/>
      <c r="P18" s="99">
        <f>VLOOKUP(B18,'GP Targets - Q2 2026'!$A:$D,4,FALSE)</f>
        <v>0</v>
      </c>
      <c r="Q18" s="100"/>
    </row>
    <row r="19" spans="1:17">
      <c r="A19" s="96" t="s">
        <v>53</v>
      </c>
      <c r="B19" s="97" t="s">
        <v>19</v>
      </c>
      <c r="C19" s="103"/>
      <c r="D19" s="16">
        <v>2</v>
      </c>
      <c r="E19" s="16">
        <v>1</v>
      </c>
      <c r="F19" s="16">
        <v>0</v>
      </c>
      <c r="G19" s="16">
        <v>0</v>
      </c>
      <c r="H19" s="16">
        <v>0</v>
      </c>
      <c r="I19" s="114"/>
      <c r="J19" s="115" t="str">
        <f>IFERROR(VLOOKUP(C19,'Q2 Data'!$Y$3:$Z$12,2,FALSE),"")</f>
        <v/>
      </c>
      <c r="K19" s="115" t="str">
        <f>IFERROR(VLOOKUP(C19,'Q2 Data'!$P$3:$R$14,3,FALSE),"")</f>
        <v/>
      </c>
      <c r="L19" s="32"/>
      <c r="M19" s="116"/>
      <c r="N19" s="117">
        <v>0</v>
      </c>
      <c r="O19" s="99"/>
      <c r="P19" s="99">
        <f>VLOOKUP(B19,'GP Targets - Q2 2026'!$A:$D,4,FALSE)</f>
        <v>0</v>
      </c>
      <c r="Q19" s="100" t="s">
        <v>207</v>
      </c>
    </row>
    <row r="20" spans="1:17" ht="28.8">
      <c r="A20" s="96" t="s">
        <v>53</v>
      </c>
      <c r="B20" s="97" t="s">
        <v>13</v>
      </c>
      <c r="C20" s="100"/>
      <c r="D20" s="16">
        <v>1</v>
      </c>
      <c r="E20" s="16">
        <v>1</v>
      </c>
      <c r="F20" s="16">
        <v>0</v>
      </c>
      <c r="G20" s="16">
        <v>0</v>
      </c>
      <c r="H20" s="16">
        <v>0</v>
      </c>
      <c r="I20" s="114"/>
      <c r="J20" s="115" t="str">
        <f>IFERROR(VLOOKUP(C20,'Q2 Data'!$Y$3:$Z$12,2,FALSE),"")</f>
        <v/>
      </c>
      <c r="K20" s="115" t="str">
        <f>IFERROR(VLOOKUP(C20,'Q2 Data'!$P$3:$R$14,3,FALSE),"")</f>
        <v/>
      </c>
      <c r="L20" s="32"/>
      <c r="M20" s="116"/>
      <c r="N20" s="117" t="s">
        <v>137</v>
      </c>
      <c r="O20" s="99"/>
      <c r="P20" s="99">
        <f>VLOOKUP(B20,'GP Targets - Q2 2026'!$A:$D,4,FALSE)</f>
        <v>0</v>
      </c>
      <c r="Q20" s="100" t="s">
        <v>198</v>
      </c>
    </row>
    <row r="21" spans="1:17" ht="43.2">
      <c r="A21" s="96" t="s">
        <v>53</v>
      </c>
      <c r="B21" s="97" t="s">
        <v>30</v>
      </c>
      <c r="C21" s="103"/>
      <c r="D21" s="16">
        <v>1</v>
      </c>
      <c r="E21" s="16">
        <v>1</v>
      </c>
      <c r="F21" s="16">
        <v>0</v>
      </c>
      <c r="G21" s="16">
        <v>0</v>
      </c>
      <c r="H21" s="16">
        <v>0</v>
      </c>
      <c r="I21" s="114"/>
      <c r="J21" s="115" t="str">
        <f>IFERROR(VLOOKUP(C21,'Q2 Data'!$Y$3:$Z$12,2,FALSE),"")</f>
        <v/>
      </c>
      <c r="K21" s="115" t="str">
        <f>IFERROR(VLOOKUP(C21,'Q2 Data'!$P$3:$R$14,3,FALSE),"")</f>
        <v/>
      </c>
      <c r="L21" s="32"/>
      <c r="M21" s="116"/>
      <c r="N21" s="117" t="s">
        <v>146</v>
      </c>
      <c r="O21" s="99"/>
      <c r="P21" s="99">
        <f>VLOOKUP(B21,'GP Targets - Q2 2026'!$A:$D,4,FALSE)</f>
        <v>0</v>
      </c>
      <c r="Q21" s="100" t="s">
        <v>205</v>
      </c>
    </row>
    <row r="22" spans="1:17" ht="43.2">
      <c r="A22" s="96" t="s">
        <v>53</v>
      </c>
      <c r="B22" s="97" t="s">
        <v>14</v>
      </c>
      <c r="C22" s="124"/>
      <c r="D22" s="16">
        <v>8</v>
      </c>
      <c r="E22" s="16">
        <v>0</v>
      </c>
      <c r="F22" s="16">
        <v>0</v>
      </c>
      <c r="G22" s="16">
        <v>0</v>
      </c>
      <c r="H22" s="16">
        <v>0</v>
      </c>
      <c r="I22" s="114"/>
      <c r="J22" s="115" t="str">
        <f>IFERROR(VLOOKUP(C22,'Q2 Data'!$Y$3:$Z$12,2,FALSE),"")</f>
        <v/>
      </c>
      <c r="K22" s="115" t="str">
        <f>IFERROR(VLOOKUP(C22,'Q2 Data'!$P$3:$R$14,3,FALSE),"")</f>
        <v/>
      </c>
      <c r="L22" s="32"/>
      <c r="M22" s="116"/>
      <c r="N22" s="117" t="s">
        <v>140</v>
      </c>
      <c r="O22" s="99"/>
      <c r="P22" s="99">
        <f>VLOOKUP(B22,'GP Targets - Q2 2026'!$A:$D,4,FALSE)</f>
        <v>0</v>
      </c>
      <c r="Q22" s="100" t="s">
        <v>206</v>
      </c>
    </row>
    <row r="23" spans="1:17">
      <c r="A23" s="96" t="s">
        <v>53</v>
      </c>
      <c r="B23" s="97" t="s">
        <v>23</v>
      </c>
      <c r="C23" s="123"/>
      <c r="D23" s="16">
        <v>5</v>
      </c>
      <c r="E23" s="16">
        <v>0</v>
      </c>
      <c r="F23" s="16">
        <v>0</v>
      </c>
      <c r="G23" s="16">
        <v>0</v>
      </c>
      <c r="H23" s="16">
        <v>0</v>
      </c>
      <c r="I23" s="114"/>
      <c r="J23" s="115" t="str">
        <f>IFERROR(VLOOKUP(C23,'Q2 Data'!$Y$3:$Z$12,2,FALSE),"")</f>
        <v/>
      </c>
      <c r="K23" s="115" t="str">
        <f>IFERROR(VLOOKUP(C23,'Q2 Data'!$P$3:$R$14,3,FALSE),"")</f>
        <v/>
      </c>
      <c r="L23" s="32"/>
      <c r="M23" s="116"/>
      <c r="N23" s="117" t="s">
        <v>142</v>
      </c>
      <c r="O23" s="99"/>
      <c r="P23" s="99">
        <f>VLOOKUP(B23,'GP Targets - Q2 2026'!$A:$D,4,FALSE)</f>
        <v>0</v>
      </c>
      <c r="Q23" s="100"/>
    </row>
    <row r="24" spans="1:17">
      <c r="A24" s="96" t="s">
        <v>53</v>
      </c>
      <c r="B24" s="97" t="s">
        <v>158</v>
      </c>
      <c r="C24" s="103"/>
      <c r="D24" s="16">
        <v>3</v>
      </c>
      <c r="E24" s="16">
        <v>0</v>
      </c>
      <c r="F24" s="16">
        <v>0</v>
      </c>
      <c r="G24" s="16">
        <v>0</v>
      </c>
      <c r="H24" s="16">
        <v>0</v>
      </c>
      <c r="I24" s="114"/>
      <c r="J24" s="115" t="str">
        <f>IFERROR(VLOOKUP(C24,'Q2 Data'!$Y$3:$Z$12,2,FALSE),"")</f>
        <v/>
      </c>
      <c r="K24" s="115" t="str">
        <f>IFERROR(VLOOKUP(C24,'Q2 Data'!$P$3:$R$14,3,FALSE),"")</f>
        <v/>
      </c>
      <c r="L24" s="32"/>
      <c r="M24" s="116"/>
      <c r="N24" s="117" t="s">
        <v>6</v>
      </c>
      <c r="O24" s="99"/>
      <c r="P24" s="99">
        <f>VLOOKUP(B24,'GP Targets - Q2 2026'!$A:$D,4,FALSE)</f>
        <v>0</v>
      </c>
      <c r="Q24" s="100"/>
    </row>
    <row r="25" spans="1:17">
      <c r="A25" s="96" t="s">
        <v>53</v>
      </c>
      <c r="B25" s="97" t="s">
        <v>159</v>
      </c>
      <c r="C25" s="103"/>
      <c r="D25" s="16">
        <v>3</v>
      </c>
      <c r="E25" s="16">
        <v>0</v>
      </c>
      <c r="F25" s="16">
        <v>0</v>
      </c>
      <c r="G25" s="16">
        <v>0</v>
      </c>
      <c r="H25" s="16">
        <v>0</v>
      </c>
      <c r="I25" s="114"/>
      <c r="J25" s="115" t="str">
        <f>IFERROR(VLOOKUP(C25,'Q2 Data'!$Y$3:$Z$12,2,FALSE),"")</f>
        <v/>
      </c>
      <c r="K25" s="115" t="str">
        <f>IFERROR(VLOOKUP(C25,'Q2 Data'!$P$3:$R$14,3,FALSE),"")</f>
        <v/>
      </c>
      <c r="L25" s="32"/>
      <c r="M25" s="116"/>
      <c r="N25" s="117" t="s">
        <v>6</v>
      </c>
      <c r="O25" s="99"/>
      <c r="P25" s="99">
        <f>VLOOKUP(B25,'GP Targets - Q2 2026'!$A:$D,4,FALSE)</f>
        <v>0</v>
      </c>
      <c r="Q25" s="100"/>
    </row>
    <row r="26" spans="1:17">
      <c r="A26" s="96" t="s">
        <v>53</v>
      </c>
      <c r="B26" s="97" t="s">
        <v>157</v>
      </c>
      <c r="C26" s="103"/>
      <c r="D26" s="16">
        <v>2</v>
      </c>
      <c r="E26" s="16">
        <v>0</v>
      </c>
      <c r="F26" s="16">
        <v>0</v>
      </c>
      <c r="G26" s="16">
        <v>0</v>
      </c>
      <c r="H26" s="16">
        <v>0</v>
      </c>
      <c r="I26" s="114"/>
      <c r="J26" s="115" t="str">
        <f>IFERROR(VLOOKUP(C26,'Q2 Data'!$Y$3:$Z$12,2,FALSE),"")</f>
        <v/>
      </c>
      <c r="K26" s="115" t="str">
        <f>IFERROR(VLOOKUP(C26,'Q2 Data'!$P$3:$R$14,3,FALSE),"")</f>
        <v/>
      </c>
      <c r="L26" s="32"/>
      <c r="M26" s="116"/>
      <c r="N26" s="117" t="s">
        <v>6</v>
      </c>
      <c r="O26" s="99"/>
      <c r="P26" s="99">
        <f>VLOOKUP(B26,'GP Targets - Q2 2026'!$A:$D,4,FALSE)</f>
        <v>0</v>
      </c>
      <c r="Q26" s="100"/>
    </row>
    <row r="27" spans="1:17" ht="28.8">
      <c r="A27" s="96" t="s">
        <v>53</v>
      </c>
      <c r="B27" s="97" t="s">
        <v>18</v>
      </c>
      <c r="C27" s="103"/>
      <c r="D27" s="16">
        <v>1</v>
      </c>
      <c r="E27" s="16">
        <v>0</v>
      </c>
      <c r="F27" s="16">
        <v>0</v>
      </c>
      <c r="G27" s="16">
        <v>0</v>
      </c>
      <c r="H27" s="16">
        <v>0</v>
      </c>
      <c r="I27" s="114"/>
      <c r="J27" s="115" t="str">
        <f>IFERROR(VLOOKUP(C27,'Q2 Data'!$Y$3:$Z$12,2,FALSE),"")</f>
        <v/>
      </c>
      <c r="K27" s="115" t="str">
        <f>IFERROR(VLOOKUP(C27,'Q2 Data'!$P$3:$R$14,3,FALSE),"")</f>
        <v/>
      </c>
      <c r="L27" s="32"/>
      <c r="M27" s="116"/>
      <c r="N27" s="117" t="s">
        <v>144</v>
      </c>
      <c r="O27" s="99"/>
      <c r="P27" s="99">
        <f>VLOOKUP(B27,'GP Targets - Q2 2026'!$A:$D,4,FALSE)</f>
        <v>0</v>
      </c>
      <c r="Q27" s="100" t="s">
        <v>208</v>
      </c>
    </row>
    <row r="28" spans="1:17">
      <c r="A28" s="96" t="s">
        <v>53</v>
      </c>
      <c r="B28" s="97" t="s">
        <v>26</v>
      </c>
      <c r="C28" s="100"/>
      <c r="D28" s="16">
        <v>1</v>
      </c>
      <c r="E28" s="16">
        <v>0</v>
      </c>
      <c r="F28" s="16">
        <v>0</v>
      </c>
      <c r="G28" s="16">
        <v>0</v>
      </c>
      <c r="H28" s="16">
        <v>0</v>
      </c>
      <c r="I28" s="114"/>
      <c r="J28" s="115" t="str">
        <f>IFERROR(VLOOKUP(C28,'Q2 Data'!$Y$3:$Z$12,2,FALSE),"")</f>
        <v/>
      </c>
      <c r="K28" s="115" t="str">
        <f>IFERROR(VLOOKUP(C28,'Q2 Data'!$P$3:$R$14,3,FALSE),"")</f>
        <v/>
      </c>
      <c r="L28" s="32"/>
      <c r="M28" s="116"/>
      <c r="N28" s="117">
        <v>0</v>
      </c>
      <c r="O28" s="99"/>
      <c r="P28" s="99">
        <f>VLOOKUP(B28,'GP Targets - Q2 2026'!$A:$D,4,FALSE)</f>
        <v>0</v>
      </c>
      <c r="Q28" s="100" t="s">
        <v>208</v>
      </c>
    </row>
    <row r="29" spans="1:17">
      <c r="D29" s="3"/>
      <c r="E29" s="3"/>
      <c r="F29" s="4"/>
      <c r="G29" s="4"/>
      <c r="H29" s="4"/>
      <c r="I29" s="4"/>
      <c r="J29" s="4"/>
      <c r="K29" s="4"/>
      <c r="L29" s="4"/>
      <c r="M29" s="4"/>
      <c r="N29" s="4"/>
    </row>
    <row r="30" spans="1:17">
      <c r="A30" s="104"/>
      <c r="B30" s="105" t="s">
        <v>62</v>
      </c>
      <c r="C30" s="105"/>
      <c r="D30" s="44"/>
      <c r="E30" s="44">
        <f>SUM(E3:E28)</f>
        <v>85</v>
      </c>
      <c r="F30" s="44">
        <f>SUM(F3:F28)</f>
        <v>86</v>
      </c>
      <c r="G30" s="44">
        <f>SUM(G3:G28)</f>
        <v>41</v>
      </c>
      <c r="H30" s="44">
        <f>SUM(H3:H28)</f>
        <v>15</v>
      </c>
      <c r="I30" s="114">
        <f>IFERROR(H30/G30,"")</f>
        <v>0.36585365853658536</v>
      </c>
      <c r="J30" s="46">
        <f>SUM(J3:J28)</f>
        <v>31916.6502</v>
      </c>
      <c r="K30" s="46">
        <f>SUM(K3:K28)</f>
        <v>29306.508199999997</v>
      </c>
      <c r="L30" s="32">
        <f>IFERROR(J30/K30,"")</f>
        <v>1.0890635616562467</v>
      </c>
      <c r="M30" s="118" t="e">
        <f>K30/#REF!</f>
        <v>#REF!</v>
      </c>
      <c r="N30" s="64"/>
      <c r="O30" s="106">
        <f>SUM(O3:O28)</f>
        <v>91661</v>
      </c>
      <c r="P30" s="106">
        <f>SUM(P3:P28)</f>
        <v>190000</v>
      </c>
    </row>
    <row r="31" spans="1:17">
      <c r="D31" s="3"/>
      <c r="E31" s="3"/>
      <c r="F31" s="4"/>
      <c r="G31" s="4"/>
      <c r="H31" s="4"/>
      <c r="I31" s="4"/>
      <c r="J31" s="4"/>
      <c r="K31" s="4"/>
      <c r="L31" s="4"/>
      <c r="M31" s="4"/>
      <c r="N31" s="4"/>
    </row>
    <row r="32" spans="1:17" outlineLevel="1">
      <c r="A32" s="107" t="s">
        <v>63</v>
      </c>
      <c r="B32" s="102" t="s">
        <v>79</v>
      </c>
      <c r="C32" s="108"/>
      <c r="D32" s="16"/>
      <c r="E32" s="16">
        <f>IFERROR(VLOOKUP(B32,'Q2 Data'!A:B,2,FALSE),"0")</f>
        <v>1</v>
      </c>
      <c r="F32" s="16" t="str">
        <f>IFERROR(VLOOKUP(B32,'Q2 Data'!E:F,2,FALSE),"0")</f>
        <v>0</v>
      </c>
      <c r="G32" s="16" t="str">
        <f>IFERROR(VLOOKUP(B32,'Q2 Data'!I:J,2,FALSE),"0")</f>
        <v>0</v>
      </c>
      <c r="H32" s="16" t="str">
        <f>IFERROR(VLOOKUP(B32,'Q2 Data'!L:M,2,FALSE),"0")</f>
        <v>0</v>
      </c>
      <c r="I32" s="114" t="e">
        <f t="shared" ref="I32:I48" si="1">H32/G32</f>
        <v>#DIV/0!</v>
      </c>
      <c r="J32" s="115" t="str">
        <f>IFERROR(VLOOKUP(C32,'Q2 Data'!$Y$3:$Z$12,2,FALSE),"")</f>
        <v/>
      </c>
      <c r="K32" s="115" t="str">
        <f>IFERROR(VLOOKUP(C32,'Q2 Data'!$P$3:$R$14,3,FALSE),"")</f>
        <v/>
      </c>
      <c r="L32" s="32"/>
      <c r="M32" s="51"/>
      <c r="N32" s="117" t="str">
        <f>IFERROR(VLOOKUP(B32,'Aaron - Q1 2026'!$B$3:$Q$25,16,FALSE),"")</f>
        <v/>
      </c>
      <c r="O32" s="99"/>
      <c r="P32" s="99"/>
      <c r="Q32" s="100"/>
    </row>
    <row r="33" spans="1:17" outlineLevel="1">
      <c r="A33" s="107" t="s">
        <v>63</v>
      </c>
      <c r="B33" s="102" t="s">
        <v>74</v>
      </c>
      <c r="C33" s="108"/>
      <c r="D33" s="16"/>
      <c r="E33" s="16">
        <f>IFERROR(VLOOKUP(B33,'Q2 Data'!A:B,2,FALSE),"0")</f>
        <v>3</v>
      </c>
      <c r="F33" s="16">
        <f>IFERROR(VLOOKUP(B33,'Q2 Data'!E:F,2,FALSE),"0")</f>
        <v>10</v>
      </c>
      <c r="G33" s="16" t="str">
        <f>IFERROR(VLOOKUP(B33,'Q2 Data'!I:J,2,FALSE),"0")</f>
        <v>0</v>
      </c>
      <c r="H33" s="16" t="str">
        <f>IFERROR(VLOOKUP(B33,'Q2 Data'!L:M,2,FALSE),"0")</f>
        <v>0</v>
      </c>
      <c r="I33" s="114" t="e">
        <f t="shared" si="1"/>
        <v>#DIV/0!</v>
      </c>
      <c r="J33" s="115" t="str">
        <f>IFERROR(VLOOKUP(C33,'Q2 Data'!$Y$3:$Z$12,2,FALSE),"")</f>
        <v/>
      </c>
      <c r="K33" s="115" t="str">
        <f>IFERROR(VLOOKUP(C33,'Q2 Data'!$P$3:$R$14,3,FALSE),"")</f>
        <v/>
      </c>
      <c r="L33" s="32"/>
      <c r="M33" s="51"/>
      <c r="N33" s="117" t="str">
        <f>IFERROR(VLOOKUP(B33,'Aaron - Q1 2026'!$B$3:$Q$25,16,FALSE),"")</f>
        <v/>
      </c>
      <c r="O33" s="99"/>
      <c r="P33" s="99"/>
      <c r="Q33" s="100"/>
    </row>
    <row r="34" spans="1:17" outlineLevel="1">
      <c r="A34" s="107" t="s">
        <v>63</v>
      </c>
      <c r="B34" s="102" t="s">
        <v>80</v>
      </c>
      <c r="C34" s="108"/>
      <c r="D34" s="16"/>
      <c r="E34" s="16">
        <f>IFERROR(VLOOKUP(B34,'Q2 Data'!A:B,2,FALSE),"0")</f>
        <v>1</v>
      </c>
      <c r="F34" s="16" t="str">
        <f>IFERROR(VLOOKUP(B34,'Q2 Data'!E:F,2,FALSE),"0")</f>
        <v>0</v>
      </c>
      <c r="G34" s="16" t="str">
        <f>IFERROR(VLOOKUP(B34,'Q2 Data'!I:J,2,FALSE),"0")</f>
        <v>0</v>
      </c>
      <c r="H34" s="16" t="str">
        <f>IFERROR(VLOOKUP(B34,'Q2 Data'!L:M,2,FALSE),"0")</f>
        <v>0</v>
      </c>
      <c r="I34" s="114" t="e">
        <f t="shared" si="1"/>
        <v>#DIV/0!</v>
      </c>
      <c r="J34" s="115" t="str">
        <f>IFERROR(VLOOKUP(C34,'Q2 Data'!$Y$3:$Z$12,2,FALSE),"")</f>
        <v/>
      </c>
      <c r="K34" s="115" t="str">
        <f>IFERROR(VLOOKUP(C34,'Q2 Data'!$P$3:$R$14,3,FALSE),"")</f>
        <v/>
      </c>
      <c r="L34" s="32"/>
      <c r="M34" s="51"/>
      <c r="N34" s="117" t="str">
        <f>IFERROR(VLOOKUP(B34,'Aaron - Q1 2026'!$B$3:$Q$25,16,FALSE),"")</f>
        <v/>
      </c>
      <c r="O34" s="99"/>
      <c r="P34" s="99"/>
      <c r="Q34" s="100"/>
    </row>
    <row r="35" spans="1:17" outlineLevel="1">
      <c r="A35" s="107" t="s">
        <v>63</v>
      </c>
      <c r="B35" s="102" t="s">
        <v>111</v>
      </c>
      <c r="C35" s="101" t="s">
        <v>181</v>
      </c>
      <c r="D35" s="16"/>
      <c r="E35" s="16">
        <f>IFERROR(VLOOKUP(B35,'Q2 Data'!A:B,2,FALSE),"0")</f>
        <v>1</v>
      </c>
      <c r="F35" s="16">
        <f>IFERROR(VLOOKUP(B35,'Q2 Data'!E:F,2,FALSE),"0")</f>
        <v>1</v>
      </c>
      <c r="G35" s="16">
        <f>IFERROR(VLOOKUP(B35,'Q2 Data'!I:J,2,FALSE),"0")</f>
        <v>1</v>
      </c>
      <c r="H35" s="16" t="str">
        <f>IFERROR(VLOOKUP(B35,'Q2 Data'!L:M,2,FALSE),"0")</f>
        <v>0</v>
      </c>
      <c r="I35" s="114">
        <f t="shared" si="1"/>
        <v>0</v>
      </c>
      <c r="J35" s="115" t="str">
        <f>IFERROR(VLOOKUP(C35,'Q2 Data'!$Y$3:$Z$12,2,FALSE),"")</f>
        <v/>
      </c>
      <c r="K35" s="115">
        <f>IFERROR(VLOOKUP(C35,'Q2 Data'!$P$3:$R$14,3,FALSE),"")</f>
        <v>0</v>
      </c>
      <c r="L35" s="32"/>
      <c r="M35" s="51"/>
      <c r="N35" s="117" t="str">
        <f>IFERROR(VLOOKUP(B35,'Aaron - Q1 2026'!$B$3:$Q$25,16,FALSE),"")</f>
        <v/>
      </c>
      <c r="O35" s="99"/>
      <c r="P35" s="99"/>
      <c r="Q35" s="100"/>
    </row>
    <row r="36" spans="1:17" outlineLevel="1">
      <c r="A36" s="107" t="s">
        <v>63</v>
      </c>
      <c r="B36" s="102" t="s">
        <v>64</v>
      </c>
      <c r="C36" s="108"/>
      <c r="D36" s="16"/>
      <c r="E36" s="16">
        <f>IFERROR(VLOOKUP(B36,'Q2 Data'!A:B,2,FALSE),"0")</f>
        <v>1</v>
      </c>
      <c r="F36" s="16" t="str">
        <f>IFERROR(VLOOKUP(B36,'Q2 Data'!E:F,2,FALSE),"0")</f>
        <v>0</v>
      </c>
      <c r="G36" s="16" t="str">
        <f>IFERROR(VLOOKUP(B36,'Q2 Data'!I:J,2,FALSE),"0")</f>
        <v>0</v>
      </c>
      <c r="H36" s="16" t="str">
        <f>IFERROR(VLOOKUP(B36,'Q2 Data'!L:M,2,FALSE),"0")</f>
        <v>0</v>
      </c>
      <c r="I36" s="114" t="e">
        <f t="shared" si="1"/>
        <v>#DIV/0!</v>
      </c>
      <c r="J36" s="115" t="str">
        <f>IFERROR(VLOOKUP(C36,'Q2 Data'!$Y$3:$Z$12,2,FALSE),"")</f>
        <v/>
      </c>
      <c r="K36" s="115" t="str">
        <f>IFERROR(VLOOKUP(C36,'Q2 Data'!$P$3:$R$14,3,FALSE),"")</f>
        <v/>
      </c>
      <c r="L36" s="32"/>
      <c r="M36" s="51"/>
      <c r="N36" s="117" t="str">
        <f>IFERROR(VLOOKUP(B36,'Aaron - Q1 2026'!$B$3:$Q$25,16,FALSE),"")</f>
        <v/>
      </c>
      <c r="O36" s="99"/>
      <c r="P36" s="99"/>
      <c r="Q36" s="100"/>
    </row>
    <row r="37" spans="1:17" outlineLevel="1">
      <c r="A37" s="107" t="s">
        <v>63</v>
      </c>
      <c r="B37" s="102" t="s">
        <v>78</v>
      </c>
      <c r="C37" s="108"/>
      <c r="D37" s="16"/>
      <c r="E37" s="16">
        <f>IFERROR(VLOOKUP(B37,'Q2 Data'!A:B,2,FALSE),"0")</f>
        <v>0</v>
      </c>
      <c r="F37" s="16">
        <f>IFERROR(VLOOKUP(B37,'Q2 Data'!E:F,2,FALSE),"0")</f>
        <v>5</v>
      </c>
      <c r="G37" s="16">
        <f>IFERROR(VLOOKUP(B37,'Q2 Data'!I:J,2,FALSE),"0")</f>
        <v>2</v>
      </c>
      <c r="H37" s="16" t="str">
        <f>IFERROR(VLOOKUP(B37,'Q2 Data'!L:M,2,FALSE),"0")</f>
        <v>0</v>
      </c>
      <c r="I37" s="114">
        <f t="shared" si="1"/>
        <v>0</v>
      </c>
      <c r="J37" s="115" t="str">
        <f>IFERROR(VLOOKUP(C37,'Q2 Data'!$Y$3:$Z$12,2,FALSE),"")</f>
        <v/>
      </c>
      <c r="K37" s="115" t="str">
        <f>IFERROR(VLOOKUP(C37,'Q2 Data'!$P$3:$R$14,3,FALSE),"")</f>
        <v/>
      </c>
      <c r="L37" s="32"/>
      <c r="M37" s="51"/>
      <c r="N37" s="117" t="str">
        <f>IFERROR(VLOOKUP(B37,'Aaron - Q1 2026'!$B$3:$Q$25,16,FALSE),"")</f>
        <v/>
      </c>
      <c r="O37" s="99"/>
      <c r="P37" s="99"/>
      <c r="Q37" s="100"/>
    </row>
    <row r="38" spans="1:17" outlineLevel="1">
      <c r="A38" s="107" t="s">
        <v>63</v>
      </c>
      <c r="B38" s="102" t="s">
        <v>167</v>
      </c>
      <c r="C38" s="108"/>
      <c r="D38" s="16"/>
      <c r="E38" s="16">
        <f>IFERROR(VLOOKUP(B38,'Q2 Data'!A:B,2,FALSE),"0")</f>
        <v>0</v>
      </c>
      <c r="F38" s="16">
        <f>IFERROR(VLOOKUP(B38,'Q2 Data'!E:F,2,FALSE),"0")</f>
        <v>1</v>
      </c>
      <c r="G38" s="16">
        <f>IFERROR(VLOOKUP(B38,'Q2 Data'!I:J,2,FALSE),"0")</f>
        <v>2</v>
      </c>
      <c r="H38" s="16" t="str">
        <f>IFERROR(VLOOKUP(B38,'Q2 Data'!L:M,2,FALSE),"0")</f>
        <v>0</v>
      </c>
      <c r="I38" s="114">
        <f t="shared" si="1"/>
        <v>0</v>
      </c>
      <c r="J38" s="115" t="str">
        <f>IFERROR(VLOOKUP(C38,'Q2 Data'!$Y$3:$Z$12,2,FALSE),"")</f>
        <v/>
      </c>
      <c r="K38" s="115" t="str">
        <f>IFERROR(VLOOKUP(C38,'Q2 Data'!$P$3:$R$14,3,FALSE),"")</f>
        <v/>
      </c>
      <c r="L38" s="32"/>
      <c r="M38" s="51"/>
      <c r="N38" s="117" t="str">
        <f>IFERROR(VLOOKUP(B38,'Aaron - Q1 2026'!$B$3:$Q$25,16,FALSE),"")</f>
        <v/>
      </c>
      <c r="O38" s="99"/>
      <c r="P38" s="99"/>
      <c r="Q38" s="100"/>
    </row>
    <row r="39" spans="1:17" outlineLevel="1">
      <c r="A39" s="107" t="s">
        <v>63</v>
      </c>
      <c r="B39" s="102" t="s">
        <v>168</v>
      </c>
      <c r="C39" s="108"/>
      <c r="D39" s="16"/>
      <c r="E39" s="16">
        <f>IFERROR(VLOOKUP(B39,'Q2 Data'!A:B,2,FALSE),"0")</f>
        <v>0</v>
      </c>
      <c r="F39" s="16">
        <f>IFERROR(VLOOKUP(B39,'Q2 Data'!E:F,2,FALSE),"0")</f>
        <v>1</v>
      </c>
      <c r="G39" s="16" t="str">
        <f>IFERROR(VLOOKUP(B39,'Q2 Data'!I:J,2,FALSE),"0")</f>
        <v>0</v>
      </c>
      <c r="H39" s="16" t="str">
        <f>IFERROR(VLOOKUP(B39,'Q2 Data'!L:M,2,FALSE),"0")</f>
        <v>0</v>
      </c>
      <c r="I39" s="114" t="e">
        <f t="shared" si="1"/>
        <v>#DIV/0!</v>
      </c>
      <c r="J39" s="115" t="str">
        <f>IFERROR(VLOOKUP(C39,'Q2 Data'!$Y$3:$Z$12,2,FALSE),"")</f>
        <v/>
      </c>
      <c r="K39" s="115" t="str">
        <f>IFERROR(VLOOKUP(C39,'Q2 Data'!$P$3:$R$14,3,FALSE),"")</f>
        <v/>
      </c>
      <c r="L39" s="32"/>
      <c r="M39" s="51"/>
      <c r="N39" s="117" t="str">
        <f>IFERROR(VLOOKUP(B39,'Aaron - Q1 2026'!$B$3:$Q$25,16,FALSE),"")</f>
        <v/>
      </c>
      <c r="O39" s="99"/>
      <c r="P39" s="99"/>
      <c r="Q39" s="100"/>
    </row>
    <row r="40" spans="1:17" outlineLevel="1">
      <c r="A40" s="107" t="s">
        <v>63</v>
      </c>
      <c r="B40" s="102" t="s">
        <v>75</v>
      </c>
      <c r="C40" s="108"/>
      <c r="D40" s="16"/>
      <c r="E40" s="16">
        <f>IFERROR(VLOOKUP(B40,'Q2 Data'!A:B,2,FALSE),"0")</f>
        <v>0</v>
      </c>
      <c r="F40" s="16">
        <f>IFERROR(VLOOKUP(B40,'Q2 Data'!E:F,2,FALSE),"0")</f>
        <v>1</v>
      </c>
      <c r="G40" s="16" t="str">
        <f>IFERROR(VLOOKUP(B40,'Q2 Data'!I:J,2,FALSE),"0")</f>
        <v>0</v>
      </c>
      <c r="H40" s="16" t="str">
        <f>IFERROR(VLOOKUP(B40,'Q2 Data'!L:M,2,FALSE),"0")</f>
        <v>0</v>
      </c>
      <c r="I40" s="114" t="e">
        <f t="shared" si="1"/>
        <v>#DIV/0!</v>
      </c>
      <c r="J40" s="115" t="str">
        <f>IFERROR(VLOOKUP(C40,'Q2 Data'!$Y$3:$Z$12,2,FALSE),"")</f>
        <v/>
      </c>
      <c r="K40" s="115" t="str">
        <f>IFERROR(VLOOKUP(C40,'Q2 Data'!$P$3:$R$14,3,FALSE),"")</f>
        <v/>
      </c>
      <c r="L40" s="32"/>
      <c r="M40" s="51"/>
      <c r="N40" s="117" t="str">
        <f>IFERROR(VLOOKUP(B40,'Aaron - Q1 2026'!$B$3:$Q$25,16,FALSE),"")</f>
        <v/>
      </c>
      <c r="O40" s="99"/>
      <c r="P40" s="99"/>
      <c r="Q40" s="100"/>
    </row>
    <row r="41" spans="1:17" outlineLevel="1">
      <c r="A41" s="107" t="s">
        <v>63</v>
      </c>
      <c r="B41" s="109" t="s">
        <v>81</v>
      </c>
      <c r="C41" s="108"/>
      <c r="D41" s="16"/>
      <c r="E41" s="16">
        <f>IFERROR(VLOOKUP(B41,'Q2 Data'!A:B,2,FALSE),"0")</f>
        <v>0</v>
      </c>
      <c r="F41" s="16" t="str">
        <f>IFERROR(VLOOKUP(B41,'Q2 Data'!E:F,2,FALSE),"0")</f>
        <v>0</v>
      </c>
      <c r="G41" s="16">
        <f>IFERROR(VLOOKUP(B41,'Q2 Data'!I:J,2,FALSE),"0")</f>
        <v>2</v>
      </c>
      <c r="H41" s="16">
        <f>IFERROR(VLOOKUP(B41,'Q2 Data'!L:M,2,FALSE),"0")</f>
        <v>2</v>
      </c>
      <c r="I41" s="114">
        <f t="shared" si="1"/>
        <v>1</v>
      </c>
      <c r="J41" s="115" t="str">
        <f>IFERROR(VLOOKUP(C41,'Q2 Data'!$Y$3:$Z$12,2,FALSE),"")</f>
        <v/>
      </c>
      <c r="K41" s="115" t="str">
        <f>IFERROR(VLOOKUP(C41,'Q2 Data'!$P$3:$R$14,3,FALSE),"")</f>
        <v/>
      </c>
      <c r="L41" s="32"/>
      <c r="M41" s="51"/>
      <c r="N41" s="117" t="str">
        <f>IFERROR(VLOOKUP(B41,'Aaron - Q1 2026'!$B$3:$Q$25,16,FALSE),"")</f>
        <v/>
      </c>
      <c r="O41" s="99"/>
      <c r="P41" s="99"/>
      <c r="Q41" s="100"/>
    </row>
    <row r="42" spans="1:17" outlineLevel="1">
      <c r="A42" s="107" t="s">
        <v>63</v>
      </c>
      <c r="B42" s="102" t="s">
        <v>67</v>
      </c>
      <c r="C42" s="102" t="s">
        <v>67</v>
      </c>
      <c r="D42" s="16"/>
      <c r="E42" s="16" t="str">
        <f>IFERROR(VLOOKUP(B42,'Q2 Data'!A:B,2,FALSE),"0")</f>
        <v>0</v>
      </c>
      <c r="F42" s="16" t="str">
        <f>IFERROR(VLOOKUP(B42,'Q2 Data'!E:F,2,FALSE),"0")</f>
        <v>0</v>
      </c>
      <c r="G42" s="16" t="str">
        <f>IFERROR(VLOOKUP(B42,'Q2 Data'!I:J,2,FALSE),"0")</f>
        <v>0</v>
      </c>
      <c r="H42" s="16" t="str">
        <f>IFERROR(VLOOKUP(B42,'Q2 Data'!L:M,2,FALSE),"0")</f>
        <v>0</v>
      </c>
      <c r="I42" s="114" t="e">
        <f t="shared" si="1"/>
        <v>#DIV/0!</v>
      </c>
      <c r="J42" s="115" t="str">
        <f>IFERROR(VLOOKUP(C42,'Q2 Data'!$Y$3:$Z$12,2,FALSE),"")</f>
        <v/>
      </c>
      <c r="K42" s="115">
        <f>IFERROR(VLOOKUP(C42,'Q2 Data'!$P$3:$R$14,3,FALSE),"")</f>
        <v>1566.3</v>
      </c>
      <c r="L42" s="32"/>
      <c r="M42" s="51"/>
      <c r="N42" s="117" t="str">
        <f>IFERROR(VLOOKUP(B42,'Aaron - Q1 2026'!$B$3:$Q$25,16,FALSE),"")</f>
        <v/>
      </c>
      <c r="O42" s="99"/>
      <c r="P42" s="99"/>
      <c r="Q42" s="100"/>
    </row>
    <row r="43" spans="1:17" outlineLevel="1">
      <c r="A43" s="107" t="s">
        <v>63</v>
      </c>
      <c r="B43" s="102" t="s">
        <v>104</v>
      </c>
      <c r="C43" s="102" t="s">
        <v>104</v>
      </c>
      <c r="D43" s="16"/>
      <c r="E43" s="16" t="str">
        <f>IFERROR(VLOOKUP(B43,'Q2 Data'!A:B,2,FALSE),"0")</f>
        <v>0</v>
      </c>
      <c r="F43" s="16" t="str">
        <f>IFERROR(VLOOKUP(B43,'Q2 Data'!E:F,2,FALSE),"0")</f>
        <v>0</v>
      </c>
      <c r="G43" s="16" t="str">
        <f>IFERROR(VLOOKUP(B43,'Q2 Data'!I:J,2,FALSE),"0")</f>
        <v>0</v>
      </c>
      <c r="H43" s="16" t="str">
        <f>IFERROR(VLOOKUP(B43,'Q2 Data'!L:M,2,FALSE),"0")</f>
        <v>0</v>
      </c>
      <c r="I43" s="114" t="e">
        <f t="shared" si="1"/>
        <v>#DIV/0!</v>
      </c>
      <c r="J43" s="115" t="str">
        <f>IFERROR(VLOOKUP(C43,'Q2 Data'!$Y$3:$Z$12,2,FALSE),"")</f>
        <v/>
      </c>
      <c r="K43" s="115">
        <f>IFERROR(VLOOKUP(C43,'Q2 Data'!$P$3:$R$14,3,FALSE),"")</f>
        <v>0</v>
      </c>
      <c r="L43" s="32"/>
      <c r="M43" s="51"/>
      <c r="N43" s="117" t="str">
        <f>IFERROR(VLOOKUP(B43,'Aaron - Q1 2026'!$B$3:$Q$25,16,FALSE),"")</f>
        <v/>
      </c>
      <c r="O43" s="99"/>
      <c r="P43" s="99"/>
      <c r="Q43" s="100"/>
    </row>
    <row r="44" spans="1:17" outlineLevel="1">
      <c r="A44" s="107" t="s">
        <v>63</v>
      </c>
      <c r="B44" s="102" t="s">
        <v>182</v>
      </c>
      <c r="C44" s="102" t="s">
        <v>182</v>
      </c>
      <c r="D44" s="16"/>
      <c r="E44" s="16" t="str">
        <f>IFERROR(VLOOKUP(B44,'Q2 Data'!A:B,2,FALSE),"0")</f>
        <v>0</v>
      </c>
      <c r="F44" s="16" t="str">
        <f>IFERROR(VLOOKUP(B44,'Q2 Data'!E:F,2,FALSE),"0")</f>
        <v>0</v>
      </c>
      <c r="G44" s="16" t="str">
        <f>IFERROR(VLOOKUP(B44,'Q2 Data'!I:J,2,FALSE),"0")</f>
        <v>0</v>
      </c>
      <c r="H44" s="16" t="str">
        <f>IFERROR(VLOOKUP(B44,'Q2 Data'!L:M,2,FALSE),"0")</f>
        <v>0</v>
      </c>
      <c r="I44" s="114" t="e">
        <f t="shared" si="1"/>
        <v>#DIV/0!</v>
      </c>
      <c r="J44" s="115" t="str">
        <f>IFERROR(VLOOKUP(C44,'Q2 Data'!$Y$3:$Z$12,2,FALSE),"")</f>
        <v/>
      </c>
      <c r="K44" s="115">
        <f>IFERROR(VLOOKUP(C44,'Q2 Data'!$P$3:$R$14,3,FALSE),"")</f>
        <v>0</v>
      </c>
      <c r="L44" s="32"/>
      <c r="M44" s="51"/>
      <c r="N44" s="117" t="str">
        <f>IFERROR(VLOOKUP(B44,'Aaron - Q1 2026'!$B$3:$Q$25,16,FALSE),"")</f>
        <v/>
      </c>
      <c r="O44" s="99"/>
      <c r="P44" s="99"/>
      <c r="Q44" s="100"/>
    </row>
    <row r="45" spans="1:17" outlineLevel="1">
      <c r="A45" s="107" t="s">
        <v>63</v>
      </c>
      <c r="B45" s="102" t="s">
        <v>183</v>
      </c>
      <c r="C45" s="102" t="s">
        <v>183</v>
      </c>
      <c r="D45" s="16"/>
      <c r="E45" s="16" t="str">
        <f>IFERROR(VLOOKUP(B45,'Q2 Data'!A:B,2,FALSE),"0")</f>
        <v>0</v>
      </c>
      <c r="F45" s="16" t="str">
        <f>IFERROR(VLOOKUP(B45,'Q2 Data'!E:F,2,FALSE),"0")</f>
        <v>0</v>
      </c>
      <c r="G45" s="16" t="str">
        <f>IFERROR(VLOOKUP(B45,'Q2 Data'!I:J,2,FALSE),"0")</f>
        <v>0</v>
      </c>
      <c r="H45" s="16" t="str">
        <f>IFERROR(VLOOKUP(B45,'Q2 Data'!L:M,2,FALSE),"0")</f>
        <v>0</v>
      </c>
      <c r="I45" s="114" t="e">
        <f t="shared" si="1"/>
        <v>#DIV/0!</v>
      </c>
      <c r="J45" s="115" t="str">
        <f>IFERROR(VLOOKUP(C45,'Q2 Data'!$Y$3:$Z$12,2,FALSE),"")</f>
        <v/>
      </c>
      <c r="K45" s="115">
        <f>IFERROR(VLOOKUP(C45,'Q2 Data'!$P$3:$R$14,3,FALSE),"")</f>
        <v>0</v>
      </c>
      <c r="L45" s="32"/>
      <c r="M45" s="51"/>
      <c r="N45" s="117" t="str">
        <f>IFERROR(VLOOKUP(B45,'Aaron - Q1 2026'!$B$3:$Q$25,16,FALSE),"")</f>
        <v/>
      </c>
      <c r="O45" s="99"/>
      <c r="P45" s="99"/>
      <c r="Q45" s="100"/>
    </row>
    <row r="46" spans="1:17" outlineLevel="1">
      <c r="A46" s="107" t="s">
        <v>63</v>
      </c>
      <c r="B46" s="101" t="s">
        <v>69</v>
      </c>
      <c r="C46" s="101" t="s">
        <v>69</v>
      </c>
      <c r="D46" s="16"/>
      <c r="E46" s="16" t="str">
        <f>IFERROR(VLOOKUP(B46,'Q2 Data'!A:B,2,FALSE),"0")</f>
        <v>0</v>
      </c>
      <c r="F46" s="16" t="str">
        <f>IFERROR(VLOOKUP(B46,'Q2 Data'!E:F,2,FALSE),"0")</f>
        <v>0</v>
      </c>
      <c r="G46" s="16" t="str">
        <f>IFERROR(VLOOKUP(B46,'Q2 Data'!I:J,2,FALSE),"0")</f>
        <v>0</v>
      </c>
      <c r="H46" s="16" t="str">
        <f>IFERROR(VLOOKUP(B46,'Q2 Data'!L:M,2,FALSE),"0")</f>
        <v>0</v>
      </c>
      <c r="I46" s="114" t="e">
        <f t="shared" si="1"/>
        <v>#DIV/0!</v>
      </c>
      <c r="J46" s="115">
        <f>IFERROR(VLOOKUP(C46,'Q2 Data'!$Y$3:$Z$12,2,FALSE),"")</f>
        <v>52499</v>
      </c>
      <c r="K46" s="115" t="str">
        <f>IFERROR(VLOOKUP(C46,'Q2 Data'!$P$3:$R$14,3,FALSE),"")</f>
        <v/>
      </c>
      <c r="L46" s="32"/>
      <c r="M46" s="51"/>
      <c r="N46" s="117" t="str">
        <f>IFERROR(VLOOKUP(B46,'Aaron - Q1 2026'!$B$3:$Q$25,16,FALSE),"")</f>
        <v/>
      </c>
      <c r="O46" s="99"/>
      <c r="P46" s="99"/>
      <c r="Q46" s="100"/>
    </row>
    <row r="47" spans="1:17" outlineLevel="1">
      <c r="A47" s="107" t="s">
        <v>63</v>
      </c>
      <c r="B47" s="102"/>
      <c r="C47" s="108"/>
      <c r="D47" s="16"/>
      <c r="E47" s="16" t="str">
        <f>IFERROR(VLOOKUP(B47,'Q2 Data'!A:B,2,FALSE),"0")</f>
        <v>0</v>
      </c>
      <c r="F47" s="16" t="str">
        <f>IFERROR(VLOOKUP(B47,'Q2 Data'!E:F,2,FALSE),"0")</f>
        <v>0</v>
      </c>
      <c r="G47" s="16" t="str">
        <f>IFERROR(VLOOKUP(B47,'Q2 Data'!I:J,2,FALSE),"0")</f>
        <v>0</v>
      </c>
      <c r="H47" s="16" t="str">
        <f>IFERROR(VLOOKUP(B47,'Q2 Data'!L:M,2,FALSE),"0")</f>
        <v>0</v>
      </c>
      <c r="I47" s="114" t="e">
        <f t="shared" si="1"/>
        <v>#DIV/0!</v>
      </c>
      <c r="J47" s="115" t="str">
        <f>IFERROR(VLOOKUP(C47,'Q2 Data'!$Y$3:$Z$12,2,FALSE),"")</f>
        <v/>
      </c>
      <c r="K47" s="115" t="str">
        <f>IFERROR(VLOOKUP(C47,'Q2 Data'!$P$3:$R$14,3,FALSE),"")</f>
        <v/>
      </c>
      <c r="L47" s="32"/>
      <c r="M47" s="51"/>
      <c r="N47" s="117" t="str">
        <f>IFERROR(VLOOKUP(B47,'Aaron - Q1 2026'!$B$3:$Q$25,16,FALSE),"")</f>
        <v/>
      </c>
      <c r="O47" s="99"/>
      <c r="P47" s="99"/>
      <c r="Q47" s="100"/>
    </row>
    <row r="48" spans="1:17" outlineLevel="1">
      <c r="A48" s="107" t="s">
        <v>63</v>
      </c>
      <c r="B48" s="102"/>
      <c r="C48" s="108"/>
      <c r="D48" s="16"/>
      <c r="E48" s="16" t="str">
        <f>IFERROR(VLOOKUP(B48,'Q2 Data'!A:B,2,FALSE),"0")</f>
        <v>0</v>
      </c>
      <c r="F48" s="16" t="str">
        <f>IFERROR(VLOOKUP(B48,'Q2 Data'!E:F,2,FALSE),"0")</f>
        <v>0</v>
      </c>
      <c r="G48" s="16" t="str">
        <f>IFERROR(VLOOKUP(B48,'Q2 Data'!I:J,2,FALSE),"0")</f>
        <v>0</v>
      </c>
      <c r="H48" s="16" t="str">
        <f>IFERROR(VLOOKUP(B48,'Q2 Data'!L:M,2,FALSE),"0")</f>
        <v>0</v>
      </c>
      <c r="I48" s="114" t="e">
        <f t="shared" si="1"/>
        <v>#DIV/0!</v>
      </c>
      <c r="J48" s="115" t="str">
        <f>IFERROR(VLOOKUP(C48,'Q2 Data'!$Y$3:$Z$12,2,FALSE),"")</f>
        <v/>
      </c>
      <c r="K48" s="115" t="str">
        <f>IFERROR(VLOOKUP(C48,'Q2 Data'!$P$3:$R$14,3,FALSE),"")</f>
        <v/>
      </c>
      <c r="L48" s="32"/>
      <c r="M48" s="51"/>
      <c r="N48" s="117" t="str">
        <f>IFERROR(VLOOKUP(B48,'Aaron - Q1 2026'!$B$3:$Q$25,16,FALSE),"")</f>
        <v/>
      </c>
      <c r="O48" s="99"/>
      <c r="P48" s="99"/>
      <c r="Q48" s="100"/>
    </row>
    <row r="49" spans="1:15">
      <c r="A49" s="107" t="s">
        <v>63</v>
      </c>
      <c r="B49" s="105" t="s">
        <v>82</v>
      </c>
      <c r="D49" s="44">
        <f>SUM(D32:D48)</f>
        <v>0</v>
      </c>
      <c r="E49" s="44">
        <f>SUM(E32:E48)</f>
        <v>7</v>
      </c>
      <c r="F49" s="44">
        <f>SUM(F32:F48)</f>
        <v>19</v>
      </c>
      <c r="G49" s="44">
        <f>SUM(G32:G48)</f>
        <v>7</v>
      </c>
      <c r="H49" s="44">
        <f>SUM(H32:H48)</f>
        <v>2</v>
      </c>
      <c r="I49" s="119"/>
      <c r="J49" s="46">
        <f>SUM(J32:J48)</f>
        <v>52499</v>
      </c>
      <c r="K49" s="46">
        <f>SUM(K32:K48)</f>
        <v>1566.3</v>
      </c>
      <c r="L49" s="73"/>
      <c r="M49" s="4"/>
      <c r="N49" s="4"/>
      <c r="O49" s="106">
        <f>SUM(O32:O48)</f>
        <v>0</v>
      </c>
    </row>
    <row r="50" spans="1:15">
      <c r="D50" s="4"/>
      <c r="E50" s="4"/>
      <c r="F50" s="4"/>
      <c r="G50" s="4"/>
      <c r="H50" s="4"/>
      <c r="I50" s="4"/>
      <c r="J50" s="4"/>
      <c r="K50" s="4"/>
      <c r="L50" s="4"/>
      <c r="M50" s="4"/>
      <c r="N50" s="4"/>
    </row>
    <row r="51" spans="1:15">
      <c r="B51" s="110" t="s">
        <v>83</v>
      </c>
      <c r="D51" s="67">
        <f>D49+D30</f>
        <v>0</v>
      </c>
      <c r="E51" s="67">
        <f>E49+E30</f>
        <v>92</v>
      </c>
      <c r="F51" s="67">
        <f>F49+F30</f>
        <v>105</v>
      </c>
      <c r="G51" s="67">
        <f>G49+G30</f>
        <v>48</v>
      </c>
      <c r="H51" s="67">
        <f>H49+H30</f>
        <v>17</v>
      </c>
      <c r="I51" s="4"/>
      <c r="J51" s="68">
        <f>J49+J30</f>
        <v>84415.650200000004</v>
      </c>
      <c r="K51" s="68">
        <f>K49+K30</f>
        <v>30872.808199999996</v>
      </c>
      <c r="L51" s="4"/>
      <c r="M51" s="4"/>
      <c r="N51" s="4"/>
      <c r="O51" s="111">
        <f>O49+O30</f>
        <v>91661</v>
      </c>
    </row>
    <row r="54" spans="1:15">
      <c r="B54" s="112"/>
    </row>
    <row r="55" spans="1:15">
      <c r="B55" s="112"/>
    </row>
    <row r="60" spans="1:15">
      <c r="B60" s="101"/>
    </row>
  </sheetData>
  <sheetProtection algorithmName="SHA-512" hashValue="PfXVgV8KhILPHh/FfYdnmcPEDYPf4earRYEWNKvuLwENXpG37mdmLxzN2vw3SqmdEX1D41zCZ/fvMOk8qgdr+g==" saltValue="6pLAAsDg4pUCrRpCOK5/Eg==" spinCount="100000" sheet="1" objects="1" sort="0"/>
  <autoFilter ref="A2:Q28" xr:uid="{C3060A1C-C2B8-428B-BEBB-6A650C12678D}">
    <sortState xmlns:xlrd2="http://schemas.microsoft.com/office/spreadsheetml/2017/richdata2" ref="A3:Q28">
      <sortCondition descending="1" ref="H2:H28"/>
    </sortState>
  </autoFilter>
  <mergeCells count="2">
    <mergeCell ref="A1:N1"/>
    <mergeCell ref="O1:Q1"/>
  </mergeCells>
  <conditionalFormatting sqref="B1:B41 B79:B1048576 B46:B60">
    <cfRule type="duplicateValues" dxfId="56" priority="9"/>
  </conditionalFormatting>
  <conditionalFormatting sqref="B51:B60 B1:B2 B29:B41 B79:B1048576 B46:B49">
    <cfRule type="duplicateValues" dxfId="55" priority="14"/>
  </conditionalFormatting>
  <conditionalFormatting sqref="C28">
    <cfRule type="duplicateValues" dxfId="54" priority="13"/>
  </conditionalFormatting>
  <conditionalFormatting sqref="C46">
    <cfRule type="duplicateValues" dxfId="53" priority="1"/>
    <cfRule type="duplicateValues" dxfId="52" priority="2"/>
  </conditionalFormatting>
  <conditionalFormatting sqref="E3:H28">
    <cfRule type="cellIs" dxfId="51" priority="22" operator="equal">
      <formula>0</formula>
    </cfRule>
  </conditionalFormatting>
  <conditionalFormatting sqref="E32:H49">
    <cfRule type="cellIs" dxfId="50" priority="7" operator="equal">
      <formula>0</formula>
    </cfRule>
  </conditionalFormatting>
  <conditionalFormatting sqref="F79:F1048576">
    <cfRule type="cellIs" dxfId="49" priority="27" operator="greaterThan">
      <formula>0.99</formula>
    </cfRule>
    <cfRule type="cellIs" dxfId="48" priority="28" operator="greaterThan">
      <formula>"99%%"</formula>
    </cfRule>
    <cfRule type="cellIs" dxfId="47" priority="29" operator="between">
      <formula>0.5</formula>
      <formula>"99%%"</formula>
    </cfRule>
    <cfRule type="cellIs" dxfId="46" priority="30" operator="lessThan">
      <formula>0.51</formula>
    </cfRule>
  </conditionalFormatting>
  <conditionalFormatting sqref="I3:I28">
    <cfRule type="cellIs" dxfId="45" priority="23" operator="greaterThan">
      <formula>0.3</formula>
    </cfRule>
    <cfRule type="cellIs" dxfId="44" priority="24" operator="lessThan">
      <formula>0.15</formula>
    </cfRule>
  </conditionalFormatting>
  <conditionalFormatting sqref="I30">
    <cfRule type="cellIs" dxfId="43" priority="20" operator="greaterThan">
      <formula>0.3</formula>
    </cfRule>
    <cfRule type="cellIs" dxfId="42" priority="21" operator="lessThan">
      <formula>0.15</formula>
    </cfRule>
  </conditionalFormatting>
  <conditionalFormatting sqref="I32:I48">
    <cfRule type="cellIs" dxfId="41" priority="5" operator="greaterThan">
      <formula>0.3</formula>
    </cfRule>
    <cfRule type="cellIs" dxfId="40" priority="6" operator="lessThan">
      <formula>0.15</formula>
    </cfRule>
  </conditionalFormatting>
  <conditionalFormatting sqref="L3:L28">
    <cfRule type="cellIs" dxfId="39" priority="25" operator="greaterThan">
      <formula>1</formula>
    </cfRule>
    <cfRule type="cellIs" dxfId="38" priority="26" operator="lessThan">
      <formula>1</formula>
    </cfRule>
  </conditionalFormatting>
  <conditionalFormatting sqref="L30">
    <cfRule type="cellIs" dxfId="37" priority="11" operator="greaterThan">
      <formula>1</formula>
    </cfRule>
    <cfRule type="cellIs" dxfId="36" priority="12" operator="lessThan">
      <formula>1</formula>
    </cfRule>
  </conditionalFormatting>
  <conditionalFormatting sqref="L32:L49">
    <cfRule type="cellIs" dxfId="35" priority="3" operator="greaterThan">
      <formula>1</formula>
    </cfRule>
    <cfRule type="cellIs" dxfId="34" priority="4" operator="lessThan">
      <formula>1</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2A00-280F-4433-A229-DED7F4496D7F}">
  <dimension ref="A1:AB67"/>
  <sheetViews>
    <sheetView topLeftCell="K1" workbookViewId="0">
      <selection activeCell="X18" sqref="X18"/>
    </sheetView>
  </sheetViews>
  <sheetFormatPr defaultRowHeight="14.4"/>
  <cols>
    <col min="1" max="1" width="37.5546875" bestFit="1" customWidth="1"/>
    <col min="5" max="5" width="51.33203125" bestFit="1" customWidth="1"/>
    <col min="9" max="9" width="51.33203125" bestFit="1" customWidth="1"/>
    <col min="12" max="12" width="21.109375" bestFit="1" customWidth="1"/>
    <col min="16" max="16" width="46.33203125" bestFit="1" customWidth="1"/>
    <col min="17" max="17" width="11.109375" bestFit="1" customWidth="1"/>
    <col min="18" max="18" width="10.109375" bestFit="1" customWidth="1"/>
    <col min="25" max="25" width="46.33203125" bestFit="1" customWidth="1"/>
    <col min="26" max="26" width="10.44140625" bestFit="1" customWidth="1"/>
  </cols>
  <sheetData>
    <row r="1" spans="1:28">
      <c r="A1" s="131" t="s">
        <v>41</v>
      </c>
      <c r="B1" s="131"/>
      <c r="E1" s="131" t="s">
        <v>169</v>
      </c>
      <c r="F1" s="131"/>
      <c r="I1" s="131" t="s">
        <v>170</v>
      </c>
      <c r="J1" s="131"/>
      <c r="L1" s="131" t="s">
        <v>171</v>
      </c>
      <c r="M1" s="131"/>
      <c r="P1" s="131" t="s">
        <v>184</v>
      </c>
      <c r="Q1" s="131"/>
      <c r="R1" s="131"/>
      <c r="S1" s="131"/>
      <c r="T1" s="131"/>
      <c r="U1" s="131"/>
      <c r="X1" s="131" t="s">
        <v>192</v>
      </c>
      <c r="Y1" s="131"/>
      <c r="Z1" s="131"/>
      <c r="AA1" s="131"/>
      <c r="AB1" s="131"/>
    </row>
    <row r="2" spans="1:28">
      <c r="A2" t="s">
        <v>164</v>
      </c>
      <c r="B2" t="s">
        <v>165</v>
      </c>
      <c r="E2" t="s">
        <v>166</v>
      </c>
      <c r="F2" t="s">
        <v>165</v>
      </c>
      <c r="I2" s="75" t="s">
        <v>166</v>
      </c>
      <c r="J2" s="75" t="s">
        <v>165</v>
      </c>
      <c r="L2" s="75" t="s">
        <v>166</v>
      </c>
      <c r="M2" s="75" t="s">
        <v>165</v>
      </c>
      <c r="P2" s="79" t="s">
        <v>172</v>
      </c>
      <c r="Q2" s="79" t="s">
        <v>173</v>
      </c>
      <c r="R2" s="79" t="s">
        <v>174</v>
      </c>
      <c r="S2" s="79" t="s">
        <v>175</v>
      </c>
      <c r="T2" s="79" t="s">
        <v>176</v>
      </c>
      <c r="U2" s="79" t="s">
        <v>177</v>
      </c>
      <c r="X2" s="88" t="s">
        <v>185</v>
      </c>
      <c r="Y2" s="88" t="s">
        <v>186</v>
      </c>
      <c r="Z2" s="88" t="s">
        <v>46</v>
      </c>
      <c r="AA2" s="88" t="s">
        <v>187</v>
      </c>
      <c r="AB2" s="88" t="s">
        <v>188</v>
      </c>
    </row>
    <row r="3" spans="1:28">
      <c r="A3" t="s">
        <v>13</v>
      </c>
      <c r="B3" s="77">
        <v>1</v>
      </c>
      <c r="E3" t="s">
        <v>11</v>
      </c>
      <c r="F3">
        <v>26</v>
      </c>
      <c r="I3" s="75" t="s">
        <v>7</v>
      </c>
      <c r="J3" s="78">
        <v>18</v>
      </c>
      <c r="L3" s="75" t="s">
        <v>7</v>
      </c>
      <c r="M3" s="78">
        <v>9</v>
      </c>
      <c r="P3" t="s">
        <v>68</v>
      </c>
      <c r="Q3" s="80">
        <v>94511.95</v>
      </c>
      <c r="R3" s="80">
        <v>19307.12</v>
      </c>
      <c r="S3" s="81">
        <v>0.2042823156225218</v>
      </c>
      <c r="T3">
        <v>1</v>
      </c>
      <c r="U3" s="82">
        <v>19307.12</v>
      </c>
      <c r="X3" s="63" t="s">
        <v>189</v>
      </c>
      <c r="Y3" s="63" t="s">
        <v>69</v>
      </c>
      <c r="Z3" s="89">
        <v>52499</v>
      </c>
      <c r="AA3" s="63">
        <v>1</v>
      </c>
      <c r="AB3" s="89">
        <v>52499</v>
      </c>
    </row>
    <row r="4" spans="1:28">
      <c r="A4" t="s">
        <v>7</v>
      </c>
      <c r="B4" s="77">
        <v>2</v>
      </c>
      <c r="E4" t="s">
        <v>7</v>
      </c>
      <c r="F4">
        <v>12</v>
      </c>
      <c r="I4" s="75" t="s">
        <v>22</v>
      </c>
      <c r="J4" s="78">
        <v>5</v>
      </c>
      <c r="L4" s="75" t="s">
        <v>81</v>
      </c>
      <c r="M4" s="78">
        <v>2</v>
      </c>
      <c r="P4" t="s">
        <v>54</v>
      </c>
      <c r="Q4" s="80">
        <v>14816</v>
      </c>
      <c r="R4" s="80">
        <v>6034.61</v>
      </c>
      <c r="S4" s="81">
        <v>0.40730359071274297</v>
      </c>
      <c r="T4">
        <v>3</v>
      </c>
      <c r="U4" s="82">
        <v>2011.5367000000001</v>
      </c>
      <c r="X4" s="63" t="s">
        <v>189</v>
      </c>
      <c r="Y4" s="63" t="s">
        <v>55</v>
      </c>
      <c r="Z4" s="89">
        <v>9374.4079999999994</v>
      </c>
      <c r="AA4" s="63">
        <v>1</v>
      </c>
      <c r="AB4" s="89">
        <v>9374.4079999999994</v>
      </c>
    </row>
    <row r="5" spans="1:28">
      <c r="A5" t="s">
        <v>79</v>
      </c>
      <c r="B5" s="77">
        <v>1</v>
      </c>
      <c r="E5" t="s">
        <v>74</v>
      </c>
      <c r="F5">
        <v>10</v>
      </c>
      <c r="I5" s="75" t="s">
        <v>9</v>
      </c>
      <c r="J5" s="78">
        <v>4</v>
      </c>
      <c r="L5" s="75" t="s">
        <v>21</v>
      </c>
      <c r="M5" s="78">
        <v>2</v>
      </c>
      <c r="P5" t="s">
        <v>67</v>
      </c>
      <c r="Q5" s="80">
        <v>3450</v>
      </c>
      <c r="R5" s="80">
        <v>1566.3</v>
      </c>
      <c r="S5" s="81">
        <v>0.45400000000000001</v>
      </c>
      <c r="T5">
        <v>1</v>
      </c>
      <c r="U5" s="82">
        <v>1566.3</v>
      </c>
      <c r="X5" s="63" t="s">
        <v>189</v>
      </c>
      <c r="Y5" s="63" t="s">
        <v>160</v>
      </c>
      <c r="Z5" s="89">
        <v>9295.44</v>
      </c>
      <c r="AA5" s="63">
        <v>1</v>
      </c>
      <c r="AB5" s="89">
        <v>9295.44</v>
      </c>
    </row>
    <row r="6" spans="1:28">
      <c r="A6" t="s">
        <v>16</v>
      </c>
      <c r="B6" s="77">
        <v>3</v>
      </c>
      <c r="E6" t="s">
        <v>10</v>
      </c>
      <c r="F6">
        <v>10</v>
      </c>
      <c r="I6" s="75" t="s">
        <v>21</v>
      </c>
      <c r="J6" s="78">
        <v>4</v>
      </c>
      <c r="L6" s="75" t="s">
        <v>10</v>
      </c>
      <c r="M6" s="78">
        <v>2</v>
      </c>
      <c r="P6" t="s">
        <v>10</v>
      </c>
      <c r="Q6" s="80">
        <v>2062.75</v>
      </c>
      <c r="R6" s="80">
        <v>1524.85</v>
      </c>
      <c r="S6" s="81">
        <v>0.73923160828990431</v>
      </c>
      <c r="T6">
        <v>2</v>
      </c>
      <c r="U6" s="82">
        <v>762.42499999999995</v>
      </c>
      <c r="X6" s="63" t="s">
        <v>189</v>
      </c>
      <c r="Y6" s="63" t="s">
        <v>190</v>
      </c>
      <c r="Z6" s="89">
        <v>4771</v>
      </c>
      <c r="AA6" s="63">
        <v>1</v>
      </c>
      <c r="AB6" s="89">
        <v>4771</v>
      </c>
    </row>
    <row r="7" spans="1:28">
      <c r="A7" t="s">
        <v>15</v>
      </c>
      <c r="B7" s="77">
        <v>5</v>
      </c>
      <c r="E7" t="s">
        <v>21</v>
      </c>
      <c r="F7">
        <v>9</v>
      </c>
      <c r="I7" s="75" t="s">
        <v>11</v>
      </c>
      <c r="J7" s="78">
        <v>4</v>
      </c>
      <c r="L7" s="75" t="s">
        <v>11</v>
      </c>
      <c r="M7" s="78">
        <v>1</v>
      </c>
      <c r="P7" t="s">
        <v>178</v>
      </c>
      <c r="Q7" s="80">
        <v>1899.81</v>
      </c>
      <c r="R7" s="80">
        <v>1117.8882000000001</v>
      </c>
      <c r="S7" s="81">
        <v>0.58842105263157896</v>
      </c>
      <c r="T7">
        <v>1</v>
      </c>
      <c r="U7" s="82">
        <v>1117.8882000000001</v>
      </c>
      <c r="X7" s="63" t="s">
        <v>189</v>
      </c>
      <c r="Y7" s="63" t="s">
        <v>54</v>
      </c>
      <c r="Z7" s="89">
        <v>3208</v>
      </c>
      <c r="AA7" s="63">
        <v>2</v>
      </c>
      <c r="AB7" s="89">
        <v>1604</v>
      </c>
    </row>
    <row r="8" spans="1:28">
      <c r="A8" t="s">
        <v>17</v>
      </c>
      <c r="B8" s="77">
        <v>6</v>
      </c>
      <c r="E8" t="s">
        <v>5</v>
      </c>
      <c r="F8">
        <v>7</v>
      </c>
      <c r="I8" s="75" t="s">
        <v>10</v>
      </c>
      <c r="J8" s="78">
        <v>3</v>
      </c>
      <c r="L8" s="75" t="s">
        <v>160</v>
      </c>
      <c r="M8" s="78">
        <v>1</v>
      </c>
      <c r="P8" t="s">
        <v>179</v>
      </c>
      <c r="Q8" s="80">
        <v>1250</v>
      </c>
      <c r="R8" s="80">
        <v>800</v>
      </c>
      <c r="S8" s="81">
        <v>0.64</v>
      </c>
      <c r="T8">
        <v>1</v>
      </c>
      <c r="U8" s="82">
        <v>800</v>
      </c>
      <c r="X8" s="63" t="s">
        <v>189</v>
      </c>
      <c r="Y8" s="63" t="s">
        <v>178</v>
      </c>
      <c r="Z8" s="89">
        <v>1140</v>
      </c>
      <c r="AA8" s="63">
        <v>1</v>
      </c>
      <c r="AB8" s="89">
        <v>1140</v>
      </c>
    </row>
    <row r="9" spans="1:28">
      <c r="A9" t="s">
        <v>74</v>
      </c>
      <c r="B9" s="77">
        <v>3</v>
      </c>
      <c r="E9" t="s">
        <v>9</v>
      </c>
      <c r="F9">
        <v>6</v>
      </c>
      <c r="I9" s="75" t="s">
        <v>167</v>
      </c>
      <c r="J9" s="78">
        <v>2</v>
      </c>
      <c r="P9" t="s">
        <v>180</v>
      </c>
      <c r="Q9" s="80">
        <v>2779.5</v>
      </c>
      <c r="R9" s="80">
        <v>522.04</v>
      </c>
      <c r="S9" s="81">
        <v>0.18781795286922109</v>
      </c>
      <c r="T9">
        <v>3</v>
      </c>
      <c r="U9" s="82">
        <v>174.01329999999999</v>
      </c>
      <c r="X9" s="63" t="s">
        <v>189</v>
      </c>
      <c r="Y9" s="63" t="s">
        <v>191</v>
      </c>
      <c r="Z9" s="89">
        <v>1057.0121999999999</v>
      </c>
      <c r="AA9" s="63">
        <v>1</v>
      </c>
      <c r="AB9" s="89">
        <v>1057.0121999999999</v>
      </c>
    </row>
    <row r="10" spans="1:28">
      <c r="A10" t="s">
        <v>9</v>
      </c>
      <c r="B10" s="77">
        <v>5</v>
      </c>
      <c r="E10" t="s">
        <v>29</v>
      </c>
      <c r="F10">
        <v>6</v>
      </c>
      <c r="I10" s="75" t="s">
        <v>81</v>
      </c>
      <c r="J10" s="78">
        <v>2</v>
      </c>
      <c r="P10" t="s">
        <v>104</v>
      </c>
      <c r="Q10" s="80"/>
      <c r="R10" s="80"/>
      <c r="S10" s="81"/>
      <c r="U10" s="82"/>
      <c r="X10" s="63" t="s">
        <v>189</v>
      </c>
      <c r="Y10" s="63" t="s">
        <v>180</v>
      </c>
      <c r="Z10" s="89">
        <v>1056.8399999999999</v>
      </c>
      <c r="AA10" s="63">
        <v>1</v>
      </c>
      <c r="AB10" s="89">
        <v>1056.8399999999999</v>
      </c>
    </row>
    <row r="11" spans="1:28">
      <c r="A11" t="s">
        <v>19</v>
      </c>
      <c r="B11" s="77">
        <v>1</v>
      </c>
      <c r="E11" t="s">
        <v>78</v>
      </c>
      <c r="F11">
        <v>5</v>
      </c>
      <c r="I11" s="75" t="s">
        <v>78</v>
      </c>
      <c r="J11" s="78">
        <v>2</v>
      </c>
      <c r="P11" t="s">
        <v>181</v>
      </c>
      <c r="Q11" s="80"/>
      <c r="R11" s="80"/>
      <c r="S11" s="81"/>
      <c r="U11" s="82"/>
      <c r="X11" s="63" t="s">
        <v>189</v>
      </c>
      <c r="Y11" s="63" t="s">
        <v>10</v>
      </c>
      <c r="Z11" s="89">
        <v>2013.95</v>
      </c>
      <c r="AA11" s="63">
        <v>2</v>
      </c>
      <c r="AB11" s="89">
        <v>1006.975</v>
      </c>
    </row>
    <row r="12" spans="1:28">
      <c r="A12" t="s">
        <v>80</v>
      </c>
      <c r="B12" s="77">
        <v>1</v>
      </c>
      <c r="E12" t="s">
        <v>160</v>
      </c>
      <c r="F12">
        <v>4</v>
      </c>
      <c r="I12" s="75" t="s">
        <v>5</v>
      </c>
      <c r="J12" s="78">
        <v>2</v>
      </c>
      <c r="P12" t="s">
        <v>182</v>
      </c>
      <c r="Q12" s="80"/>
      <c r="R12" s="80"/>
      <c r="S12" s="81"/>
      <c r="U12" s="82"/>
      <c r="X12" s="87" t="s">
        <v>83</v>
      </c>
      <c r="Y12" s="87"/>
      <c r="Z12" s="90">
        <v>84415.650200000004</v>
      </c>
      <c r="AA12" s="87">
        <v>11</v>
      </c>
      <c r="AB12" s="90">
        <v>7674.15</v>
      </c>
    </row>
    <row r="13" spans="1:28">
      <c r="A13" t="s">
        <v>21</v>
      </c>
      <c r="B13" s="77">
        <v>12</v>
      </c>
      <c r="E13" t="s">
        <v>22</v>
      </c>
      <c r="F13">
        <v>3</v>
      </c>
      <c r="I13" s="75" t="s">
        <v>111</v>
      </c>
      <c r="J13" s="78">
        <v>1</v>
      </c>
      <c r="P13" t="s">
        <v>183</v>
      </c>
      <c r="Q13" s="80"/>
      <c r="R13" s="80"/>
      <c r="S13" s="81"/>
      <c r="U13" s="82"/>
    </row>
    <row r="14" spans="1:28">
      <c r="A14" t="s">
        <v>22</v>
      </c>
      <c r="B14" s="77">
        <v>3</v>
      </c>
      <c r="E14" t="s">
        <v>15</v>
      </c>
      <c r="F14">
        <v>2</v>
      </c>
      <c r="I14" s="75" t="s">
        <v>160</v>
      </c>
      <c r="J14" s="78">
        <v>1</v>
      </c>
      <c r="P14" t="s">
        <v>55</v>
      </c>
      <c r="Q14" s="80"/>
      <c r="R14" s="80"/>
      <c r="S14" s="81"/>
      <c r="U14" s="82"/>
    </row>
    <row r="15" spans="1:28">
      <c r="A15" t="s">
        <v>25</v>
      </c>
      <c r="B15" s="77">
        <v>7</v>
      </c>
      <c r="E15" t="s">
        <v>167</v>
      </c>
      <c r="F15">
        <v>1</v>
      </c>
      <c r="P15" s="83" t="s">
        <v>83</v>
      </c>
      <c r="Q15" s="84">
        <v>120770.01</v>
      </c>
      <c r="R15" s="84">
        <v>30872.808199999999</v>
      </c>
      <c r="S15" s="85">
        <v>0.25563306817644543</v>
      </c>
      <c r="T15" s="83">
        <v>12</v>
      </c>
      <c r="U15" s="86">
        <v>2572.7339999999999</v>
      </c>
    </row>
    <row r="16" spans="1:28">
      <c r="A16" t="s">
        <v>111</v>
      </c>
      <c r="B16" s="77">
        <v>1</v>
      </c>
      <c r="E16" t="s">
        <v>17</v>
      </c>
      <c r="F16">
        <v>1</v>
      </c>
    </row>
    <row r="17" spans="1:6">
      <c r="A17" t="s">
        <v>28</v>
      </c>
      <c r="B17" s="77">
        <v>2</v>
      </c>
      <c r="E17" t="s">
        <v>111</v>
      </c>
      <c r="F17">
        <v>1</v>
      </c>
    </row>
    <row r="18" spans="1:6">
      <c r="A18" t="s">
        <v>11</v>
      </c>
      <c r="B18" s="77">
        <v>15</v>
      </c>
      <c r="E18" t="s">
        <v>168</v>
      </c>
      <c r="F18">
        <v>1</v>
      </c>
    </row>
    <row r="19" spans="1:6">
      <c r="A19" t="s">
        <v>64</v>
      </c>
      <c r="B19" s="77">
        <v>1</v>
      </c>
      <c r="E19" t="s">
        <v>75</v>
      </c>
      <c r="F19">
        <v>1</v>
      </c>
    </row>
    <row r="20" spans="1:6">
      <c r="A20" t="s">
        <v>29</v>
      </c>
      <c r="B20" s="77">
        <v>3</v>
      </c>
    </row>
    <row r="21" spans="1:6">
      <c r="A21" t="s">
        <v>160</v>
      </c>
      <c r="B21" s="77">
        <v>5</v>
      </c>
    </row>
    <row r="22" spans="1:6">
      <c r="A22" t="s">
        <v>10</v>
      </c>
      <c r="B22" s="77">
        <v>1</v>
      </c>
    </row>
    <row r="23" spans="1:6">
      <c r="A23" t="s">
        <v>161</v>
      </c>
      <c r="B23" s="77">
        <v>4</v>
      </c>
    </row>
    <row r="24" spans="1:6">
      <c r="A24" t="s">
        <v>30</v>
      </c>
      <c r="B24" s="77">
        <v>1</v>
      </c>
    </row>
    <row r="25" spans="1:6">
      <c r="A25" t="s">
        <v>31</v>
      </c>
      <c r="B25" s="77">
        <v>6</v>
      </c>
    </row>
    <row r="26" spans="1:6">
      <c r="A26" t="s">
        <v>5</v>
      </c>
      <c r="B26" s="77">
        <v>3</v>
      </c>
    </row>
    <row r="39" spans="1:1">
      <c r="A39" t="s">
        <v>13</v>
      </c>
    </row>
    <row r="40" spans="1:1">
      <c r="A40" t="s">
        <v>7</v>
      </c>
    </row>
    <row r="41" spans="1:1">
      <c r="A41" t="s">
        <v>79</v>
      </c>
    </row>
    <row r="42" spans="1:1">
      <c r="A42" t="s">
        <v>16</v>
      </c>
    </row>
    <row r="43" spans="1:1">
      <c r="A43" t="s">
        <v>15</v>
      </c>
    </row>
    <row r="44" spans="1:1">
      <c r="A44" t="s">
        <v>17</v>
      </c>
    </row>
    <row r="45" spans="1:1">
      <c r="A45" t="s">
        <v>74</v>
      </c>
    </row>
    <row r="46" spans="1:1">
      <c r="A46" t="s">
        <v>9</v>
      </c>
    </row>
    <row r="47" spans="1:1">
      <c r="A47" t="s">
        <v>19</v>
      </c>
    </row>
    <row r="48" spans="1:1">
      <c r="A48" t="s">
        <v>80</v>
      </c>
    </row>
    <row r="49" spans="1:1">
      <c r="A49" t="s">
        <v>21</v>
      </c>
    </row>
    <row r="50" spans="1:1">
      <c r="A50" t="s">
        <v>22</v>
      </c>
    </row>
    <row r="51" spans="1:1">
      <c r="A51" t="s">
        <v>25</v>
      </c>
    </row>
    <row r="52" spans="1:1">
      <c r="A52" t="s">
        <v>111</v>
      </c>
    </row>
    <row r="53" spans="1:1">
      <c r="A53" t="s">
        <v>28</v>
      </c>
    </row>
    <row r="54" spans="1:1">
      <c r="A54" t="s">
        <v>11</v>
      </c>
    </row>
    <row r="55" spans="1:1">
      <c r="A55" t="s">
        <v>64</v>
      </c>
    </row>
    <row r="56" spans="1:1">
      <c r="A56" t="s">
        <v>29</v>
      </c>
    </row>
    <row r="57" spans="1:1">
      <c r="A57" t="s">
        <v>160</v>
      </c>
    </row>
    <row r="58" spans="1:1">
      <c r="A58" t="s">
        <v>10</v>
      </c>
    </row>
    <row r="59" spans="1:1">
      <c r="A59" t="s">
        <v>161</v>
      </c>
    </row>
    <row r="60" spans="1:1">
      <c r="A60" t="s">
        <v>30</v>
      </c>
    </row>
    <row r="61" spans="1:1">
      <c r="A61" t="s">
        <v>31</v>
      </c>
    </row>
    <row r="62" spans="1:1">
      <c r="A62" t="s">
        <v>5</v>
      </c>
    </row>
    <row r="63" spans="1:1">
      <c r="A63" t="s">
        <v>78</v>
      </c>
    </row>
    <row r="64" spans="1:1">
      <c r="A64" t="s">
        <v>167</v>
      </c>
    </row>
    <row r="65" spans="1:1">
      <c r="A65" t="s">
        <v>168</v>
      </c>
    </row>
    <row r="66" spans="1:1">
      <c r="A66" t="s">
        <v>75</v>
      </c>
    </row>
    <row r="67" spans="1:1">
      <c r="A67" s="75" t="s">
        <v>81</v>
      </c>
    </row>
  </sheetData>
  <mergeCells count="6">
    <mergeCell ref="X1:AB1"/>
    <mergeCell ref="A1:B1"/>
    <mergeCell ref="E1:F1"/>
    <mergeCell ref="I1:J1"/>
    <mergeCell ref="L1:M1"/>
    <mergeCell ref="P1:U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94F6-A514-42B7-8E64-64F2B2C6819D}">
  <sheetPr>
    <tabColor theme="2"/>
  </sheetPr>
  <dimension ref="A1:E28"/>
  <sheetViews>
    <sheetView showGridLines="0" zoomScaleNormal="100" workbookViewId="0">
      <pane ySplit="1" topLeftCell="A2" activePane="bottomLeft" state="frozen"/>
      <selection pane="bottomLeft" activeCell="F28" sqref="F28"/>
    </sheetView>
  </sheetViews>
  <sheetFormatPr defaultRowHeight="14.4"/>
  <cols>
    <col min="1" max="1" width="37.5546875" customWidth="1"/>
    <col min="2" max="2" width="33.44140625" customWidth="1"/>
    <col min="3" max="3" width="12" customWidth="1"/>
    <col min="4" max="4" width="13.88671875" customWidth="1"/>
    <col min="5" max="5" width="23.44140625" customWidth="1"/>
  </cols>
  <sheetData>
    <row r="1" spans="1:5" ht="28.8">
      <c r="A1" s="27" t="s">
        <v>0</v>
      </c>
      <c r="B1" s="27" t="s">
        <v>1</v>
      </c>
      <c r="C1" s="27" t="s">
        <v>2</v>
      </c>
      <c r="D1" s="54" t="s">
        <v>3</v>
      </c>
      <c r="E1" s="27" t="s">
        <v>4</v>
      </c>
    </row>
    <row r="2" spans="1:5">
      <c r="A2" s="33" t="s">
        <v>5</v>
      </c>
      <c r="B2" s="55" t="s">
        <v>6</v>
      </c>
      <c r="C2" s="31">
        <v>20000</v>
      </c>
      <c r="D2" s="31">
        <v>40000</v>
      </c>
      <c r="E2" s="33"/>
    </row>
    <row r="3" spans="1:5">
      <c r="A3" s="29" t="s">
        <v>7</v>
      </c>
      <c r="B3" s="55" t="s">
        <v>6</v>
      </c>
      <c r="C3" s="31">
        <v>7000</v>
      </c>
      <c r="D3" s="31">
        <v>20000</v>
      </c>
      <c r="E3" s="33"/>
    </row>
    <row r="4" spans="1:5">
      <c r="A4" s="29" t="s">
        <v>8</v>
      </c>
      <c r="B4" s="55"/>
      <c r="C4" s="31">
        <v>2000</v>
      </c>
      <c r="D4" s="31">
        <v>5000</v>
      </c>
      <c r="E4" s="33"/>
    </row>
    <row r="5" spans="1:5">
      <c r="A5" s="29" t="s">
        <v>9</v>
      </c>
      <c r="B5" s="55" t="s">
        <v>6</v>
      </c>
      <c r="C5" s="31">
        <v>1000</v>
      </c>
      <c r="D5" s="31">
        <v>20000</v>
      </c>
      <c r="E5" s="33"/>
    </row>
    <row r="6" spans="1:5">
      <c r="A6" s="33" t="s">
        <v>10</v>
      </c>
      <c r="B6" s="55" t="s">
        <v>6</v>
      </c>
      <c r="C6" s="31"/>
      <c r="D6" s="31">
        <v>15000</v>
      </c>
      <c r="E6" s="33"/>
    </row>
    <row r="7" spans="1:5">
      <c r="A7" s="33" t="s">
        <v>11</v>
      </c>
      <c r="B7" s="55" t="s">
        <v>6</v>
      </c>
      <c r="C7" s="31"/>
      <c r="D7" s="31">
        <v>10000</v>
      </c>
      <c r="E7" s="33"/>
    </row>
    <row r="8" spans="1:5">
      <c r="A8" s="56" t="s">
        <v>12</v>
      </c>
      <c r="B8" s="55" t="s">
        <v>6</v>
      </c>
      <c r="C8" s="31"/>
      <c r="D8" s="31">
        <v>0</v>
      </c>
      <c r="E8" s="33"/>
    </row>
    <row r="9" spans="1:5">
      <c r="A9" s="29" t="s">
        <v>13</v>
      </c>
      <c r="B9" s="55" t="s">
        <v>6</v>
      </c>
      <c r="C9" s="31"/>
      <c r="D9" s="31">
        <v>2500</v>
      </c>
      <c r="E9" s="33"/>
    </row>
    <row r="10" spans="1:5">
      <c r="A10" s="29" t="s">
        <v>14</v>
      </c>
      <c r="B10" s="35" t="s">
        <v>6</v>
      </c>
      <c r="C10" s="35"/>
      <c r="D10" s="31">
        <v>0</v>
      </c>
      <c r="E10" s="33"/>
    </row>
    <row r="11" spans="1:5">
      <c r="A11" s="29" t="s">
        <v>15</v>
      </c>
      <c r="B11" s="55" t="s">
        <v>6</v>
      </c>
      <c r="C11" s="31"/>
      <c r="D11" s="31">
        <v>0</v>
      </c>
      <c r="E11" s="33"/>
    </row>
    <row r="12" spans="1:5">
      <c r="A12" s="29" t="s">
        <v>16</v>
      </c>
      <c r="B12" s="55" t="s">
        <v>6</v>
      </c>
      <c r="C12" s="31"/>
      <c r="D12" s="31">
        <v>0</v>
      </c>
      <c r="E12" s="33"/>
    </row>
    <row r="13" spans="1:5">
      <c r="A13" s="29" t="s">
        <v>17</v>
      </c>
      <c r="B13" s="55"/>
      <c r="C13" s="31"/>
      <c r="D13" s="31">
        <v>2500</v>
      </c>
      <c r="E13" s="33"/>
    </row>
    <row r="14" spans="1:5">
      <c r="A14" s="57" t="s">
        <v>18</v>
      </c>
      <c r="B14" s="55"/>
      <c r="C14" s="31"/>
      <c r="D14" s="31">
        <v>0</v>
      </c>
      <c r="E14" s="33"/>
    </row>
    <row r="15" spans="1:5">
      <c r="A15" s="29" t="s">
        <v>19</v>
      </c>
      <c r="B15" s="55" t="s">
        <v>20</v>
      </c>
      <c r="C15" s="31"/>
      <c r="D15" s="31">
        <v>0</v>
      </c>
      <c r="E15" s="33"/>
    </row>
    <row r="16" spans="1:5">
      <c r="A16" s="33" t="s">
        <v>21</v>
      </c>
      <c r="B16" s="55"/>
      <c r="C16" s="31"/>
      <c r="D16" s="31">
        <v>0</v>
      </c>
      <c r="E16" s="33"/>
    </row>
    <row r="17" spans="1:5">
      <c r="A17" s="33" t="s">
        <v>22</v>
      </c>
      <c r="B17" s="55" t="s">
        <v>6</v>
      </c>
      <c r="C17" s="31"/>
      <c r="D17" s="31">
        <v>0</v>
      </c>
      <c r="E17" s="33"/>
    </row>
    <row r="18" spans="1:5">
      <c r="A18" s="58" t="s">
        <v>23</v>
      </c>
      <c r="B18" s="55" t="s">
        <v>24</v>
      </c>
      <c r="C18" s="31"/>
      <c r="D18" s="31">
        <v>0</v>
      </c>
      <c r="E18" s="33"/>
    </row>
    <row r="19" spans="1:5">
      <c r="A19" s="58" t="s">
        <v>25</v>
      </c>
      <c r="B19" s="55"/>
      <c r="C19" s="31"/>
      <c r="D19" s="31">
        <v>0</v>
      </c>
      <c r="E19" s="33"/>
    </row>
    <row r="20" spans="1:5">
      <c r="A20" s="33" t="s">
        <v>26</v>
      </c>
      <c r="B20" s="55" t="s">
        <v>27</v>
      </c>
      <c r="C20" s="31"/>
      <c r="D20" s="31">
        <v>0</v>
      </c>
      <c r="E20" s="33"/>
    </row>
    <row r="21" spans="1:5">
      <c r="A21" s="33" t="s">
        <v>28</v>
      </c>
      <c r="B21" s="55" t="s">
        <v>6</v>
      </c>
      <c r="C21" s="31"/>
      <c r="D21" s="31">
        <v>0</v>
      </c>
      <c r="E21" s="33"/>
    </row>
    <row r="22" spans="1:5">
      <c r="A22" s="29" t="s">
        <v>29</v>
      </c>
      <c r="B22" s="55" t="s">
        <v>6</v>
      </c>
      <c r="C22" s="31"/>
      <c r="D22" s="31">
        <v>5000</v>
      </c>
      <c r="E22" s="33"/>
    </row>
    <row r="23" spans="1:5">
      <c r="A23" s="29" t="s">
        <v>30</v>
      </c>
      <c r="B23" s="55" t="s">
        <v>6</v>
      </c>
      <c r="C23" s="31"/>
      <c r="D23" s="31">
        <v>0</v>
      </c>
      <c r="E23" s="33"/>
    </row>
    <row r="24" spans="1:5">
      <c r="A24" s="29" t="s">
        <v>31</v>
      </c>
      <c r="B24" s="55" t="s">
        <v>32</v>
      </c>
      <c r="C24" s="31"/>
      <c r="D24" s="31">
        <v>0</v>
      </c>
      <c r="E24" s="33"/>
    </row>
    <row r="25" spans="1:5">
      <c r="A25" s="57" t="s">
        <v>33</v>
      </c>
      <c r="B25" s="55"/>
      <c r="C25" s="31"/>
      <c r="D25" s="31">
        <v>0</v>
      </c>
      <c r="E25" s="33"/>
    </row>
    <row r="27" spans="1:5">
      <c r="B27" s="59" t="s">
        <v>34</v>
      </c>
      <c r="C27" s="60">
        <f>SUM(C2:C25)</f>
        <v>30000</v>
      </c>
      <c r="D27" s="60">
        <f>SUM(D2:D25)</f>
        <v>120000</v>
      </c>
    </row>
    <row r="28" spans="1:5">
      <c r="B28" s="59" t="s">
        <v>35</v>
      </c>
      <c r="C28" s="60">
        <v>120000</v>
      </c>
      <c r="D28" s="60">
        <f>D27-C28</f>
        <v>0</v>
      </c>
    </row>
  </sheetData>
  <conditionalFormatting sqref="D28">
    <cfRule type="cellIs" dxfId="33" priority="1" operator="greaterThan">
      <formula>0</formula>
    </cfRule>
    <cfRule type="cellIs" dxfId="32" priority="2"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2061-3CAF-48C0-AC42-B70F3EC529AB}">
  <sheetPr>
    <tabColor theme="2"/>
  </sheetPr>
  <dimension ref="A1:Q52"/>
  <sheetViews>
    <sheetView showGridLines="0" zoomScaleNormal="100" workbookViewId="0">
      <pane ySplit="2" topLeftCell="A7" activePane="bottomLeft" state="frozen"/>
      <selection pane="bottomLeft" activeCell="H8" sqref="H8"/>
    </sheetView>
  </sheetViews>
  <sheetFormatPr defaultColWidth="9.109375" defaultRowHeight="18" customHeight="1" outlineLevelRow="1"/>
  <cols>
    <col min="1" max="1" width="12.5546875" style="4" bestFit="1" customWidth="1"/>
    <col min="2" max="2" width="32.88671875" style="4" customWidth="1"/>
    <col min="3" max="3" width="12.109375" style="4" hidden="1" customWidth="1"/>
    <col min="4" max="5" width="7.109375" style="3" customWidth="1"/>
    <col min="6" max="9" width="7.109375" style="4" customWidth="1"/>
    <col min="10" max="10" width="14.88671875" style="4" bestFit="1" customWidth="1"/>
    <col min="11" max="11" width="9.6640625" style="4" customWidth="1"/>
    <col min="12" max="12" width="10" style="4" bestFit="1" customWidth="1"/>
    <col min="13" max="13" width="9" style="4" hidden="1" customWidth="1"/>
    <col min="14" max="14" width="12.5546875" style="4" customWidth="1"/>
    <col min="15" max="15" width="10" style="4" customWidth="1"/>
    <col min="16" max="16" width="13.6640625" style="4" bestFit="1" customWidth="1"/>
    <col min="17" max="17" width="62.33203125" style="28" customWidth="1"/>
    <col min="18" max="16384" width="9.109375" style="4"/>
  </cols>
  <sheetData>
    <row r="1" spans="1:17" ht="18" customHeight="1">
      <c r="A1" s="132" t="s">
        <v>36</v>
      </c>
      <c r="B1" s="133"/>
      <c r="C1" s="133"/>
      <c r="D1" s="133"/>
      <c r="E1" s="133"/>
      <c r="F1" s="133"/>
      <c r="G1" s="133"/>
      <c r="H1" s="133"/>
      <c r="I1" s="133"/>
      <c r="J1" s="133"/>
      <c r="K1" s="133"/>
      <c r="L1" s="133"/>
      <c r="M1" s="133"/>
      <c r="N1" s="134"/>
      <c r="O1" s="135" t="s">
        <v>37</v>
      </c>
      <c r="P1" s="136"/>
      <c r="Q1" s="137"/>
    </row>
    <row r="2" spans="1:17" s="28" customFormat="1" ht="27.6" customHeight="1">
      <c r="A2" s="27" t="s">
        <v>38</v>
      </c>
      <c r="B2" s="27" t="s">
        <v>0</v>
      </c>
      <c r="C2" s="27" t="s">
        <v>39</v>
      </c>
      <c r="D2" s="27" t="s">
        <v>40</v>
      </c>
      <c r="E2" s="27" t="s">
        <v>41</v>
      </c>
      <c r="F2" s="27" t="s">
        <v>42</v>
      </c>
      <c r="G2" s="27" t="s">
        <v>43</v>
      </c>
      <c r="H2" s="27" t="s">
        <v>44</v>
      </c>
      <c r="I2" s="27" t="s">
        <v>45</v>
      </c>
      <c r="J2" s="27" t="s">
        <v>46</v>
      </c>
      <c r="K2" s="27" t="s">
        <v>47</v>
      </c>
      <c r="L2" s="27" t="s">
        <v>48</v>
      </c>
      <c r="M2" s="27" t="s">
        <v>49</v>
      </c>
      <c r="N2" s="27" t="s">
        <v>1</v>
      </c>
      <c r="O2" s="27" t="s">
        <v>50</v>
      </c>
      <c r="P2" s="27" t="s">
        <v>51</v>
      </c>
      <c r="Q2" s="27" t="s">
        <v>52</v>
      </c>
    </row>
    <row r="3" spans="1:17" ht="57.6">
      <c r="A3" s="17" t="s">
        <v>53</v>
      </c>
      <c r="B3" s="33" t="s">
        <v>5</v>
      </c>
      <c r="C3" s="33" t="s">
        <v>5</v>
      </c>
      <c r="D3" s="16">
        <v>1</v>
      </c>
      <c r="E3" s="16">
        <v>9</v>
      </c>
      <c r="F3" s="16">
        <v>0</v>
      </c>
      <c r="G3" s="16">
        <v>0</v>
      </c>
      <c r="H3" s="16">
        <v>0</v>
      </c>
      <c r="I3" s="30" t="str">
        <f t="shared" ref="I3:I25" si="0">IFERROR(H3/G3,"")</f>
        <v/>
      </c>
      <c r="J3" s="31">
        <v>0</v>
      </c>
      <c r="K3" s="31">
        <v>0</v>
      </c>
      <c r="L3" s="32" t="str">
        <f t="shared" ref="L3:L25" si="1">IFERROR(J3/K3,"")</f>
        <v/>
      </c>
      <c r="M3" s="11" t="str">
        <f>IFERROR(K3/#REF!,"")</f>
        <v/>
      </c>
      <c r="N3" s="55" t="s">
        <v>6</v>
      </c>
      <c r="O3" s="31" t="s">
        <v>6</v>
      </c>
      <c r="P3" s="31">
        <f>VLOOKUP(B3,'GP Targets - Q1 2026'!$A:$D,4,FALSE)</f>
        <v>40000</v>
      </c>
      <c r="Q3" s="33" t="s">
        <v>131</v>
      </c>
    </row>
    <row r="4" spans="1:17" ht="57.6">
      <c r="A4" s="17" t="s">
        <v>53</v>
      </c>
      <c r="B4" s="29" t="s">
        <v>7</v>
      </c>
      <c r="C4" s="70" t="s">
        <v>54</v>
      </c>
      <c r="D4" s="16">
        <v>2</v>
      </c>
      <c r="E4" s="16">
        <v>27</v>
      </c>
      <c r="F4" s="16">
        <v>13</v>
      </c>
      <c r="G4" s="16">
        <v>18</v>
      </c>
      <c r="H4" s="16">
        <v>6</v>
      </c>
      <c r="I4" s="30">
        <f t="shared" si="0"/>
        <v>0.33333333333333331</v>
      </c>
      <c r="J4" s="31">
        <v>138319.56030000001</v>
      </c>
      <c r="K4" s="71">
        <v>54048</v>
      </c>
      <c r="L4" s="32">
        <f t="shared" si="1"/>
        <v>2.5591984957815277</v>
      </c>
      <c r="M4" s="11" t="str">
        <f>IFERROR(K4/#REF!,"")</f>
        <v/>
      </c>
      <c r="N4" s="55" t="s">
        <v>6</v>
      </c>
      <c r="O4" s="31">
        <v>6851.2</v>
      </c>
      <c r="P4" s="31">
        <f>VLOOKUP(B4,'GP Targets - Q1 2026'!$A:$D,4,FALSE)</f>
        <v>20000</v>
      </c>
      <c r="Q4" s="33" t="s">
        <v>132</v>
      </c>
    </row>
    <row r="5" spans="1:17" ht="43.2">
      <c r="A5" s="17" t="s">
        <v>53</v>
      </c>
      <c r="B5" s="29" t="s">
        <v>9</v>
      </c>
      <c r="C5" s="29" t="s">
        <v>9</v>
      </c>
      <c r="D5" s="16">
        <v>3</v>
      </c>
      <c r="E5" s="16">
        <v>19</v>
      </c>
      <c r="F5" s="16">
        <v>18</v>
      </c>
      <c r="G5" s="16">
        <v>14</v>
      </c>
      <c r="H5" s="16">
        <v>8</v>
      </c>
      <c r="I5" s="30">
        <f t="shared" si="0"/>
        <v>0.5714285714285714</v>
      </c>
      <c r="J5" s="31">
        <v>24778.758000000002</v>
      </c>
      <c r="K5" s="61">
        <v>23978.758000000002</v>
      </c>
      <c r="L5" s="32">
        <f t="shared" si="1"/>
        <v>1.0333628622466602</v>
      </c>
      <c r="M5" s="11" t="str">
        <f>IFERROR(K5/#REF!,"")</f>
        <v/>
      </c>
      <c r="N5" s="55" t="s">
        <v>6</v>
      </c>
      <c r="O5" s="31">
        <v>800</v>
      </c>
      <c r="P5" s="31">
        <f>VLOOKUP(B5,'GP Targets - Q1 2026'!$A:$D,4,FALSE)</f>
        <v>20000</v>
      </c>
      <c r="Q5" s="33" t="s">
        <v>133</v>
      </c>
    </row>
    <row r="6" spans="1:17" ht="49.95" customHeight="1">
      <c r="A6" s="17" t="s">
        <v>53</v>
      </c>
      <c r="B6" s="33" t="s">
        <v>10</v>
      </c>
      <c r="C6" s="33" t="s">
        <v>10</v>
      </c>
      <c r="D6" s="16">
        <v>1</v>
      </c>
      <c r="E6" s="16">
        <v>14</v>
      </c>
      <c r="F6" s="16">
        <v>4</v>
      </c>
      <c r="G6" s="16">
        <v>5</v>
      </c>
      <c r="H6" s="16">
        <v>3</v>
      </c>
      <c r="I6" s="30">
        <f t="shared" si="0"/>
        <v>0.6</v>
      </c>
      <c r="J6" s="31">
        <v>750</v>
      </c>
      <c r="K6" s="31">
        <v>16534.297399999999</v>
      </c>
      <c r="L6" s="32">
        <f t="shared" si="1"/>
        <v>4.5360258247199546E-2</v>
      </c>
      <c r="M6" s="11" t="str">
        <f>IFERROR(K6/#REF!,"")</f>
        <v/>
      </c>
      <c r="N6" s="55" t="s">
        <v>6</v>
      </c>
      <c r="O6" s="31">
        <v>750</v>
      </c>
      <c r="P6" s="31">
        <f>VLOOKUP(B6,'GP Targets - Q1 2026'!$A:$D,4,FALSE)</f>
        <v>15000</v>
      </c>
      <c r="Q6" s="33" t="s">
        <v>134</v>
      </c>
    </row>
    <row r="7" spans="1:17" ht="78" customHeight="1">
      <c r="A7" s="17" t="s">
        <v>53</v>
      </c>
      <c r="B7" s="33" t="s">
        <v>11</v>
      </c>
      <c r="C7" s="33" t="s">
        <v>55</v>
      </c>
      <c r="D7" s="16">
        <v>1</v>
      </c>
      <c r="E7" s="16">
        <v>17</v>
      </c>
      <c r="F7" s="16">
        <v>106</v>
      </c>
      <c r="G7" s="16">
        <v>2</v>
      </c>
      <c r="H7" s="16">
        <v>2</v>
      </c>
      <c r="I7" s="30">
        <f t="shared" si="0"/>
        <v>1</v>
      </c>
      <c r="J7" s="31">
        <v>15449.5</v>
      </c>
      <c r="K7" s="31">
        <v>21372.751899999999</v>
      </c>
      <c r="L7" s="32">
        <f t="shared" si="1"/>
        <v>0.72285965196648361</v>
      </c>
      <c r="M7" s="11" t="str">
        <f>IFERROR(K7/#REF!,"")</f>
        <v/>
      </c>
      <c r="N7" s="55" t="s">
        <v>6</v>
      </c>
      <c r="O7" s="31" t="s">
        <v>6</v>
      </c>
      <c r="P7" s="31">
        <f>VLOOKUP(B7,'GP Targets - Q1 2026'!$A:$D,4,FALSE)</f>
        <v>10000</v>
      </c>
      <c r="Q7" s="33" t="s">
        <v>135</v>
      </c>
    </row>
    <row r="8" spans="1:17" ht="93" customHeight="1">
      <c r="A8" s="17" t="s">
        <v>53</v>
      </c>
      <c r="B8" s="29" t="s">
        <v>29</v>
      </c>
      <c r="C8" s="29" t="s">
        <v>29</v>
      </c>
      <c r="D8" s="16">
        <v>3</v>
      </c>
      <c r="E8" s="16">
        <v>45</v>
      </c>
      <c r="F8" s="16">
        <v>12</v>
      </c>
      <c r="G8" s="16">
        <v>8</v>
      </c>
      <c r="H8" s="16">
        <v>0</v>
      </c>
      <c r="I8" s="30">
        <f t="shared" si="0"/>
        <v>0</v>
      </c>
      <c r="J8" s="31">
        <v>0</v>
      </c>
      <c r="K8" s="31">
        <v>0</v>
      </c>
      <c r="L8" s="32" t="str">
        <f t="shared" si="1"/>
        <v/>
      </c>
      <c r="M8" s="11" t="str">
        <f>IFERROR(K8/#REF!,"")</f>
        <v/>
      </c>
      <c r="N8" s="55" t="s">
        <v>6</v>
      </c>
      <c r="O8" s="31" t="s">
        <v>6</v>
      </c>
      <c r="P8" s="31">
        <f>VLOOKUP(B8,'GP Targets - Q1 2026'!$A:$D,4,FALSE)</f>
        <v>5000</v>
      </c>
      <c r="Q8" s="33" t="s">
        <v>136</v>
      </c>
    </row>
    <row r="9" spans="1:17" ht="28.8">
      <c r="A9" s="17" t="s">
        <v>53</v>
      </c>
      <c r="B9" s="29" t="s">
        <v>13</v>
      </c>
      <c r="C9" s="29" t="s">
        <v>13</v>
      </c>
      <c r="D9" s="16">
        <v>1</v>
      </c>
      <c r="E9" s="16">
        <v>9</v>
      </c>
      <c r="F9" s="16">
        <v>1</v>
      </c>
      <c r="G9" s="16">
        <v>1</v>
      </c>
      <c r="H9" s="16">
        <v>0</v>
      </c>
      <c r="I9" s="30">
        <f t="shared" si="0"/>
        <v>0</v>
      </c>
      <c r="J9" s="31">
        <v>0</v>
      </c>
      <c r="K9" s="31">
        <v>0</v>
      </c>
      <c r="L9" s="32" t="str">
        <f t="shared" si="1"/>
        <v/>
      </c>
      <c r="M9" s="11" t="str">
        <f>IFERROR(K9/#REF!,"")</f>
        <v/>
      </c>
      <c r="N9" s="55" t="s">
        <v>6</v>
      </c>
      <c r="O9" s="31" t="s">
        <v>6</v>
      </c>
      <c r="P9" s="31">
        <f>VLOOKUP(B9,'GP Targets - Q1 2026'!$A:$D,4,FALSE)</f>
        <v>2500</v>
      </c>
      <c r="Q9" s="33" t="s">
        <v>137</v>
      </c>
    </row>
    <row r="10" spans="1:17" ht="28.8">
      <c r="A10" s="17" t="s">
        <v>53</v>
      </c>
      <c r="B10" s="29" t="s">
        <v>17</v>
      </c>
      <c r="C10" s="29" t="s">
        <v>17</v>
      </c>
      <c r="D10" s="16">
        <v>1</v>
      </c>
      <c r="E10" s="16">
        <v>5</v>
      </c>
      <c r="F10" s="16">
        <v>0</v>
      </c>
      <c r="G10" s="16">
        <v>0</v>
      </c>
      <c r="H10" s="16">
        <v>0</v>
      </c>
      <c r="I10" s="30" t="str">
        <f t="shared" si="0"/>
        <v/>
      </c>
      <c r="J10" s="31">
        <v>0</v>
      </c>
      <c r="K10" s="31">
        <v>0</v>
      </c>
      <c r="L10" s="32" t="str">
        <f t="shared" si="1"/>
        <v/>
      </c>
      <c r="M10" s="11" t="str">
        <f>IFERROR(K10/#REF!,"")</f>
        <v/>
      </c>
      <c r="N10" s="55" t="s">
        <v>59</v>
      </c>
      <c r="O10" s="31" t="s">
        <v>6</v>
      </c>
      <c r="P10" s="31">
        <f>VLOOKUP(B10,'GP Targets - Q1 2026'!$A:$D,4,FALSE)</f>
        <v>2500</v>
      </c>
      <c r="Q10" s="33" t="s">
        <v>138</v>
      </c>
    </row>
    <row r="11" spans="1:17" ht="18" customHeight="1">
      <c r="A11" s="17" t="s">
        <v>53</v>
      </c>
      <c r="B11" s="56" t="s">
        <v>12</v>
      </c>
      <c r="C11" s="62" t="s">
        <v>12</v>
      </c>
      <c r="D11" s="16">
        <v>3</v>
      </c>
      <c r="E11" s="16">
        <v>12</v>
      </c>
      <c r="F11" s="16">
        <v>1349</v>
      </c>
      <c r="G11" s="16">
        <v>253</v>
      </c>
      <c r="H11" s="16">
        <v>250</v>
      </c>
      <c r="I11" s="30">
        <f t="shared" si="0"/>
        <v>0.98814229249011853</v>
      </c>
      <c r="J11" s="31">
        <v>37072296.140000001</v>
      </c>
      <c r="K11" s="31">
        <v>0</v>
      </c>
      <c r="L11" s="32" t="str">
        <f t="shared" si="1"/>
        <v/>
      </c>
      <c r="M11" s="11" t="str">
        <f>IFERROR(K11/#REF!,"")</f>
        <v/>
      </c>
      <c r="N11" s="55" t="s">
        <v>6</v>
      </c>
      <c r="O11" s="31" t="s">
        <v>6</v>
      </c>
      <c r="P11" s="31">
        <f>VLOOKUP(B11,'GP Targets - Q1 2026'!$A:$D,4,FALSE)</f>
        <v>0</v>
      </c>
      <c r="Q11" s="33" t="s">
        <v>139</v>
      </c>
    </row>
    <row r="12" spans="1:17" ht="28.8">
      <c r="A12" s="17" t="s">
        <v>53</v>
      </c>
      <c r="B12" s="29" t="s">
        <v>14</v>
      </c>
      <c r="C12" s="29" t="s">
        <v>14</v>
      </c>
      <c r="D12" s="16">
        <v>6</v>
      </c>
      <c r="E12" s="16">
        <v>12</v>
      </c>
      <c r="F12" s="16">
        <v>2</v>
      </c>
      <c r="G12" s="16">
        <v>1</v>
      </c>
      <c r="H12" s="16">
        <v>1</v>
      </c>
      <c r="I12" s="30">
        <f t="shared" si="0"/>
        <v>1</v>
      </c>
      <c r="J12" s="31">
        <v>0</v>
      </c>
      <c r="K12" s="31">
        <v>0</v>
      </c>
      <c r="L12" s="32" t="str">
        <f t="shared" si="1"/>
        <v/>
      </c>
      <c r="M12" s="11" t="str">
        <f>IFERROR(K12/#REF!,"")</f>
        <v/>
      </c>
      <c r="N12" s="35" t="s">
        <v>6</v>
      </c>
      <c r="O12" s="31" t="s">
        <v>6</v>
      </c>
      <c r="P12" s="31">
        <f>VLOOKUP(B12,'GP Targets - Q1 2026'!$A:$D,4,FALSE)</f>
        <v>0</v>
      </c>
      <c r="Q12" s="33" t="s">
        <v>140</v>
      </c>
    </row>
    <row r="13" spans="1:17" ht="43.2">
      <c r="A13" s="17" t="s">
        <v>53</v>
      </c>
      <c r="B13" s="33" t="s">
        <v>22</v>
      </c>
      <c r="C13" s="33" t="s">
        <v>22</v>
      </c>
      <c r="D13" s="16">
        <v>1</v>
      </c>
      <c r="E13" s="16">
        <v>8</v>
      </c>
      <c r="F13" s="16">
        <v>5</v>
      </c>
      <c r="G13" s="16">
        <v>3</v>
      </c>
      <c r="H13" s="16">
        <v>0</v>
      </c>
      <c r="I13" s="30">
        <f t="shared" si="0"/>
        <v>0</v>
      </c>
      <c r="J13" s="31">
        <v>0</v>
      </c>
      <c r="K13" s="31">
        <v>0</v>
      </c>
      <c r="L13" s="32" t="str">
        <f t="shared" si="1"/>
        <v/>
      </c>
      <c r="M13" s="11" t="str">
        <f>IFERROR(K13/#REF!,"")</f>
        <v/>
      </c>
      <c r="N13" s="55" t="s">
        <v>6</v>
      </c>
      <c r="O13" s="31" t="s">
        <v>6</v>
      </c>
      <c r="P13" s="31">
        <f>VLOOKUP(B13,'GP Targets - Q1 2026'!$A:$D,4,FALSE)</f>
        <v>0</v>
      </c>
      <c r="Q13" s="33" t="s">
        <v>141</v>
      </c>
    </row>
    <row r="14" spans="1:17" ht="28.8">
      <c r="A14" s="17" t="s">
        <v>53</v>
      </c>
      <c r="B14" s="58" t="s">
        <v>23</v>
      </c>
      <c r="C14" s="33" t="s">
        <v>23</v>
      </c>
      <c r="D14" s="16">
        <v>5</v>
      </c>
      <c r="E14" s="16">
        <v>6</v>
      </c>
      <c r="F14" s="16">
        <v>1</v>
      </c>
      <c r="G14" s="16">
        <v>0</v>
      </c>
      <c r="H14" s="16">
        <v>0</v>
      </c>
      <c r="I14" s="30" t="str">
        <f t="shared" si="0"/>
        <v/>
      </c>
      <c r="J14" s="31">
        <v>0</v>
      </c>
      <c r="K14" s="31">
        <v>0</v>
      </c>
      <c r="L14" s="32" t="str">
        <f t="shared" si="1"/>
        <v/>
      </c>
      <c r="M14" s="11" t="str">
        <f>IFERROR(K14/#REF!,"")</f>
        <v/>
      </c>
      <c r="N14" s="55" t="s">
        <v>24</v>
      </c>
      <c r="O14" s="31" t="s">
        <v>6</v>
      </c>
      <c r="P14" s="31">
        <f>VLOOKUP(B14,'GP Targets - Q1 2026'!$A:$D,4,FALSE)</f>
        <v>0</v>
      </c>
      <c r="Q14" s="33" t="s">
        <v>142</v>
      </c>
    </row>
    <row r="15" spans="1:17" ht="28.8">
      <c r="A15" s="17" t="s">
        <v>53</v>
      </c>
      <c r="B15" s="33" t="s">
        <v>28</v>
      </c>
      <c r="C15" s="33" t="s">
        <v>28</v>
      </c>
      <c r="D15" s="16">
        <v>1</v>
      </c>
      <c r="E15" s="16">
        <v>6</v>
      </c>
      <c r="F15" s="16">
        <v>1</v>
      </c>
      <c r="G15" s="16">
        <v>0</v>
      </c>
      <c r="H15" s="16">
        <v>0</v>
      </c>
      <c r="I15" s="30" t="str">
        <f t="shared" si="0"/>
        <v/>
      </c>
      <c r="J15" s="31">
        <v>0</v>
      </c>
      <c r="K15" s="31">
        <v>0</v>
      </c>
      <c r="L15" s="32" t="str">
        <f t="shared" si="1"/>
        <v/>
      </c>
      <c r="M15" s="11" t="str">
        <f>IFERROR(K15/#REF!,"")</f>
        <v/>
      </c>
      <c r="N15" s="55" t="s">
        <v>6</v>
      </c>
      <c r="O15" s="31" t="s">
        <v>6</v>
      </c>
      <c r="P15" s="31">
        <f>VLOOKUP(B15,'GP Targets - Q1 2026'!$A:$D,4,FALSE)</f>
        <v>0</v>
      </c>
      <c r="Q15" s="33" t="s">
        <v>143</v>
      </c>
    </row>
    <row r="16" spans="1:17" ht="18" customHeight="1">
      <c r="A16" s="17" t="s">
        <v>53</v>
      </c>
      <c r="B16" s="57" t="s">
        <v>18</v>
      </c>
      <c r="C16" s="29" t="s">
        <v>18</v>
      </c>
      <c r="D16" s="16">
        <v>2</v>
      </c>
      <c r="E16" s="16" t="s">
        <v>56</v>
      </c>
      <c r="F16" s="16">
        <v>0</v>
      </c>
      <c r="G16" s="16">
        <v>0</v>
      </c>
      <c r="H16" s="16">
        <v>0</v>
      </c>
      <c r="I16" s="30" t="str">
        <f t="shared" si="0"/>
        <v/>
      </c>
      <c r="J16" s="31">
        <v>0</v>
      </c>
      <c r="K16" s="31">
        <v>0</v>
      </c>
      <c r="L16" s="32" t="str">
        <f t="shared" si="1"/>
        <v/>
      </c>
      <c r="M16" s="11" t="str">
        <f>IFERROR(K16/#REF!,"")</f>
        <v/>
      </c>
      <c r="N16" s="55">
        <v>0</v>
      </c>
      <c r="O16" s="31" t="s">
        <v>6</v>
      </c>
      <c r="P16" s="31">
        <f>VLOOKUP(B16,'GP Targets - Q1 2026'!$A:$D,4,FALSE)</f>
        <v>0</v>
      </c>
      <c r="Q16" s="33" t="s">
        <v>144</v>
      </c>
    </row>
    <row r="17" spans="1:17" ht="18" customHeight="1">
      <c r="A17" s="17" t="s">
        <v>53</v>
      </c>
      <c r="B17" s="58" t="s">
        <v>25</v>
      </c>
      <c r="C17" s="33" t="s">
        <v>25</v>
      </c>
      <c r="D17" s="16">
        <v>1</v>
      </c>
      <c r="E17" s="16">
        <v>17</v>
      </c>
      <c r="F17" s="16">
        <v>0</v>
      </c>
      <c r="G17" s="16">
        <v>0</v>
      </c>
      <c r="H17" s="16">
        <v>0</v>
      </c>
      <c r="I17" s="30" t="str">
        <f t="shared" si="0"/>
        <v/>
      </c>
      <c r="J17" s="31">
        <v>0</v>
      </c>
      <c r="K17" s="31">
        <v>0</v>
      </c>
      <c r="L17" s="32" t="str">
        <f t="shared" si="1"/>
        <v/>
      </c>
      <c r="M17" s="11" t="str">
        <f>IFERROR(K17/#REF!,"")</f>
        <v/>
      </c>
      <c r="N17" s="55" t="s">
        <v>57</v>
      </c>
      <c r="O17" s="31" t="s">
        <v>6</v>
      </c>
      <c r="P17" s="31">
        <f>VLOOKUP(B17,'GP Targets - Q1 2026'!$A:$D,4,FALSE)</f>
        <v>0</v>
      </c>
      <c r="Q17" s="33" t="s">
        <v>142</v>
      </c>
    </row>
    <row r="18" spans="1:17" ht="18" customHeight="1">
      <c r="A18" s="17" t="s">
        <v>53</v>
      </c>
      <c r="B18" s="33" t="s">
        <v>21</v>
      </c>
      <c r="C18" s="33" t="s">
        <v>21</v>
      </c>
      <c r="D18" s="16">
        <v>6</v>
      </c>
      <c r="E18" s="16">
        <v>6</v>
      </c>
      <c r="F18" s="16">
        <v>0</v>
      </c>
      <c r="G18" s="16">
        <v>0</v>
      </c>
      <c r="H18" s="16">
        <v>0</v>
      </c>
      <c r="I18" s="30" t="str">
        <f t="shared" si="0"/>
        <v/>
      </c>
      <c r="J18" s="31">
        <v>0</v>
      </c>
      <c r="K18" s="31">
        <v>0</v>
      </c>
      <c r="L18" s="32" t="str">
        <f t="shared" si="1"/>
        <v/>
      </c>
      <c r="M18" s="11" t="str">
        <f>IFERROR(K18/#REF!,"")</f>
        <v/>
      </c>
      <c r="N18" s="55" t="s">
        <v>58</v>
      </c>
      <c r="O18" s="31" t="s">
        <v>6</v>
      </c>
      <c r="P18" s="31">
        <f>VLOOKUP(B18,'GP Targets - Q1 2026'!$A:$D,4,FALSE)</f>
        <v>0</v>
      </c>
      <c r="Q18" s="33" t="s">
        <v>145</v>
      </c>
    </row>
    <row r="19" spans="1:17" ht="57.6">
      <c r="A19" s="17" t="s">
        <v>53</v>
      </c>
      <c r="B19" s="29" t="s">
        <v>30</v>
      </c>
      <c r="C19" s="29" t="s">
        <v>30</v>
      </c>
      <c r="D19" s="16">
        <v>1</v>
      </c>
      <c r="E19" s="16">
        <v>5</v>
      </c>
      <c r="F19" s="16">
        <v>0</v>
      </c>
      <c r="G19" s="16">
        <v>0</v>
      </c>
      <c r="H19" s="16">
        <v>0</v>
      </c>
      <c r="I19" s="30" t="str">
        <f t="shared" si="0"/>
        <v/>
      </c>
      <c r="J19" s="31">
        <v>0</v>
      </c>
      <c r="K19" s="31">
        <v>0</v>
      </c>
      <c r="L19" s="32" t="str">
        <f t="shared" si="1"/>
        <v/>
      </c>
      <c r="M19" s="11" t="str">
        <f>IFERROR(K19/#REF!,"")</f>
        <v/>
      </c>
      <c r="N19" s="55" t="s">
        <v>6</v>
      </c>
      <c r="O19" s="31" t="s">
        <v>6</v>
      </c>
      <c r="P19" s="31">
        <f>VLOOKUP(B19,'GP Targets - Q1 2026'!$A:$D,4,FALSE)</f>
        <v>0</v>
      </c>
      <c r="Q19" s="33" t="s">
        <v>146</v>
      </c>
    </row>
    <row r="20" spans="1:17" ht="18" customHeight="1">
      <c r="A20" s="17" t="s">
        <v>53</v>
      </c>
      <c r="B20" s="57" t="s">
        <v>33</v>
      </c>
      <c r="C20" s="29" t="s">
        <v>33</v>
      </c>
      <c r="D20" s="16">
        <v>7</v>
      </c>
      <c r="E20" s="16">
        <v>5</v>
      </c>
      <c r="F20" s="16">
        <v>0</v>
      </c>
      <c r="G20" s="16">
        <v>0</v>
      </c>
      <c r="H20" s="16">
        <v>0</v>
      </c>
      <c r="I20" s="30" t="str">
        <f t="shared" si="0"/>
        <v/>
      </c>
      <c r="J20" s="31">
        <v>0</v>
      </c>
      <c r="K20" s="31">
        <v>0</v>
      </c>
      <c r="L20" s="32" t="str">
        <f t="shared" si="1"/>
        <v/>
      </c>
      <c r="M20" s="11" t="str">
        <f>IFERROR(K20/#REF!,"")</f>
        <v/>
      </c>
      <c r="N20" s="55" t="s">
        <v>60</v>
      </c>
      <c r="O20" s="31" t="s">
        <v>6</v>
      </c>
      <c r="P20" s="31">
        <f>VLOOKUP(B20,'GP Targets - Q1 2026'!$A:$D,4,FALSE)</f>
        <v>0</v>
      </c>
      <c r="Q20" s="33" t="s">
        <v>144</v>
      </c>
    </row>
    <row r="21" spans="1:17" ht="28.8">
      <c r="A21" s="17" t="s">
        <v>53</v>
      </c>
      <c r="B21" s="69" t="s">
        <v>15</v>
      </c>
      <c r="C21" s="29" t="s">
        <v>15</v>
      </c>
      <c r="D21" s="16">
        <v>3</v>
      </c>
      <c r="E21" s="16">
        <v>3</v>
      </c>
      <c r="F21" s="16">
        <v>0</v>
      </c>
      <c r="G21" s="16">
        <v>0</v>
      </c>
      <c r="H21" s="16">
        <v>0</v>
      </c>
      <c r="I21" s="30" t="str">
        <f t="shared" si="0"/>
        <v/>
      </c>
      <c r="J21" s="31">
        <v>0</v>
      </c>
      <c r="K21" s="31">
        <v>0</v>
      </c>
      <c r="L21" s="32" t="str">
        <f t="shared" si="1"/>
        <v/>
      </c>
      <c r="M21" s="11" t="str">
        <f>IFERROR(K21/#REF!,"")</f>
        <v/>
      </c>
      <c r="N21" s="55" t="s">
        <v>6</v>
      </c>
      <c r="O21" s="31" t="s">
        <v>6</v>
      </c>
      <c r="P21" s="31">
        <f>VLOOKUP(B21,'GP Targets - Q1 2026'!$A:$D,4,FALSE)</f>
        <v>0</v>
      </c>
      <c r="Q21" s="33" t="s">
        <v>147</v>
      </c>
    </row>
    <row r="22" spans="1:17" ht="28.8">
      <c r="A22" s="17" t="s">
        <v>53</v>
      </c>
      <c r="B22" s="29" t="s">
        <v>31</v>
      </c>
      <c r="C22" s="69" t="s">
        <v>31</v>
      </c>
      <c r="D22" s="16">
        <v>1</v>
      </c>
      <c r="E22" s="16">
        <v>3</v>
      </c>
      <c r="F22" s="16">
        <v>0</v>
      </c>
      <c r="G22" s="16">
        <v>0</v>
      </c>
      <c r="H22" s="16">
        <v>0</v>
      </c>
      <c r="I22" s="30" t="str">
        <f t="shared" si="0"/>
        <v/>
      </c>
      <c r="J22" s="31">
        <v>0</v>
      </c>
      <c r="K22" s="61">
        <v>0</v>
      </c>
      <c r="L22" s="32" t="str">
        <f t="shared" si="1"/>
        <v/>
      </c>
      <c r="M22" s="11" t="str">
        <f>IFERROR(K22/#REF!,"")</f>
        <v/>
      </c>
      <c r="N22" s="55" t="s">
        <v>32</v>
      </c>
      <c r="O22" s="31" t="s">
        <v>6</v>
      </c>
      <c r="P22" s="31">
        <f>VLOOKUP(B22,'GP Targets - Q1 2026'!$A:$D,4,FALSE)</f>
        <v>0</v>
      </c>
      <c r="Q22" s="33" t="s">
        <v>148</v>
      </c>
    </row>
    <row r="23" spans="1:17" ht="43.2">
      <c r="A23" s="17" t="s">
        <v>53</v>
      </c>
      <c r="B23" s="29" t="s">
        <v>16</v>
      </c>
      <c r="C23" s="29" t="s">
        <v>16</v>
      </c>
      <c r="D23" s="16">
        <v>2</v>
      </c>
      <c r="E23" s="16">
        <v>2</v>
      </c>
      <c r="F23" s="16">
        <v>0</v>
      </c>
      <c r="G23" s="16">
        <v>0</v>
      </c>
      <c r="H23" s="16">
        <v>0</v>
      </c>
      <c r="I23" s="30" t="str">
        <f t="shared" si="0"/>
        <v/>
      </c>
      <c r="J23" s="31">
        <v>0</v>
      </c>
      <c r="K23" s="31">
        <v>0</v>
      </c>
      <c r="L23" s="32" t="str">
        <f t="shared" si="1"/>
        <v/>
      </c>
      <c r="M23" s="11" t="str">
        <f>IFERROR(K23/#REF!,"")</f>
        <v/>
      </c>
      <c r="N23" s="55" t="s">
        <v>6</v>
      </c>
      <c r="O23" s="31" t="s">
        <v>6</v>
      </c>
      <c r="P23" s="31">
        <f>VLOOKUP(B23,'GP Targets - Q1 2026'!$A:$D,4,FALSE)</f>
        <v>0</v>
      </c>
      <c r="Q23" s="33" t="s">
        <v>149</v>
      </c>
    </row>
    <row r="24" spans="1:17" ht="18" customHeight="1">
      <c r="A24" s="17" t="s">
        <v>53</v>
      </c>
      <c r="B24" s="29" t="s">
        <v>19</v>
      </c>
      <c r="C24" s="29" t="s">
        <v>19</v>
      </c>
      <c r="D24" s="16">
        <v>2</v>
      </c>
      <c r="E24" s="16">
        <v>2</v>
      </c>
      <c r="F24" s="16">
        <v>0</v>
      </c>
      <c r="G24" s="16">
        <v>0</v>
      </c>
      <c r="H24" s="16">
        <v>0</v>
      </c>
      <c r="I24" s="30" t="str">
        <f t="shared" si="0"/>
        <v/>
      </c>
      <c r="J24" s="31">
        <v>0</v>
      </c>
      <c r="K24" s="31">
        <v>0</v>
      </c>
      <c r="L24" s="32" t="str">
        <f t="shared" si="1"/>
        <v/>
      </c>
      <c r="M24" s="11" t="str">
        <f>IFERROR(K24/#REF!,"")</f>
        <v/>
      </c>
      <c r="N24" s="55" t="s">
        <v>20</v>
      </c>
      <c r="O24" s="31" t="s">
        <v>6</v>
      </c>
      <c r="P24" s="31">
        <f>VLOOKUP(B24,'GP Targets - Q1 2026'!$A:$D,4,FALSE)</f>
        <v>0</v>
      </c>
      <c r="Q24" s="33"/>
    </row>
    <row r="25" spans="1:17" ht="18" customHeight="1">
      <c r="A25" s="17" t="s">
        <v>53</v>
      </c>
      <c r="B25" s="33" t="s">
        <v>26</v>
      </c>
      <c r="C25" s="33" t="s">
        <v>26</v>
      </c>
      <c r="D25" s="16">
        <v>1</v>
      </c>
      <c r="E25" s="16">
        <v>1</v>
      </c>
      <c r="F25" s="16">
        <v>0</v>
      </c>
      <c r="G25" s="16">
        <v>0</v>
      </c>
      <c r="H25" s="16">
        <v>0</v>
      </c>
      <c r="I25" s="30" t="str">
        <f t="shared" si="0"/>
        <v/>
      </c>
      <c r="J25" s="31">
        <v>0</v>
      </c>
      <c r="K25" s="31">
        <v>0</v>
      </c>
      <c r="L25" s="32" t="str">
        <f t="shared" si="1"/>
        <v/>
      </c>
      <c r="M25" s="11" t="str">
        <f>IFERROR(K25/#REF!,"")</f>
        <v/>
      </c>
      <c r="N25" s="55" t="s">
        <v>61</v>
      </c>
      <c r="O25" s="31" t="s">
        <v>6</v>
      </c>
      <c r="P25" s="31">
        <f>VLOOKUP(B25,'GP Targets - Q1 2026'!$A:$D,4,FALSE)</f>
        <v>0</v>
      </c>
      <c r="Q25" s="33"/>
    </row>
    <row r="26" spans="1:17" ht="14.4"/>
    <row r="27" spans="1:17" ht="18" customHeight="1">
      <c r="A27" s="44">
        <v>23</v>
      </c>
      <c r="B27" s="43" t="s">
        <v>62</v>
      </c>
      <c r="C27" s="43"/>
      <c r="D27" s="44">
        <v>55</v>
      </c>
      <c r="E27" s="44">
        <f>SUM(E3:E25)</f>
        <v>233</v>
      </c>
      <c r="F27" s="44">
        <f>SUM(F3:F25)</f>
        <v>1512</v>
      </c>
      <c r="G27" s="44">
        <f t="shared" ref="G27:H27" si="2">SUM(G3:G25)</f>
        <v>305</v>
      </c>
      <c r="H27" s="44">
        <f t="shared" si="2"/>
        <v>270</v>
      </c>
      <c r="I27" s="30">
        <f>IFERROR(H27/G27,"")</f>
        <v>0.88524590163934425</v>
      </c>
      <c r="J27" s="46">
        <f>SUM(J3:J25)</f>
        <v>37251593.958300002</v>
      </c>
      <c r="K27" s="46">
        <f>SUM(K3:K25)</f>
        <v>115933.8073</v>
      </c>
      <c r="L27" s="32">
        <f>IFERROR(J27/K27,"")</f>
        <v>321.31778318902843</v>
      </c>
      <c r="M27" s="48" t="e">
        <f>K27/#REF!</f>
        <v>#REF!</v>
      </c>
      <c r="N27" s="64"/>
      <c r="O27" s="46">
        <f>SUM(O3:O25)</f>
        <v>8401.2000000000007</v>
      </c>
      <c r="P27" s="46">
        <f>SUM(P3:P25)</f>
        <v>115000</v>
      </c>
    </row>
    <row r="29" spans="1:17" ht="18" hidden="1" customHeight="1" outlineLevel="1">
      <c r="A29" s="49" t="s">
        <v>63</v>
      </c>
      <c r="B29" s="62" t="s">
        <v>64</v>
      </c>
      <c r="C29" s="51" t="s">
        <v>65</v>
      </c>
      <c r="D29" s="16"/>
      <c r="E29" s="16">
        <v>2</v>
      </c>
      <c r="F29" s="16">
        <v>0</v>
      </c>
      <c r="G29" s="16">
        <v>0</v>
      </c>
      <c r="H29" s="16">
        <v>0</v>
      </c>
      <c r="I29" s="30" t="str">
        <f t="shared" ref="I29:I45" si="3">IFERROR(H29/G29,"")</f>
        <v/>
      </c>
      <c r="J29" s="31">
        <v>400</v>
      </c>
      <c r="K29" s="31" t="s">
        <v>56</v>
      </c>
      <c r="L29" s="32" t="str">
        <f t="shared" ref="L29:L45" si="4">IFERROR(J29/K29,"")</f>
        <v/>
      </c>
      <c r="M29" s="51"/>
      <c r="N29" s="31"/>
      <c r="O29" s="31">
        <v>400</v>
      </c>
      <c r="P29" s="31"/>
      <c r="Q29" s="33"/>
    </row>
    <row r="30" spans="1:17" ht="18" hidden="1" customHeight="1" outlineLevel="1">
      <c r="A30" s="49" t="s">
        <v>63</v>
      </c>
      <c r="B30" s="51" t="s">
        <v>66</v>
      </c>
      <c r="C30" s="51" t="s">
        <v>66</v>
      </c>
      <c r="D30" s="16"/>
      <c r="E30" s="16">
        <v>0</v>
      </c>
      <c r="F30" s="16">
        <v>0</v>
      </c>
      <c r="G30" s="16">
        <v>0</v>
      </c>
      <c r="H30" s="16">
        <v>0</v>
      </c>
      <c r="I30" s="30" t="str">
        <f t="shared" si="3"/>
        <v/>
      </c>
      <c r="J30" s="31">
        <v>993.28</v>
      </c>
      <c r="K30" s="31">
        <v>993.28</v>
      </c>
      <c r="L30" s="32">
        <f t="shared" si="4"/>
        <v>1</v>
      </c>
      <c r="M30" s="51"/>
      <c r="N30" s="52"/>
      <c r="O30" s="31" t="s">
        <v>6</v>
      </c>
      <c r="P30" s="31"/>
      <c r="Q30" s="33"/>
    </row>
    <row r="31" spans="1:17" ht="18" hidden="1" customHeight="1" outlineLevel="1">
      <c r="A31" s="49" t="s">
        <v>63</v>
      </c>
      <c r="B31" s="51" t="s">
        <v>67</v>
      </c>
      <c r="C31" s="51" t="s">
        <v>67</v>
      </c>
      <c r="D31" s="16"/>
      <c r="E31" s="16">
        <v>0</v>
      </c>
      <c r="F31" s="16">
        <v>0</v>
      </c>
      <c r="G31" s="16">
        <v>0</v>
      </c>
      <c r="H31" s="16">
        <v>0</v>
      </c>
      <c r="I31" s="30" t="str">
        <f t="shared" si="3"/>
        <v/>
      </c>
      <c r="J31" s="31">
        <v>1566.3</v>
      </c>
      <c r="K31" s="31">
        <v>0</v>
      </c>
      <c r="L31" s="32" t="str">
        <f t="shared" si="4"/>
        <v/>
      </c>
      <c r="M31" s="51"/>
      <c r="N31" s="52"/>
      <c r="O31" s="31">
        <v>1566.3</v>
      </c>
      <c r="P31" s="31"/>
      <c r="Q31" s="33" t="s">
        <v>150</v>
      </c>
    </row>
    <row r="32" spans="1:17" ht="18" hidden="1" customHeight="1" outlineLevel="1">
      <c r="A32" s="49" t="s">
        <v>63</v>
      </c>
      <c r="B32" s="51" t="s">
        <v>68</v>
      </c>
      <c r="C32" s="51" t="s">
        <v>68</v>
      </c>
      <c r="D32" s="16"/>
      <c r="E32" s="16">
        <v>0</v>
      </c>
      <c r="F32" s="16">
        <v>0</v>
      </c>
      <c r="G32" s="16">
        <v>0</v>
      </c>
      <c r="H32" s="16">
        <v>0</v>
      </c>
      <c r="I32" s="30" t="str">
        <f t="shared" si="3"/>
        <v/>
      </c>
      <c r="J32" s="31">
        <v>19575</v>
      </c>
      <c r="K32" s="31">
        <v>0</v>
      </c>
      <c r="L32" s="32" t="str">
        <f t="shared" si="4"/>
        <v/>
      </c>
      <c r="M32" s="51"/>
      <c r="N32" s="52"/>
      <c r="O32" s="31">
        <v>19575</v>
      </c>
      <c r="P32" s="31"/>
      <c r="Q32" s="33"/>
    </row>
    <row r="33" spans="1:17" ht="18" hidden="1" customHeight="1" outlineLevel="1">
      <c r="A33" s="49" t="s">
        <v>63</v>
      </c>
      <c r="B33" s="51" t="s">
        <v>69</v>
      </c>
      <c r="C33" s="51" t="s">
        <v>69</v>
      </c>
      <c r="D33" s="16"/>
      <c r="E33" s="16">
        <v>0</v>
      </c>
      <c r="F33" s="16">
        <v>0</v>
      </c>
      <c r="G33" s="16">
        <v>0</v>
      </c>
      <c r="H33" s="16">
        <v>0</v>
      </c>
      <c r="I33" s="30" t="str">
        <f t="shared" si="3"/>
        <v/>
      </c>
      <c r="J33" s="31">
        <v>515498.81430000003</v>
      </c>
      <c r="K33" s="31">
        <v>0</v>
      </c>
      <c r="L33" s="32" t="str">
        <f t="shared" si="4"/>
        <v/>
      </c>
      <c r="M33" s="51"/>
      <c r="N33" s="51"/>
      <c r="O33" s="31" t="s">
        <v>6</v>
      </c>
      <c r="P33" s="31"/>
      <c r="Q33" s="33"/>
    </row>
    <row r="34" spans="1:17" ht="18" hidden="1" customHeight="1" outlineLevel="1">
      <c r="A34" s="49" t="s">
        <v>63</v>
      </c>
      <c r="B34" s="51" t="s">
        <v>70</v>
      </c>
      <c r="C34" s="51" t="s">
        <v>70</v>
      </c>
      <c r="D34" s="16"/>
      <c r="E34" s="16">
        <v>0</v>
      </c>
      <c r="F34" s="16">
        <v>0</v>
      </c>
      <c r="G34" s="16">
        <v>0</v>
      </c>
      <c r="H34" s="16">
        <v>0</v>
      </c>
      <c r="I34" s="30" t="str">
        <f t="shared" si="3"/>
        <v/>
      </c>
      <c r="J34" s="31"/>
      <c r="K34" s="31">
        <v>3375.2033000000001</v>
      </c>
      <c r="L34" s="32">
        <f t="shared" si="4"/>
        <v>0</v>
      </c>
      <c r="M34" s="51"/>
      <c r="N34" s="51"/>
      <c r="O34" s="31" t="s">
        <v>6</v>
      </c>
      <c r="P34" s="31"/>
      <c r="Q34" s="33"/>
    </row>
    <row r="35" spans="1:17" ht="18" hidden="1" customHeight="1" outlineLevel="1">
      <c r="A35" s="49" t="s">
        <v>63</v>
      </c>
      <c r="B35" s="62" t="s">
        <v>71</v>
      </c>
      <c r="C35" s="51"/>
      <c r="D35" s="16"/>
      <c r="E35" s="16">
        <v>5</v>
      </c>
      <c r="F35" s="16">
        <v>0</v>
      </c>
      <c r="G35" s="16">
        <v>0</v>
      </c>
      <c r="H35" s="16">
        <v>0</v>
      </c>
      <c r="I35" s="30" t="str">
        <f t="shared" si="3"/>
        <v/>
      </c>
      <c r="J35" s="31"/>
      <c r="K35" s="31">
        <v>0</v>
      </c>
      <c r="L35" s="32" t="str">
        <f t="shared" si="4"/>
        <v/>
      </c>
      <c r="M35" s="51"/>
      <c r="N35" s="51"/>
      <c r="O35" s="31" t="s">
        <v>6</v>
      </c>
      <c r="P35" s="31"/>
      <c r="Q35" s="33"/>
    </row>
    <row r="36" spans="1:17" ht="18" hidden="1" customHeight="1" outlineLevel="1">
      <c r="A36" s="49" t="s">
        <v>63</v>
      </c>
      <c r="B36" s="62" t="s">
        <v>72</v>
      </c>
      <c r="C36" s="51"/>
      <c r="D36" s="16"/>
      <c r="E36" s="16">
        <v>4</v>
      </c>
      <c r="F36" s="16">
        <v>1</v>
      </c>
      <c r="G36" s="16">
        <v>1</v>
      </c>
      <c r="H36" s="16">
        <v>0</v>
      </c>
      <c r="I36" s="30">
        <f t="shared" si="3"/>
        <v>0</v>
      </c>
      <c r="J36" s="31"/>
      <c r="K36" s="31">
        <v>0</v>
      </c>
      <c r="L36" s="32" t="str">
        <f t="shared" si="4"/>
        <v/>
      </c>
      <c r="M36" s="51"/>
      <c r="N36" s="51"/>
      <c r="O36" s="31" t="s">
        <v>6</v>
      </c>
      <c r="P36" s="31"/>
      <c r="Q36" s="33"/>
    </row>
    <row r="37" spans="1:17" ht="18" hidden="1" customHeight="1" outlineLevel="1">
      <c r="A37" s="49" t="s">
        <v>63</v>
      </c>
      <c r="B37" s="62" t="s">
        <v>73</v>
      </c>
      <c r="C37" s="51"/>
      <c r="D37" s="16"/>
      <c r="E37" s="16">
        <v>3</v>
      </c>
      <c r="F37" s="16">
        <v>0</v>
      </c>
      <c r="G37" s="16">
        <v>0</v>
      </c>
      <c r="H37" s="16">
        <v>0</v>
      </c>
      <c r="I37" s="30" t="str">
        <f t="shared" si="3"/>
        <v/>
      </c>
      <c r="J37" s="31"/>
      <c r="K37" s="31">
        <v>0</v>
      </c>
      <c r="L37" s="32" t="str">
        <f t="shared" si="4"/>
        <v/>
      </c>
      <c r="M37" s="51"/>
      <c r="N37" s="51"/>
      <c r="O37" s="31" t="s">
        <v>6</v>
      </c>
      <c r="P37" s="31"/>
      <c r="Q37" s="33" t="s">
        <v>150</v>
      </c>
    </row>
    <row r="38" spans="1:17" ht="18" hidden="1" customHeight="1" outlineLevel="1">
      <c r="A38" s="49" t="s">
        <v>63</v>
      </c>
      <c r="B38" s="62" t="s">
        <v>74</v>
      </c>
      <c r="C38" s="51"/>
      <c r="D38" s="16"/>
      <c r="E38" s="16">
        <v>3</v>
      </c>
      <c r="F38" s="16">
        <v>0</v>
      </c>
      <c r="G38" s="16">
        <v>0</v>
      </c>
      <c r="H38" s="16">
        <v>0</v>
      </c>
      <c r="I38" s="30" t="str">
        <f t="shared" si="3"/>
        <v/>
      </c>
      <c r="J38" s="31"/>
      <c r="K38" s="31">
        <v>0</v>
      </c>
      <c r="L38" s="32" t="str">
        <f t="shared" si="4"/>
        <v/>
      </c>
      <c r="M38" s="51"/>
      <c r="N38" s="51"/>
      <c r="O38" s="31" t="s">
        <v>6</v>
      </c>
      <c r="P38" s="31"/>
      <c r="Q38" s="33"/>
    </row>
    <row r="39" spans="1:17" ht="18" hidden="1" customHeight="1" outlineLevel="1">
      <c r="A39" s="49" t="s">
        <v>63</v>
      </c>
      <c r="B39" s="62" t="s">
        <v>75</v>
      </c>
      <c r="C39" s="51"/>
      <c r="D39" s="16"/>
      <c r="E39" s="16">
        <v>3</v>
      </c>
      <c r="F39" s="16">
        <v>1</v>
      </c>
      <c r="G39" s="16">
        <v>1</v>
      </c>
      <c r="H39" s="16">
        <v>1</v>
      </c>
      <c r="I39" s="30">
        <f t="shared" si="3"/>
        <v>1</v>
      </c>
      <c r="J39" s="31"/>
      <c r="K39" s="31">
        <v>0</v>
      </c>
      <c r="L39" s="32" t="str">
        <f t="shared" si="4"/>
        <v/>
      </c>
      <c r="M39" s="51"/>
      <c r="N39" s="51"/>
      <c r="O39" s="31" t="s">
        <v>6</v>
      </c>
      <c r="P39" s="31"/>
      <c r="Q39" s="33"/>
    </row>
    <row r="40" spans="1:17" ht="18" hidden="1" customHeight="1" outlineLevel="1">
      <c r="A40" s="49" t="s">
        <v>63</v>
      </c>
      <c r="B40" s="65" t="s">
        <v>76</v>
      </c>
      <c r="C40" s="51"/>
      <c r="D40" s="16"/>
      <c r="E40" s="16">
        <v>0</v>
      </c>
      <c r="F40" s="16">
        <v>544</v>
      </c>
      <c r="G40" s="16">
        <v>10</v>
      </c>
      <c r="H40" s="16">
        <v>9</v>
      </c>
      <c r="I40" s="30">
        <f t="shared" si="3"/>
        <v>0.9</v>
      </c>
      <c r="J40" s="31"/>
      <c r="K40" s="31">
        <v>0</v>
      </c>
      <c r="L40" s="32" t="str">
        <f t="shared" si="4"/>
        <v/>
      </c>
      <c r="M40" s="51"/>
      <c r="N40" s="51"/>
      <c r="O40" s="31" t="s">
        <v>6</v>
      </c>
      <c r="P40" s="31"/>
      <c r="Q40" s="33"/>
    </row>
    <row r="41" spans="1:17" ht="18" hidden="1" customHeight="1" outlineLevel="1">
      <c r="A41" s="49" t="s">
        <v>63</v>
      </c>
      <c r="B41" s="65" t="s">
        <v>77</v>
      </c>
      <c r="C41" s="51"/>
      <c r="D41" s="16"/>
      <c r="E41" s="16">
        <v>0</v>
      </c>
      <c r="F41" s="16">
        <v>8</v>
      </c>
      <c r="G41" s="16">
        <v>1</v>
      </c>
      <c r="H41" s="16">
        <v>0</v>
      </c>
      <c r="I41" s="30">
        <f t="shared" si="3"/>
        <v>0</v>
      </c>
      <c r="J41" s="31"/>
      <c r="K41" s="31">
        <v>0</v>
      </c>
      <c r="L41" s="32" t="str">
        <f t="shared" si="4"/>
        <v/>
      </c>
      <c r="M41" s="51"/>
      <c r="N41" s="51"/>
      <c r="O41" s="31" t="s">
        <v>6</v>
      </c>
      <c r="P41" s="31"/>
      <c r="Q41" s="33"/>
    </row>
    <row r="42" spans="1:17" ht="18" hidden="1" customHeight="1" outlineLevel="1">
      <c r="A42" s="49" t="s">
        <v>63</v>
      </c>
      <c r="B42" s="65" t="s">
        <v>78</v>
      </c>
      <c r="C42" s="51"/>
      <c r="D42" s="16"/>
      <c r="E42" s="16">
        <v>0</v>
      </c>
      <c r="F42" s="16">
        <v>1</v>
      </c>
      <c r="G42" s="16">
        <v>1</v>
      </c>
      <c r="H42" s="16">
        <v>0</v>
      </c>
      <c r="I42" s="30">
        <f t="shared" si="3"/>
        <v>0</v>
      </c>
      <c r="J42" s="31"/>
      <c r="K42" s="31">
        <v>0</v>
      </c>
      <c r="L42" s="32" t="str">
        <f t="shared" si="4"/>
        <v/>
      </c>
      <c r="M42" s="51"/>
      <c r="N42" s="51"/>
      <c r="O42" s="31" t="s">
        <v>6</v>
      </c>
      <c r="P42" s="31"/>
      <c r="Q42" s="33"/>
    </row>
    <row r="43" spans="1:17" ht="18" hidden="1" customHeight="1" outlineLevel="1">
      <c r="A43" s="49" t="s">
        <v>63</v>
      </c>
      <c r="B43" s="62" t="s">
        <v>79</v>
      </c>
      <c r="C43" s="51"/>
      <c r="D43" s="16"/>
      <c r="E43" s="16">
        <v>2</v>
      </c>
      <c r="F43" s="16">
        <v>0</v>
      </c>
      <c r="G43" s="16">
        <v>0</v>
      </c>
      <c r="H43" s="16">
        <v>0</v>
      </c>
      <c r="I43" s="30" t="str">
        <f t="shared" si="3"/>
        <v/>
      </c>
      <c r="J43" s="31"/>
      <c r="K43" s="31">
        <v>0</v>
      </c>
      <c r="L43" s="32" t="str">
        <f t="shared" si="4"/>
        <v/>
      </c>
      <c r="M43" s="51"/>
      <c r="N43" s="51"/>
      <c r="O43" s="31" t="s">
        <v>6</v>
      </c>
      <c r="P43" s="31"/>
      <c r="Q43" s="33"/>
    </row>
    <row r="44" spans="1:17" ht="18" hidden="1" customHeight="1" outlineLevel="1">
      <c r="A44" s="49" t="s">
        <v>63</v>
      </c>
      <c r="B44" s="62" t="s">
        <v>80</v>
      </c>
      <c r="C44" s="51"/>
      <c r="D44" s="16"/>
      <c r="E44" s="16">
        <v>2</v>
      </c>
      <c r="F44" s="16">
        <v>0</v>
      </c>
      <c r="G44" s="16">
        <v>0</v>
      </c>
      <c r="H44" s="16">
        <v>0</v>
      </c>
      <c r="I44" s="30" t="str">
        <f t="shared" si="3"/>
        <v/>
      </c>
      <c r="J44" s="31"/>
      <c r="K44" s="31">
        <v>0</v>
      </c>
      <c r="L44" s="32" t="str">
        <f t="shared" si="4"/>
        <v/>
      </c>
      <c r="M44" s="51"/>
      <c r="N44" s="51"/>
      <c r="O44" s="31" t="s">
        <v>6</v>
      </c>
      <c r="P44" s="31"/>
      <c r="Q44" s="33" t="s">
        <v>151</v>
      </c>
    </row>
    <row r="45" spans="1:17" ht="18" hidden="1" customHeight="1" outlineLevel="1">
      <c r="A45" s="49" t="s">
        <v>63</v>
      </c>
      <c r="B45" s="62" t="s">
        <v>81</v>
      </c>
      <c r="C45" s="51"/>
      <c r="D45" s="16"/>
      <c r="E45" s="16">
        <v>1</v>
      </c>
      <c r="F45" s="16">
        <v>0</v>
      </c>
      <c r="G45" s="16">
        <v>0</v>
      </c>
      <c r="H45" s="16">
        <v>0</v>
      </c>
      <c r="I45" s="30" t="str">
        <f t="shared" si="3"/>
        <v/>
      </c>
      <c r="J45" s="31"/>
      <c r="K45" s="31">
        <v>0</v>
      </c>
      <c r="L45" s="32" t="str">
        <f t="shared" si="4"/>
        <v/>
      </c>
      <c r="M45" s="51"/>
      <c r="N45" s="51"/>
      <c r="O45" s="31" t="s">
        <v>6</v>
      </c>
      <c r="P45" s="31"/>
      <c r="Q45" s="33"/>
    </row>
    <row r="46" spans="1:17" ht="18" customHeight="1" collapsed="1">
      <c r="A46" s="49" t="s">
        <v>63</v>
      </c>
      <c r="B46" s="43" t="s">
        <v>82</v>
      </c>
      <c r="D46" s="44">
        <f>SUM(D29:D45)</f>
        <v>0</v>
      </c>
      <c r="E46" s="44">
        <f>SUM(E29:E45)</f>
        <v>25</v>
      </c>
      <c r="F46" s="44">
        <f>SUM(F29:F45)</f>
        <v>555</v>
      </c>
      <c r="G46" s="44">
        <f>SUM(G29:G45)</f>
        <v>14</v>
      </c>
      <c r="H46" s="44">
        <f>SUM(H29:H45)</f>
        <v>10</v>
      </c>
      <c r="I46" s="72"/>
      <c r="J46" s="46">
        <f>SUM(J29:J45)</f>
        <v>538033.39430000004</v>
      </c>
      <c r="K46" s="46">
        <f>SUM(K29:K45)</f>
        <v>4368.4832999999999</v>
      </c>
      <c r="L46" s="73"/>
      <c r="O46" s="46">
        <f>SUM(O29:O45)</f>
        <v>21541.3</v>
      </c>
    </row>
    <row r="47" spans="1:17" ht="18" customHeight="1">
      <c r="D47" s="4"/>
      <c r="E47" s="4"/>
    </row>
    <row r="48" spans="1:17" ht="18" customHeight="1">
      <c r="B48" s="66" t="s">
        <v>83</v>
      </c>
      <c r="D48" s="67">
        <f>D46+D27</f>
        <v>55</v>
      </c>
      <c r="E48" s="67">
        <f>E46+E27</f>
        <v>258</v>
      </c>
      <c r="F48" s="67">
        <f>F46+F27</f>
        <v>2067</v>
      </c>
      <c r="G48" s="67">
        <f>G46+G27</f>
        <v>319</v>
      </c>
      <c r="H48" s="67">
        <f>H46+H27</f>
        <v>280</v>
      </c>
      <c r="J48" s="68">
        <f>J46+J27</f>
        <v>37789627.352600001</v>
      </c>
      <c r="K48" s="68">
        <f>K46+K27</f>
        <v>120302.29060000001</v>
      </c>
      <c r="O48" s="68">
        <f>O46+O27</f>
        <v>29942.5</v>
      </c>
    </row>
    <row r="51" spans="2:2" ht="18" customHeight="1">
      <c r="B51" s="63"/>
    </row>
    <row r="52" spans="2:2" ht="18" customHeight="1">
      <c r="B52" s="63"/>
    </row>
  </sheetData>
  <autoFilter ref="A2:Q25" xr:uid="{C3060A1C-C2B8-428B-BEBB-6A650C12678D}">
    <sortState xmlns:xlrd2="http://schemas.microsoft.com/office/spreadsheetml/2017/richdata2" ref="A3:Q25">
      <sortCondition descending="1" ref="P2:P25"/>
    </sortState>
  </autoFilter>
  <mergeCells count="2">
    <mergeCell ref="A1:N1"/>
    <mergeCell ref="O1:Q1"/>
  </mergeCells>
  <conditionalFormatting sqref="B48:B1048576 B1:B6 B8:B46">
    <cfRule type="duplicateValues" dxfId="31" priority="4"/>
  </conditionalFormatting>
  <conditionalFormatting sqref="C22">
    <cfRule type="duplicateValues" dxfId="30" priority="3"/>
  </conditionalFormatting>
  <conditionalFormatting sqref="E3:H25">
    <cfRule type="cellIs" dxfId="29" priority="14" operator="equal">
      <formula>0</formula>
    </cfRule>
  </conditionalFormatting>
  <conditionalFormatting sqref="E29:H46">
    <cfRule type="cellIs" dxfId="28" priority="11" operator="equal">
      <formula>0</formula>
    </cfRule>
  </conditionalFormatting>
  <conditionalFormatting sqref="F67:F1048576">
    <cfRule type="cellIs" dxfId="27" priority="19" operator="greaterThan">
      <formula>0.99</formula>
    </cfRule>
    <cfRule type="cellIs" dxfId="26" priority="20" operator="greaterThan">
      <formula>"99%%"</formula>
    </cfRule>
    <cfRule type="cellIs" dxfId="25" priority="21" operator="between">
      <formula>0.5</formula>
      <formula>"99%%"</formula>
    </cfRule>
    <cfRule type="cellIs" dxfId="24" priority="22" operator="lessThan">
      <formula>0.51</formula>
    </cfRule>
  </conditionalFormatting>
  <conditionalFormatting sqref="I3:I25">
    <cfRule type="cellIs" dxfId="23" priority="15" operator="greaterThan">
      <formula>0.3</formula>
    </cfRule>
    <cfRule type="cellIs" dxfId="22" priority="16" operator="lessThan">
      <formula>0.15</formula>
    </cfRule>
  </conditionalFormatting>
  <conditionalFormatting sqref="I27">
    <cfRule type="cellIs" dxfId="21" priority="12" operator="greaterThan">
      <formula>0.3</formula>
    </cfRule>
    <cfRule type="cellIs" dxfId="20" priority="13" operator="lessThan">
      <formula>0.15</formula>
    </cfRule>
  </conditionalFormatting>
  <conditionalFormatting sqref="I29:I45">
    <cfRule type="cellIs" dxfId="19" priority="9" operator="greaterThan">
      <formula>0.3</formula>
    </cfRule>
    <cfRule type="cellIs" dxfId="18" priority="10" operator="lessThan">
      <formula>0.15</formula>
    </cfRule>
  </conditionalFormatting>
  <conditionalFormatting sqref="L3:L25">
    <cfRule type="cellIs" dxfId="17" priority="17" operator="greaterThan">
      <formula>1</formula>
    </cfRule>
    <cfRule type="cellIs" dxfId="16" priority="18" operator="lessThan">
      <formula>1</formula>
    </cfRule>
  </conditionalFormatting>
  <conditionalFormatting sqref="L27">
    <cfRule type="cellIs" dxfId="15" priority="1" operator="greaterThan">
      <formula>1</formula>
    </cfRule>
    <cfRule type="cellIs" dxfId="14" priority="2" operator="lessThan">
      <formula>1</formula>
    </cfRule>
  </conditionalFormatting>
  <conditionalFormatting sqref="L29:L46">
    <cfRule type="cellIs" dxfId="13" priority="7" operator="greaterThan">
      <formula>1</formula>
    </cfRule>
    <cfRule type="cellIs" dxfId="12" priority="8" operator="lessThan">
      <formula>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76752-7882-4421-8339-B2A10F435775}">
  <sheetPr>
    <tabColor theme="2" tint="-9.9978637043366805E-2"/>
  </sheetPr>
  <dimension ref="A1:N61"/>
  <sheetViews>
    <sheetView showGridLines="0" zoomScaleNormal="100" workbookViewId="0">
      <pane ySplit="18" topLeftCell="A19" activePane="bottomLeft" state="frozen"/>
      <selection pane="bottomLeft" activeCell="M7" sqref="M7"/>
    </sheetView>
  </sheetViews>
  <sheetFormatPr defaultColWidth="9.109375" defaultRowHeight="14.4" outlineLevelRow="1"/>
  <cols>
    <col min="1" max="1" width="12.5546875" style="4" bestFit="1" customWidth="1"/>
    <col min="2" max="2" width="25.5546875" style="4" bestFit="1" customWidth="1"/>
    <col min="3" max="3" width="14.33203125" style="3" bestFit="1" customWidth="1"/>
    <col min="4" max="4" width="11.33203125" style="3" customWidth="1"/>
    <col min="5" max="5" width="12" style="4" customWidth="1"/>
    <col min="6" max="6" width="10.44140625" style="4" customWidth="1"/>
    <col min="7" max="7" width="11" style="4" customWidth="1"/>
    <col min="8" max="8" width="11.5546875" style="4" customWidth="1"/>
    <col min="9" max="9" width="10.33203125" style="4" customWidth="1"/>
    <col min="10" max="10" width="10.6640625" style="4" customWidth="1"/>
    <col min="11" max="11" width="10" style="4" bestFit="1" customWidth="1"/>
    <col min="12" max="12" width="9" style="4" customWidth="1"/>
    <col min="13" max="13" width="10.6640625" style="4" customWidth="1"/>
    <col min="14" max="14" width="55" style="28" customWidth="1"/>
    <col min="15" max="16384" width="9.109375" style="4"/>
  </cols>
  <sheetData>
    <row r="1" spans="1:8">
      <c r="A1" s="1" t="s">
        <v>84</v>
      </c>
      <c r="B1" s="2">
        <v>45932</v>
      </c>
    </row>
    <row r="2" spans="1:8" ht="28.8">
      <c r="A2" s="138" t="s">
        <v>85</v>
      </c>
      <c r="B2" s="5" t="s">
        <v>86</v>
      </c>
      <c r="C2" s="5" t="s">
        <v>87</v>
      </c>
      <c r="D2" s="5" t="s">
        <v>88</v>
      </c>
      <c r="E2" s="6" t="s">
        <v>89</v>
      </c>
      <c r="F2" s="6" t="s">
        <v>90</v>
      </c>
      <c r="H2" s="5" t="s">
        <v>91</v>
      </c>
    </row>
    <row r="3" spans="1:8" hidden="1" outlineLevel="1">
      <c r="A3" s="138"/>
      <c r="B3" s="7" t="s">
        <v>47</v>
      </c>
      <c r="C3" s="8">
        <v>32980</v>
      </c>
      <c r="D3" s="9">
        <v>132600</v>
      </c>
      <c r="E3" s="10">
        <f>C3/D3</f>
        <v>0.24871794871794872</v>
      </c>
      <c r="F3" s="11">
        <f>(C3-H3)/H3</f>
        <v>0.31972789115646261</v>
      </c>
      <c r="H3" s="12">
        <v>24990</v>
      </c>
    </row>
    <row r="4" spans="1:8" hidden="1" outlineLevel="1">
      <c r="A4" s="138"/>
      <c r="B4" s="7" t="s">
        <v>46</v>
      </c>
      <c r="C4" s="8">
        <v>63210</v>
      </c>
      <c r="D4" s="9">
        <v>132600</v>
      </c>
      <c r="E4" s="10">
        <f>C4/D4</f>
        <v>0.47669683257918555</v>
      </c>
      <c r="F4" s="11">
        <f>(C4-H4)/H4</f>
        <v>0.54812637766348271</v>
      </c>
      <c r="H4" s="12">
        <v>40830</v>
      </c>
    </row>
    <row r="5" spans="1:8" hidden="1" outlineLevel="1">
      <c r="A5" s="138"/>
      <c r="B5" s="13" t="s">
        <v>92</v>
      </c>
      <c r="C5" s="14">
        <f>C6/C7</f>
        <v>0.22784810126582278</v>
      </c>
      <c r="D5" s="14">
        <f>D6/D7</f>
        <v>0.3</v>
      </c>
      <c r="E5" s="10">
        <f>C5/D5</f>
        <v>0.759493670886076</v>
      </c>
      <c r="F5" s="11">
        <f>(C5-H5)/H5</f>
        <v>-0.66148282097649191</v>
      </c>
      <c r="H5" s="15">
        <f>H6/H7</f>
        <v>0.67307692307692313</v>
      </c>
    </row>
    <row r="6" spans="1:8" hidden="1" outlineLevel="1">
      <c r="A6" s="138"/>
      <c r="B6" s="7" t="s">
        <v>93</v>
      </c>
      <c r="C6" s="16">
        <v>18</v>
      </c>
      <c r="D6" s="17">
        <f>4.5*13</f>
        <v>58.5</v>
      </c>
      <c r="E6" s="10">
        <f t="shared" ref="E6:E9" si="0">C6/D6</f>
        <v>0.30769230769230771</v>
      </c>
      <c r="F6" s="11">
        <f>IFERROR((C6-H6)/H6,"")</f>
        <v>-0.74285714285714288</v>
      </c>
      <c r="H6" s="16">
        <v>70</v>
      </c>
    </row>
    <row r="7" spans="1:8" hidden="1" outlineLevel="1">
      <c r="A7" s="138"/>
      <c r="B7" s="7" t="s">
        <v>94</v>
      </c>
      <c r="C7" s="16">
        <v>79</v>
      </c>
      <c r="D7" s="17">
        <f>15*13</f>
        <v>195</v>
      </c>
      <c r="E7" s="10">
        <f t="shared" si="0"/>
        <v>0.40512820512820513</v>
      </c>
      <c r="F7" s="11">
        <f>(C7-H7)/H7</f>
        <v>-0.24038461538461539</v>
      </c>
      <c r="H7" s="16">
        <v>104</v>
      </c>
    </row>
    <row r="8" spans="1:8" hidden="1" outlineLevel="1">
      <c r="A8" s="138"/>
      <c r="B8" s="7" t="s">
        <v>95</v>
      </c>
      <c r="C8" s="16">
        <v>319</v>
      </c>
      <c r="D8" s="17">
        <f>20*13</f>
        <v>260</v>
      </c>
      <c r="E8" s="10">
        <f t="shared" si="0"/>
        <v>1.226923076923077</v>
      </c>
      <c r="F8" s="11">
        <f>(C8-H8)/H8</f>
        <v>-0.3888888888888889</v>
      </c>
      <c r="H8" s="16">
        <v>522</v>
      </c>
    </row>
    <row r="9" spans="1:8" hidden="1" outlineLevel="1">
      <c r="A9" s="138"/>
      <c r="B9" s="7" t="s">
        <v>96</v>
      </c>
      <c r="C9" s="16">
        <v>1040</v>
      </c>
      <c r="D9" s="17">
        <f>100*13</f>
        <v>1300</v>
      </c>
      <c r="E9" s="10">
        <f t="shared" si="0"/>
        <v>0.8</v>
      </c>
      <c r="F9" s="11">
        <f>(C9-H9)/H9</f>
        <v>0.79930795847750868</v>
      </c>
      <c r="H9" s="16">
        <v>578</v>
      </c>
    </row>
    <row r="10" spans="1:8" hidden="1" outlineLevel="1">
      <c r="A10" s="18"/>
      <c r="B10" s="19"/>
    </row>
    <row r="11" spans="1:8" hidden="1" outlineLevel="1">
      <c r="A11" s="139" t="s">
        <v>36</v>
      </c>
      <c r="B11" s="20" t="s">
        <v>47</v>
      </c>
      <c r="C11" s="21">
        <v>0</v>
      </c>
      <c r="D11" s="9">
        <v>132600</v>
      </c>
      <c r="E11" s="22">
        <f>C11/D11</f>
        <v>0</v>
      </c>
    </row>
    <row r="12" spans="1:8" hidden="1" outlineLevel="1">
      <c r="A12" s="139"/>
      <c r="B12" s="20" t="s">
        <v>50</v>
      </c>
      <c r="C12" s="23"/>
      <c r="D12" s="9">
        <v>132600</v>
      </c>
      <c r="E12" s="22">
        <f>C12/D12</f>
        <v>0</v>
      </c>
    </row>
    <row r="13" spans="1:8" hidden="1" outlineLevel="1">
      <c r="A13" s="139"/>
      <c r="B13" s="20" t="s">
        <v>97</v>
      </c>
      <c r="C13" s="24">
        <f>SUM(C11:C12)</f>
        <v>0</v>
      </c>
      <c r="D13" s="25">
        <v>132600</v>
      </c>
      <c r="E13" s="26">
        <f>C13/D13</f>
        <v>0</v>
      </c>
    </row>
    <row r="14" spans="1:8" hidden="1" outlineLevel="1">
      <c r="A14" s="139"/>
      <c r="B14" s="20" t="s">
        <v>98</v>
      </c>
      <c r="C14" s="16">
        <v>35</v>
      </c>
    </row>
    <row r="15" spans="1:8" hidden="1" outlineLevel="1">
      <c r="A15" s="139"/>
      <c r="B15" s="20" t="s">
        <v>99</v>
      </c>
      <c r="C15" s="16">
        <v>107</v>
      </c>
    </row>
    <row r="16" spans="1:8" collapsed="1">
      <c r="A16" s="18"/>
      <c r="B16" s="19"/>
    </row>
    <row r="17" spans="1:14">
      <c r="A17" s="132" t="s">
        <v>85</v>
      </c>
      <c r="B17" s="133"/>
      <c r="C17" s="133"/>
      <c r="D17" s="133"/>
      <c r="E17" s="133"/>
      <c r="F17" s="133"/>
      <c r="G17" s="133"/>
      <c r="H17" s="133"/>
      <c r="I17" s="133"/>
      <c r="J17" s="133"/>
      <c r="K17" s="133"/>
      <c r="L17" s="134"/>
      <c r="M17" s="139" t="s">
        <v>36</v>
      </c>
      <c r="N17" s="139"/>
    </row>
    <row r="18" spans="1:14" s="28" customFormat="1" ht="28.8">
      <c r="A18" s="27" t="s">
        <v>38</v>
      </c>
      <c r="B18" s="27" t="s">
        <v>100</v>
      </c>
      <c r="C18" s="27" t="s">
        <v>40</v>
      </c>
      <c r="D18" s="27" t="s">
        <v>41</v>
      </c>
      <c r="E18" s="27" t="s">
        <v>42</v>
      </c>
      <c r="F18" s="27" t="s">
        <v>43</v>
      </c>
      <c r="G18" s="27" t="s">
        <v>44</v>
      </c>
      <c r="H18" s="27" t="s">
        <v>45</v>
      </c>
      <c r="I18" s="27" t="s">
        <v>46</v>
      </c>
      <c r="J18" s="27" t="s">
        <v>47</v>
      </c>
      <c r="K18" s="27" t="s">
        <v>48</v>
      </c>
      <c r="L18" s="27" t="s">
        <v>49</v>
      </c>
      <c r="M18" s="27" t="s">
        <v>50</v>
      </c>
      <c r="N18" s="27" t="s">
        <v>101</v>
      </c>
    </row>
    <row r="19" spans="1:14">
      <c r="A19" s="17" t="s">
        <v>53</v>
      </c>
      <c r="B19" s="29" t="s">
        <v>14</v>
      </c>
      <c r="C19" s="16">
        <v>6</v>
      </c>
      <c r="D19" s="16">
        <v>90</v>
      </c>
      <c r="E19" s="16">
        <v>4</v>
      </c>
      <c r="F19" s="16">
        <v>5</v>
      </c>
      <c r="G19" s="16">
        <v>1</v>
      </c>
      <c r="H19" s="30">
        <f t="shared" ref="H19:H53" si="1">IFERROR(G19/F19,"")</f>
        <v>0.2</v>
      </c>
      <c r="I19" s="31">
        <v>131</v>
      </c>
      <c r="J19" s="31">
        <v>131</v>
      </c>
      <c r="K19" s="32">
        <f t="shared" ref="K19:K53" si="2">IFERROR(I19/J19,"")</f>
        <v>1</v>
      </c>
      <c r="L19" s="11">
        <f t="shared" ref="L19:L53" si="3">IFERROR(J19/$C$3,"")</f>
        <v>3.9721043056397815E-3</v>
      </c>
      <c r="M19" s="31">
        <v>0</v>
      </c>
      <c r="N19" s="33"/>
    </row>
    <row r="20" spans="1:14">
      <c r="A20" s="17" t="s">
        <v>53</v>
      </c>
      <c r="B20" s="29" t="s">
        <v>7</v>
      </c>
      <c r="C20" s="16">
        <v>2</v>
      </c>
      <c r="D20" s="16">
        <v>61</v>
      </c>
      <c r="E20" s="34">
        <v>30</v>
      </c>
      <c r="F20" s="34">
        <v>16</v>
      </c>
      <c r="G20" s="34">
        <v>4</v>
      </c>
      <c r="H20" s="30">
        <f t="shared" si="1"/>
        <v>0.25</v>
      </c>
      <c r="I20" s="35">
        <v>2576</v>
      </c>
      <c r="J20" s="35">
        <v>1550</v>
      </c>
      <c r="K20" s="32">
        <f t="shared" si="2"/>
        <v>1.6619354838709677</v>
      </c>
      <c r="L20" s="11">
        <f t="shared" si="3"/>
        <v>4.6998180715585203E-2</v>
      </c>
      <c r="M20" s="35">
        <v>1026</v>
      </c>
      <c r="N20" s="36"/>
    </row>
    <row r="21" spans="1:14">
      <c r="A21" s="17" t="s">
        <v>53</v>
      </c>
      <c r="B21" s="29" t="s">
        <v>15</v>
      </c>
      <c r="C21" s="16">
        <v>3</v>
      </c>
      <c r="D21" s="16">
        <v>125</v>
      </c>
      <c r="E21" s="16">
        <v>52</v>
      </c>
      <c r="F21" s="16">
        <v>15</v>
      </c>
      <c r="G21" s="16">
        <v>0</v>
      </c>
      <c r="H21" s="30">
        <f t="shared" si="1"/>
        <v>0</v>
      </c>
      <c r="I21" s="31">
        <v>0</v>
      </c>
      <c r="J21" s="31">
        <v>0</v>
      </c>
      <c r="K21" s="32" t="str">
        <f t="shared" si="2"/>
        <v/>
      </c>
      <c r="L21" s="11">
        <f t="shared" si="3"/>
        <v>0</v>
      </c>
      <c r="M21" s="31">
        <v>0</v>
      </c>
      <c r="N21" s="33"/>
    </row>
    <row r="22" spans="1:14">
      <c r="A22" s="17" t="s">
        <v>53</v>
      </c>
      <c r="B22" s="29" t="s">
        <v>16</v>
      </c>
      <c r="C22" s="16">
        <v>8</v>
      </c>
      <c r="D22" s="16">
        <v>25</v>
      </c>
      <c r="E22" s="16">
        <v>0</v>
      </c>
      <c r="F22" s="16">
        <v>0</v>
      </c>
      <c r="G22" s="16">
        <v>0</v>
      </c>
      <c r="H22" s="30" t="str">
        <f t="shared" si="1"/>
        <v/>
      </c>
      <c r="I22" s="31">
        <v>0</v>
      </c>
      <c r="J22" s="31">
        <v>0</v>
      </c>
      <c r="K22" s="32" t="str">
        <f t="shared" si="2"/>
        <v/>
      </c>
      <c r="L22" s="11">
        <f t="shared" si="3"/>
        <v>0</v>
      </c>
      <c r="M22" s="31">
        <v>0</v>
      </c>
      <c r="N22" s="33"/>
    </row>
    <row r="23" spans="1:14">
      <c r="A23" s="17" t="s">
        <v>53</v>
      </c>
      <c r="B23" s="29" t="s">
        <v>17</v>
      </c>
      <c r="C23" s="16">
        <v>1</v>
      </c>
      <c r="D23" s="16">
        <v>23</v>
      </c>
      <c r="E23" s="16">
        <v>0</v>
      </c>
      <c r="F23" s="16">
        <v>0</v>
      </c>
      <c r="G23" s="16">
        <v>0</v>
      </c>
      <c r="H23" s="30" t="str">
        <f t="shared" si="1"/>
        <v/>
      </c>
      <c r="I23" s="31">
        <v>0</v>
      </c>
      <c r="J23" s="31">
        <v>0</v>
      </c>
      <c r="K23" s="32" t="str">
        <f t="shared" si="2"/>
        <v/>
      </c>
      <c r="L23" s="11">
        <f t="shared" si="3"/>
        <v>0</v>
      </c>
      <c r="M23" s="31">
        <v>0</v>
      </c>
      <c r="N23" s="33" t="s">
        <v>59</v>
      </c>
    </row>
    <row r="24" spans="1:14">
      <c r="A24" s="17" t="s">
        <v>53</v>
      </c>
      <c r="B24" s="29" t="s">
        <v>9</v>
      </c>
      <c r="C24" s="16">
        <v>3</v>
      </c>
      <c r="D24" s="16">
        <v>49</v>
      </c>
      <c r="E24" s="16">
        <v>7</v>
      </c>
      <c r="F24" s="16">
        <v>6</v>
      </c>
      <c r="G24" s="16">
        <v>2</v>
      </c>
      <c r="H24" s="30">
        <f t="shared" si="1"/>
        <v>0.33333333333333331</v>
      </c>
      <c r="I24" s="31">
        <v>1004</v>
      </c>
      <c r="J24" s="31">
        <v>1000</v>
      </c>
      <c r="K24" s="32">
        <f t="shared" si="2"/>
        <v>1.004</v>
      </c>
      <c r="L24" s="11">
        <f t="shared" si="3"/>
        <v>3.0321406913280776E-2</v>
      </c>
      <c r="M24" s="31">
        <v>0</v>
      </c>
      <c r="N24" s="33"/>
    </row>
    <row r="25" spans="1:14">
      <c r="A25" s="17" t="s">
        <v>53</v>
      </c>
      <c r="B25" s="29" t="s">
        <v>19</v>
      </c>
      <c r="C25" s="16">
        <v>2</v>
      </c>
      <c r="D25" s="16">
        <v>6</v>
      </c>
      <c r="E25" s="16">
        <v>0</v>
      </c>
      <c r="F25" s="16">
        <v>0</v>
      </c>
      <c r="G25" s="16">
        <v>0</v>
      </c>
      <c r="H25" s="30" t="str">
        <f t="shared" si="1"/>
        <v/>
      </c>
      <c r="I25" s="31">
        <v>0</v>
      </c>
      <c r="J25" s="31">
        <v>0</v>
      </c>
      <c r="K25" s="32" t="str">
        <f t="shared" si="2"/>
        <v/>
      </c>
      <c r="L25" s="11">
        <f t="shared" si="3"/>
        <v>0</v>
      </c>
      <c r="M25" s="31">
        <v>0</v>
      </c>
      <c r="N25" s="33" t="s">
        <v>20</v>
      </c>
    </row>
    <row r="26" spans="1:14">
      <c r="A26" s="17" t="s">
        <v>53</v>
      </c>
      <c r="B26" s="29" t="s">
        <v>21</v>
      </c>
      <c r="C26" s="16">
        <v>6</v>
      </c>
      <c r="D26" s="16">
        <v>8</v>
      </c>
      <c r="E26" s="16">
        <v>0</v>
      </c>
      <c r="F26" s="16">
        <v>0</v>
      </c>
      <c r="G26" s="16">
        <v>0</v>
      </c>
      <c r="H26" s="30" t="str">
        <f t="shared" si="1"/>
        <v/>
      </c>
      <c r="I26" s="31">
        <v>0</v>
      </c>
      <c r="J26" s="31">
        <v>0</v>
      </c>
      <c r="K26" s="32" t="str">
        <f t="shared" si="2"/>
        <v/>
      </c>
      <c r="L26" s="11">
        <f t="shared" si="3"/>
        <v>0</v>
      </c>
      <c r="M26" s="31">
        <v>0</v>
      </c>
      <c r="N26" s="33" t="s">
        <v>102</v>
      </c>
    </row>
    <row r="27" spans="1:14">
      <c r="A27" s="17" t="s">
        <v>53</v>
      </c>
      <c r="B27" s="29" t="s">
        <v>22</v>
      </c>
      <c r="C27" s="16">
        <v>1</v>
      </c>
      <c r="D27" s="16">
        <v>40</v>
      </c>
      <c r="E27" s="16">
        <v>4</v>
      </c>
      <c r="F27" s="16">
        <v>5</v>
      </c>
      <c r="G27" s="16">
        <v>0</v>
      </c>
      <c r="H27" s="30">
        <f t="shared" si="1"/>
        <v>0</v>
      </c>
      <c r="I27" s="31">
        <v>0</v>
      </c>
      <c r="J27" s="31">
        <v>0</v>
      </c>
      <c r="K27" s="32" t="str">
        <f t="shared" si="2"/>
        <v/>
      </c>
      <c r="L27" s="11">
        <f t="shared" si="3"/>
        <v>0</v>
      </c>
      <c r="M27" s="31">
        <v>0</v>
      </c>
      <c r="N27" s="33"/>
    </row>
    <row r="28" spans="1:14">
      <c r="A28" s="17" t="s">
        <v>53</v>
      </c>
      <c r="B28" s="33" t="s">
        <v>103</v>
      </c>
      <c r="C28" s="16">
        <v>3</v>
      </c>
      <c r="D28" s="16">
        <v>5</v>
      </c>
      <c r="E28" s="16">
        <v>1</v>
      </c>
      <c r="F28" s="16">
        <v>3</v>
      </c>
      <c r="G28" s="16">
        <v>0</v>
      </c>
      <c r="H28" s="30">
        <f t="shared" si="1"/>
        <v>0</v>
      </c>
      <c r="I28" s="31">
        <v>0</v>
      </c>
      <c r="J28" s="31">
        <v>0</v>
      </c>
      <c r="K28" s="32" t="str">
        <f t="shared" si="2"/>
        <v/>
      </c>
      <c r="L28" s="11">
        <f t="shared" si="3"/>
        <v>0</v>
      </c>
      <c r="M28" s="31">
        <v>0</v>
      </c>
      <c r="N28" s="33"/>
    </row>
    <row r="29" spans="1:14" ht="28.8">
      <c r="A29" s="17" t="s">
        <v>53</v>
      </c>
      <c r="B29" s="33" t="s">
        <v>26</v>
      </c>
      <c r="C29" s="16">
        <v>1</v>
      </c>
      <c r="D29" s="16">
        <v>4</v>
      </c>
      <c r="E29" s="16">
        <v>0</v>
      </c>
      <c r="F29" s="16">
        <v>0</v>
      </c>
      <c r="G29" s="16">
        <v>0</v>
      </c>
      <c r="H29" s="30" t="str">
        <f t="shared" si="1"/>
        <v/>
      </c>
      <c r="I29" s="31">
        <v>0</v>
      </c>
      <c r="J29" s="31">
        <v>0</v>
      </c>
      <c r="K29" s="32" t="str">
        <f t="shared" si="2"/>
        <v/>
      </c>
      <c r="L29" s="11">
        <f t="shared" si="3"/>
        <v>0</v>
      </c>
      <c r="M29" s="31">
        <v>0</v>
      </c>
      <c r="N29" s="33" t="s">
        <v>61</v>
      </c>
    </row>
    <row r="30" spans="1:14">
      <c r="A30" s="17" t="s">
        <v>53</v>
      </c>
      <c r="B30" s="33" t="s">
        <v>28</v>
      </c>
      <c r="C30" s="16">
        <v>1</v>
      </c>
      <c r="D30" s="16">
        <v>11</v>
      </c>
      <c r="E30" s="16">
        <v>1</v>
      </c>
      <c r="F30" s="16">
        <v>6</v>
      </c>
      <c r="G30" s="16">
        <v>6</v>
      </c>
      <c r="H30" s="30">
        <f t="shared" si="1"/>
        <v>1</v>
      </c>
      <c r="I30" s="31">
        <v>293</v>
      </c>
      <c r="J30" s="31">
        <v>10640</v>
      </c>
      <c r="K30" s="32">
        <f t="shared" si="2"/>
        <v>2.7537593984962406E-2</v>
      </c>
      <c r="L30" s="11">
        <f t="shared" si="3"/>
        <v>0.32261976955730748</v>
      </c>
      <c r="M30" s="31">
        <v>0</v>
      </c>
      <c r="N30" s="33"/>
    </row>
    <row r="31" spans="1:14">
      <c r="A31" s="17" t="s">
        <v>53</v>
      </c>
      <c r="B31" s="33" t="s">
        <v>11</v>
      </c>
      <c r="C31" s="16">
        <v>1</v>
      </c>
      <c r="D31" s="16">
        <v>66</v>
      </c>
      <c r="E31" s="16">
        <v>5</v>
      </c>
      <c r="F31" s="16">
        <v>6</v>
      </c>
      <c r="G31" s="16">
        <v>2</v>
      </c>
      <c r="H31" s="30">
        <f t="shared" si="1"/>
        <v>0.33333333333333331</v>
      </c>
      <c r="I31" s="31">
        <v>32010</v>
      </c>
      <c r="J31" s="31">
        <v>9450</v>
      </c>
      <c r="K31" s="32">
        <f t="shared" si="2"/>
        <v>3.3873015873015873</v>
      </c>
      <c r="L31" s="11">
        <f t="shared" si="3"/>
        <v>0.28653729533050332</v>
      </c>
      <c r="M31" s="31">
        <v>32010</v>
      </c>
      <c r="N31" s="33"/>
    </row>
    <row r="32" spans="1:14" ht="28.8">
      <c r="A32" s="17" t="s">
        <v>53</v>
      </c>
      <c r="B32" s="33" t="s">
        <v>5</v>
      </c>
      <c r="C32" s="16">
        <v>1</v>
      </c>
      <c r="D32" s="16">
        <v>20</v>
      </c>
      <c r="E32" s="16">
        <v>6</v>
      </c>
      <c r="F32" s="16">
        <v>1</v>
      </c>
      <c r="G32" s="16">
        <v>0</v>
      </c>
      <c r="H32" s="30">
        <f t="shared" si="1"/>
        <v>0</v>
      </c>
      <c r="I32" s="31">
        <v>0</v>
      </c>
      <c r="J32" s="31">
        <v>0</v>
      </c>
      <c r="K32" s="32" t="str">
        <f t="shared" si="2"/>
        <v/>
      </c>
      <c r="L32" s="11">
        <f t="shared" si="3"/>
        <v>0</v>
      </c>
      <c r="M32" s="31">
        <v>0</v>
      </c>
      <c r="N32" s="33"/>
    </row>
    <row r="33" spans="1:14">
      <c r="A33" s="17" t="s">
        <v>53</v>
      </c>
      <c r="B33" s="33" t="s">
        <v>29</v>
      </c>
      <c r="C33" s="16">
        <v>3</v>
      </c>
      <c r="D33" s="16">
        <v>55</v>
      </c>
      <c r="E33" s="16">
        <v>1</v>
      </c>
      <c r="F33" s="16">
        <v>1</v>
      </c>
      <c r="G33" s="16">
        <v>0</v>
      </c>
      <c r="H33" s="30">
        <f t="shared" si="1"/>
        <v>0</v>
      </c>
      <c r="I33" s="31">
        <v>0</v>
      </c>
      <c r="J33" s="31">
        <v>0</v>
      </c>
      <c r="K33" s="32" t="str">
        <f t="shared" si="2"/>
        <v/>
      </c>
      <c r="L33" s="11">
        <f t="shared" si="3"/>
        <v>0</v>
      </c>
      <c r="M33" s="31">
        <v>0</v>
      </c>
      <c r="N33" s="33"/>
    </row>
    <row r="34" spans="1:14">
      <c r="A34" s="17" t="s">
        <v>53</v>
      </c>
      <c r="B34" s="33" t="s">
        <v>10</v>
      </c>
      <c r="C34" s="16">
        <v>1</v>
      </c>
      <c r="D34" s="16">
        <v>31</v>
      </c>
      <c r="E34" s="16">
        <v>3</v>
      </c>
      <c r="F34" s="16">
        <v>2</v>
      </c>
      <c r="G34" s="16">
        <v>2</v>
      </c>
      <c r="H34" s="30">
        <f t="shared" si="1"/>
        <v>1</v>
      </c>
      <c r="I34" s="31">
        <v>21950</v>
      </c>
      <c r="J34" s="31">
        <v>5200</v>
      </c>
      <c r="K34" s="32">
        <f t="shared" si="2"/>
        <v>4.2211538461538458</v>
      </c>
      <c r="L34" s="11">
        <f t="shared" si="3"/>
        <v>0.15767131594906003</v>
      </c>
      <c r="M34" s="31">
        <v>21950</v>
      </c>
      <c r="N34" s="33"/>
    </row>
    <row r="35" spans="1:14" ht="28.8">
      <c r="A35" s="17" t="s">
        <v>53</v>
      </c>
      <c r="B35" s="33" t="s">
        <v>30</v>
      </c>
      <c r="C35" s="16">
        <v>1</v>
      </c>
      <c r="D35" s="16">
        <v>40</v>
      </c>
      <c r="E35" s="16">
        <v>3</v>
      </c>
      <c r="F35" s="16">
        <v>3</v>
      </c>
      <c r="G35" s="16">
        <v>0</v>
      </c>
      <c r="H35" s="30">
        <f t="shared" si="1"/>
        <v>0</v>
      </c>
      <c r="I35" s="31">
        <v>0</v>
      </c>
      <c r="J35" s="31">
        <v>0</v>
      </c>
      <c r="K35" s="32" t="str">
        <f t="shared" si="2"/>
        <v/>
      </c>
      <c r="L35" s="11">
        <f t="shared" si="3"/>
        <v>0</v>
      </c>
      <c r="M35" s="31">
        <v>0</v>
      </c>
      <c r="N35" s="33"/>
    </row>
    <row r="36" spans="1:14">
      <c r="A36" s="17" t="s">
        <v>53</v>
      </c>
      <c r="B36" s="33" t="s">
        <v>31</v>
      </c>
      <c r="C36" s="16">
        <v>1</v>
      </c>
      <c r="D36" s="16">
        <v>8</v>
      </c>
      <c r="E36" s="16">
        <v>0</v>
      </c>
      <c r="F36" s="16">
        <v>0</v>
      </c>
      <c r="G36" s="16">
        <v>0</v>
      </c>
      <c r="H36" s="30" t="str">
        <f t="shared" si="1"/>
        <v/>
      </c>
      <c r="I36" s="31">
        <v>0</v>
      </c>
      <c r="J36" s="31">
        <v>0</v>
      </c>
      <c r="K36" s="32" t="str">
        <f t="shared" si="2"/>
        <v/>
      </c>
      <c r="L36" s="11">
        <f t="shared" si="3"/>
        <v>0</v>
      </c>
      <c r="M36" s="31">
        <v>0</v>
      </c>
      <c r="N36" s="33" t="s">
        <v>32</v>
      </c>
    </row>
    <row r="37" spans="1:14">
      <c r="A37" s="17" t="s">
        <v>53</v>
      </c>
      <c r="B37" s="37" t="s">
        <v>18</v>
      </c>
      <c r="C37" s="16">
        <v>2</v>
      </c>
      <c r="D37" s="16">
        <v>2</v>
      </c>
      <c r="E37" s="16">
        <v>0</v>
      </c>
      <c r="F37" s="16">
        <v>0</v>
      </c>
      <c r="G37" s="16">
        <v>0</v>
      </c>
      <c r="H37" s="30" t="str">
        <f t="shared" si="1"/>
        <v/>
      </c>
      <c r="I37" s="31">
        <v>0</v>
      </c>
      <c r="J37" s="31">
        <v>0</v>
      </c>
      <c r="K37" s="32" t="str">
        <f t="shared" si="2"/>
        <v/>
      </c>
      <c r="L37" s="11">
        <f t="shared" si="3"/>
        <v>0</v>
      </c>
      <c r="M37" s="31">
        <v>0</v>
      </c>
      <c r="N37" s="33"/>
    </row>
    <row r="38" spans="1:14" ht="28.8">
      <c r="A38" s="17" t="s">
        <v>53</v>
      </c>
      <c r="B38" s="38" t="s">
        <v>33</v>
      </c>
      <c r="C38" s="16">
        <v>7</v>
      </c>
      <c r="D38" s="16">
        <v>6</v>
      </c>
      <c r="E38" s="16">
        <v>0</v>
      </c>
      <c r="F38" s="16">
        <v>0</v>
      </c>
      <c r="G38" s="16">
        <v>0</v>
      </c>
      <c r="H38" s="30" t="str">
        <f t="shared" si="1"/>
        <v/>
      </c>
      <c r="I38" s="31">
        <v>0</v>
      </c>
      <c r="J38" s="31">
        <v>0</v>
      </c>
      <c r="K38" s="32" t="str">
        <f t="shared" si="2"/>
        <v/>
      </c>
      <c r="L38" s="11">
        <f t="shared" si="3"/>
        <v>0</v>
      </c>
      <c r="M38" s="31">
        <v>0</v>
      </c>
      <c r="N38" s="33" t="s">
        <v>60</v>
      </c>
    </row>
    <row r="39" spans="1:14">
      <c r="A39" s="17" t="s">
        <v>53</v>
      </c>
      <c r="B39" s="39" t="s">
        <v>23</v>
      </c>
      <c r="C39" s="16">
        <v>5</v>
      </c>
      <c r="D39" s="16">
        <v>20</v>
      </c>
      <c r="E39" s="16">
        <v>0</v>
      </c>
      <c r="F39" s="16">
        <v>0</v>
      </c>
      <c r="G39" s="16">
        <v>0</v>
      </c>
      <c r="H39" s="30" t="str">
        <f t="shared" si="1"/>
        <v/>
      </c>
      <c r="I39" s="31">
        <v>0</v>
      </c>
      <c r="J39" s="31">
        <v>0</v>
      </c>
      <c r="K39" s="32" t="str">
        <f t="shared" si="2"/>
        <v/>
      </c>
      <c r="L39" s="11">
        <f t="shared" si="3"/>
        <v>0</v>
      </c>
      <c r="M39" s="31">
        <v>0</v>
      </c>
      <c r="N39" s="33" t="s">
        <v>24</v>
      </c>
    </row>
    <row r="40" spans="1:14" ht="28.8">
      <c r="A40" s="17" t="s">
        <v>53</v>
      </c>
      <c r="B40" s="39" t="s">
        <v>25</v>
      </c>
      <c r="C40" s="16">
        <v>1</v>
      </c>
      <c r="D40" s="16">
        <v>151</v>
      </c>
      <c r="E40" s="16">
        <v>1</v>
      </c>
      <c r="F40" s="16">
        <v>0</v>
      </c>
      <c r="G40" s="16">
        <v>0</v>
      </c>
      <c r="H40" s="30" t="str">
        <f t="shared" si="1"/>
        <v/>
      </c>
      <c r="I40" s="31">
        <v>0</v>
      </c>
      <c r="J40" s="31">
        <v>0</v>
      </c>
      <c r="K40" s="32" t="str">
        <f t="shared" si="2"/>
        <v/>
      </c>
      <c r="L40" s="11">
        <f t="shared" si="3"/>
        <v>0</v>
      </c>
      <c r="M40" s="31">
        <v>0</v>
      </c>
      <c r="N40" s="33" t="s">
        <v>57</v>
      </c>
    </row>
    <row r="41" spans="1:14" outlineLevel="1">
      <c r="A41" s="17" t="s">
        <v>53</v>
      </c>
      <c r="B41" s="40" t="s">
        <v>104</v>
      </c>
      <c r="C41" s="16">
        <v>1</v>
      </c>
      <c r="D41" s="16">
        <v>5</v>
      </c>
      <c r="E41" s="16">
        <v>0</v>
      </c>
      <c r="F41" s="16">
        <v>0</v>
      </c>
      <c r="G41" s="16">
        <v>0</v>
      </c>
      <c r="H41" s="30" t="str">
        <f t="shared" si="1"/>
        <v/>
      </c>
      <c r="I41" s="31">
        <v>0</v>
      </c>
      <c r="J41" s="31">
        <v>0</v>
      </c>
      <c r="K41" s="32" t="str">
        <f t="shared" si="2"/>
        <v/>
      </c>
      <c r="L41" s="11">
        <f t="shared" si="3"/>
        <v>0</v>
      </c>
      <c r="M41" s="31">
        <v>0</v>
      </c>
      <c r="N41" s="33" t="s">
        <v>105</v>
      </c>
    </row>
    <row r="42" spans="1:14" outlineLevel="1">
      <c r="A42" s="17" t="s">
        <v>53</v>
      </c>
      <c r="B42" s="40" t="s">
        <v>106</v>
      </c>
      <c r="C42" s="16">
        <v>1</v>
      </c>
      <c r="D42" s="16">
        <v>7</v>
      </c>
      <c r="E42" s="16">
        <v>0</v>
      </c>
      <c r="F42" s="16">
        <v>0</v>
      </c>
      <c r="G42" s="16">
        <v>0</v>
      </c>
      <c r="H42" s="30" t="str">
        <f t="shared" si="1"/>
        <v/>
      </c>
      <c r="I42" s="31">
        <v>0</v>
      </c>
      <c r="J42" s="31">
        <v>0</v>
      </c>
      <c r="K42" s="32" t="str">
        <f t="shared" si="2"/>
        <v/>
      </c>
      <c r="L42" s="11">
        <f t="shared" si="3"/>
        <v>0</v>
      </c>
      <c r="M42" s="31">
        <v>0</v>
      </c>
      <c r="N42" s="33" t="s">
        <v>107</v>
      </c>
    </row>
    <row r="43" spans="1:14" outlineLevel="1">
      <c r="A43" s="17" t="s">
        <v>53</v>
      </c>
      <c r="B43" s="41" t="s">
        <v>108</v>
      </c>
      <c r="C43" s="16">
        <v>5</v>
      </c>
      <c r="D43" s="16">
        <v>39</v>
      </c>
      <c r="E43" s="16">
        <v>0</v>
      </c>
      <c r="F43" s="16">
        <v>0</v>
      </c>
      <c r="G43" s="16">
        <v>0</v>
      </c>
      <c r="H43" s="30" t="str">
        <f t="shared" si="1"/>
        <v/>
      </c>
      <c r="I43" s="31">
        <v>0</v>
      </c>
      <c r="J43" s="31">
        <v>0</v>
      </c>
      <c r="K43" s="32" t="str">
        <f t="shared" si="2"/>
        <v/>
      </c>
      <c r="L43" s="11">
        <f t="shared" si="3"/>
        <v>0</v>
      </c>
      <c r="M43" s="31">
        <v>0</v>
      </c>
      <c r="N43" s="33"/>
    </row>
    <row r="44" spans="1:14" ht="28.8" outlineLevel="1">
      <c r="A44" s="17" t="s">
        <v>53</v>
      </c>
      <c r="B44" s="42" t="s">
        <v>109</v>
      </c>
      <c r="C44" s="16">
        <v>8</v>
      </c>
      <c r="D44" s="16">
        <v>3</v>
      </c>
      <c r="E44" s="16">
        <v>0</v>
      </c>
      <c r="F44" s="16">
        <v>0</v>
      </c>
      <c r="G44" s="16">
        <v>0</v>
      </c>
      <c r="H44" s="30" t="str">
        <f t="shared" si="1"/>
        <v/>
      </c>
      <c r="I44" s="31">
        <v>0</v>
      </c>
      <c r="J44" s="31">
        <v>0</v>
      </c>
      <c r="K44" s="32" t="str">
        <f t="shared" si="2"/>
        <v/>
      </c>
      <c r="L44" s="11">
        <f t="shared" si="3"/>
        <v>0</v>
      </c>
      <c r="M44" s="31">
        <v>0</v>
      </c>
      <c r="N44" s="33" t="s">
        <v>110</v>
      </c>
    </row>
    <row r="45" spans="1:14" outlineLevel="1">
      <c r="A45" s="17" t="s">
        <v>53</v>
      </c>
      <c r="B45" s="42" t="s">
        <v>111</v>
      </c>
      <c r="C45" s="16">
        <v>1</v>
      </c>
      <c r="D45" s="16">
        <v>0</v>
      </c>
      <c r="E45" s="16">
        <v>1</v>
      </c>
      <c r="F45" s="16">
        <v>1</v>
      </c>
      <c r="G45" s="16">
        <v>0</v>
      </c>
      <c r="H45" s="30">
        <f t="shared" si="1"/>
        <v>0</v>
      </c>
      <c r="I45" s="31">
        <v>0</v>
      </c>
      <c r="J45" s="31">
        <v>0</v>
      </c>
      <c r="K45" s="32" t="str">
        <f t="shared" si="2"/>
        <v/>
      </c>
      <c r="L45" s="11">
        <f t="shared" si="3"/>
        <v>0</v>
      </c>
      <c r="M45" s="31">
        <v>0</v>
      </c>
      <c r="N45" s="33" t="s">
        <v>112</v>
      </c>
    </row>
    <row r="46" spans="1:14" outlineLevel="1">
      <c r="A46" s="17" t="s">
        <v>53</v>
      </c>
      <c r="B46" s="42" t="s">
        <v>78</v>
      </c>
      <c r="C46" s="16">
        <v>6</v>
      </c>
      <c r="D46" s="16">
        <v>7</v>
      </c>
      <c r="E46" s="16">
        <v>0</v>
      </c>
      <c r="F46" s="16">
        <v>0</v>
      </c>
      <c r="G46" s="16">
        <v>0</v>
      </c>
      <c r="H46" s="30" t="str">
        <f t="shared" si="1"/>
        <v/>
      </c>
      <c r="I46" s="31">
        <v>0</v>
      </c>
      <c r="J46" s="31">
        <v>0</v>
      </c>
      <c r="K46" s="32" t="str">
        <f t="shared" si="2"/>
        <v/>
      </c>
      <c r="L46" s="11">
        <f t="shared" si="3"/>
        <v>0</v>
      </c>
      <c r="M46" s="31">
        <v>0</v>
      </c>
      <c r="N46" s="33" t="s">
        <v>113</v>
      </c>
    </row>
    <row r="47" spans="1:14" ht="28.8" outlineLevel="1">
      <c r="A47" s="17" t="s">
        <v>53</v>
      </c>
      <c r="B47" s="42" t="s">
        <v>114</v>
      </c>
      <c r="C47" s="16">
        <v>3</v>
      </c>
      <c r="D47" s="16">
        <v>12</v>
      </c>
      <c r="E47" s="16">
        <v>169</v>
      </c>
      <c r="F47" s="16">
        <v>0</v>
      </c>
      <c r="G47" s="16">
        <v>0</v>
      </c>
      <c r="H47" s="30" t="str">
        <f t="shared" si="1"/>
        <v/>
      </c>
      <c r="I47" s="31">
        <v>0</v>
      </c>
      <c r="J47" s="31">
        <v>0</v>
      </c>
      <c r="K47" s="32" t="str">
        <f t="shared" si="2"/>
        <v/>
      </c>
      <c r="L47" s="11">
        <f t="shared" si="3"/>
        <v>0</v>
      </c>
      <c r="M47" s="31">
        <v>0</v>
      </c>
      <c r="N47" s="33" t="s">
        <v>115</v>
      </c>
    </row>
    <row r="48" spans="1:14" outlineLevel="1">
      <c r="A48" s="17" t="s">
        <v>53</v>
      </c>
      <c r="B48" s="42" t="s">
        <v>116</v>
      </c>
      <c r="C48" s="16">
        <v>4</v>
      </c>
      <c r="D48" s="16">
        <v>8</v>
      </c>
      <c r="E48" s="16">
        <v>1</v>
      </c>
      <c r="F48" s="16">
        <v>1</v>
      </c>
      <c r="G48" s="16">
        <v>0</v>
      </c>
      <c r="H48" s="30">
        <f t="shared" si="1"/>
        <v>0</v>
      </c>
      <c r="I48" s="31">
        <v>0</v>
      </c>
      <c r="J48" s="31">
        <v>0</v>
      </c>
      <c r="K48" s="32" t="str">
        <f t="shared" si="2"/>
        <v/>
      </c>
      <c r="L48" s="11">
        <f t="shared" si="3"/>
        <v>0</v>
      </c>
      <c r="M48" s="31">
        <v>0</v>
      </c>
      <c r="N48" s="33" t="s">
        <v>117</v>
      </c>
    </row>
    <row r="49" spans="1:14" ht="28.8" outlineLevel="1">
      <c r="A49" s="17" t="s">
        <v>53</v>
      </c>
      <c r="B49" s="42" t="s">
        <v>118</v>
      </c>
      <c r="C49" s="16">
        <v>1</v>
      </c>
      <c r="D49" s="16">
        <v>16</v>
      </c>
      <c r="E49" s="16">
        <v>0</v>
      </c>
      <c r="F49" s="16">
        <v>0</v>
      </c>
      <c r="G49" s="16">
        <v>0</v>
      </c>
      <c r="H49" s="30" t="str">
        <f t="shared" si="1"/>
        <v/>
      </c>
      <c r="I49" s="31">
        <v>0</v>
      </c>
      <c r="J49" s="31">
        <v>0</v>
      </c>
      <c r="K49" s="32" t="str">
        <f t="shared" si="2"/>
        <v/>
      </c>
      <c r="L49" s="11">
        <f t="shared" si="3"/>
        <v>0</v>
      </c>
      <c r="M49" s="31">
        <v>0</v>
      </c>
      <c r="N49" s="33" t="s">
        <v>119</v>
      </c>
    </row>
    <row r="50" spans="1:14" ht="28.8" outlineLevel="1">
      <c r="A50" s="17" t="s">
        <v>53</v>
      </c>
      <c r="B50" s="42" t="s">
        <v>120</v>
      </c>
      <c r="C50" s="16">
        <v>10</v>
      </c>
      <c r="D50" s="16">
        <v>0</v>
      </c>
      <c r="E50" s="16">
        <v>0</v>
      </c>
      <c r="F50" s="16">
        <v>0</v>
      </c>
      <c r="G50" s="16">
        <v>0</v>
      </c>
      <c r="H50" s="30" t="str">
        <f t="shared" si="1"/>
        <v/>
      </c>
      <c r="I50" s="31">
        <v>0</v>
      </c>
      <c r="J50" s="31">
        <v>0</v>
      </c>
      <c r="K50" s="32" t="str">
        <f t="shared" si="2"/>
        <v/>
      </c>
      <c r="L50" s="11">
        <f t="shared" si="3"/>
        <v>0</v>
      </c>
      <c r="M50" s="31">
        <v>0</v>
      </c>
      <c r="N50" s="33" t="s">
        <v>121</v>
      </c>
    </row>
    <row r="51" spans="1:14" ht="28.8" outlineLevel="1">
      <c r="A51" s="17" t="s">
        <v>53</v>
      </c>
      <c r="B51" s="42" t="s">
        <v>122</v>
      </c>
      <c r="C51" s="16">
        <v>4</v>
      </c>
      <c r="D51" s="16">
        <v>25</v>
      </c>
      <c r="E51" s="16">
        <v>0</v>
      </c>
      <c r="F51" s="16">
        <v>0</v>
      </c>
      <c r="G51" s="16">
        <v>0</v>
      </c>
      <c r="H51" s="30" t="str">
        <f t="shared" si="1"/>
        <v/>
      </c>
      <c r="I51" s="31">
        <v>0</v>
      </c>
      <c r="J51" s="31">
        <v>0</v>
      </c>
      <c r="K51" s="32" t="str">
        <f t="shared" si="2"/>
        <v/>
      </c>
      <c r="L51" s="11">
        <f t="shared" si="3"/>
        <v>0</v>
      </c>
      <c r="M51" s="31">
        <v>0</v>
      </c>
      <c r="N51" s="33" t="s">
        <v>123</v>
      </c>
    </row>
    <row r="52" spans="1:14" outlineLevel="1">
      <c r="A52" s="17" t="s">
        <v>53</v>
      </c>
      <c r="B52" s="42" t="s">
        <v>75</v>
      </c>
      <c r="C52" s="16">
        <v>2</v>
      </c>
      <c r="D52" s="16">
        <v>18</v>
      </c>
      <c r="E52" s="16">
        <v>18</v>
      </c>
      <c r="F52" s="16">
        <v>0</v>
      </c>
      <c r="G52" s="16">
        <v>0</v>
      </c>
      <c r="H52" s="30" t="str">
        <f t="shared" si="1"/>
        <v/>
      </c>
      <c r="I52" s="31">
        <v>0</v>
      </c>
      <c r="J52" s="31">
        <v>0</v>
      </c>
      <c r="K52" s="32" t="str">
        <f t="shared" si="2"/>
        <v/>
      </c>
      <c r="L52" s="11">
        <f t="shared" si="3"/>
        <v>0</v>
      </c>
      <c r="M52" s="31">
        <v>0</v>
      </c>
      <c r="N52" s="33" t="s">
        <v>124</v>
      </c>
    </row>
    <row r="53" spans="1:14" ht="28.8" outlineLevel="1">
      <c r="A53" s="17" t="s">
        <v>53</v>
      </c>
      <c r="B53" s="42" t="s">
        <v>125</v>
      </c>
      <c r="C53" s="16">
        <v>1</v>
      </c>
      <c r="D53" s="16">
        <v>8</v>
      </c>
      <c r="E53" s="16">
        <v>0</v>
      </c>
      <c r="F53" s="16">
        <v>0</v>
      </c>
      <c r="G53" s="16">
        <v>0</v>
      </c>
      <c r="H53" s="30" t="str">
        <f t="shared" si="1"/>
        <v/>
      </c>
      <c r="I53" s="31">
        <v>0</v>
      </c>
      <c r="J53" s="31">
        <v>0</v>
      </c>
      <c r="K53" s="32" t="str">
        <f t="shared" si="2"/>
        <v/>
      </c>
      <c r="L53" s="11">
        <f t="shared" si="3"/>
        <v>0</v>
      </c>
      <c r="M53" s="31">
        <v>0</v>
      </c>
      <c r="N53" s="33" t="s">
        <v>126</v>
      </c>
    </row>
    <row r="55" spans="1:14">
      <c r="B55" s="43" t="s">
        <v>62</v>
      </c>
      <c r="C55" s="44">
        <f>SUM(C19:C53)</f>
        <v>107</v>
      </c>
      <c r="D55" s="44">
        <f>SUM(D19:D53)</f>
        <v>994</v>
      </c>
      <c r="E55" s="44">
        <f t="shared" ref="E55:G55" si="4">SUM(E19:E53)</f>
        <v>307</v>
      </c>
      <c r="F55" s="44">
        <f t="shared" si="4"/>
        <v>71</v>
      </c>
      <c r="G55" s="44">
        <f t="shared" si="4"/>
        <v>17</v>
      </c>
      <c r="H55" s="45">
        <f t="shared" ref="H55" si="5">IFERROR(G55/F55,"")</f>
        <v>0.23943661971830985</v>
      </c>
      <c r="I55" s="46">
        <f>SUM(I19:I53)</f>
        <v>57964</v>
      </c>
      <c r="J55" s="46">
        <f>SUM(J19:J53)</f>
        <v>27971</v>
      </c>
      <c r="K55" s="47">
        <f t="shared" ref="K55" si="6">IFERROR(I55/J55,"")</f>
        <v>2.072289156626506</v>
      </c>
      <c r="L55" s="48">
        <f t="shared" ref="L55" si="7">J55/$C$3</f>
        <v>0.84812007277137658</v>
      </c>
      <c r="M55" s="46">
        <f>SUM(M19:M53)</f>
        <v>54986</v>
      </c>
    </row>
    <row r="57" spans="1:14" hidden="1" outlineLevel="1">
      <c r="A57" s="49" t="s">
        <v>63</v>
      </c>
      <c r="B57" s="50" t="s">
        <v>127</v>
      </c>
      <c r="C57" s="16"/>
      <c r="D57" s="16"/>
      <c r="E57" s="51"/>
      <c r="F57" s="51"/>
      <c r="G57" s="51"/>
      <c r="H57" s="51"/>
      <c r="I57" s="31">
        <v>5247</v>
      </c>
      <c r="J57" s="31">
        <v>0</v>
      </c>
      <c r="K57" s="51"/>
      <c r="L57" s="51"/>
      <c r="M57" s="31">
        <v>5247</v>
      </c>
      <c r="N57" s="33"/>
    </row>
    <row r="58" spans="1:14" hidden="1" outlineLevel="1">
      <c r="A58" s="49" t="s">
        <v>63</v>
      </c>
      <c r="B58" s="51" t="s">
        <v>128</v>
      </c>
      <c r="C58" s="16"/>
      <c r="D58" s="16"/>
      <c r="E58" s="51"/>
      <c r="F58" s="51"/>
      <c r="G58" s="51"/>
      <c r="H58" s="51"/>
      <c r="I58" s="52">
        <v>0</v>
      </c>
      <c r="J58" s="31">
        <v>1840</v>
      </c>
      <c r="K58" s="51"/>
      <c r="L58" s="51"/>
      <c r="M58" s="52">
        <v>0</v>
      </c>
      <c r="N58" s="33"/>
    </row>
    <row r="59" spans="1:14" hidden="1" outlineLevel="1">
      <c r="A59" s="49" t="s">
        <v>63</v>
      </c>
      <c r="B59" s="51" t="s">
        <v>129</v>
      </c>
      <c r="C59" s="16"/>
      <c r="D59" s="16"/>
      <c r="E59" s="51"/>
      <c r="F59" s="51"/>
      <c r="G59" s="51"/>
      <c r="H59" s="51"/>
      <c r="I59" s="52">
        <v>0</v>
      </c>
      <c r="J59" s="31">
        <v>358</v>
      </c>
      <c r="K59" s="51"/>
      <c r="L59" s="51"/>
      <c r="M59" s="52">
        <v>0</v>
      </c>
      <c r="N59" s="33"/>
    </row>
    <row r="60" spans="1:14" hidden="1" outlineLevel="1">
      <c r="A60" s="49" t="s">
        <v>63</v>
      </c>
      <c r="B60" s="51" t="s">
        <v>130</v>
      </c>
      <c r="C60" s="16"/>
      <c r="D60" s="16"/>
      <c r="E60" s="51"/>
      <c r="F60" s="51"/>
      <c r="G60" s="51"/>
      <c r="H60" s="51"/>
      <c r="I60" s="52">
        <v>0</v>
      </c>
      <c r="J60" s="53">
        <v>2800</v>
      </c>
      <c r="K60" s="51"/>
      <c r="L60" s="51"/>
      <c r="M60" s="52">
        <v>0</v>
      </c>
      <c r="N60" s="33"/>
    </row>
    <row r="61" spans="1:14" collapsed="1"/>
  </sheetData>
  <autoFilter ref="A18:N53" xr:uid="{C3060A1C-C2B8-428B-BEBB-6A650C12678D}">
    <sortState xmlns:xlrd2="http://schemas.microsoft.com/office/spreadsheetml/2017/richdata2" ref="A19:N53">
      <sortCondition sortBy="cellColor" ref="B18:B53" dxfId="59"/>
    </sortState>
  </autoFilter>
  <mergeCells count="4">
    <mergeCell ref="A2:A9"/>
    <mergeCell ref="A11:A15"/>
    <mergeCell ref="A17:L17"/>
    <mergeCell ref="M17:N17"/>
  </mergeCells>
  <conditionalFormatting sqref="D19:G53">
    <cfRule type="cellIs" dxfId="11" priority="1" operator="equal">
      <formula>0</formula>
    </cfRule>
  </conditionalFormatting>
  <conditionalFormatting sqref="E3:E9 E145:E1048576">
    <cfRule type="cellIs" dxfId="10" priority="9" operator="greaterThan">
      <formula>0.99</formula>
    </cfRule>
    <cfRule type="cellIs" dxfId="9" priority="10" operator="greaterThan">
      <formula>"99%%"</formula>
    </cfRule>
    <cfRule type="cellIs" dxfId="8" priority="11" operator="between">
      <formula>0.5</formula>
      <formula>"99%%"</formula>
    </cfRule>
    <cfRule type="cellIs" dxfId="7" priority="12" operator="lessThan">
      <formula>0.51</formula>
    </cfRule>
  </conditionalFormatting>
  <conditionalFormatting sqref="F3:F9">
    <cfRule type="cellIs" dxfId="6" priority="7" operator="greaterThan">
      <formula>0</formula>
    </cfRule>
    <cfRule type="cellIs" dxfId="5" priority="8" operator="lessThan">
      <formula>0</formula>
    </cfRule>
  </conditionalFormatting>
  <conditionalFormatting sqref="H19:H53">
    <cfRule type="cellIs" dxfId="4" priority="2" operator="greaterThan">
      <formula>0.3</formula>
    </cfRule>
    <cfRule type="cellIs" dxfId="3" priority="3" operator="lessThan">
      <formula>0.15</formula>
    </cfRule>
  </conditionalFormatting>
  <conditionalFormatting sqref="K19:K53">
    <cfRule type="cellIs" dxfId="2" priority="4" operator="greaterThan">
      <formula>1</formula>
    </cfRule>
    <cfRule type="cellIs" dxfId="1" priority="6" operator="lessThan">
      <formula>1</formula>
    </cfRule>
  </conditionalFormatting>
  <conditionalFormatting sqref="K55">
    <cfRule type="cellIs" dxfId="0" priority="5" operator="lessThan">
      <formula>1</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GP Targets - Q2 2026</vt:lpstr>
      <vt:lpstr>Aaron - Q2 2026</vt:lpstr>
      <vt:lpstr>Q2 Data</vt:lpstr>
      <vt:lpstr>GP Targets - Q1 2026</vt:lpstr>
      <vt:lpstr>Aaron - Q1 2026</vt:lpstr>
      <vt:lpstr>Aaron - 10.02.25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Bojar</dc:creator>
  <cp:keywords/>
  <dc:description/>
  <cp:lastModifiedBy>Melissa Bojar</cp:lastModifiedBy>
  <cp:revision/>
  <dcterms:created xsi:type="dcterms:W3CDTF">2025-12-30T18:28:04Z</dcterms:created>
  <dcterms:modified xsi:type="dcterms:W3CDTF">2026-07-14T18:48:41Z</dcterms:modified>
  <cp:category/>
  <cp:contentStatus/>
</cp:coreProperties>
</file>